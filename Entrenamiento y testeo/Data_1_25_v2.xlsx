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728b1d86588c5/Dokumente/IA/Diplomado IA/Proyecto final/Modelo RF/"/>
    </mc:Choice>
  </mc:AlternateContent>
  <xr:revisionPtr revIDLastSave="330" documentId="8_{09750827-6BC0-4BD3-AF26-278CF8EEBBCF}" xr6:coauthVersionLast="47" xr6:coauthVersionMax="47" xr10:uidLastSave="{7DFFEB93-0A37-41CB-A2BF-BC5262E612F7}"/>
  <bookViews>
    <workbookView xWindow="-98" yWindow="-98" windowWidth="28996" windowHeight="15675" activeTab="1" xr2:uid="{FD6D81C2-DE10-4E78-96C7-AF7DDBA4037D}"/>
  </bookViews>
  <sheets>
    <sheet name="Hoja1" sheetId="2" r:id="rId1"/>
    <sheet name="Criterios" sheetId="14" r:id="rId2"/>
    <sheet name="ENERO 2025" sheetId="1" r:id="rId3"/>
    <sheet name="FEBRERO 2025" sheetId="3" r:id="rId4"/>
    <sheet name="MARZO 2025" sheetId="4" r:id="rId5"/>
    <sheet name="ABRIL 2025" sheetId="5" r:id="rId6"/>
    <sheet name="MAYO 2025" sheetId="6" r:id="rId7"/>
    <sheet name="JUNIO 2025" sheetId="7" r:id="rId8"/>
    <sheet name="JULIO 2025" sheetId="8" r:id="rId9"/>
    <sheet name="AGOSTO 2025" sheetId="9" r:id="rId10"/>
    <sheet name="SEPTIEMBRE 2025" sheetId="10" r:id="rId11"/>
    <sheet name="OCTUBRE 2025" sheetId="11" r:id="rId12"/>
    <sheet name="NOVIEMBRE 2025" sheetId="12" r:id="rId13"/>
    <sheet name="DICIEMBRE 2025" sheetId="13" r:id="rId14"/>
  </sheets>
  <definedNames>
    <definedName name="_xlnm._FilterDatabase" localSheetId="13" hidden="1">'DICIEMBRE 2025'!$A$7:$O$129</definedName>
    <definedName name="_xlnm._FilterDatabase" localSheetId="2" hidden="1">'ENERO 2025'!$A$7:$S$112</definedName>
    <definedName name="_xlnm._FilterDatabase" localSheetId="3" hidden="1">'FEBRERO 2025'!#REF!</definedName>
    <definedName name="_xlnm._FilterDatabase" localSheetId="7" hidden="1">'JUNIO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7" i="12" l="1"/>
  <c r="B77" i="12"/>
  <c r="N92" i="11"/>
  <c r="B92" i="11"/>
  <c r="N18" i="7"/>
  <c r="N21" i="4"/>
  <c r="B21" i="4"/>
  <c r="N24" i="3"/>
  <c r="B24" i="3"/>
  <c r="U128" i="8"/>
  <c r="U130" i="13"/>
  <c r="U139" i="12"/>
  <c r="U123" i="11"/>
  <c r="U121" i="10"/>
  <c r="U112" i="9"/>
  <c r="U128" i="7"/>
  <c r="U143" i="6"/>
  <c r="U122" i="5"/>
  <c r="U129" i="4"/>
  <c r="U89" i="3"/>
  <c r="T113" i="1"/>
  <c r="A31" i="2" l="1"/>
  <c r="B113" i="4"/>
  <c r="B18" i="7"/>
  <c r="N107" i="13" l="1"/>
  <c r="B107" i="13"/>
  <c r="B101" i="13"/>
  <c r="B100" i="13"/>
  <c r="N100" i="13"/>
  <c r="N101" i="13"/>
  <c r="N95" i="13"/>
  <c r="N96" i="13"/>
  <c r="N97" i="13"/>
  <c r="N98" i="13"/>
  <c r="N99" i="13"/>
  <c r="B95" i="13"/>
  <c r="B96" i="13"/>
  <c r="B97" i="13"/>
  <c r="B98" i="13"/>
  <c r="B99" i="13"/>
  <c r="B86" i="13"/>
  <c r="B83" i="13"/>
  <c r="B84" i="13"/>
  <c r="B80" i="13"/>
  <c r="B81" i="13"/>
  <c r="B79" i="13"/>
  <c r="B78" i="13"/>
  <c r="N94" i="13"/>
  <c r="B94" i="13"/>
  <c r="N93" i="13"/>
  <c r="B93" i="13"/>
  <c r="N92" i="13"/>
  <c r="B92" i="13"/>
  <c r="N91" i="13"/>
  <c r="B91" i="13"/>
  <c r="N90" i="13"/>
  <c r="B90" i="13"/>
  <c r="N89" i="13"/>
  <c r="B89" i="13"/>
  <c r="N88" i="13"/>
  <c r="B88" i="13"/>
  <c r="N87" i="13"/>
  <c r="B87" i="13"/>
  <c r="N86" i="13"/>
  <c r="B117" i="13" l="1"/>
  <c r="B115" i="13"/>
  <c r="B114" i="13"/>
  <c r="N123" i="13"/>
  <c r="B123" i="13"/>
  <c r="N122" i="13"/>
  <c r="B122" i="13"/>
  <c r="N121" i="13"/>
  <c r="B121" i="13"/>
  <c r="N120" i="13"/>
  <c r="B120" i="13"/>
  <c r="N119" i="13"/>
  <c r="B119" i="13"/>
  <c r="N118" i="13"/>
  <c r="B118" i="13"/>
  <c r="B76" i="13"/>
  <c r="B73" i="13"/>
  <c r="B74" i="13"/>
  <c r="B71" i="13"/>
  <c r="B69" i="13"/>
  <c r="N85" i="13"/>
  <c r="B85" i="13"/>
  <c r="N84" i="13"/>
  <c r="N83" i="13"/>
  <c r="N82" i="13"/>
  <c r="B82" i="13"/>
  <c r="N81" i="13"/>
  <c r="N80" i="13"/>
  <c r="N79" i="13"/>
  <c r="N78" i="13"/>
  <c r="N77" i="13"/>
  <c r="B77" i="13"/>
  <c r="B67" i="13"/>
  <c r="B66" i="13"/>
  <c r="B65" i="13"/>
  <c r="B64" i="13"/>
  <c r="B62" i="13"/>
  <c r="B59" i="13"/>
  <c r="B60" i="13"/>
  <c r="B56" i="13"/>
  <c r="B55" i="13"/>
  <c r="B53" i="13"/>
  <c r="B52" i="13"/>
  <c r="B51" i="13"/>
  <c r="B49" i="13"/>
  <c r="N71" i="13"/>
  <c r="N70" i="13"/>
  <c r="B70" i="13"/>
  <c r="N69" i="13"/>
  <c r="N68" i="13"/>
  <c r="B68" i="13"/>
  <c r="N67" i="13"/>
  <c r="N66" i="13"/>
  <c r="N65" i="13"/>
  <c r="N64" i="13"/>
  <c r="N63" i="13"/>
  <c r="B63" i="13"/>
  <c r="N62" i="13"/>
  <c r="B44" i="13"/>
  <c r="B45" i="13"/>
  <c r="B42" i="13"/>
  <c r="B47" i="13"/>
  <c r="B43" i="13"/>
  <c r="B40" i="13"/>
  <c r="N76" i="13" l="1"/>
  <c r="N75" i="13"/>
  <c r="B75" i="13"/>
  <c r="N74" i="13"/>
  <c r="N73" i="13"/>
  <c r="N72" i="13"/>
  <c r="B72" i="13"/>
  <c r="N61" i="13"/>
  <c r="B61" i="13"/>
  <c r="N60" i="13"/>
  <c r="N59" i="13"/>
  <c r="N58" i="13"/>
  <c r="B58" i="13"/>
  <c r="N57" i="13"/>
  <c r="B57" i="13"/>
  <c r="N56" i="13"/>
  <c r="N55" i="13"/>
  <c r="N54" i="13"/>
  <c r="B54" i="13"/>
  <c r="N53" i="13"/>
  <c r="N52" i="13"/>
  <c r="N51" i="13"/>
  <c r="N50" i="13"/>
  <c r="B50" i="13"/>
  <c r="N49" i="13"/>
  <c r="N48" i="13"/>
  <c r="B48" i="13"/>
  <c r="N47" i="13"/>
  <c r="N46" i="13"/>
  <c r="B46" i="13"/>
  <c r="N45" i="13"/>
  <c r="N44" i="13"/>
  <c r="N43" i="13"/>
  <c r="N42" i="13"/>
  <c r="N117" i="13"/>
  <c r="N116" i="13"/>
  <c r="B116" i="13"/>
  <c r="N115" i="13"/>
  <c r="N114" i="13"/>
  <c r="N34" i="13" l="1"/>
  <c r="N35" i="13"/>
  <c r="N36" i="13"/>
  <c r="N37" i="13"/>
  <c r="N38" i="13"/>
  <c r="N39" i="13"/>
  <c r="N40" i="13"/>
  <c r="B34" i="13"/>
  <c r="B35" i="13"/>
  <c r="B36" i="13"/>
  <c r="B37" i="13"/>
  <c r="B38" i="13"/>
  <c r="B39" i="13"/>
  <c r="N124" i="13"/>
  <c r="N125" i="13"/>
  <c r="N126" i="13"/>
  <c r="N25" i="13"/>
  <c r="N26" i="13"/>
  <c r="N27" i="13"/>
  <c r="N28" i="13"/>
  <c r="N29" i="13"/>
  <c r="N30" i="13"/>
  <c r="N31" i="13"/>
  <c r="B25" i="13"/>
  <c r="B26" i="13"/>
  <c r="B27" i="13"/>
  <c r="B28" i="13"/>
  <c r="B29" i="13"/>
  <c r="B30" i="13"/>
  <c r="B31" i="13"/>
  <c r="N8" i="13"/>
  <c r="N9" i="13"/>
  <c r="N10" i="13"/>
  <c r="N11" i="13"/>
  <c r="N12" i="13"/>
  <c r="N13" i="13"/>
  <c r="N129" i="13"/>
  <c r="B129" i="13"/>
  <c r="N128" i="13"/>
  <c r="B128" i="13"/>
  <c r="N127" i="13"/>
  <c r="B127" i="13"/>
  <c r="B126" i="13"/>
  <c r="B125" i="13"/>
  <c r="B124" i="13"/>
  <c r="N113" i="13"/>
  <c r="B113" i="13"/>
  <c r="N112" i="13"/>
  <c r="B112" i="13"/>
  <c r="N111" i="13"/>
  <c r="B111" i="13"/>
  <c r="N110" i="13"/>
  <c r="B110" i="13"/>
  <c r="N109" i="13"/>
  <c r="B109" i="13"/>
  <c r="N108" i="13"/>
  <c r="B108" i="13"/>
  <c r="N106" i="13"/>
  <c r="B106" i="13"/>
  <c r="N105" i="13"/>
  <c r="B105" i="13"/>
  <c r="N104" i="13"/>
  <c r="B104" i="13"/>
  <c r="N103" i="13"/>
  <c r="B103" i="13"/>
  <c r="N102" i="13"/>
  <c r="B102" i="13"/>
  <c r="N41" i="13"/>
  <c r="B41" i="13"/>
  <c r="N33" i="13"/>
  <c r="B33" i="13"/>
  <c r="N32" i="13"/>
  <c r="B32" i="13"/>
  <c r="N24" i="13"/>
  <c r="B24" i="13"/>
  <c r="N23" i="13"/>
  <c r="B23" i="13"/>
  <c r="N22" i="13"/>
  <c r="B22" i="13"/>
  <c r="N21" i="13"/>
  <c r="B21" i="13"/>
  <c r="N20" i="13"/>
  <c r="B20" i="13"/>
  <c r="N19" i="13"/>
  <c r="B19" i="13"/>
  <c r="N18" i="13"/>
  <c r="B18" i="13"/>
  <c r="N17" i="13"/>
  <c r="B17" i="13"/>
  <c r="N16" i="13"/>
  <c r="B16" i="13"/>
  <c r="N15" i="13"/>
  <c r="B15" i="13"/>
  <c r="N14" i="13"/>
  <c r="B14" i="13"/>
  <c r="B13" i="13"/>
  <c r="B12" i="13"/>
  <c r="B11" i="13"/>
  <c r="B10" i="13"/>
  <c r="B9" i="13"/>
  <c r="B8" i="13"/>
  <c r="N108" i="12"/>
  <c r="N109" i="12"/>
  <c r="N110" i="12"/>
  <c r="B108" i="12"/>
  <c r="B109" i="12"/>
  <c r="B110" i="12"/>
  <c r="N126" i="12"/>
  <c r="N127" i="12"/>
  <c r="N128" i="12"/>
  <c r="N129" i="12"/>
  <c r="N130" i="12"/>
  <c r="N131" i="12"/>
  <c r="N132" i="12"/>
  <c r="B126" i="12"/>
  <c r="B127" i="12"/>
  <c r="B128" i="12"/>
  <c r="B129" i="12"/>
  <c r="B130" i="12"/>
  <c r="B59" i="12"/>
  <c r="N97" i="12"/>
  <c r="N98" i="12"/>
  <c r="N99" i="12"/>
  <c r="N100" i="12"/>
  <c r="N101" i="12"/>
  <c r="N102" i="12"/>
  <c r="N103" i="12"/>
  <c r="N104" i="12"/>
  <c r="N105" i="12"/>
  <c r="N106" i="12"/>
  <c r="N107" i="12"/>
  <c r="B97" i="12"/>
  <c r="B98" i="12"/>
  <c r="B99" i="12"/>
  <c r="B100" i="12"/>
  <c r="B101" i="12"/>
  <c r="B102" i="12"/>
  <c r="B103" i="12"/>
  <c r="B104" i="12"/>
  <c r="N91" i="12"/>
  <c r="N92" i="12"/>
  <c r="N93" i="12"/>
  <c r="N94" i="12"/>
  <c r="N95" i="12"/>
  <c r="N96" i="12"/>
  <c r="B91" i="12"/>
  <c r="B92" i="12"/>
  <c r="B93" i="12"/>
  <c r="B94" i="12"/>
  <c r="B95" i="12"/>
  <c r="B96" i="12"/>
  <c r="B105" i="12"/>
  <c r="N123" i="12"/>
  <c r="N124" i="12"/>
  <c r="N125" i="12"/>
  <c r="B123" i="12"/>
  <c r="B124" i="12"/>
  <c r="B125" i="12"/>
  <c r="B106" i="12"/>
  <c r="B107" i="12"/>
  <c r="N85" i="12"/>
  <c r="N86" i="12"/>
  <c r="N87" i="12"/>
  <c r="N88" i="12"/>
  <c r="N89" i="12"/>
  <c r="N90" i="12"/>
  <c r="B85" i="12"/>
  <c r="B86" i="12"/>
  <c r="B87" i="12"/>
  <c r="B88" i="12"/>
  <c r="B89" i="12"/>
  <c r="B90" i="12"/>
  <c r="N74" i="12"/>
  <c r="N75" i="12"/>
  <c r="N76" i="12"/>
  <c r="N78" i="12"/>
  <c r="N79" i="12"/>
  <c r="N80" i="12"/>
  <c r="N81" i="12"/>
  <c r="N82" i="12"/>
  <c r="B74" i="12"/>
  <c r="B75" i="12"/>
  <c r="B76" i="12"/>
  <c r="B78" i="12"/>
  <c r="B79" i="12"/>
  <c r="B80" i="12"/>
  <c r="B81" i="12"/>
  <c r="N67" i="12"/>
  <c r="N68" i="12"/>
  <c r="N69" i="12"/>
  <c r="N70" i="12"/>
  <c r="N71" i="12"/>
  <c r="N72" i="12"/>
  <c r="N73" i="12"/>
  <c r="B67" i="12"/>
  <c r="B68" i="12"/>
  <c r="B69" i="12"/>
  <c r="B70" i="12"/>
  <c r="B71" i="12"/>
  <c r="B72" i="12"/>
  <c r="N61" i="12"/>
  <c r="N62" i="12"/>
  <c r="N63" i="12"/>
  <c r="N64" i="12"/>
  <c r="N65" i="12"/>
  <c r="B61" i="12"/>
  <c r="B62" i="12"/>
  <c r="B63" i="12"/>
  <c r="B64" i="12"/>
  <c r="N57" i="12"/>
  <c r="N58" i="12"/>
  <c r="N59" i="12"/>
  <c r="N60" i="12"/>
  <c r="N66" i="12"/>
  <c r="N83" i="12"/>
  <c r="B57" i="12"/>
  <c r="B58" i="12"/>
  <c r="B60" i="12"/>
  <c r="B65" i="12"/>
  <c r="B66" i="12"/>
  <c r="B73" i="12"/>
  <c r="N52" i="12"/>
  <c r="N53" i="12"/>
  <c r="N54" i="12"/>
  <c r="N55" i="12"/>
  <c r="N56" i="12"/>
  <c r="B52" i="12"/>
  <c r="B53" i="12"/>
  <c r="B54" i="12"/>
  <c r="B55" i="12"/>
  <c r="B56" i="12"/>
  <c r="N45" i="12"/>
  <c r="N46" i="12"/>
  <c r="N47" i="12"/>
  <c r="N48" i="12"/>
  <c r="N49" i="12"/>
  <c r="N50" i="12"/>
  <c r="N51" i="12"/>
  <c r="B45" i="12"/>
  <c r="B46" i="12"/>
  <c r="B47" i="12"/>
  <c r="B48" i="12"/>
  <c r="B49" i="12"/>
  <c r="N84" i="12"/>
  <c r="B50" i="12"/>
  <c r="B51" i="12"/>
  <c r="B82" i="12"/>
  <c r="B83" i="12"/>
  <c r="B84" i="12"/>
  <c r="N121" i="12"/>
  <c r="N122" i="12"/>
  <c r="B121" i="12"/>
  <c r="B122" i="12"/>
  <c r="B131" i="12"/>
  <c r="B132" i="12"/>
  <c r="N116" i="12"/>
  <c r="N117" i="12"/>
  <c r="N118" i="12"/>
  <c r="N119" i="12"/>
  <c r="N120" i="12"/>
  <c r="N135" i="12"/>
  <c r="B135" i="12"/>
  <c r="N134" i="12"/>
  <c r="B134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B27" i="12"/>
  <c r="B28" i="12"/>
  <c r="B29" i="12"/>
  <c r="B30" i="12"/>
  <c r="B31" i="12"/>
  <c r="B32" i="12"/>
  <c r="B33" i="12"/>
  <c r="B116" i="12"/>
  <c r="B117" i="12"/>
  <c r="B118" i="12"/>
  <c r="B119" i="12"/>
  <c r="B120" i="12"/>
  <c r="B34" i="12"/>
  <c r="B35" i="12"/>
  <c r="B36" i="12"/>
  <c r="B37" i="12"/>
  <c r="B38" i="12"/>
  <c r="N138" i="12"/>
  <c r="B138" i="12"/>
  <c r="N137" i="12"/>
  <c r="B137" i="12"/>
  <c r="N136" i="12"/>
  <c r="B136" i="12"/>
  <c r="N133" i="12"/>
  <c r="N115" i="12"/>
  <c r="B115" i="12"/>
  <c r="N114" i="12"/>
  <c r="B114" i="12"/>
  <c r="N113" i="12"/>
  <c r="B113" i="12"/>
  <c r="N112" i="12"/>
  <c r="B112" i="12"/>
  <c r="N111" i="12"/>
  <c r="B111" i="12"/>
  <c r="B44" i="12"/>
  <c r="B43" i="12"/>
  <c r="B42" i="12"/>
  <c r="B41" i="12"/>
  <c r="B40" i="12"/>
  <c r="B39" i="12"/>
  <c r="N26" i="12"/>
  <c r="B26" i="12"/>
  <c r="N25" i="12"/>
  <c r="B25" i="12"/>
  <c r="N24" i="12"/>
  <c r="B24" i="12"/>
  <c r="N23" i="12"/>
  <c r="B23" i="12"/>
  <c r="N22" i="12"/>
  <c r="B22" i="12"/>
  <c r="N21" i="12"/>
  <c r="B21" i="12"/>
  <c r="N20" i="12"/>
  <c r="B20" i="12"/>
  <c r="N19" i="12"/>
  <c r="B19" i="12"/>
  <c r="N18" i="12"/>
  <c r="B18" i="12"/>
  <c r="N17" i="12"/>
  <c r="B17" i="12"/>
  <c r="N16" i="12"/>
  <c r="B16" i="12"/>
  <c r="N15" i="12"/>
  <c r="B15" i="12"/>
  <c r="N14" i="12"/>
  <c r="B14" i="12"/>
  <c r="N13" i="12"/>
  <c r="B13" i="12"/>
  <c r="N12" i="12"/>
  <c r="B12" i="12"/>
  <c r="N11" i="12"/>
  <c r="B11" i="12"/>
  <c r="N10" i="12"/>
  <c r="B10" i="12"/>
  <c r="N9" i="12"/>
  <c r="B9" i="12"/>
  <c r="N8" i="12"/>
  <c r="B8" i="12"/>
  <c r="N93" i="11"/>
  <c r="N94" i="11"/>
  <c r="N95" i="11"/>
  <c r="N96" i="11"/>
  <c r="N97" i="11"/>
  <c r="N98" i="11"/>
  <c r="N99" i="11"/>
  <c r="N100" i="11"/>
  <c r="B93" i="11"/>
  <c r="B94" i="11"/>
  <c r="B95" i="11"/>
  <c r="B96" i="11"/>
  <c r="B97" i="11"/>
  <c r="B98" i="11"/>
  <c r="B99" i="11"/>
  <c r="B100" i="11"/>
  <c r="N83" i="11"/>
  <c r="N84" i="11"/>
  <c r="N85" i="11"/>
  <c r="N86" i="11"/>
  <c r="N87" i="11"/>
  <c r="N88" i="11"/>
  <c r="N89" i="11"/>
  <c r="N90" i="11"/>
  <c r="N91" i="11"/>
  <c r="B83" i="11"/>
  <c r="B84" i="11"/>
  <c r="B85" i="11"/>
  <c r="B86" i="11"/>
  <c r="B87" i="11"/>
  <c r="B88" i="11"/>
  <c r="N113" i="11"/>
  <c r="N114" i="11"/>
  <c r="N115" i="11"/>
  <c r="N116" i="11"/>
  <c r="N117" i="11"/>
  <c r="N118" i="11"/>
  <c r="N112" i="11"/>
  <c r="B112" i="11"/>
  <c r="B113" i="11"/>
  <c r="B114" i="11"/>
  <c r="B115" i="11"/>
  <c r="B116" i="11"/>
  <c r="B117" i="11"/>
  <c r="B118" i="11"/>
  <c r="N72" i="11"/>
  <c r="N73" i="11"/>
  <c r="N74" i="11"/>
  <c r="N75" i="11"/>
  <c r="N76" i="11"/>
  <c r="N77" i="11"/>
  <c r="N78" i="11"/>
  <c r="N79" i="11"/>
  <c r="N80" i="11"/>
  <c r="N81" i="11"/>
  <c r="N82" i="11"/>
  <c r="B72" i="11"/>
  <c r="B73" i="11"/>
  <c r="B74" i="11"/>
  <c r="B75" i="11"/>
  <c r="B76" i="11"/>
  <c r="B77" i="11"/>
  <c r="B78" i="11"/>
  <c r="B79" i="11"/>
  <c r="B80" i="11"/>
  <c r="B81" i="11"/>
  <c r="B82" i="11"/>
  <c r="B89" i="11"/>
  <c r="B90" i="11"/>
  <c r="B91" i="11"/>
  <c r="N107" i="11"/>
  <c r="N108" i="11"/>
  <c r="N109" i="11"/>
  <c r="N110" i="11"/>
  <c r="N111" i="11"/>
  <c r="B107" i="11"/>
  <c r="B108" i="11"/>
  <c r="B109" i="11"/>
  <c r="B110" i="11"/>
  <c r="B111" i="11"/>
  <c r="N64" i="11"/>
  <c r="N65" i="11"/>
  <c r="N66" i="11"/>
  <c r="N67" i="11"/>
  <c r="N68" i="11"/>
  <c r="N69" i="11"/>
  <c r="N70" i="11"/>
  <c r="N71" i="11"/>
  <c r="B64" i="11"/>
  <c r="B65" i="11"/>
  <c r="B66" i="11"/>
  <c r="B67" i="11"/>
  <c r="B68" i="11"/>
  <c r="B69" i="11"/>
  <c r="N58" i="11"/>
  <c r="N59" i="11"/>
  <c r="N60" i="11"/>
  <c r="N61" i="11"/>
  <c r="N62" i="11"/>
  <c r="N63" i="11"/>
  <c r="B58" i="11"/>
  <c r="B59" i="11"/>
  <c r="B60" i="11"/>
  <c r="B61" i="11"/>
  <c r="B62" i="11"/>
  <c r="B63" i="11"/>
  <c r="B70" i="11"/>
  <c r="B71" i="11"/>
  <c r="N47" i="11"/>
  <c r="N48" i="11"/>
  <c r="N49" i="11"/>
  <c r="N50" i="11"/>
  <c r="N51" i="11"/>
  <c r="N52" i="11"/>
  <c r="N53" i="11"/>
  <c r="B47" i="11"/>
  <c r="B48" i="11"/>
  <c r="B49" i="11"/>
  <c r="B50" i="11"/>
  <c r="B51" i="11"/>
  <c r="N54" i="11"/>
  <c r="N55" i="11"/>
  <c r="N56" i="11"/>
  <c r="N57" i="11"/>
  <c r="B52" i="11"/>
  <c r="B53" i="11"/>
  <c r="B54" i="11"/>
  <c r="B55" i="11"/>
  <c r="B56" i="11"/>
  <c r="N40" i="11"/>
  <c r="N41" i="11"/>
  <c r="N42" i="11"/>
  <c r="N43" i="11"/>
  <c r="N44" i="11"/>
  <c r="N45" i="11"/>
  <c r="N46" i="11"/>
  <c r="B40" i="11"/>
  <c r="B41" i="11"/>
  <c r="B42" i="11"/>
  <c r="B43" i="11"/>
  <c r="B44" i="11"/>
  <c r="B45" i="11"/>
  <c r="B46" i="11"/>
  <c r="N29" i="11"/>
  <c r="N30" i="11"/>
  <c r="N31" i="11"/>
  <c r="N32" i="11"/>
  <c r="N33" i="11"/>
  <c r="N34" i="11"/>
  <c r="N35" i="11"/>
  <c r="N36" i="11"/>
  <c r="N37" i="11"/>
  <c r="N38" i="11"/>
  <c r="B29" i="11"/>
  <c r="B30" i="11"/>
  <c r="B31" i="11"/>
  <c r="B32" i="11"/>
  <c r="B33" i="11"/>
  <c r="B34" i="11"/>
  <c r="B35" i="11"/>
  <c r="B36" i="11"/>
  <c r="N14" i="11"/>
  <c r="N15" i="11"/>
  <c r="N16" i="11"/>
  <c r="B14" i="11"/>
  <c r="N23" i="11"/>
  <c r="N24" i="11"/>
  <c r="N25" i="11"/>
  <c r="N26" i="11"/>
  <c r="N27" i="11"/>
  <c r="N28" i="11"/>
  <c r="B23" i="11"/>
  <c r="B24" i="11"/>
  <c r="B25" i="11"/>
  <c r="B26" i="11"/>
  <c r="N39" i="11"/>
  <c r="N122" i="11"/>
  <c r="B122" i="11"/>
  <c r="N121" i="11"/>
  <c r="B121" i="11"/>
  <c r="N120" i="11"/>
  <c r="B120" i="11"/>
  <c r="N119" i="11"/>
  <c r="B119" i="11"/>
  <c r="N106" i="11"/>
  <c r="B106" i="11"/>
  <c r="N105" i="11"/>
  <c r="B105" i="11"/>
  <c r="N104" i="11"/>
  <c r="B104" i="11"/>
  <c r="N103" i="11"/>
  <c r="B103" i="11"/>
  <c r="N102" i="11"/>
  <c r="B102" i="11"/>
  <c r="N101" i="11"/>
  <c r="B101" i="11"/>
  <c r="B57" i="11"/>
  <c r="B39" i="11"/>
  <c r="B38" i="11"/>
  <c r="B37" i="11"/>
  <c r="B28" i="11"/>
  <c r="B27" i="11"/>
  <c r="N22" i="11"/>
  <c r="B22" i="11"/>
  <c r="N21" i="11"/>
  <c r="B21" i="11"/>
  <c r="N20" i="11"/>
  <c r="B20" i="11"/>
  <c r="N19" i="11"/>
  <c r="B19" i="11"/>
  <c r="N18" i="11"/>
  <c r="B18" i="11"/>
  <c r="N17" i="11"/>
  <c r="B17" i="11"/>
  <c r="B16" i="11"/>
  <c r="B15" i="11"/>
  <c r="N13" i="11"/>
  <c r="B13" i="11"/>
  <c r="N12" i="11"/>
  <c r="B12" i="11"/>
  <c r="N11" i="11"/>
  <c r="B11" i="11"/>
  <c r="N10" i="11"/>
  <c r="B10" i="11"/>
  <c r="N9" i="11"/>
  <c r="B9" i="11"/>
  <c r="N8" i="11"/>
  <c r="B8" i="11"/>
  <c r="N69" i="10"/>
  <c r="N70" i="10"/>
  <c r="N71" i="10"/>
  <c r="N72" i="10"/>
  <c r="N73" i="10"/>
  <c r="N74" i="10"/>
  <c r="B69" i="10"/>
  <c r="B70" i="10"/>
  <c r="B71" i="10"/>
  <c r="N102" i="10"/>
  <c r="B102" i="10"/>
  <c r="N93" i="10"/>
  <c r="N94" i="10"/>
  <c r="N95" i="10"/>
  <c r="N96" i="10"/>
  <c r="N97" i="10"/>
  <c r="N98" i="10"/>
  <c r="N99" i="10"/>
  <c r="N100" i="10"/>
  <c r="N101" i="10"/>
  <c r="B93" i="10"/>
  <c r="B94" i="10"/>
  <c r="B95" i="10"/>
  <c r="B96" i="10"/>
  <c r="B97" i="10"/>
  <c r="B98" i="10"/>
  <c r="B99" i="10"/>
  <c r="N87" i="10"/>
  <c r="N88" i="10"/>
  <c r="N89" i="10"/>
  <c r="N90" i="10"/>
  <c r="N91" i="10"/>
  <c r="N92" i="10"/>
  <c r="B87" i="10"/>
  <c r="B88" i="10"/>
  <c r="B89" i="10"/>
  <c r="B90" i="10"/>
  <c r="B91" i="10"/>
  <c r="B92" i="10"/>
  <c r="N81" i="10"/>
  <c r="N82" i="10"/>
  <c r="N83" i="10"/>
  <c r="N84" i="10"/>
  <c r="N85" i="10"/>
  <c r="N86" i="10"/>
  <c r="B83" i="10"/>
  <c r="B84" i="10"/>
  <c r="B85" i="10"/>
  <c r="B86" i="10"/>
  <c r="B100" i="10"/>
  <c r="B82" i="10"/>
  <c r="N67" i="10"/>
  <c r="N68" i="10"/>
  <c r="N75" i="10"/>
  <c r="N76" i="10"/>
  <c r="B67" i="10"/>
  <c r="B68" i="10"/>
  <c r="B72" i="10"/>
  <c r="B73" i="10"/>
  <c r="B75" i="10"/>
  <c r="B76" i="10"/>
  <c r="B77" i="10"/>
  <c r="B78" i="10"/>
  <c r="B79" i="10"/>
  <c r="B80" i="10"/>
  <c r="B81" i="10"/>
  <c r="B101" i="10"/>
  <c r="N77" i="10"/>
  <c r="N78" i="10"/>
  <c r="N79" i="10"/>
  <c r="N80" i="10"/>
  <c r="B74" i="10"/>
  <c r="N51" i="10"/>
  <c r="B51" i="10"/>
  <c r="N54" i="10"/>
  <c r="N55" i="10"/>
  <c r="N56" i="10"/>
  <c r="N57" i="10"/>
  <c r="N58" i="10"/>
  <c r="N59" i="10"/>
  <c r="N60" i="10"/>
  <c r="N61" i="10"/>
  <c r="N62" i="10"/>
  <c r="N63" i="10"/>
  <c r="N64" i="10"/>
  <c r="B54" i="10"/>
  <c r="B55" i="10"/>
  <c r="B56" i="10"/>
  <c r="B57" i="10"/>
  <c r="B58" i="10"/>
  <c r="B59" i="10"/>
  <c r="B60" i="10"/>
  <c r="B61" i="10"/>
  <c r="B62" i="10"/>
  <c r="N47" i="10"/>
  <c r="N48" i="10"/>
  <c r="N49" i="10"/>
  <c r="N50" i="10"/>
  <c r="N52" i="10"/>
  <c r="N53" i="10"/>
  <c r="N65" i="10"/>
  <c r="B47" i="10"/>
  <c r="B48" i="10"/>
  <c r="B49" i="10"/>
  <c r="B50" i="10"/>
  <c r="B52" i="10"/>
  <c r="N39" i="10"/>
  <c r="N40" i="10"/>
  <c r="N41" i="10"/>
  <c r="N42" i="10"/>
  <c r="N43" i="10"/>
  <c r="N44" i="10"/>
  <c r="N45" i="10"/>
  <c r="N46" i="10"/>
  <c r="B39" i="10"/>
  <c r="B40" i="10"/>
  <c r="B41" i="10"/>
  <c r="B42" i="10"/>
  <c r="B43" i="10"/>
  <c r="B44" i="10"/>
  <c r="B45" i="10"/>
  <c r="B46" i="10"/>
  <c r="B53" i="10"/>
  <c r="N32" i="10"/>
  <c r="N33" i="10"/>
  <c r="N34" i="10"/>
  <c r="N35" i="10"/>
  <c r="N36" i="10"/>
  <c r="N37" i="10"/>
  <c r="N38" i="10"/>
  <c r="N66" i="10"/>
  <c r="B32" i="10"/>
  <c r="B33" i="10"/>
  <c r="B34" i="10"/>
  <c r="B35" i="10"/>
  <c r="B36" i="10"/>
  <c r="B37" i="10"/>
  <c r="B38" i="10"/>
  <c r="N23" i="10"/>
  <c r="N24" i="10"/>
  <c r="N25" i="10"/>
  <c r="N26" i="10"/>
  <c r="N27" i="10"/>
  <c r="N28" i="10"/>
  <c r="N29" i="10"/>
  <c r="N30" i="10"/>
  <c r="N31" i="10"/>
  <c r="B23" i="10"/>
  <c r="B24" i="10"/>
  <c r="B25" i="10"/>
  <c r="B26" i="10"/>
  <c r="B27" i="10"/>
  <c r="B28" i="10"/>
  <c r="B29" i="10"/>
  <c r="N19" i="10"/>
  <c r="N20" i="10"/>
  <c r="N21" i="10"/>
  <c r="N22" i="10"/>
  <c r="N18" i="10"/>
  <c r="B18" i="10"/>
  <c r="B19" i="10"/>
  <c r="B20" i="10"/>
  <c r="B21" i="10"/>
  <c r="B22" i="10"/>
  <c r="B30" i="10"/>
  <c r="B31" i="10"/>
  <c r="B63" i="10"/>
  <c r="B64" i="10"/>
  <c r="B65" i="10"/>
  <c r="B66" i="10"/>
  <c r="B120" i="10"/>
  <c r="N119" i="10"/>
  <c r="B119" i="10"/>
  <c r="N118" i="10"/>
  <c r="B118" i="10"/>
  <c r="N117" i="10"/>
  <c r="B117" i="10"/>
  <c r="N116" i="10"/>
  <c r="B116" i="10"/>
  <c r="N115" i="10"/>
  <c r="B115" i="10"/>
  <c r="N114" i="10"/>
  <c r="B114" i="10"/>
  <c r="N113" i="10"/>
  <c r="B113" i="10"/>
  <c r="N112" i="10"/>
  <c r="B112" i="10"/>
  <c r="N111" i="10"/>
  <c r="B111" i="10"/>
  <c r="N110" i="10"/>
  <c r="B110" i="10"/>
  <c r="N109" i="10"/>
  <c r="B109" i="10"/>
  <c r="N108" i="10"/>
  <c r="B108" i="10"/>
  <c r="N107" i="10"/>
  <c r="B107" i="10"/>
  <c r="N106" i="10"/>
  <c r="B106" i="10"/>
  <c r="N105" i="10"/>
  <c r="B105" i="10"/>
  <c r="N104" i="10"/>
  <c r="B104" i="10"/>
  <c r="N103" i="10"/>
  <c r="B103" i="10"/>
  <c r="N17" i="10"/>
  <c r="B17" i="10"/>
  <c r="N16" i="10"/>
  <c r="B16" i="10"/>
  <c r="N15" i="10"/>
  <c r="B15" i="10"/>
  <c r="N14" i="10"/>
  <c r="B14" i="10"/>
  <c r="N13" i="10"/>
  <c r="B13" i="10"/>
  <c r="N12" i="10"/>
  <c r="B12" i="10"/>
  <c r="N11" i="10"/>
  <c r="B11" i="10"/>
  <c r="N10" i="10"/>
  <c r="B10" i="10"/>
  <c r="N9" i="10"/>
  <c r="B9" i="10"/>
  <c r="N8" i="10"/>
  <c r="B8" i="10"/>
  <c r="N91" i="9"/>
  <c r="B91" i="9"/>
  <c r="N86" i="9"/>
  <c r="N87" i="9"/>
  <c r="N88" i="9"/>
  <c r="N89" i="9"/>
  <c r="N90" i="9"/>
  <c r="N105" i="9"/>
  <c r="N106" i="9"/>
  <c r="B105" i="9"/>
  <c r="B106" i="9"/>
  <c r="B87" i="9"/>
  <c r="B88" i="9"/>
  <c r="B89" i="9"/>
  <c r="B90" i="9"/>
  <c r="N78" i="9"/>
  <c r="N79" i="9"/>
  <c r="N80" i="9"/>
  <c r="N81" i="9"/>
  <c r="N82" i="9"/>
  <c r="N83" i="9"/>
  <c r="N84" i="9"/>
  <c r="N85" i="9"/>
  <c r="B79" i="9"/>
  <c r="B80" i="9"/>
  <c r="B81" i="9"/>
  <c r="B82" i="9"/>
  <c r="B83" i="9"/>
  <c r="B84" i="9"/>
  <c r="N72" i="9"/>
  <c r="N73" i="9"/>
  <c r="N74" i="9"/>
  <c r="N75" i="9"/>
  <c r="N76" i="9"/>
  <c r="N77" i="9"/>
  <c r="B73" i="9"/>
  <c r="B74" i="9"/>
  <c r="B75" i="9"/>
  <c r="B76" i="9"/>
  <c r="B77" i="9"/>
  <c r="N69" i="9"/>
  <c r="N70" i="9"/>
  <c r="N71" i="9"/>
  <c r="B69" i="9"/>
  <c r="B70" i="9"/>
  <c r="B71" i="9"/>
  <c r="B72" i="9"/>
  <c r="B78" i="9"/>
  <c r="B85" i="9"/>
  <c r="N101" i="9"/>
  <c r="N102" i="9"/>
  <c r="N103" i="9"/>
  <c r="N104" i="9"/>
  <c r="B102" i="9"/>
  <c r="B103" i="9"/>
  <c r="B104" i="9"/>
  <c r="N64" i="9"/>
  <c r="N65" i="9"/>
  <c r="N66" i="9"/>
  <c r="N67" i="9"/>
  <c r="N68" i="9"/>
  <c r="B64" i="9"/>
  <c r="B65" i="9"/>
  <c r="B66" i="9"/>
  <c r="B67" i="9"/>
  <c r="B68" i="9"/>
  <c r="B86" i="9"/>
  <c r="N58" i="9"/>
  <c r="N59" i="9"/>
  <c r="N60" i="9"/>
  <c r="N61" i="9"/>
  <c r="N62" i="9"/>
  <c r="N52" i="9"/>
  <c r="N53" i="9"/>
  <c r="N54" i="9"/>
  <c r="N55" i="9"/>
  <c r="N56" i="9"/>
  <c r="N57" i="9"/>
  <c r="B52" i="9"/>
  <c r="B53" i="9"/>
  <c r="B54" i="9"/>
  <c r="B55" i="9"/>
  <c r="B56" i="9"/>
  <c r="B57" i="9"/>
  <c r="B58" i="9"/>
  <c r="B59" i="9"/>
  <c r="N47" i="9"/>
  <c r="N48" i="9"/>
  <c r="N49" i="9"/>
  <c r="N50" i="9"/>
  <c r="N51" i="9"/>
  <c r="N63" i="9"/>
  <c r="N99" i="9"/>
  <c r="N100" i="9"/>
  <c r="B99" i="9"/>
  <c r="B100" i="9"/>
  <c r="B101" i="9"/>
  <c r="B47" i="9"/>
  <c r="B48" i="9"/>
  <c r="B49" i="9"/>
  <c r="B50" i="9"/>
  <c r="B51" i="9"/>
  <c r="B60" i="9"/>
  <c r="N45" i="9"/>
  <c r="N46" i="9"/>
  <c r="B45" i="9"/>
  <c r="B46" i="9"/>
  <c r="B61" i="9"/>
  <c r="B62" i="9"/>
  <c r="B63" i="9"/>
  <c r="N36" i="9"/>
  <c r="N37" i="9"/>
  <c r="N38" i="9"/>
  <c r="N39" i="9"/>
  <c r="N40" i="9"/>
  <c r="N41" i="9"/>
  <c r="N42" i="9"/>
  <c r="N95" i="9"/>
  <c r="N96" i="9"/>
  <c r="N97" i="9"/>
  <c r="N98" i="9"/>
  <c r="B95" i="9"/>
  <c r="B96" i="9"/>
  <c r="B97" i="9"/>
  <c r="B38" i="9"/>
  <c r="B39" i="9"/>
  <c r="B40" i="9"/>
  <c r="B41" i="9"/>
  <c r="N35" i="9"/>
  <c r="N43" i="9"/>
  <c r="N44" i="9"/>
  <c r="B35" i="9"/>
  <c r="B36" i="9"/>
  <c r="B37" i="9"/>
  <c r="B42" i="9"/>
  <c r="B43" i="9"/>
  <c r="N27" i="9"/>
  <c r="N28" i="9"/>
  <c r="N29" i="9"/>
  <c r="N30" i="9"/>
  <c r="N31" i="9"/>
  <c r="N32" i="9"/>
  <c r="N33" i="9"/>
  <c r="B27" i="9"/>
  <c r="B28" i="9"/>
  <c r="B29" i="9"/>
  <c r="B30" i="9"/>
  <c r="B31" i="9"/>
  <c r="B32" i="9"/>
  <c r="N17" i="9"/>
  <c r="N18" i="9"/>
  <c r="N19" i="9"/>
  <c r="N20" i="9"/>
  <c r="N21" i="9"/>
  <c r="N22" i="9"/>
  <c r="N23" i="9"/>
  <c r="N24" i="9"/>
  <c r="N25" i="9"/>
  <c r="N94" i="9"/>
  <c r="B17" i="9"/>
  <c r="B18" i="9"/>
  <c r="B19" i="9"/>
  <c r="B20" i="9"/>
  <c r="B21" i="9"/>
  <c r="B22" i="9"/>
  <c r="B23" i="9"/>
  <c r="N111" i="9"/>
  <c r="B111" i="9"/>
  <c r="N110" i="9"/>
  <c r="B110" i="9"/>
  <c r="N109" i="9"/>
  <c r="B109" i="9"/>
  <c r="N108" i="9"/>
  <c r="B108" i="9"/>
  <c r="N107" i="9"/>
  <c r="B107" i="9"/>
  <c r="B98" i="9"/>
  <c r="B94" i="9"/>
  <c r="N93" i="9"/>
  <c r="B93" i="9"/>
  <c r="N92" i="9"/>
  <c r="B92" i="9"/>
  <c r="B44" i="9"/>
  <c r="N34" i="9"/>
  <c r="B34" i="9"/>
  <c r="B33" i="9"/>
  <c r="N26" i="9"/>
  <c r="B26" i="9"/>
  <c r="B25" i="9"/>
  <c r="B24" i="9"/>
  <c r="N16" i="9"/>
  <c r="B16" i="9"/>
  <c r="N15" i="9"/>
  <c r="B15" i="9"/>
  <c r="N14" i="9"/>
  <c r="B14" i="9"/>
  <c r="N13" i="9"/>
  <c r="B13" i="9"/>
  <c r="N12" i="9"/>
  <c r="B12" i="9"/>
  <c r="N11" i="9"/>
  <c r="B11" i="9"/>
  <c r="N10" i="9"/>
  <c r="B10" i="9"/>
  <c r="N9" i="9"/>
  <c r="B9" i="9"/>
  <c r="N8" i="9"/>
  <c r="B8" i="9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B123" i="8"/>
  <c r="B124" i="8"/>
  <c r="B90" i="8"/>
  <c r="B88" i="8"/>
  <c r="B106" i="8"/>
  <c r="B107" i="8"/>
  <c r="B108" i="8"/>
  <c r="B104" i="8"/>
  <c r="B105" i="8"/>
  <c r="B98" i="8"/>
  <c r="B99" i="8"/>
  <c r="B100" i="8"/>
  <c r="B101" i="8"/>
  <c r="N118" i="8"/>
  <c r="N119" i="8"/>
  <c r="N120" i="8"/>
  <c r="N121" i="8"/>
  <c r="N122" i="8"/>
  <c r="B118" i="8"/>
  <c r="B119" i="8"/>
  <c r="B120" i="8"/>
  <c r="B121" i="8"/>
  <c r="B89" i="8"/>
  <c r="B91" i="8"/>
  <c r="B92" i="8"/>
  <c r="B93" i="8"/>
  <c r="B94" i="8"/>
  <c r="B95" i="8"/>
  <c r="B96" i="8"/>
  <c r="B79" i="8"/>
  <c r="B80" i="8"/>
  <c r="B81" i="8"/>
  <c r="B82" i="8"/>
  <c r="B83" i="8"/>
  <c r="B84" i="8"/>
  <c r="B78" i="8"/>
  <c r="B85" i="8"/>
  <c r="B86" i="8"/>
  <c r="B87" i="8"/>
  <c r="B97" i="8"/>
  <c r="B102" i="8"/>
  <c r="B72" i="8"/>
  <c r="B73" i="8"/>
  <c r="B74" i="8"/>
  <c r="B75" i="8"/>
  <c r="B76" i="8"/>
  <c r="B77" i="8"/>
  <c r="B103" i="8"/>
  <c r="B62" i="8"/>
  <c r="B63" i="8"/>
  <c r="B64" i="8"/>
  <c r="B65" i="8"/>
  <c r="B66" i="8"/>
  <c r="B67" i="8"/>
  <c r="B68" i="8"/>
  <c r="B57" i="8"/>
  <c r="B58" i="8"/>
  <c r="B59" i="8"/>
  <c r="B60" i="8"/>
  <c r="B51" i="8"/>
  <c r="B52" i="8"/>
  <c r="B53" i="8"/>
  <c r="B54" i="8"/>
  <c r="B55" i="8"/>
  <c r="B56" i="8"/>
  <c r="B61" i="8"/>
  <c r="B43" i="8"/>
  <c r="B44" i="8"/>
  <c r="B45" i="8"/>
  <c r="B46" i="8"/>
  <c r="B47" i="8"/>
  <c r="B40" i="8"/>
  <c r="B41" i="8"/>
  <c r="B42" i="8"/>
  <c r="B48" i="8"/>
  <c r="B49" i="8"/>
  <c r="B50" i="8"/>
  <c r="N115" i="8"/>
  <c r="N116" i="8"/>
  <c r="N117" i="8"/>
  <c r="N114" i="8"/>
  <c r="B114" i="8"/>
  <c r="B115" i="8"/>
  <c r="B116" i="8"/>
  <c r="B117" i="8"/>
  <c r="B122" i="8"/>
  <c r="B33" i="8"/>
  <c r="B34" i="8"/>
  <c r="B35" i="8"/>
  <c r="B36" i="8"/>
  <c r="B37" i="8"/>
  <c r="B38" i="8"/>
  <c r="B29" i="8"/>
  <c r="B30" i="8"/>
  <c r="B31" i="8"/>
  <c r="B32" i="8"/>
  <c r="B39" i="8"/>
  <c r="B69" i="8"/>
  <c r="N12" i="8"/>
  <c r="N13" i="8"/>
  <c r="N14" i="8"/>
  <c r="N15" i="8"/>
  <c r="B12" i="8"/>
  <c r="N18" i="8"/>
  <c r="N19" i="8"/>
  <c r="N20" i="8"/>
  <c r="B18" i="8"/>
  <c r="B19" i="8"/>
  <c r="B20" i="8"/>
  <c r="B21" i="8"/>
  <c r="B22" i="8"/>
  <c r="B23" i="8"/>
  <c r="B24" i="8"/>
  <c r="B25" i="8"/>
  <c r="B26" i="8"/>
  <c r="B27" i="8"/>
  <c r="B28" i="8"/>
  <c r="N127" i="8"/>
  <c r="B127" i="8"/>
  <c r="N126" i="8"/>
  <c r="B126" i="8"/>
  <c r="N125" i="8"/>
  <c r="B125" i="8"/>
  <c r="N113" i="8"/>
  <c r="B113" i="8"/>
  <c r="N112" i="8"/>
  <c r="B112" i="8"/>
  <c r="N111" i="8"/>
  <c r="B111" i="8"/>
  <c r="N110" i="8"/>
  <c r="B110" i="8"/>
  <c r="N109" i="8"/>
  <c r="B109" i="8"/>
  <c r="B71" i="8"/>
  <c r="B70" i="8"/>
  <c r="N17" i="8"/>
  <c r="B17" i="8"/>
  <c r="N16" i="8"/>
  <c r="B16" i="8"/>
  <c r="B15" i="8"/>
  <c r="B14" i="8"/>
  <c r="B13" i="8"/>
  <c r="N11" i="8"/>
  <c r="B11" i="8"/>
  <c r="N10" i="8"/>
  <c r="B10" i="8"/>
  <c r="N9" i="8"/>
  <c r="B9" i="8"/>
  <c r="N8" i="8"/>
  <c r="B8" i="8"/>
  <c r="N101" i="7"/>
  <c r="N102" i="7"/>
  <c r="N103" i="7"/>
  <c r="N104" i="7"/>
  <c r="N105" i="7"/>
  <c r="N106" i="7"/>
  <c r="N100" i="7"/>
  <c r="N99" i="7"/>
  <c r="B99" i="7"/>
  <c r="B100" i="7"/>
  <c r="B101" i="7"/>
  <c r="B102" i="7"/>
  <c r="B103" i="7"/>
  <c r="B104" i="7"/>
  <c r="N123" i="7"/>
  <c r="B123" i="7"/>
  <c r="N91" i="7"/>
  <c r="N92" i="7"/>
  <c r="N93" i="7"/>
  <c r="N94" i="7"/>
  <c r="N95" i="7"/>
  <c r="N96" i="7"/>
  <c r="N97" i="7"/>
  <c r="N98" i="7"/>
  <c r="B91" i="7"/>
  <c r="B92" i="7"/>
  <c r="B93" i="7"/>
  <c r="B94" i="7"/>
  <c r="B95" i="7"/>
  <c r="B96" i="7"/>
  <c r="B97" i="7"/>
  <c r="B98" i="7"/>
  <c r="N17" i="7"/>
  <c r="B17" i="7"/>
  <c r="N87" i="7"/>
  <c r="N88" i="7"/>
  <c r="N89" i="7"/>
  <c r="N90" i="7"/>
  <c r="B87" i="7"/>
  <c r="B88" i="7"/>
  <c r="B89" i="7"/>
  <c r="B90" i="7"/>
  <c r="B105" i="7"/>
  <c r="N76" i="7"/>
  <c r="N77" i="7"/>
  <c r="N78" i="7"/>
  <c r="N79" i="7"/>
  <c r="N80" i="7"/>
  <c r="N81" i="7"/>
  <c r="N82" i="7"/>
  <c r="N83" i="7"/>
  <c r="B76" i="7"/>
  <c r="B77" i="7"/>
  <c r="B78" i="7"/>
  <c r="B79" i="7"/>
  <c r="B80" i="7"/>
  <c r="B81" i="7"/>
  <c r="N73" i="7"/>
  <c r="N74" i="7"/>
  <c r="N75" i="7"/>
  <c r="N84" i="7"/>
  <c r="N85" i="7"/>
  <c r="N86" i="7"/>
  <c r="B73" i="7"/>
  <c r="B74" i="7"/>
  <c r="B75" i="7"/>
  <c r="B82" i="7"/>
  <c r="B83" i="7"/>
  <c r="B84" i="7"/>
  <c r="N62" i="7"/>
  <c r="N63" i="7"/>
  <c r="N64" i="7"/>
  <c r="N65" i="7"/>
  <c r="N66" i="7"/>
  <c r="N67" i="7"/>
  <c r="N68" i="7"/>
  <c r="N69" i="7"/>
  <c r="N70" i="7"/>
  <c r="N71" i="7"/>
  <c r="N72" i="7"/>
  <c r="B62" i="7"/>
  <c r="B63" i="7"/>
  <c r="B64" i="7"/>
  <c r="B65" i="7"/>
  <c r="B66" i="7"/>
  <c r="B67" i="7"/>
  <c r="N118" i="7"/>
  <c r="N119" i="7"/>
  <c r="N120" i="7"/>
  <c r="N121" i="7"/>
  <c r="N122" i="7"/>
  <c r="B68" i="7"/>
  <c r="B69" i="7"/>
  <c r="B70" i="7"/>
  <c r="B71" i="7"/>
  <c r="B72" i="7"/>
  <c r="B85" i="7"/>
  <c r="B86" i="7"/>
  <c r="B106" i="7"/>
  <c r="N57" i="7"/>
  <c r="N58" i="7"/>
  <c r="N59" i="7"/>
  <c r="N60" i="7"/>
  <c r="N61" i="7"/>
  <c r="B57" i="7"/>
  <c r="B58" i="7"/>
  <c r="B59" i="7"/>
  <c r="B60" i="7"/>
  <c r="B61" i="7"/>
  <c r="N51" i="7"/>
  <c r="N52" i="7"/>
  <c r="N53" i="7"/>
  <c r="N54" i="7"/>
  <c r="N55" i="7"/>
  <c r="B51" i="7"/>
  <c r="B52" i="7"/>
  <c r="B53" i="7"/>
  <c r="B54" i="7"/>
  <c r="N45" i="7"/>
  <c r="N46" i="7"/>
  <c r="N47" i="7"/>
  <c r="N48" i="7"/>
  <c r="N49" i="7"/>
  <c r="N50" i="7"/>
  <c r="N56" i="7"/>
  <c r="B45" i="7"/>
  <c r="B46" i="7"/>
  <c r="B47" i="7"/>
  <c r="B48" i="7"/>
  <c r="B49" i="7"/>
  <c r="B50" i="7"/>
  <c r="B55" i="7"/>
  <c r="B56" i="7"/>
  <c r="N35" i="7"/>
  <c r="N36" i="7"/>
  <c r="N37" i="7"/>
  <c r="N38" i="7"/>
  <c r="N39" i="7"/>
  <c r="N40" i="7"/>
  <c r="N41" i="7"/>
  <c r="N42" i="7"/>
  <c r="N43" i="7"/>
  <c r="N44" i="7"/>
  <c r="B35" i="7"/>
  <c r="B36" i="7"/>
  <c r="B37" i="7"/>
  <c r="B38" i="7"/>
  <c r="B39" i="7"/>
  <c r="B118" i="7"/>
  <c r="B119" i="7"/>
  <c r="B120" i="7"/>
  <c r="B121" i="7"/>
  <c r="B122" i="7"/>
  <c r="N111" i="7"/>
  <c r="N112" i="7"/>
  <c r="N113" i="7"/>
  <c r="N114" i="7"/>
  <c r="N115" i="7"/>
  <c r="N116" i="7"/>
  <c r="N117" i="7"/>
  <c r="B111" i="7"/>
  <c r="B112" i="7"/>
  <c r="B113" i="7"/>
  <c r="B114" i="7"/>
  <c r="B115" i="7"/>
  <c r="B116" i="7"/>
  <c r="B40" i="7"/>
  <c r="B41" i="7"/>
  <c r="B42" i="7"/>
  <c r="B43" i="7"/>
  <c r="B44" i="7"/>
  <c r="N32" i="7"/>
  <c r="N33" i="7"/>
  <c r="N34" i="7"/>
  <c r="N27" i="7"/>
  <c r="N28" i="7"/>
  <c r="N29" i="7"/>
  <c r="N30" i="7"/>
  <c r="N31" i="7"/>
  <c r="B27" i="7"/>
  <c r="B28" i="7"/>
  <c r="B29" i="7"/>
  <c r="B30" i="7"/>
  <c r="B31" i="7"/>
  <c r="B32" i="7"/>
  <c r="N21" i="7"/>
  <c r="N22" i="7"/>
  <c r="N23" i="7"/>
  <c r="N24" i="7"/>
  <c r="N25" i="7"/>
  <c r="N26" i="7"/>
  <c r="N127" i="7"/>
  <c r="B127" i="7"/>
  <c r="N126" i="7"/>
  <c r="B126" i="7"/>
  <c r="N125" i="7"/>
  <c r="B125" i="7"/>
  <c r="N124" i="7"/>
  <c r="B124" i="7"/>
  <c r="B117" i="7"/>
  <c r="N110" i="7"/>
  <c r="B110" i="7"/>
  <c r="N109" i="7"/>
  <c r="B109" i="7"/>
  <c r="N108" i="7"/>
  <c r="B108" i="7"/>
  <c r="N107" i="7"/>
  <c r="B107" i="7"/>
  <c r="B34" i="7"/>
  <c r="B33" i="7"/>
  <c r="B26" i="7"/>
  <c r="B25" i="7"/>
  <c r="B24" i="7"/>
  <c r="B23" i="7"/>
  <c r="B22" i="7"/>
  <c r="B21" i="7"/>
  <c r="N20" i="7"/>
  <c r="B20" i="7"/>
  <c r="N19" i="7"/>
  <c r="B19" i="7"/>
  <c r="N16" i="7"/>
  <c r="B16" i="7"/>
  <c r="N15" i="7"/>
  <c r="B15" i="7"/>
  <c r="N14" i="7"/>
  <c r="B14" i="7"/>
  <c r="N13" i="7"/>
  <c r="B13" i="7"/>
  <c r="N12" i="7"/>
  <c r="B12" i="7"/>
  <c r="N11" i="7"/>
  <c r="B11" i="7"/>
  <c r="N10" i="7"/>
  <c r="B10" i="7"/>
  <c r="N9" i="7"/>
  <c r="B9" i="7"/>
  <c r="N8" i="7"/>
  <c r="B8" i="7"/>
  <c r="N114" i="6"/>
  <c r="N115" i="6"/>
  <c r="N116" i="6"/>
  <c r="N117" i="6"/>
  <c r="B114" i="6"/>
  <c r="B115" i="6"/>
  <c r="B116" i="6"/>
  <c r="B117" i="6"/>
  <c r="N106" i="6"/>
  <c r="N107" i="6"/>
  <c r="N108" i="6"/>
  <c r="N109" i="6"/>
  <c r="N110" i="6"/>
  <c r="N111" i="6"/>
  <c r="N112" i="6"/>
  <c r="N113" i="6"/>
  <c r="B106" i="6"/>
  <c r="B107" i="6"/>
  <c r="B108" i="6"/>
  <c r="B109" i="6"/>
  <c r="B110" i="6"/>
  <c r="B111" i="6"/>
  <c r="B112" i="6"/>
  <c r="B113" i="6"/>
  <c r="N97" i="6"/>
  <c r="N98" i="6"/>
  <c r="N99" i="6"/>
  <c r="N100" i="6"/>
  <c r="N101" i="6"/>
  <c r="N102" i="6"/>
  <c r="N103" i="6"/>
  <c r="N104" i="6"/>
  <c r="N105" i="6"/>
  <c r="B98" i="6"/>
  <c r="B99" i="6"/>
  <c r="B100" i="6"/>
  <c r="B101" i="6"/>
  <c r="B102" i="6"/>
  <c r="B103" i="6"/>
  <c r="N139" i="6"/>
  <c r="N140" i="6"/>
  <c r="N138" i="6"/>
  <c r="B138" i="6"/>
  <c r="B139" i="6"/>
  <c r="B140" i="6"/>
  <c r="N136" i="6"/>
  <c r="N137" i="6"/>
  <c r="N135" i="6"/>
  <c r="N134" i="6"/>
  <c r="B134" i="6"/>
  <c r="B135" i="6"/>
  <c r="B136" i="6"/>
  <c r="B137" i="6"/>
  <c r="N132" i="6"/>
  <c r="N133" i="6"/>
  <c r="B132" i="6"/>
  <c r="B133" i="6"/>
  <c r="N128" i="6"/>
  <c r="N129" i="6"/>
  <c r="N130" i="6"/>
  <c r="N131" i="6"/>
  <c r="B128" i="6"/>
  <c r="B129" i="6"/>
  <c r="B130" i="6"/>
  <c r="B131" i="6"/>
  <c r="N94" i="6"/>
  <c r="N95" i="6"/>
  <c r="N96" i="6"/>
  <c r="B94" i="6"/>
  <c r="B95" i="6"/>
  <c r="B96" i="6"/>
  <c r="B97" i="6"/>
  <c r="N91" i="6"/>
  <c r="N92" i="6"/>
  <c r="N93" i="6"/>
  <c r="B91" i="6"/>
  <c r="B92" i="6"/>
  <c r="B93" i="6"/>
  <c r="B104" i="6"/>
  <c r="B105" i="6"/>
  <c r="N81" i="6"/>
  <c r="N82" i="6"/>
  <c r="N83" i="6"/>
  <c r="N84" i="6"/>
  <c r="N85" i="6"/>
  <c r="N86" i="6"/>
  <c r="N87" i="6"/>
  <c r="N88" i="6"/>
  <c r="B82" i="6"/>
  <c r="B83" i="6"/>
  <c r="B84" i="6"/>
  <c r="B85" i="6"/>
  <c r="B86" i="6"/>
  <c r="B87" i="6"/>
  <c r="N79" i="6"/>
  <c r="N80" i="6"/>
  <c r="B79" i="6"/>
  <c r="B80" i="6"/>
  <c r="B81" i="6"/>
  <c r="N70" i="6"/>
  <c r="N71" i="6"/>
  <c r="N72" i="6"/>
  <c r="N73" i="6"/>
  <c r="N74" i="6"/>
  <c r="N75" i="6"/>
  <c r="N76" i="6"/>
  <c r="N77" i="6"/>
  <c r="N78" i="6"/>
  <c r="B70" i="6"/>
  <c r="B71" i="6"/>
  <c r="B72" i="6"/>
  <c r="B73" i="6"/>
  <c r="B74" i="6"/>
  <c r="B75" i="6"/>
  <c r="B76" i="6"/>
  <c r="B77" i="6"/>
  <c r="N123" i="6"/>
  <c r="N124" i="6"/>
  <c r="N125" i="6"/>
  <c r="N126" i="6"/>
  <c r="N127" i="6"/>
  <c r="B126" i="6"/>
  <c r="B127" i="6"/>
  <c r="N61" i="6"/>
  <c r="N62" i="6"/>
  <c r="N63" i="6"/>
  <c r="N64" i="6"/>
  <c r="N65" i="6"/>
  <c r="N66" i="6"/>
  <c r="N67" i="6"/>
  <c r="N68" i="6"/>
  <c r="N69" i="6"/>
  <c r="N89" i="6"/>
  <c r="N90" i="6"/>
  <c r="B66" i="6"/>
  <c r="B67" i="6"/>
  <c r="B68" i="6"/>
  <c r="B69" i="6"/>
  <c r="B78" i="6"/>
  <c r="B88" i="6"/>
  <c r="B89" i="6"/>
  <c r="B62" i="6"/>
  <c r="B63" i="6"/>
  <c r="B64" i="6"/>
  <c r="N54" i="6"/>
  <c r="N55" i="6"/>
  <c r="N56" i="6"/>
  <c r="N57" i="6"/>
  <c r="N58" i="6"/>
  <c r="N59" i="6"/>
  <c r="N60" i="6"/>
  <c r="B54" i="6"/>
  <c r="B55" i="6"/>
  <c r="B56" i="6"/>
  <c r="B57" i="6"/>
  <c r="B58" i="6"/>
  <c r="B59" i="6"/>
  <c r="B60" i="6"/>
  <c r="B61" i="6"/>
  <c r="B65" i="6"/>
  <c r="B90" i="6"/>
  <c r="N45" i="6"/>
  <c r="N46" i="6"/>
  <c r="N47" i="6"/>
  <c r="N48" i="6"/>
  <c r="N49" i="6"/>
  <c r="N50" i="6"/>
  <c r="N51" i="6"/>
  <c r="N52" i="6"/>
  <c r="B45" i="6"/>
  <c r="B46" i="6"/>
  <c r="B47" i="6"/>
  <c r="B48" i="6"/>
  <c r="B49" i="6"/>
  <c r="B50" i="6"/>
  <c r="B51" i="6"/>
  <c r="N42" i="6"/>
  <c r="N43" i="6"/>
  <c r="N44" i="6"/>
  <c r="N53" i="6"/>
  <c r="B42" i="6"/>
  <c r="B43" i="6"/>
  <c r="B44" i="6"/>
  <c r="B52" i="6"/>
  <c r="B53" i="6"/>
  <c r="N37" i="6"/>
  <c r="N38" i="6"/>
  <c r="N39" i="6"/>
  <c r="N40" i="6"/>
  <c r="N41" i="6"/>
  <c r="B37" i="6"/>
  <c r="B38" i="6"/>
  <c r="B39" i="6"/>
  <c r="B40" i="6"/>
  <c r="N122" i="6"/>
  <c r="B122" i="6"/>
  <c r="B123" i="6"/>
  <c r="B124" i="6"/>
  <c r="N121" i="6"/>
  <c r="B121" i="6"/>
  <c r="N120" i="6"/>
  <c r="B120" i="6"/>
  <c r="N116" i="5"/>
  <c r="N115" i="5"/>
  <c r="B8" i="6"/>
  <c r="N28" i="6"/>
  <c r="N29" i="6"/>
  <c r="N30" i="6"/>
  <c r="N31" i="6"/>
  <c r="N32" i="6"/>
  <c r="N33" i="6"/>
  <c r="N34" i="6"/>
  <c r="N35" i="6"/>
  <c r="N36" i="6"/>
  <c r="B28" i="6"/>
  <c r="B29" i="6"/>
  <c r="B30" i="6"/>
  <c r="B31" i="6"/>
  <c r="B32" i="6"/>
  <c r="B33" i="6"/>
  <c r="B34" i="6"/>
  <c r="B35" i="6"/>
  <c r="B36" i="6"/>
  <c r="B41" i="6"/>
  <c r="N16" i="6"/>
  <c r="N17" i="6"/>
  <c r="N18" i="6"/>
  <c r="N19" i="6"/>
  <c r="N20" i="6"/>
  <c r="N21" i="6"/>
  <c r="N22" i="6"/>
  <c r="N23" i="6"/>
  <c r="N24" i="6"/>
  <c r="N25" i="6"/>
  <c r="N26" i="6"/>
  <c r="N27" i="6"/>
  <c r="B16" i="6"/>
  <c r="B17" i="6"/>
  <c r="B18" i="6"/>
  <c r="B19" i="6"/>
  <c r="B20" i="6"/>
  <c r="B21" i="6"/>
  <c r="B22" i="6"/>
  <c r="B23" i="6"/>
  <c r="B24" i="6"/>
  <c r="B25" i="6"/>
  <c r="N142" i="6"/>
  <c r="B142" i="6"/>
  <c r="N141" i="6"/>
  <c r="B141" i="6"/>
  <c r="B125" i="6"/>
  <c r="N119" i="6"/>
  <c r="B119" i="6"/>
  <c r="N118" i="6"/>
  <c r="B118" i="6"/>
  <c r="B27" i="6"/>
  <c r="B26" i="6"/>
  <c r="N15" i="6"/>
  <c r="B15" i="6"/>
  <c r="N14" i="6"/>
  <c r="B14" i="6"/>
  <c r="N13" i="6"/>
  <c r="B13" i="6"/>
  <c r="N12" i="6"/>
  <c r="B12" i="6"/>
  <c r="N11" i="6"/>
  <c r="B11" i="6"/>
  <c r="N10" i="6"/>
  <c r="B10" i="6"/>
  <c r="N9" i="6"/>
  <c r="B9" i="6"/>
  <c r="N8" i="6"/>
  <c r="N103" i="5"/>
  <c r="N104" i="5"/>
  <c r="N105" i="5"/>
  <c r="N100" i="5"/>
  <c r="N101" i="5"/>
  <c r="N102" i="5"/>
  <c r="B100" i="5"/>
  <c r="B101" i="5"/>
  <c r="B102" i="5"/>
  <c r="B103" i="5"/>
  <c r="B104" i="5"/>
  <c r="N98" i="5"/>
  <c r="N99" i="5"/>
  <c r="B98" i="5"/>
  <c r="B99" i="5"/>
  <c r="B105" i="5"/>
  <c r="N92" i="5"/>
  <c r="N93" i="5"/>
  <c r="N94" i="5"/>
  <c r="N95" i="5"/>
  <c r="N96" i="5"/>
  <c r="N97" i="5"/>
  <c r="B92" i="5"/>
  <c r="B93" i="5"/>
  <c r="B94" i="5"/>
  <c r="B95" i="5"/>
  <c r="B96" i="5"/>
  <c r="N89" i="5"/>
  <c r="N90" i="5"/>
  <c r="N91" i="5"/>
  <c r="B89" i="5"/>
  <c r="B90" i="5"/>
  <c r="B91" i="5"/>
  <c r="B97" i="5"/>
  <c r="N81" i="5"/>
  <c r="N82" i="5"/>
  <c r="N83" i="5"/>
  <c r="N84" i="5"/>
  <c r="N85" i="5"/>
  <c r="N86" i="5"/>
  <c r="N87" i="5"/>
  <c r="N88" i="5"/>
  <c r="B82" i="5"/>
  <c r="B83" i="5"/>
  <c r="B84" i="5"/>
  <c r="B85" i="5"/>
  <c r="N71" i="5"/>
  <c r="B71" i="5"/>
  <c r="B81" i="5"/>
  <c r="B86" i="5"/>
  <c r="B87" i="5"/>
  <c r="B88" i="5"/>
  <c r="N76" i="5"/>
  <c r="N77" i="5"/>
  <c r="N78" i="5"/>
  <c r="N79" i="5"/>
  <c r="B76" i="5"/>
  <c r="B77" i="5"/>
  <c r="B78" i="5"/>
  <c r="B79" i="5"/>
  <c r="N69" i="5"/>
  <c r="N70" i="5"/>
  <c r="N72" i="5"/>
  <c r="N73" i="5"/>
  <c r="N74" i="5"/>
  <c r="N75" i="5"/>
  <c r="N80" i="5"/>
  <c r="B72" i="5"/>
  <c r="B73" i="5"/>
  <c r="B74" i="5"/>
  <c r="B75" i="5"/>
  <c r="B80" i="5"/>
  <c r="B69" i="5"/>
  <c r="B70" i="5"/>
  <c r="N61" i="5"/>
  <c r="N62" i="5"/>
  <c r="N63" i="5"/>
  <c r="N64" i="5"/>
  <c r="N65" i="5"/>
  <c r="N66" i="5"/>
  <c r="N67" i="5"/>
  <c r="B62" i="5"/>
  <c r="B63" i="5"/>
  <c r="B64" i="5"/>
  <c r="B65" i="5"/>
  <c r="B115" i="5"/>
  <c r="B116" i="5"/>
  <c r="N56" i="5" l="1"/>
  <c r="N57" i="5"/>
  <c r="N58" i="5"/>
  <c r="N59" i="5"/>
  <c r="N60" i="5"/>
  <c r="B56" i="5"/>
  <c r="B57" i="5"/>
  <c r="B58" i="5"/>
  <c r="B59" i="5"/>
  <c r="N50" i="5"/>
  <c r="N51" i="5"/>
  <c r="N52" i="5"/>
  <c r="N53" i="5"/>
  <c r="N54" i="5"/>
  <c r="N55" i="5"/>
  <c r="B50" i="5"/>
  <c r="B51" i="5"/>
  <c r="B52" i="5"/>
  <c r="B53" i="5"/>
  <c r="B54" i="5"/>
  <c r="N113" i="5"/>
  <c r="N114" i="5"/>
  <c r="B55" i="5"/>
  <c r="B60" i="5"/>
  <c r="B61" i="5"/>
  <c r="B66" i="5"/>
  <c r="B67" i="5"/>
  <c r="N45" i="5"/>
  <c r="N46" i="5"/>
  <c r="N47" i="5"/>
  <c r="N48" i="5"/>
  <c r="N49" i="5"/>
  <c r="B45" i="5"/>
  <c r="B46" i="5"/>
  <c r="B47" i="5"/>
  <c r="N106" i="5"/>
  <c r="N36" i="5"/>
  <c r="N37" i="5"/>
  <c r="N38" i="5"/>
  <c r="N39" i="5"/>
  <c r="N40" i="5"/>
  <c r="N41" i="5"/>
  <c r="N42" i="5"/>
  <c r="N43" i="5"/>
  <c r="N44" i="5"/>
  <c r="N68" i="5"/>
  <c r="B42" i="5"/>
  <c r="B43" i="5"/>
  <c r="B44" i="5"/>
  <c r="B48" i="5"/>
  <c r="B49" i="5"/>
  <c r="B36" i="5"/>
  <c r="B37" i="5"/>
  <c r="B38" i="5"/>
  <c r="B39" i="5"/>
  <c r="B40" i="5"/>
  <c r="N25" i="5"/>
  <c r="N26" i="5"/>
  <c r="N27" i="5"/>
  <c r="N28" i="5"/>
  <c r="N29" i="5"/>
  <c r="N30" i="5"/>
  <c r="N31" i="5"/>
  <c r="N32" i="5"/>
  <c r="N33" i="5"/>
  <c r="N34" i="5"/>
  <c r="N35" i="5"/>
  <c r="B27" i="5"/>
  <c r="B28" i="5"/>
  <c r="B29" i="5"/>
  <c r="B30" i="5"/>
  <c r="B31" i="5"/>
  <c r="B32" i="5"/>
  <c r="B25" i="5"/>
  <c r="B26" i="5"/>
  <c r="B33" i="5"/>
  <c r="B34" i="5"/>
  <c r="B35" i="5"/>
  <c r="B41" i="5"/>
  <c r="N21" i="5"/>
  <c r="N22" i="5"/>
  <c r="N23" i="5"/>
  <c r="N24" i="5"/>
  <c r="B21" i="5"/>
  <c r="B22" i="5"/>
  <c r="B23" i="5"/>
  <c r="B24" i="5"/>
  <c r="B68" i="5"/>
  <c r="N121" i="5"/>
  <c r="B121" i="5"/>
  <c r="N120" i="5"/>
  <c r="B120" i="5"/>
  <c r="N119" i="5"/>
  <c r="B119" i="5"/>
  <c r="N118" i="5"/>
  <c r="B118" i="5"/>
  <c r="N117" i="5"/>
  <c r="B117" i="5"/>
  <c r="B114" i="5"/>
  <c r="B113" i="5"/>
  <c r="N112" i="5"/>
  <c r="B112" i="5"/>
  <c r="N111" i="5"/>
  <c r="B111" i="5"/>
  <c r="N110" i="5"/>
  <c r="B110" i="5"/>
  <c r="N109" i="5"/>
  <c r="B109" i="5"/>
  <c r="N108" i="5"/>
  <c r="B108" i="5"/>
  <c r="N107" i="5"/>
  <c r="B107" i="5"/>
  <c r="B106" i="5"/>
  <c r="N20" i="5"/>
  <c r="B20" i="5"/>
  <c r="N19" i="5"/>
  <c r="B19" i="5"/>
  <c r="N18" i="5"/>
  <c r="B18" i="5"/>
  <c r="N17" i="5"/>
  <c r="B17" i="5"/>
  <c r="N16" i="5"/>
  <c r="B16" i="5"/>
  <c r="N15" i="5"/>
  <c r="B15" i="5"/>
  <c r="N14" i="5"/>
  <c r="B14" i="5"/>
  <c r="N13" i="5"/>
  <c r="B13" i="5"/>
  <c r="N12" i="5"/>
  <c r="B12" i="5"/>
  <c r="N11" i="5"/>
  <c r="B11" i="5"/>
  <c r="N10" i="5"/>
  <c r="B10" i="5"/>
  <c r="N9" i="5"/>
  <c r="B9" i="5"/>
  <c r="N8" i="5"/>
  <c r="B8" i="5"/>
  <c r="N77" i="4"/>
  <c r="B77" i="4"/>
  <c r="N121" i="4"/>
  <c r="N120" i="4"/>
  <c r="B120" i="4"/>
  <c r="B121" i="4"/>
  <c r="N117" i="4"/>
  <c r="N118" i="4"/>
  <c r="N119" i="4"/>
  <c r="N76" i="4"/>
  <c r="N78" i="4"/>
  <c r="N79" i="4"/>
  <c r="B76" i="4"/>
  <c r="N32" i="4"/>
  <c r="B32" i="4"/>
  <c r="N29" i="4"/>
  <c r="N30" i="4"/>
  <c r="N31" i="4"/>
  <c r="B29" i="4"/>
  <c r="B30" i="4"/>
  <c r="B31" i="4"/>
  <c r="N84" i="4"/>
  <c r="N85" i="4"/>
  <c r="N94" i="4"/>
  <c r="N95" i="4"/>
  <c r="N96" i="4"/>
  <c r="N97" i="4"/>
  <c r="N98" i="4"/>
  <c r="N99" i="4"/>
  <c r="N100" i="4"/>
  <c r="N101" i="4"/>
  <c r="N102" i="4"/>
  <c r="B95" i="4"/>
  <c r="B96" i="4"/>
  <c r="B97" i="4"/>
  <c r="B98" i="4"/>
  <c r="B99" i="4"/>
  <c r="B100" i="4"/>
  <c r="B101" i="4"/>
  <c r="B102" i="4"/>
  <c r="N93" i="4"/>
  <c r="N89" i="4"/>
  <c r="N90" i="4"/>
  <c r="N91" i="4"/>
  <c r="N92" i="4"/>
  <c r="B89" i="4"/>
  <c r="B90" i="4"/>
  <c r="B91" i="4"/>
  <c r="B92" i="4"/>
  <c r="B93" i="4"/>
  <c r="N86" i="4"/>
  <c r="N87" i="4"/>
  <c r="N88" i="4"/>
  <c r="N103" i="4"/>
  <c r="N104" i="4"/>
  <c r="N81" i="4"/>
  <c r="N82" i="4"/>
  <c r="N83" i="4"/>
  <c r="B84" i="4"/>
  <c r="B85" i="4"/>
  <c r="B86" i="4"/>
  <c r="B87" i="4"/>
  <c r="B88" i="4"/>
  <c r="B94" i="4"/>
  <c r="B103" i="4"/>
  <c r="N108" i="4"/>
  <c r="N109" i="4"/>
  <c r="N110" i="4"/>
  <c r="N111" i="4"/>
  <c r="N112" i="4"/>
  <c r="N114" i="4"/>
  <c r="N115" i="4"/>
  <c r="N116" i="4"/>
  <c r="B114" i="4"/>
  <c r="B115" i="4"/>
  <c r="B116" i="4"/>
  <c r="B117" i="4"/>
  <c r="B81" i="4"/>
  <c r="B82" i="4"/>
  <c r="B83" i="4"/>
  <c r="B104" i="4"/>
  <c r="B112" i="4"/>
  <c r="B118" i="4"/>
  <c r="B119" i="4"/>
  <c r="N24" i="4"/>
  <c r="B24" i="4"/>
  <c r="B43" i="4"/>
  <c r="B44" i="4"/>
  <c r="B45" i="4"/>
  <c r="N122" i="4"/>
  <c r="N123" i="4"/>
  <c r="N124" i="4"/>
  <c r="N125" i="4"/>
  <c r="N126" i="4"/>
  <c r="N127" i="4"/>
  <c r="N128" i="4"/>
  <c r="B128" i="4"/>
  <c r="B127" i="4"/>
  <c r="B126" i="4"/>
  <c r="B125" i="4"/>
  <c r="B124" i="4"/>
  <c r="B123" i="4"/>
  <c r="B122" i="4"/>
  <c r="B111" i="4"/>
  <c r="B110" i="4"/>
  <c r="B109" i="4"/>
  <c r="B108" i="4"/>
  <c r="N107" i="4"/>
  <c r="B107" i="4"/>
  <c r="N106" i="4"/>
  <c r="B106" i="4"/>
  <c r="N105" i="4"/>
  <c r="B105" i="4"/>
  <c r="N80" i="4"/>
  <c r="B80" i="4"/>
  <c r="B79" i="4"/>
  <c r="B78" i="4"/>
  <c r="N75" i="4"/>
  <c r="B75" i="4"/>
  <c r="N74" i="4"/>
  <c r="B74" i="4"/>
  <c r="N73" i="4"/>
  <c r="B73" i="4"/>
  <c r="N72" i="4"/>
  <c r="B72" i="4"/>
  <c r="N71" i="4"/>
  <c r="B71" i="4"/>
  <c r="N70" i="4"/>
  <c r="B70" i="4"/>
  <c r="N69" i="4"/>
  <c r="B69" i="4"/>
  <c r="N68" i="4"/>
  <c r="B68" i="4"/>
  <c r="N67" i="4"/>
  <c r="B67" i="4"/>
  <c r="N66" i="4"/>
  <c r="B66" i="4"/>
  <c r="N65" i="4"/>
  <c r="B65" i="4"/>
  <c r="N64" i="4"/>
  <c r="B64" i="4"/>
  <c r="N63" i="4"/>
  <c r="B63" i="4"/>
  <c r="N62" i="4"/>
  <c r="B62" i="4"/>
  <c r="N61" i="4"/>
  <c r="B61" i="4"/>
  <c r="N60" i="4"/>
  <c r="B60" i="4"/>
  <c r="N59" i="4"/>
  <c r="B59" i="4"/>
  <c r="N58" i="4"/>
  <c r="B58" i="4"/>
  <c r="N57" i="4"/>
  <c r="B57" i="4"/>
  <c r="N56" i="4"/>
  <c r="B56" i="4"/>
  <c r="N55" i="4"/>
  <c r="B55" i="4"/>
  <c r="N54" i="4"/>
  <c r="B54" i="4"/>
  <c r="N53" i="4"/>
  <c r="B53" i="4"/>
  <c r="N52" i="4"/>
  <c r="B52" i="4"/>
  <c r="N51" i="4"/>
  <c r="B51" i="4"/>
  <c r="N50" i="4"/>
  <c r="B50" i="4"/>
  <c r="N49" i="4"/>
  <c r="B49" i="4"/>
  <c r="N48" i="4"/>
  <c r="B48" i="4"/>
  <c r="N47" i="4"/>
  <c r="B47" i="4"/>
  <c r="N46" i="4"/>
  <c r="B46" i="4"/>
  <c r="N45" i="4"/>
  <c r="N44" i="4"/>
  <c r="N43" i="4"/>
  <c r="N42" i="4"/>
  <c r="B42" i="4"/>
  <c r="N41" i="4"/>
  <c r="B41" i="4"/>
  <c r="N40" i="4"/>
  <c r="B40" i="4"/>
  <c r="N39" i="4"/>
  <c r="B39" i="4"/>
  <c r="N38" i="4"/>
  <c r="B38" i="4"/>
  <c r="N37" i="4"/>
  <c r="B37" i="4"/>
  <c r="N36" i="4"/>
  <c r="B36" i="4"/>
  <c r="N35" i="4"/>
  <c r="B35" i="4"/>
  <c r="N34" i="4"/>
  <c r="B34" i="4"/>
  <c r="N33" i="4"/>
  <c r="B33" i="4"/>
  <c r="N28" i="4"/>
  <c r="B28" i="4"/>
  <c r="N27" i="4"/>
  <c r="B27" i="4"/>
  <c r="N26" i="4"/>
  <c r="B26" i="4"/>
  <c r="N25" i="4"/>
  <c r="B25" i="4"/>
  <c r="N23" i="4"/>
  <c r="B23" i="4"/>
  <c r="N22" i="4"/>
  <c r="B22" i="4"/>
  <c r="N20" i="4"/>
  <c r="B20" i="4"/>
  <c r="N19" i="4"/>
  <c r="B19" i="4"/>
  <c r="N18" i="4"/>
  <c r="B18" i="4"/>
  <c r="N17" i="4"/>
  <c r="B17" i="4"/>
  <c r="N16" i="4"/>
  <c r="B16" i="4"/>
  <c r="N15" i="4"/>
  <c r="B15" i="4"/>
  <c r="N14" i="4"/>
  <c r="B14" i="4"/>
  <c r="N13" i="4"/>
  <c r="B13" i="4"/>
  <c r="N12" i="4"/>
  <c r="B12" i="4"/>
  <c r="N11" i="4"/>
  <c r="B11" i="4"/>
  <c r="N10" i="4"/>
  <c r="B10" i="4"/>
  <c r="N9" i="4"/>
  <c r="B9" i="4"/>
  <c r="N8" i="4"/>
  <c r="B8" i="4"/>
  <c r="N83" i="3"/>
  <c r="N84" i="3"/>
  <c r="N85" i="3"/>
  <c r="N87" i="3"/>
  <c r="N88" i="3"/>
  <c r="N76" i="3"/>
  <c r="B74" i="3"/>
  <c r="N75" i="3"/>
  <c r="B75" i="3"/>
  <c r="N74" i="3"/>
  <c r="N73" i="3"/>
  <c r="B73" i="3"/>
  <c r="N72" i="3"/>
  <c r="B72" i="3"/>
  <c r="N71" i="3"/>
  <c r="B71" i="3"/>
  <c r="N70" i="3"/>
  <c r="B70" i="3"/>
  <c r="N69" i="3"/>
  <c r="B69" i="3"/>
  <c r="N68" i="3"/>
  <c r="B68" i="3"/>
  <c r="N67" i="3"/>
  <c r="B67" i="3"/>
  <c r="N66" i="3"/>
  <c r="B66" i="3"/>
  <c r="N65" i="3"/>
  <c r="B65" i="3"/>
  <c r="N64" i="3"/>
  <c r="B64" i="3"/>
  <c r="N63" i="3"/>
  <c r="B63" i="3"/>
  <c r="B50" i="3"/>
  <c r="B51" i="3"/>
  <c r="N82" i="3"/>
  <c r="N80" i="3"/>
  <c r="N81" i="3"/>
  <c r="N77" i="3"/>
  <c r="N78" i="3"/>
  <c r="N79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B60" i="3"/>
  <c r="B59" i="3"/>
  <c r="B58" i="3"/>
  <c r="B57" i="3"/>
  <c r="B56" i="3"/>
  <c r="B55" i="3"/>
  <c r="B54" i="3"/>
  <c r="B53" i="3"/>
  <c r="B52" i="3"/>
  <c r="B62" i="3"/>
  <c r="B61" i="3"/>
  <c r="B49" i="3"/>
  <c r="B48" i="3"/>
  <c r="B47" i="3"/>
  <c r="B46" i="3"/>
  <c r="B45" i="3"/>
  <c r="B44" i="3"/>
  <c r="B76" i="3"/>
  <c r="B77" i="3"/>
  <c r="B37" i="3"/>
  <c r="B41" i="3"/>
  <c r="B32" i="3"/>
  <c r="B33" i="3"/>
  <c r="B34" i="3"/>
  <c r="B35" i="3"/>
  <c r="B36" i="3"/>
  <c r="B42" i="3"/>
  <c r="B43" i="3"/>
  <c r="B21" i="3"/>
  <c r="B22" i="3"/>
  <c r="B23" i="3"/>
  <c r="B25" i="3"/>
  <c r="B26" i="3"/>
  <c r="B18" i="3"/>
  <c r="B19" i="3"/>
  <c r="B20" i="3"/>
  <c r="B27" i="3"/>
  <c r="B28" i="3"/>
  <c r="B13" i="3"/>
  <c r="B14" i="3"/>
  <c r="B15" i="3"/>
  <c r="B16" i="3"/>
  <c r="B17" i="3"/>
  <c r="B78" i="3"/>
  <c r="B81" i="3"/>
  <c r="B82" i="3"/>
  <c r="B88" i="3" l="1"/>
  <c r="B87" i="3"/>
  <c r="B86" i="3"/>
  <c r="B85" i="3"/>
  <c r="B84" i="3"/>
  <c r="B83" i="3"/>
  <c r="B80" i="3"/>
  <c r="B79" i="3"/>
  <c r="B31" i="3"/>
  <c r="B30" i="3"/>
  <c r="B29" i="3"/>
  <c r="B12" i="3"/>
  <c r="B11" i="3"/>
  <c r="B10" i="3"/>
  <c r="B9" i="3"/>
  <c r="B8" i="3"/>
  <c r="B108" i="1"/>
  <c r="B104" i="1"/>
  <c r="B105" i="1"/>
  <c r="B106" i="1"/>
  <c r="B107" i="1"/>
  <c r="B82" i="1"/>
  <c r="B83" i="1"/>
  <c r="B84" i="1"/>
  <c r="B85" i="1"/>
  <c r="B86" i="1"/>
  <c r="B76" i="1"/>
  <c r="B77" i="1"/>
  <c r="B78" i="1"/>
  <c r="B79" i="1"/>
  <c r="B80" i="1"/>
  <c r="B81" i="1"/>
  <c r="B87" i="1"/>
  <c r="B88" i="1"/>
  <c r="B72" i="1"/>
  <c r="B73" i="1"/>
  <c r="B74" i="1"/>
  <c r="B68" i="1"/>
  <c r="B69" i="1"/>
  <c r="B70" i="1"/>
  <c r="B71" i="1"/>
  <c r="B75" i="1"/>
  <c r="B59" i="1"/>
  <c r="B60" i="1"/>
  <c r="B61" i="1"/>
  <c r="B62" i="1"/>
  <c r="B63" i="1"/>
  <c r="B53" i="1"/>
  <c r="B54" i="1"/>
  <c r="B55" i="1"/>
  <c r="B56" i="1"/>
  <c r="B57" i="1"/>
  <c r="B58" i="1"/>
  <c r="B64" i="1"/>
  <c r="B65" i="1"/>
  <c r="B44" i="1"/>
  <c r="B45" i="1"/>
  <c r="B46" i="1"/>
  <c r="B47" i="1"/>
  <c r="B48" i="1"/>
  <c r="B49" i="1"/>
  <c r="B50" i="1"/>
  <c r="B96" i="1"/>
  <c r="B93" i="1"/>
  <c r="B42" i="1"/>
  <c r="B43" i="1"/>
  <c r="B51" i="1"/>
  <c r="B52" i="1"/>
  <c r="B66" i="1"/>
  <c r="B67" i="1"/>
  <c r="B35" i="1"/>
  <c r="B36" i="1"/>
  <c r="B37" i="1"/>
  <c r="B38" i="1"/>
  <c r="B29" i="1"/>
  <c r="B30" i="1"/>
  <c r="B31" i="1"/>
  <c r="B32" i="1"/>
  <c r="B33" i="1"/>
  <c r="B34" i="1"/>
  <c r="B39" i="1"/>
  <c r="B25" i="1"/>
  <c r="B26" i="1"/>
  <c r="B27" i="1"/>
  <c r="B28" i="1"/>
  <c r="B10" i="1"/>
  <c r="B16" i="1"/>
  <c r="B15" i="1"/>
  <c r="B14" i="1"/>
  <c r="B97" i="1" l="1"/>
  <c r="B98" i="1"/>
  <c r="B99" i="1"/>
  <c r="B100" i="1"/>
  <c r="B101" i="1"/>
  <c r="B102" i="1"/>
  <c r="B103" i="1"/>
  <c r="B90" i="1" l="1"/>
  <c r="B91" i="1"/>
  <c r="B92" i="1"/>
  <c r="B94" i="1"/>
  <c r="B17" i="1"/>
  <c r="B18" i="1"/>
  <c r="B19" i="1"/>
  <c r="B20" i="1"/>
  <c r="B21" i="1"/>
  <c r="B22" i="1"/>
  <c r="B112" i="1"/>
  <c r="B111" i="1"/>
  <c r="B110" i="1"/>
  <c r="B109" i="1"/>
  <c r="B95" i="1"/>
  <c r="B89" i="1"/>
  <c r="B41" i="1"/>
  <c r="B40" i="1"/>
  <c r="B24" i="1"/>
  <c r="B23" i="1"/>
  <c r="B13" i="1"/>
  <c r="B12" i="1"/>
  <c r="B11" i="1"/>
  <c r="B9" i="1"/>
  <c r="B8" i="1"/>
</calcChain>
</file>

<file path=xl/sharedStrings.xml><?xml version="1.0" encoding="utf-8"?>
<sst xmlns="http://schemas.openxmlformats.org/spreadsheetml/2006/main" count="18517" uniqueCount="1077">
  <si>
    <t>Equipo Control de Infecciones Intrahospitalarias</t>
  </si>
  <si>
    <t xml:space="preserve">Planilla elementos invasivos </t>
  </si>
  <si>
    <t>Rut</t>
  </si>
  <si>
    <t xml:space="preserve">Servicio </t>
  </si>
  <si>
    <t>Apellido paterno</t>
  </si>
  <si>
    <t>Apellido materno</t>
  </si>
  <si>
    <t>Nombres</t>
  </si>
  <si>
    <t>Fecha de ingreso</t>
  </si>
  <si>
    <t>Fecha de egreso</t>
  </si>
  <si>
    <t>Procedencia</t>
  </si>
  <si>
    <t>Destino</t>
  </si>
  <si>
    <t>Tipo de invasivo</t>
  </si>
  <si>
    <t>Fecha de instalación</t>
  </si>
  <si>
    <t>Fecha de retiro</t>
  </si>
  <si>
    <t>UCI 2</t>
  </si>
  <si>
    <t>Emergencia</t>
  </si>
  <si>
    <t>Catéter venoso central</t>
  </si>
  <si>
    <t>Sonda vesical foley</t>
  </si>
  <si>
    <t>Ventilación mecánica</t>
  </si>
  <si>
    <t>MULCHI</t>
  </si>
  <si>
    <t>ALARCON</t>
  </si>
  <si>
    <t>GUSTAVO</t>
  </si>
  <si>
    <t xml:space="preserve">Cirugía </t>
  </si>
  <si>
    <t>Paciente sigue hospitalizado</t>
  </si>
  <si>
    <t>Catéter epicutáneo</t>
  </si>
  <si>
    <t>BAEZ</t>
  </si>
  <si>
    <t>PEREIRA</t>
  </si>
  <si>
    <t>VINCIS</t>
  </si>
  <si>
    <t>Neurología</t>
  </si>
  <si>
    <t>OSCAR</t>
  </si>
  <si>
    <t>FLORES</t>
  </si>
  <si>
    <t>CIFUENTES</t>
  </si>
  <si>
    <t>Sala cuidados medios</t>
  </si>
  <si>
    <t>Mes: Enero 2025</t>
  </si>
  <si>
    <t>12975768k</t>
  </si>
  <si>
    <t>PINEDA</t>
  </si>
  <si>
    <t>CONTRERAS</t>
  </si>
  <si>
    <t>MARGARITA</t>
  </si>
  <si>
    <t>Mes</t>
  </si>
  <si>
    <t>Unidad</t>
  </si>
  <si>
    <t>Año</t>
  </si>
  <si>
    <t>Enero</t>
  </si>
  <si>
    <t>Alta</t>
  </si>
  <si>
    <t>Febrero</t>
  </si>
  <si>
    <t>Especialidades Quirúrgicas</t>
  </si>
  <si>
    <t>Anatomìa patológica</t>
  </si>
  <si>
    <t>Marzo</t>
  </si>
  <si>
    <t xml:space="preserve">Medicina </t>
  </si>
  <si>
    <t>Extrasistema</t>
  </si>
  <si>
    <t>Abril</t>
  </si>
  <si>
    <t>Sala de observación</t>
  </si>
  <si>
    <t>H. Tomé</t>
  </si>
  <si>
    <t>Mayo</t>
  </si>
  <si>
    <t>Válvula derivativa ventrículo externo</t>
  </si>
  <si>
    <t>H.P.L</t>
  </si>
  <si>
    <t>Junio</t>
  </si>
  <si>
    <t>UCI 1</t>
  </si>
  <si>
    <t>Válvula derivativa ventrículo peritoneal</t>
  </si>
  <si>
    <t>Hemodinamia</t>
  </si>
  <si>
    <t>Julio</t>
  </si>
  <si>
    <t>UCI 3</t>
  </si>
  <si>
    <t>Catéter hemodiálisis transitorio</t>
  </si>
  <si>
    <t>HODOM</t>
  </si>
  <si>
    <t>Agosto</t>
  </si>
  <si>
    <t>Catéter hemodiálisis tunelizado</t>
  </si>
  <si>
    <t>Septiembre</t>
  </si>
  <si>
    <t>UCI Infanto Juvenil</t>
  </si>
  <si>
    <t>Catéter implantofix</t>
  </si>
  <si>
    <t>Pabellón</t>
  </si>
  <si>
    <t>Octubre</t>
  </si>
  <si>
    <t>UCI Neonatal</t>
  </si>
  <si>
    <t xml:space="preserve">Catéter umbilical </t>
  </si>
  <si>
    <t>Medicina</t>
  </si>
  <si>
    <t>Noviembre</t>
  </si>
  <si>
    <t>UCO</t>
  </si>
  <si>
    <t>Pensionado</t>
  </si>
  <si>
    <t>Diciembre</t>
  </si>
  <si>
    <t>UTI M-Q</t>
  </si>
  <si>
    <t xml:space="preserve">Especialidades </t>
  </si>
  <si>
    <t>UCI Neo</t>
  </si>
  <si>
    <t>Ginecología</t>
  </si>
  <si>
    <t xml:space="preserve">  </t>
  </si>
  <si>
    <t>UPA</t>
  </si>
  <si>
    <t>Sin hallazgos IAAS</t>
  </si>
  <si>
    <t>SANDRA</t>
  </si>
  <si>
    <t>POLANCO</t>
  </si>
  <si>
    <t>SOTO</t>
  </si>
  <si>
    <t>10636754k</t>
  </si>
  <si>
    <t>MELLA</t>
  </si>
  <si>
    <t>NORMA</t>
  </si>
  <si>
    <t>MONROY</t>
  </si>
  <si>
    <t>LOPEZ</t>
  </si>
  <si>
    <t>BERNARDITA</t>
  </si>
  <si>
    <t>RIVEROS</t>
  </si>
  <si>
    <t>LIZAMA</t>
  </si>
  <si>
    <t>ANGEL</t>
  </si>
  <si>
    <t>Especialidades quirúrgicas</t>
  </si>
  <si>
    <t>NUÑEZ</t>
  </si>
  <si>
    <t>ESTRADA</t>
  </si>
  <si>
    <t>MARIA</t>
  </si>
  <si>
    <t>RUBIO</t>
  </si>
  <si>
    <t>RETAMAL</t>
  </si>
  <si>
    <t>PATRICIA</t>
  </si>
  <si>
    <t>PEREZ</t>
  </si>
  <si>
    <t>RODRIGUEZ</t>
  </si>
  <si>
    <t>LUIS</t>
  </si>
  <si>
    <t>Anatomía patológica</t>
  </si>
  <si>
    <t>SAN MARTIN</t>
  </si>
  <si>
    <t>1 sesión</t>
  </si>
  <si>
    <t>REIMAN</t>
  </si>
  <si>
    <t>LIENCHEO</t>
  </si>
  <si>
    <t>VICTOR</t>
  </si>
  <si>
    <t>SILVA</t>
  </si>
  <si>
    <t>GUZMAN</t>
  </si>
  <si>
    <t>CATALINA</t>
  </si>
  <si>
    <t>AGUAYO</t>
  </si>
  <si>
    <t>BARRA</t>
  </si>
  <si>
    <t>ROSALES</t>
  </si>
  <si>
    <t>BOCAZ</t>
  </si>
  <si>
    <t>OLAYA</t>
  </si>
  <si>
    <t>ULLOA</t>
  </si>
  <si>
    <t>NEIRA</t>
  </si>
  <si>
    <t>MONICA</t>
  </si>
  <si>
    <t>LAFUENTE</t>
  </si>
  <si>
    <t>ABURTO</t>
  </si>
  <si>
    <t>SEPULVEDA</t>
  </si>
  <si>
    <t>DURAN</t>
  </si>
  <si>
    <t>ORLANDO</t>
  </si>
  <si>
    <t>VEGA</t>
  </si>
  <si>
    <t>RIVERA</t>
  </si>
  <si>
    <t>GIGLIOLA</t>
  </si>
  <si>
    <t>RIOS</t>
  </si>
  <si>
    <t>OYARCE</t>
  </si>
  <si>
    <t>ROBERTO</t>
  </si>
  <si>
    <t>TOLEDO</t>
  </si>
  <si>
    <t>PEDRO</t>
  </si>
  <si>
    <t>SERRADA</t>
  </si>
  <si>
    <t>MORALES</t>
  </si>
  <si>
    <t>DAYANA</t>
  </si>
  <si>
    <t>SMITH</t>
  </si>
  <si>
    <t>GODOY</t>
  </si>
  <si>
    <t>MATIAS</t>
  </si>
  <si>
    <t>ZAPATA</t>
  </si>
  <si>
    <t>SANDOVAL</t>
  </si>
  <si>
    <t>ESPINOZA</t>
  </si>
  <si>
    <t>PINTO</t>
  </si>
  <si>
    <t>MERCEDES</t>
  </si>
  <si>
    <t>ORTIZ</t>
  </si>
  <si>
    <t>SOLIS</t>
  </si>
  <si>
    <t>CRISTIAN</t>
  </si>
  <si>
    <t>PARIS</t>
  </si>
  <si>
    <t>OLIVA</t>
  </si>
  <si>
    <t>GABRIEL</t>
  </si>
  <si>
    <t>RICHARD</t>
  </si>
  <si>
    <t>MUÑOZ</t>
  </si>
  <si>
    <t>CAROL</t>
  </si>
  <si>
    <t>MONARES</t>
  </si>
  <si>
    <t>BELMAR</t>
  </si>
  <si>
    <t>FELICIANO</t>
  </si>
  <si>
    <t>MARTINEZ</t>
  </si>
  <si>
    <t>SANCHEZ</t>
  </si>
  <si>
    <t>MICHELLE</t>
  </si>
  <si>
    <t>PARRA</t>
  </si>
  <si>
    <t>SARAVIA</t>
  </si>
  <si>
    <t>ALEX</t>
  </si>
  <si>
    <t>HT</t>
  </si>
  <si>
    <t>JAVIER</t>
  </si>
  <si>
    <t>REBOLLEDO</t>
  </si>
  <si>
    <t>INOSTROZA</t>
  </si>
  <si>
    <t>ANDRES</t>
  </si>
  <si>
    <t>RAVANAL</t>
  </si>
  <si>
    <t>JUAN</t>
  </si>
  <si>
    <t>MEDINA</t>
  </si>
  <si>
    <t>VERGARA</t>
  </si>
  <si>
    <t>AGUILERA</t>
  </si>
  <si>
    <t>CONSTANZA</t>
  </si>
  <si>
    <t>HCRC</t>
  </si>
  <si>
    <t>HERNANDEZ</t>
  </si>
  <si>
    <t>GONZALEZ</t>
  </si>
  <si>
    <t>YALETZY</t>
  </si>
  <si>
    <t>JIMENEZ</t>
  </si>
  <si>
    <t>CUMPLIDO</t>
  </si>
  <si>
    <t>SALGADO</t>
  </si>
  <si>
    <t>GUTIERREZ</t>
  </si>
  <si>
    <t>CARLOS</t>
  </si>
  <si>
    <t>ULDA</t>
  </si>
  <si>
    <t>RIFO</t>
  </si>
  <si>
    <t>LUCIA</t>
  </si>
  <si>
    <t>CANULLAN</t>
  </si>
  <si>
    <t>FLORENTINA</t>
  </si>
  <si>
    <t>TAPIA</t>
  </si>
  <si>
    <t>OSORIO</t>
  </si>
  <si>
    <t>ALAN</t>
  </si>
  <si>
    <t>LADIMIX</t>
  </si>
  <si>
    <t>VILLIVAR</t>
  </si>
  <si>
    <t>CLEMILDA</t>
  </si>
  <si>
    <t>ZARATE</t>
  </si>
  <si>
    <t>CUEVAS</t>
  </si>
  <si>
    <t>EDUARDO</t>
  </si>
  <si>
    <t>No aplica</t>
  </si>
  <si>
    <t>Cirugía</t>
  </si>
  <si>
    <t>FIGUEROA</t>
  </si>
  <si>
    <t>SALAZAR</t>
  </si>
  <si>
    <t>MANRIQUEZ</t>
  </si>
  <si>
    <t>MELGAREJO</t>
  </si>
  <si>
    <t>VALERIA</t>
  </si>
  <si>
    <t>Se mantiene hospitalizado</t>
  </si>
  <si>
    <t>Mes: Febrero 2025</t>
  </si>
  <si>
    <t>ARAISP</t>
  </si>
  <si>
    <t xml:space="preserve">RIOS </t>
  </si>
  <si>
    <t>TRONCOZO</t>
  </si>
  <si>
    <t>LUISA</t>
  </si>
  <si>
    <t>MONTANARES</t>
  </si>
  <si>
    <t>ORIAS</t>
  </si>
  <si>
    <t>INES</t>
  </si>
  <si>
    <t>ECHEVERRIA</t>
  </si>
  <si>
    <t>LORENZO</t>
  </si>
  <si>
    <t>SAGREDO</t>
  </si>
  <si>
    <t>ORELLANA</t>
  </si>
  <si>
    <t>AREVALO</t>
  </si>
  <si>
    <t>NATASHA</t>
  </si>
  <si>
    <t>CID</t>
  </si>
  <si>
    <t>CHAVEZ</t>
  </si>
  <si>
    <t>JOSE</t>
  </si>
  <si>
    <t>MANSILLA</t>
  </si>
  <si>
    <t>ARGEL</t>
  </si>
  <si>
    <t>6120444k</t>
  </si>
  <si>
    <t>LUZMIRA</t>
  </si>
  <si>
    <t>PARADA</t>
  </si>
  <si>
    <t>SANHUEZA</t>
  </si>
  <si>
    <t>VERONICA</t>
  </si>
  <si>
    <t>19534471K</t>
  </si>
  <si>
    <t>GARCIA</t>
  </si>
  <si>
    <t>VILLEGAS</t>
  </si>
  <si>
    <t>BRAYAN</t>
  </si>
  <si>
    <t>FUENTES</t>
  </si>
  <si>
    <t>FERNANDEZ</t>
  </si>
  <si>
    <t>REYES</t>
  </si>
  <si>
    <t>VALDERRAMA</t>
  </si>
  <si>
    <t>HERNAN</t>
  </si>
  <si>
    <t>10094488k</t>
  </si>
  <si>
    <t>MONTES</t>
  </si>
  <si>
    <t>BRAVO</t>
  </si>
  <si>
    <t>FABIAN</t>
  </si>
  <si>
    <t>RIQUELME</t>
  </si>
  <si>
    <t>NOVA</t>
  </si>
  <si>
    <t>18685635k</t>
  </si>
  <si>
    <t>VERDUGO</t>
  </si>
  <si>
    <t>APARICIO</t>
  </si>
  <si>
    <t>KEVIN</t>
  </si>
  <si>
    <t>CEBALLOS</t>
  </si>
  <si>
    <t>PEÑA</t>
  </si>
  <si>
    <t>CORNEJO</t>
  </si>
  <si>
    <t>DANIEL</t>
  </si>
  <si>
    <t>BECERRA</t>
  </si>
  <si>
    <t>MADIEL</t>
  </si>
  <si>
    <t>VILLEGA</t>
  </si>
  <si>
    <t xml:space="preserve">Catéter hemodiálisis tunelizado </t>
  </si>
  <si>
    <t>AGURTO</t>
  </si>
  <si>
    <t>VARGAS</t>
  </si>
  <si>
    <t>ORIETTA</t>
  </si>
  <si>
    <t>Epicutaneo</t>
  </si>
  <si>
    <t>ALTA</t>
  </si>
  <si>
    <t xml:space="preserve">LEONOR </t>
  </si>
  <si>
    <t>21592923k</t>
  </si>
  <si>
    <t>HERNÁNDEZ</t>
  </si>
  <si>
    <t>SHAMIRA</t>
  </si>
  <si>
    <t>JARPA</t>
  </si>
  <si>
    <t>10094488K</t>
  </si>
  <si>
    <t>BURGOS</t>
  </si>
  <si>
    <t>AARON</t>
  </si>
  <si>
    <t>INZUNZA</t>
  </si>
  <si>
    <t>SOLAR</t>
  </si>
  <si>
    <t>OMAR</t>
  </si>
  <si>
    <t>CIRUGÍA</t>
  </si>
  <si>
    <t>SUAZO</t>
  </si>
  <si>
    <t>SOLANGE</t>
  </si>
  <si>
    <t xml:space="preserve">Neurología </t>
  </si>
  <si>
    <t>LANDEROS</t>
  </si>
  <si>
    <t>PINIPIL</t>
  </si>
  <si>
    <t xml:space="preserve">JUAN </t>
  </si>
  <si>
    <t>UTI MED</t>
  </si>
  <si>
    <t>ASTORGA</t>
  </si>
  <si>
    <t>VERA</t>
  </si>
  <si>
    <t>MATILDE</t>
  </si>
  <si>
    <t>Trauma</t>
  </si>
  <si>
    <t>BETSABE</t>
  </si>
  <si>
    <t>ACHS</t>
  </si>
  <si>
    <t>NOVOA</t>
  </si>
  <si>
    <t>DIAZ</t>
  </si>
  <si>
    <t>RENE</t>
  </si>
  <si>
    <t>Fallece</t>
  </si>
  <si>
    <t>MONSALVES</t>
  </si>
  <si>
    <t>DANIELA</t>
  </si>
  <si>
    <t>11603249K</t>
  </si>
  <si>
    <t>CERNA</t>
  </si>
  <si>
    <t xml:space="preserve">MARIA </t>
  </si>
  <si>
    <t xml:space="preserve">UROLOGÍA </t>
  </si>
  <si>
    <t>5697292-7</t>
  </si>
  <si>
    <t>SANTIBAÑEZ</t>
  </si>
  <si>
    <t>JUANA</t>
  </si>
  <si>
    <t>SEGUEL</t>
  </si>
  <si>
    <t>CHAPARRO</t>
  </si>
  <si>
    <t>7644689K</t>
  </si>
  <si>
    <t>SOMORROSTRO</t>
  </si>
  <si>
    <t>GANGAS</t>
  </si>
  <si>
    <t>SI</t>
  </si>
  <si>
    <t>TRAUMA</t>
  </si>
  <si>
    <t>Días</t>
  </si>
  <si>
    <t>Mes: Marzo 2025</t>
  </si>
  <si>
    <t>ARIAS</t>
  </si>
  <si>
    <t>ALEGRIA</t>
  </si>
  <si>
    <t>ADOLFO</t>
  </si>
  <si>
    <t>9424563k</t>
  </si>
  <si>
    <t>CANDIA</t>
  </si>
  <si>
    <t>NANCY</t>
  </si>
  <si>
    <t>ESCALONA</t>
  </si>
  <si>
    <t>NAVARRETE</t>
  </si>
  <si>
    <t>RUBY</t>
  </si>
  <si>
    <t>11603249k</t>
  </si>
  <si>
    <t xml:space="preserve">Urología </t>
  </si>
  <si>
    <t>OSVALDO</t>
  </si>
  <si>
    <t>BUSTOS</t>
  </si>
  <si>
    <t>MORA</t>
  </si>
  <si>
    <t>ORDENES</t>
  </si>
  <si>
    <t>YAÑEZ</t>
  </si>
  <si>
    <t>4695730k</t>
  </si>
  <si>
    <t>VIVALLO</t>
  </si>
  <si>
    <t>MANUEL</t>
  </si>
  <si>
    <t>UTI</t>
  </si>
  <si>
    <t>DAVID</t>
  </si>
  <si>
    <t>BOZZO</t>
  </si>
  <si>
    <t>PATRICIO</t>
  </si>
  <si>
    <t>TRONCOSO</t>
  </si>
  <si>
    <t>JORGE</t>
  </si>
  <si>
    <t>19534471k</t>
  </si>
  <si>
    <t>10636754K</t>
  </si>
  <si>
    <t>GALLARDO</t>
  </si>
  <si>
    <t>CLAUDINA</t>
  </si>
  <si>
    <t>CABRERA</t>
  </si>
  <si>
    <t>ROSALIA</t>
  </si>
  <si>
    <t>SAAVEDRA</t>
  </si>
  <si>
    <t>HPL</t>
  </si>
  <si>
    <t>CAMPOS</t>
  </si>
  <si>
    <t>SEGURA</t>
  </si>
  <si>
    <t>TOMAS</t>
  </si>
  <si>
    <t>MORAGA</t>
  </si>
  <si>
    <t>JORDAN</t>
  </si>
  <si>
    <t>Traumatología</t>
  </si>
  <si>
    <t>Epicutáneo</t>
  </si>
  <si>
    <t>MEZA</t>
  </si>
  <si>
    <t>CASTRO</t>
  </si>
  <si>
    <t>Catéter tunelizado HD</t>
  </si>
  <si>
    <t>VELASQUEZ</t>
  </si>
  <si>
    <t>RUIZ</t>
  </si>
  <si>
    <t>GLADYS</t>
  </si>
  <si>
    <t>CERECEDA</t>
  </si>
  <si>
    <t>ELVIS</t>
  </si>
  <si>
    <t>YEVENES</t>
  </si>
  <si>
    <t>ELISEO</t>
  </si>
  <si>
    <t xml:space="preserve">Emergencia </t>
  </si>
  <si>
    <t>JOHANNA</t>
  </si>
  <si>
    <t>HOLTMANN</t>
  </si>
  <si>
    <t>GUILLERMO</t>
  </si>
  <si>
    <t>5369120k</t>
  </si>
  <si>
    <t>VILLA</t>
  </si>
  <si>
    <t>ISMAEL</t>
  </si>
  <si>
    <t>MARIO</t>
  </si>
  <si>
    <t>ROJAS</t>
  </si>
  <si>
    <t>AMERICO</t>
  </si>
  <si>
    <t>FRANCO</t>
  </si>
  <si>
    <t>RUBILAR</t>
  </si>
  <si>
    <t>CESAR</t>
  </si>
  <si>
    <t>TOLRA</t>
  </si>
  <si>
    <t>DE LA FUENTE</t>
  </si>
  <si>
    <t>URRA</t>
  </si>
  <si>
    <t>VENEGAS</t>
  </si>
  <si>
    <t>MATUS</t>
  </si>
  <si>
    <t>SALAMANCA</t>
  </si>
  <si>
    <t>ORFELINA</t>
  </si>
  <si>
    <t>OSORES</t>
  </si>
  <si>
    <t>ROMERO</t>
  </si>
  <si>
    <t xml:space="preserve">VILLARROEL </t>
  </si>
  <si>
    <t>VILLARROEL</t>
  </si>
  <si>
    <t>JESSICA</t>
  </si>
  <si>
    <t>RIFFO</t>
  </si>
  <si>
    <t>TIBURCIO</t>
  </si>
  <si>
    <t>ARTURO</t>
  </si>
  <si>
    <t xml:space="preserve">Alta </t>
  </si>
  <si>
    <t>MENDEZ</t>
  </si>
  <si>
    <t>OVALLE</t>
  </si>
  <si>
    <t>BRAULIO</t>
  </si>
  <si>
    <t>6753400K</t>
  </si>
  <si>
    <t>SOLARI</t>
  </si>
  <si>
    <t>ELDA</t>
  </si>
  <si>
    <t>KURT</t>
  </si>
  <si>
    <t>HERRERA</t>
  </si>
  <si>
    <t>JAIME</t>
  </si>
  <si>
    <t>CARRASCO</t>
  </si>
  <si>
    <t>ITURRA</t>
  </si>
  <si>
    <t>FRANCISCO</t>
  </si>
  <si>
    <t>ERICES</t>
  </si>
  <si>
    <t>FAUNDEZ</t>
  </si>
  <si>
    <t>FRIDA</t>
  </si>
  <si>
    <t>17346049k</t>
  </si>
  <si>
    <t>VALENZUELA</t>
  </si>
  <si>
    <t>MILLARAY</t>
  </si>
  <si>
    <t>VASQUEZ</t>
  </si>
  <si>
    <t>MELLADO</t>
  </si>
  <si>
    <t>JOEL</t>
  </si>
  <si>
    <t>FIERRO</t>
  </si>
  <si>
    <t>BASALETTI</t>
  </si>
  <si>
    <t>CARLINA</t>
  </si>
  <si>
    <t>Mes: Abril 2025</t>
  </si>
  <si>
    <t>ROSA</t>
  </si>
  <si>
    <t>Derivativa ventricular externa</t>
  </si>
  <si>
    <t xml:space="preserve">Extrasistema </t>
  </si>
  <si>
    <t>8284502k</t>
  </si>
  <si>
    <t>ESCOBAR</t>
  </si>
  <si>
    <t>FICA</t>
  </si>
  <si>
    <t>ARAYA</t>
  </si>
  <si>
    <t>OLAVE</t>
  </si>
  <si>
    <t>TERAN</t>
  </si>
  <si>
    <t>GONZALO</t>
  </si>
  <si>
    <t>17510271K</t>
  </si>
  <si>
    <t>CISTERNAS</t>
  </si>
  <si>
    <t>LAGOS</t>
  </si>
  <si>
    <t>GARAY</t>
  </si>
  <si>
    <t>FARDY</t>
  </si>
  <si>
    <t>HELEN</t>
  </si>
  <si>
    <t>BENITEZ</t>
  </si>
  <si>
    <t>MARTIN</t>
  </si>
  <si>
    <t>ARANCIBIA</t>
  </si>
  <si>
    <t>MENDOZA</t>
  </si>
  <si>
    <t>DORALIZA</t>
  </si>
  <si>
    <t>BASTIAS</t>
  </si>
  <si>
    <t>15186340k</t>
  </si>
  <si>
    <t>PINO</t>
  </si>
  <si>
    <t>RUTH</t>
  </si>
  <si>
    <t>PAREDES</t>
  </si>
  <si>
    <t>LLANCAFIL</t>
  </si>
  <si>
    <t>BRIGIDA</t>
  </si>
  <si>
    <t>MARCELA</t>
  </si>
  <si>
    <t>Parto</t>
  </si>
  <si>
    <t>Puerperio</t>
  </si>
  <si>
    <t>SOÑEZ</t>
  </si>
  <si>
    <t>EMILIO</t>
  </si>
  <si>
    <t>JARA</t>
  </si>
  <si>
    <t>GERARDO</t>
  </si>
  <si>
    <t>ROA</t>
  </si>
  <si>
    <t>GARRIDO</t>
  </si>
  <si>
    <t>PALMA</t>
  </si>
  <si>
    <t>CARTES</t>
  </si>
  <si>
    <t>SALINAS</t>
  </si>
  <si>
    <t>ANA</t>
  </si>
  <si>
    <t>CRUCES</t>
  </si>
  <si>
    <t>HIPÓLITO</t>
  </si>
  <si>
    <t>4521611k</t>
  </si>
  <si>
    <t>CASTILLO</t>
  </si>
  <si>
    <t>PRADENA</t>
  </si>
  <si>
    <t>TERESA</t>
  </si>
  <si>
    <t>DOSQUE</t>
  </si>
  <si>
    <t>ROZAS</t>
  </si>
  <si>
    <t>HINOJOSA</t>
  </si>
  <si>
    <t>HERMOSILLA</t>
  </si>
  <si>
    <t>ARIZ</t>
  </si>
  <si>
    <t>NICOLAS</t>
  </si>
  <si>
    <t>ENEDINA</t>
  </si>
  <si>
    <t>CUITIÑO</t>
  </si>
  <si>
    <t>CORNELIO</t>
  </si>
  <si>
    <t>HURTADO</t>
  </si>
  <si>
    <t>OPORTUS</t>
  </si>
  <si>
    <t>NOEMI</t>
  </si>
  <si>
    <t>Urología</t>
  </si>
  <si>
    <t>ARENAS</t>
  </si>
  <si>
    <t>LOYOLA</t>
  </si>
  <si>
    <t>CAREAGA</t>
  </si>
  <si>
    <t>MERINO</t>
  </si>
  <si>
    <t>VILLALOBOS</t>
  </si>
  <si>
    <t>MONCADA</t>
  </si>
  <si>
    <t>MALDONADO</t>
  </si>
  <si>
    <t>AVELLO</t>
  </si>
  <si>
    <t>MOLINA</t>
  </si>
  <si>
    <t>Mes: Mayo 2025</t>
  </si>
  <si>
    <t>URRUTIA</t>
  </si>
  <si>
    <t>VILLAR</t>
  </si>
  <si>
    <t>ARNOLDO</t>
  </si>
  <si>
    <t>CARO</t>
  </si>
  <si>
    <t>CLOTILDE</t>
  </si>
  <si>
    <t>ROSMARI</t>
  </si>
  <si>
    <t>CONSUEGRA</t>
  </si>
  <si>
    <t>MONTIEL</t>
  </si>
  <si>
    <t>KELLY</t>
  </si>
  <si>
    <t>CABEZAS</t>
  </si>
  <si>
    <t>ALONSO</t>
  </si>
  <si>
    <t xml:space="preserve">Anatomía patológica </t>
  </si>
  <si>
    <t>MARILYN</t>
  </si>
  <si>
    <t>ALVAREZ</t>
  </si>
  <si>
    <t>CLEMIRA</t>
  </si>
  <si>
    <t>ALVEAL</t>
  </si>
  <si>
    <t>BENI</t>
  </si>
  <si>
    <t>ELIANA</t>
  </si>
  <si>
    <t>CAÑULAO</t>
  </si>
  <si>
    <t>FRANCIA</t>
  </si>
  <si>
    <t>ALBORNOZ</t>
  </si>
  <si>
    <t>ELBA</t>
  </si>
  <si>
    <t>5830901k</t>
  </si>
  <si>
    <t>RAMOS</t>
  </si>
  <si>
    <t>EMA</t>
  </si>
  <si>
    <t>OVIEDO</t>
  </si>
  <si>
    <t>DORCAS</t>
  </si>
  <si>
    <t>4269648k</t>
  </si>
  <si>
    <t>TORRES</t>
  </si>
  <si>
    <t>DAZA</t>
  </si>
  <si>
    <t>EMELINA</t>
  </si>
  <si>
    <t>BELTRAN</t>
  </si>
  <si>
    <t>SEBASTIAN</t>
  </si>
  <si>
    <t>5312335k</t>
  </si>
  <si>
    <t>IDA</t>
  </si>
  <si>
    <t>JACQUELINE</t>
  </si>
  <si>
    <t>ARELLANO</t>
  </si>
  <si>
    <t>MIRANDA-SUAREZ</t>
  </si>
  <si>
    <t>CUBILLOS</t>
  </si>
  <si>
    <t>LEOCADIA</t>
  </si>
  <si>
    <t>8207483k</t>
  </si>
  <si>
    <t>FUENTEALBA</t>
  </si>
  <si>
    <t>HUGO</t>
  </si>
  <si>
    <t>LUARTE</t>
  </si>
  <si>
    <t>CHANDIA</t>
  </si>
  <si>
    <t>VICTORIA</t>
  </si>
  <si>
    <t>VALDERAS</t>
  </si>
  <si>
    <t>CARVAJAL</t>
  </si>
  <si>
    <t>RICARDO</t>
  </si>
  <si>
    <t>FRANZ</t>
  </si>
  <si>
    <t>ARRIAGADA</t>
  </si>
  <si>
    <t>MOSCOSO</t>
  </si>
  <si>
    <t>SEGOVIA</t>
  </si>
  <si>
    <t>VLADIMIR</t>
  </si>
  <si>
    <t>QUIROZ</t>
  </si>
  <si>
    <t>ZORRILLA</t>
  </si>
  <si>
    <t>PINCHEIRA</t>
  </si>
  <si>
    <t>DROMIDIA</t>
  </si>
  <si>
    <t>CLARISA</t>
  </si>
  <si>
    <t>MANQUILEF</t>
  </si>
  <si>
    <t>BADILLA</t>
  </si>
  <si>
    <t xml:space="preserve">HODOM </t>
  </si>
  <si>
    <t>8207483K</t>
  </si>
  <si>
    <t>12925713k</t>
  </si>
  <si>
    <t>OPAZO</t>
  </si>
  <si>
    <t>EVA</t>
  </si>
  <si>
    <t>ASTETE</t>
  </si>
  <si>
    <t>RAMIREZ</t>
  </si>
  <si>
    <t>ROGER</t>
  </si>
  <si>
    <t>SOUTO</t>
  </si>
  <si>
    <t>REIMUNDES</t>
  </si>
  <si>
    <t>AUREA</t>
  </si>
  <si>
    <t>MARISOL</t>
  </si>
  <si>
    <t>SALDES</t>
  </si>
  <si>
    <t>SOSA</t>
  </si>
  <si>
    <t>BARRAZA</t>
  </si>
  <si>
    <t>5249317k</t>
  </si>
  <si>
    <t>BASTIDAS</t>
  </si>
  <si>
    <t>MALVINA</t>
  </si>
  <si>
    <t>GRANDON</t>
  </si>
  <si>
    <t>LOBOS</t>
  </si>
  <si>
    <t>Se mantiene hospitalizada</t>
  </si>
  <si>
    <t>CECILIA</t>
  </si>
  <si>
    <t>ARANDA</t>
  </si>
  <si>
    <t>LAURA</t>
  </si>
  <si>
    <t>RUBEN</t>
  </si>
  <si>
    <t>PALAVECINO</t>
  </si>
  <si>
    <t>GENOVEVA</t>
  </si>
  <si>
    <t>PABLO</t>
  </si>
  <si>
    <t>HERMINIO</t>
  </si>
  <si>
    <t>SAEZ</t>
  </si>
  <si>
    <t>MILLAQUIN</t>
  </si>
  <si>
    <t>HECTOR</t>
  </si>
  <si>
    <t>MOLLO</t>
  </si>
  <si>
    <t>VALLADARES</t>
  </si>
  <si>
    <t>QUEZADA</t>
  </si>
  <si>
    <t>BRENDA</t>
  </si>
  <si>
    <t>CARLA</t>
  </si>
  <si>
    <t>POBLETE</t>
  </si>
  <si>
    <t>ARDIZZONI</t>
  </si>
  <si>
    <t>GOMEZ</t>
  </si>
  <si>
    <t>ROBERTA</t>
  </si>
  <si>
    <t>CHAVARRIA</t>
  </si>
  <si>
    <t>OYARZUN</t>
  </si>
  <si>
    <t>SEGUNDO</t>
  </si>
  <si>
    <t>GATICA</t>
  </si>
  <si>
    <t>GUAJARDO</t>
  </si>
  <si>
    <t>AMBIADO</t>
  </si>
  <si>
    <t>IRRIBARRA</t>
  </si>
  <si>
    <t>TELLO</t>
  </si>
  <si>
    <t>JULIO</t>
  </si>
  <si>
    <t>LEAL</t>
  </si>
  <si>
    <t>JEANNETTE</t>
  </si>
  <si>
    <t>CARES</t>
  </si>
  <si>
    <t>AMANDA</t>
  </si>
  <si>
    <t>RACHEL</t>
  </si>
  <si>
    <t>AHUMADA</t>
  </si>
  <si>
    <t>ERNESTO</t>
  </si>
  <si>
    <t>ALDANA</t>
  </si>
  <si>
    <t>MARIOLY</t>
  </si>
  <si>
    <t>RENATO</t>
  </si>
  <si>
    <t>VALESKA</t>
  </si>
  <si>
    <t>MATUTE</t>
  </si>
  <si>
    <t>LEON</t>
  </si>
  <si>
    <t>VALDES</t>
  </si>
  <si>
    <t>RAMON</t>
  </si>
  <si>
    <t>VALLEJOS</t>
  </si>
  <si>
    <t>9087960k</t>
  </si>
  <si>
    <t xml:space="preserve">SAAVEDRA </t>
  </si>
  <si>
    <t>CARMEN</t>
  </si>
  <si>
    <t>GUERRERO</t>
  </si>
  <si>
    <t>MOISES</t>
  </si>
  <si>
    <t>CLAUDIA</t>
  </si>
  <si>
    <t>9365658k</t>
  </si>
  <si>
    <t>SERGIO</t>
  </si>
  <si>
    <t>11290395K</t>
  </si>
  <si>
    <t>GUARDIA</t>
  </si>
  <si>
    <t>PUENTES</t>
  </si>
  <si>
    <t>BURDILES</t>
  </si>
  <si>
    <t>LISARDO</t>
  </si>
  <si>
    <t>GREGORIO</t>
  </si>
  <si>
    <t>6568800K</t>
  </si>
  <si>
    <t>MONJE</t>
  </si>
  <si>
    <t>Cirugia</t>
  </si>
  <si>
    <t>PAZ</t>
  </si>
  <si>
    <t>FREDES</t>
  </si>
  <si>
    <t>LEONOR</t>
  </si>
  <si>
    <t>LILLO</t>
  </si>
  <si>
    <t>7945723k</t>
  </si>
  <si>
    <t>GLORIA</t>
  </si>
  <si>
    <t>SALAS</t>
  </si>
  <si>
    <t>ALEJANDRO</t>
  </si>
  <si>
    <t>Mes: Julio 2025</t>
  </si>
  <si>
    <t>Mes: Junio 2025</t>
  </si>
  <si>
    <t>BERNARDO</t>
  </si>
  <si>
    <t>VELOSO</t>
  </si>
  <si>
    <t>LUCERO</t>
  </si>
  <si>
    <t>AVENDAÑO</t>
  </si>
  <si>
    <t>ORTEGA</t>
  </si>
  <si>
    <t>MACIAS</t>
  </si>
  <si>
    <t>LILIANA</t>
  </si>
  <si>
    <t>2888558K</t>
  </si>
  <si>
    <t>VARELA</t>
  </si>
  <si>
    <t>DOMITILA</t>
  </si>
  <si>
    <t>CORDERO</t>
  </si>
  <si>
    <t>GEISSBUHLER</t>
  </si>
  <si>
    <t xml:space="preserve">CAROLINA </t>
  </si>
  <si>
    <t>HANUZKA</t>
  </si>
  <si>
    <t>TORO</t>
  </si>
  <si>
    <t>SIGRID</t>
  </si>
  <si>
    <t>BENJAMIN</t>
  </si>
  <si>
    <t>DELGADO</t>
  </si>
  <si>
    <t>BALBOA</t>
  </si>
  <si>
    <t>BARBARA</t>
  </si>
  <si>
    <t>NAVARRO</t>
  </si>
  <si>
    <t>BARRERA</t>
  </si>
  <si>
    <t>MELISSA</t>
  </si>
  <si>
    <t>MACAYA</t>
  </si>
  <si>
    <t>CHRISTIAN</t>
  </si>
  <si>
    <t>PRADENAS</t>
  </si>
  <si>
    <t>ARCE</t>
  </si>
  <si>
    <t>BETANZO</t>
  </si>
  <si>
    <t>KRAVETZ</t>
  </si>
  <si>
    <t>LAUTARO</t>
  </si>
  <si>
    <t>GERMAN</t>
  </si>
  <si>
    <t>VEJAR</t>
  </si>
  <si>
    <t>EGIDIA</t>
  </si>
  <si>
    <t>RIGOBERTO</t>
  </si>
  <si>
    <t>PACHECO</t>
  </si>
  <si>
    <t>VILLAGRA</t>
  </si>
  <si>
    <t>3991901k</t>
  </si>
  <si>
    <t>ARNALDO</t>
  </si>
  <si>
    <t>12089787k</t>
  </si>
  <si>
    <t>GARRDO</t>
  </si>
  <si>
    <t>HUMBERTO</t>
  </si>
  <si>
    <t>6189604K</t>
  </si>
  <si>
    <t>ARAVENA</t>
  </si>
  <si>
    <t>LEYTON</t>
  </si>
  <si>
    <t>PAVEZ</t>
  </si>
  <si>
    <t>BELISARIO</t>
  </si>
  <si>
    <t>MIRANDA</t>
  </si>
  <si>
    <t>CASIMIRA</t>
  </si>
  <si>
    <t>VILUGRON</t>
  </si>
  <si>
    <t>MARIABASILIA</t>
  </si>
  <si>
    <t>UCI 4</t>
  </si>
  <si>
    <t>UCI 5</t>
  </si>
  <si>
    <t>LEONEL</t>
  </si>
  <si>
    <t>SARZOSA</t>
  </si>
  <si>
    <t>ANTONIO</t>
  </si>
  <si>
    <t>10065346k</t>
  </si>
  <si>
    <t>ERNESTINA</t>
  </si>
  <si>
    <t>HENRIQUEZ</t>
  </si>
  <si>
    <t>MAGALI</t>
  </si>
  <si>
    <t>SONIA</t>
  </si>
  <si>
    <t>ALBO</t>
  </si>
  <si>
    <t>LUENGO</t>
  </si>
  <si>
    <t>CRUZ</t>
  </si>
  <si>
    <t>GAJARDO</t>
  </si>
  <si>
    <t>PIÑA</t>
  </si>
  <si>
    <t>MATILDA</t>
  </si>
  <si>
    <t>EDITH</t>
  </si>
  <si>
    <t>12795982k</t>
  </si>
  <si>
    <t>UBAL</t>
  </si>
  <si>
    <t>OLATE</t>
  </si>
  <si>
    <t>CONCHA</t>
  </si>
  <si>
    <t>GARRETON</t>
  </si>
  <si>
    <t>CHAMORRO</t>
  </si>
  <si>
    <t>CATHERINE</t>
  </si>
  <si>
    <t>CALDERON</t>
  </si>
  <si>
    <t>RUMINOT</t>
  </si>
  <si>
    <t>ALVARADO</t>
  </si>
  <si>
    <t>CANILLAN</t>
  </si>
  <si>
    <t>LUCY</t>
  </si>
  <si>
    <t>PALMENIA</t>
  </si>
  <si>
    <t>OLIVARES</t>
  </si>
  <si>
    <t>MATAMALA</t>
  </si>
  <si>
    <t>CONSTANZO</t>
  </si>
  <si>
    <t>RISSO</t>
  </si>
  <si>
    <t>CHARPE</t>
  </si>
  <si>
    <t>LEONIDASA</t>
  </si>
  <si>
    <t>HUERTA</t>
  </si>
  <si>
    <t>LLANOS</t>
  </si>
  <si>
    <t>ROBINSON</t>
  </si>
  <si>
    <t>PLACENCIA</t>
  </si>
  <si>
    <t>DIXON</t>
  </si>
  <si>
    <t>CISTERNA</t>
  </si>
  <si>
    <t>2957877K</t>
  </si>
  <si>
    <t>MANCILLA</t>
  </si>
  <si>
    <t>FERRADA</t>
  </si>
  <si>
    <t>MAGDALENA</t>
  </si>
  <si>
    <t>MARTA</t>
  </si>
  <si>
    <t>EDGARDO</t>
  </si>
  <si>
    <t>VALDEBENITO</t>
  </si>
  <si>
    <t>LAURICET</t>
  </si>
  <si>
    <t>CLAUDIO</t>
  </si>
  <si>
    <t>CLARA</t>
  </si>
  <si>
    <t>PALACIO</t>
  </si>
  <si>
    <t>PEÑAILILLO</t>
  </si>
  <si>
    <t>CALABRANO</t>
  </si>
  <si>
    <t>BRIONES</t>
  </si>
  <si>
    <t>HIDALGO</t>
  </si>
  <si>
    <t>POZO</t>
  </si>
  <si>
    <t>CERDA</t>
  </si>
  <si>
    <t>GARCES</t>
  </si>
  <si>
    <t>TOLOZA</t>
  </si>
  <si>
    <t>ZUÑIGA</t>
  </si>
  <si>
    <t>KATHERINE</t>
  </si>
  <si>
    <t>QUIJADA</t>
  </si>
  <si>
    <t>ARIEL</t>
  </si>
  <si>
    <t>FRANCISCA</t>
  </si>
  <si>
    <t>Mes: Agosto 2025</t>
  </si>
  <si>
    <t>Mes: Septiembre 2025</t>
  </si>
  <si>
    <t>MARCIA</t>
  </si>
  <si>
    <t>MARIANA</t>
  </si>
  <si>
    <t>AMANDINA</t>
  </si>
  <si>
    <t>BERTA</t>
  </si>
  <si>
    <t>ARRATIA</t>
  </si>
  <si>
    <t>NOVELIA</t>
  </si>
  <si>
    <t>ACUÑA</t>
  </si>
  <si>
    <t>RAUL</t>
  </si>
  <si>
    <t>LATORRE</t>
  </si>
  <si>
    <t>MARCO</t>
  </si>
  <si>
    <t>PALLANTE</t>
  </si>
  <si>
    <t>PRISCILA</t>
  </si>
  <si>
    <t>QUILODRAN</t>
  </si>
  <si>
    <t>MELITA</t>
  </si>
  <si>
    <t>NELSON</t>
  </si>
  <si>
    <t>ESTUARDO</t>
  </si>
  <si>
    <t>ALBERTO</t>
  </si>
  <si>
    <t>DIEZ</t>
  </si>
  <si>
    <t>BURTON</t>
  </si>
  <si>
    <t>BERNAL</t>
  </si>
  <si>
    <t>CBB</t>
  </si>
  <si>
    <t>10326880K</t>
  </si>
  <si>
    <t>ECHAURREN</t>
  </si>
  <si>
    <t>BELLO</t>
  </si>
  <si>
    <t>ALTAMIRANO</t>
  </si>
  <si>
    <t>ROCHA</t>
  </si>
  <si>
    <t xml:space="preserve">COLLANTE </t>
  </si>
  <si>
    <t>SUSANA</t>
  </si>
  <si>
    <t>9790927k</t>
  </si>
  <si>
    <t>ZULUAGA</t>
  </si>
  <si>
    <t>ARANEDA</t>
  </si>
  <si>
    <t xml:space="preserve">UCI </t>
  </si>
  <si>
    <t>CARMONA</t>
  </si>
  <si>
    <t>ELGUETA</t>
  </si>
  <si>
    <t>9454128k</t>
  </si>
  <si>
    <t>BAHAMONDES</t>
  </si>
  <si>
    <t>DIEGO</t>
  </si>
  <si>
    <t>CIRO</t>
  </si>
  <si>
    <t>CACERES</t>
  </si>
  <si>
    <t>ZAMORANO</t>
  </si>
  <si>
    <t>CALEB</t>
  </si>
  <si>
    <t>COFRE</t>
  </si>
  <si>
    <t>HUAIQUICHEO</t>
  </si>
  <si>
    <t>HIGUERA</t>
  </si>
  <si>
    <t>BARAHONA</t>
  </si>
  <si>
    <t>Mes: Octubre 2025</t>
  </si>
  <si>
    <t>VILLENA</t>
  </si>
  <si>
    <t>VINE</t>
  </si>
  <si>
    <t>CONEJEROS</t>
  </si>
  <si>
    <t>ENRIQUE</t>
  </si>
  <si>
    <t>ALICIA</t>
  </si>
  <si>
    <t>MARCHANT</t>
  </si>
  <si>
    <t>ZAMBRANO</t>
  </si>
  <si>
    <t>CASANOVA</t>
  </si>
  <si>
    <t>FERNANDO</t>
  </si>
  <si>
    <t>5485210k</t>
  </si>
  <si>
    <t>GAETE</t>
  </si>
  <si>
    <t>MONSALVE</t>
  </si>
  <si>
    <t>IBARRA</t>
  </si>
  <si>
    <t>ZAMORA</t>
  </si>
  <si>
    <t>MALTEZ</t>
  </si>
  <si>
    <t>CORREA</t>
  </si>
  <si>
    <t>HONORATO</t>
  </si>
  <si>
    <t>MARCOS</t>
  </si>
  <si>
    <t>MARCELO</t>
  </si>
  <si>
    <t>CARRILLO</t>
  </si>
  <si>
    <t>CURÍN</t>
  </si>
  <si>
    <t>CAMILO</t>
  </si>
  <si>
    <t>82042527k</t>
  </si>
  <si>
    <t>VIVEROS</t>
  </si>
  <si>
    <t>EVARISTA</t>
  </si>
  <si>
    <t>BERMEDO</t>
  </si>
  <si>
    <t>BRUNO</t>
  </si>
  <si>
    <t>8746007K</t>
  </si>
  <si>
    <t>PADILLA</t>
  </si>
  <si>
    <t>ELEODORO</t>
  </si>
  <si>
    <t>JELVEZ</t>
  </si>
  <si>
    <t>CAROLINA</t>
  </si>
  <si>
    <t>JEREZ</t>
  </si>
  <si>
    <t>GABRIELA</t>
  </si>
  <si>
    <t>8055740k</t>
  </si>
  <si>
    <t>ESTELA</t>
  </si>
  <si>
    <t>ANDRADE</t>
  </si>
  <si>
    <t>HUERAMAN</t>
  </si>
  <si>
    <t>CATHALINNE</t>
  </si>
  <si>
    <t>Se  mantiene hospitalizado</t>
  </si>
  <si>
    <t>NELIDA</t>
  </si>
  <si>
    <t xml:space="preserve">Se mantiene hospitalizada </t>
  </si>
  <si>
    <t>SUBIABRE</t>
  </si>
  <si>
    <t>Mes: Noviembre 2025</t>
  </si>
  <si>
    <t>5116153k</t>
  </si>
  <si>
    <t>OLGA</t>
  </si>
  <si>
    <t>MONGE</t>
  </si>
  <si>
    <t>RIVAS</t>
  </si>
  <si>
    <t>AMADA</t>
  </si>
  <si>
    <t>HILDA</t>
  </si>
  <si>
    <t>PILAR</t>
  </si>
  <si>
    <t>8204227k</t>
  </si>
  <si>
    <t>TEOVALDO</t>
  </si>
  <si>
    <t>MILLAR</t>
  </si>
  <si>
    <t>CANALES</t>
  </si>
  <si>
    <t>ALFREDO</t>
  </si>
  <si>
    <t>GUAICO</t>
  </si>
  <si>
    <t>ABARCA</t>
  </si>
  <si>
    <t>TOBANDO</t>
  </si>
  <si>
    <t>IGNACIO</t>
  </si>
  <si>
    <t>YOBANOLO</t>
  </si>
  <si>
    <t>APABLAZA</t>
  </si>
  <si>
    <t>MIGUEL</t>
  </si>
  <si>
    <t>HUENUL</t>
  </si>
  <si>
    <t>22244456k</t>
  </si>
  <si>
    <t>GAYOZO</t>
  </si>
  <si>
    <t>ESCAR</t>
  </si>
  <si>
    <t>SILVIA</t>
  </si>
  <si>
    <t>SANTI</t>
  </si>
  <si>
    <t>MILLAPI</t>
  </si>
  <si>
    <t>BLANCA</t>
  </si>
  <si>
    <t>BEAUCICOT</t>
  </si>
  <si>
    <t>LADOUCEUR</t>
  </si>
  <si>
    <t>CLIFFORD</t>
  </si>
  <si>
    <t>MYRIAM</t>
  </si>
  <si>
    <t>16329611k</t>
  </si>
  <si>
    <t>SANTANDER</t>
  </si>
  <si>
    <t>10209929k</t>
  </si>
  <si>
    <t>ASTUDILLO</t>
  </si>
  <si>
    <t>22244456K</t>
  </si>
  <si>
    <t>JARUFE</t>
  </si>
  <si>
    <t>LILIA</t>
  </si>
  <si>
    <t>11774406K</t>
  </si>
  <si>
    <t>OSSES</t>
  </si>
  <si>
    <t>MAURICIO</t>
  </si>
  <si>
    <t>OSES</t>
  </si>
  <si>
    <t>Mes: Diciembre 2025</t>
  </si>
  <si>
    <t>NURI</t>
  </si>
  <si>
    <t>VELIZ</t>
  </si>
  <si>
    <t>ADELA</t>
  </si>
  <si>
    <t>VICENCIO</t>
  </si>
  <si>
    <t>FILCÚN</t>
  </si>
  <si>
    <t>ANCAPAN</t>
  </si>
  <si>
    <t>TERESITA</t>
  </si>
  <si>
    <t>JOCELIN</t>
  </si>
  <si>
    <t>ARNOLDA</t>
  </si>
  <si>
    <t>5183920k</t>
  </si>
  <si>
    <t>MARINA</t>
  </si>
  <si>
    <t xml:space="preserve">VILLAGRAN </t>
  </si>
  <si>
    <t>VERÓNICA</t>
  </si>
  <si>
    <t>ORDOÑEZ</t>
  </si>
  <si>
    <t>5796779K</t>
  </si>
  <si>
    <t>MEDICINA</t>
  </si>
  <si>
    <t>ZENTENO</t>
  </si>
  <si>
    <t>Catéter Epicutáneo</t>
  </si>
  <si>
    <t>MANUELA</t>
  </si>
  <si>
    <t>OROPEZA</t>
  </si>
  <si>
    <t>RONNY</t>
  </si>
  <si>
    <t xml:space="preserve">MORALES </t>
  </si>
  <si>
    <t xml:space="preserve">BARROS </t>
  </si>
  <si>
    <t xml:space="preserve">GINA </t>
  </si>
  <si>
    <t>Taslado HPL</t>
  </si>
  <si>
    <t>Si</t>
  </si>
  <si>
    <t>HUENAMAN</t>
  </si>
  <si>
    <t>QUIRILAO</t>
  </si>
  <si>
    <t>WILLIAMS</t>
  </si>
  <si>
    <t>BUNISVALDO</t>
  </si>
  <si>
    <t>SANTA CRUZ</t>
  </si>
  <si>
    <t>LUCRECIA</t>
  </si>
  <si>
    <t>LIDIA</t>
  </si>
  <si>
    <t>SALA OBSER</t>
  </si>
  <si>
    <t>BLASCO</t>
  </si>
  <si>
    <t>UGA</t>
  </si>
  <si>
    <t>PEDREROS</t>
  </si>
  <si>
    <t>IBAÑEZ</t>
  </si>
  <si>
    <t>FRESIA</t>
  </si>
  <si>
    <t>ALEXIS</t>
  </si>
  <si>
    <t>ALLENDES</t>
  </si>
  <si>
    <t>PENSIONADOS</t>
  </si>
  <si>
    <t>Pensionados</t>
  </si>
  <si>
    <t>6914151k</t>
  </si>
  <si>
    <t>IGOR</t>
  </si>
  <si>
    <t>OLIVER</t>
  </si>
  <si>
    <t>HEREDIA</t>
  </si>
  <si>
    <t>ALEJANDRA</t>
  </si>
  <si>
    <t>CRISTINA</t>
  </si>
  <si>
    <t>PAOLA</t>
  </si>
  <si>
    <t>PRIETO</t>
  </si>
  <si>
    <t>HGGB</t>
  </si>
  <si>
    <t>Código elemento</t>
  </si>
  <si>
    <t>A.I.a.e1.Fiebre igual o mayor a 38 °C axilar</t>
  </si>
  <si>
    <t>A.I.a.e2.Hipotermia igual o menor a 36 °C axilar</t>
  </si>
  <si>
    <t>A.I.a.e3.Hipotensión</t>
  </si>
  <si>
    <t>A.I.a.e4. Taquicardia o bradicardia</t>
  </si>
  <si>
    <t>A.I.a.e5.Apnea en pacientes menores de un año</t>
  </si>
  <si>
    <t>A.I.a.e6.Eritema y exudado en sitio de inserción del CVC</t>
  </si>
  <si>
    <t>A.I.b.e1.Detección en uno o más set de hemocultivos periféricos de un microorganismo patógeno no relacionado con otra infección activa en otra localización por el mismo agente</t>
  </si>
  <si>
    <t>A.I.b.e2.Detección de microorganismo comensal en al menos dos sets de hemocultivos periféricos tomados en sitios anatómicos diferentes no relacionado con otra infección activa en otra localización por el mismo agente</t>
  </si>
  <si>
    <t>A.I.b.e3.Detección de microorganismo comensal en al menos un set de hemocultivos periféricos y en cultivo de punta de catéter retirado por sospecha clínica de infección, no relacionado con otra infección activa en otra localización por el mismo agente</t>
  </si>
  <si>
    <t>B.I.a.e1.Fiebre igual o mayor a 38 °C axilar</t>
  </si>
  <si>
    <t>B.I.a.e2.Síntomas irritativos vesicales (tenesmo vesical, urgencia miccional, polaquiuria, disuria, dolor suprapúbico)</t>
  </si>
  <si>
    <t>B.I.a.e3.Dolor costo vertebral a la palpación o espontáneo</t>
  </si>
  <si>
    <t>B.I.a.e4.Alteración nueva del estado de conciencia en pacientes de 65 o más años</t>
  </si>
  <si>
    <t>B.I.b.e1.Leucocituria de acuerdo con los valores de referencia del laboratorio que procesó la muestra tomada</t>
  </si>
  <si>
    <t>B.I.b.e2.Presencia de placas de pus</t>
  </si>
  <si>
    <t>B.I.b.e3.Presencia de piocitos</t>
  </si>
  <si>
    <t>B.I.c.e1.Cultivo de orina con no más de dos microorganismos, en el que al menos uno de ellos tiene recuento de más de 100.000 UFC/ml</t>
  </si>
  <si>
    <t>C.I.a.e1.Presencia de pus (exudado purulento) en el sitio de incisión quirúrgica, incluido el sitio de la salida de drenaje por contrabertura, con o sin cultivos positivos</t>
  </si>
  <si>
    <t>C.II.a.e1.Fiebre igual o mayor a 38 °C no atribuible a otra causa</t>
  </si>
  <si>
    <t>C.II.a.e2.Sensibilidad o dolor en la zona de la incisión quirúrgica</t>
  </si>
  <si>
    <t>C.II.a.e3.Aumento de volumen localizado en la zona de la incisión quirúrgica</t>
  </si>
  <si>
    <t>C.II.a.e4.Eritema o calor local en la zona de la incisión quirúrgica</t>
  </si>
  <si>
    <t>C.II.a.e5.La incisión es deliberadamente abierta por un integrante del equipo de salud1 con presencia de exudado que, sin tener aspecto de pus, se describe como turbio, serohemático o seropurulento</t>
  </si>
  <si>
    <t>C.II.a.e6.Aislamiento de microorganismo en cultivo obtenido con técnica aséptica de la incisión o tejido subcutáneo</t>
  </si>
  <si>
    <t>D.I.a.e1.Paciente tiene dos o más deposiciones líquidas dentro de 12 horas con o sin otra sintomatología, no atribuible a causas no infecciosas</t>
  </si>
  <si>
    <t>D.I.b.e1.Si se cuenta con agente etiológico identificado, no hay evidencias que el microorganismo se haya encontrado presente o en periodo incubación al momento del ingreso hospitalario</t>
  </si>
  <si>
    <t>D.II.a.e1.Paciente presenta un episodio de deposiciones líquidas o disgregadas</t>
  </si>
  <si>
    <t>D.II.b.e1.Crecimiento de microorganismo patógeno entérico en cultivo de deposiciones o en muestra de hisopado rectal</t>
  </si>
  <si>
    <t>D.II.b.e2.Microorganismo patógeno entérico detectado por cualquier medio que no sea cultivo</t>
  </si>
  <si>
    <t>D.II.c.e1.No hay evidencias que el microorganismo se haya encontrado presente o en periodo incubación al momento del ingreso hospitalario</t>
  </si>
  <si>
    <t>E.I.a.e1.Presencia de más de una deposición líquida en 12 horas</t>
  </si>
  <si>
    <t>E.I.a.e2.Presencia de 3 o más deposiciones disgregadas o líquidas en 24 horas</t>
  </si>
  <si>
    <t>E.II.a.e1.Muestra de deposición positiva a toxina de C. difficile por cualquier técnica de laboratorio, o aislamiento de cepa productora de toxina detectada en deposición por cultivo u otro medio incluida biología molecular</t>
  </si>
  <si>
    <t>F.I.a1.e1.Infiltrado</t>
  </si>
  <si>
    <t>F.I.a1.e2.Condensación</t>
  </si>
  <si>
    <t>F.I.a1.e3.Cavitación</t>
  </si>
  <si>
    <t>F.I.a2.e1.Infiltrado nuevo o progresión de uno existente</t>
  </si>
  <si>
    <t>F.I.a2.e2.Condensación</t>
  </si>
  <si>
    <t>F.I.a2.e3.Cavitación</t>
  </si>
  <si>
    <t>F.I.b.e1.Fiebre mayor o igual a 38 °C axilar</t>
  </si>
  <si>
    <t>F.I.b.e2.Leucopenia (&lt;4.000 leucocitos/mm3) o leucocitosis (&gt;12.000 leucocitos/mm3)</t>
  </si>
  <si>
    <t>F.I.b.e3.Deterioro en el intercambio gaseoso no explicable por otra causa</t>
  </si>
  <si>
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</si>
  <si>
    <t>F.II.a.e1.Infiltrado nuevo o progresión de uno existente</t>
  </si>
  <si>
    <t>F.II.a.e2.Condensación</t>
  </si>
  <si>
    <t>F.II.a.e3.Cavitación</t>
  </si>
  <si>
    <t>F.II.a.e4.Neumatoceles</t>
  </si>
  <si>
    <t>F.II.b.e1.Deterioro en el intercambio gaseoso no explicable por otra causa</t>
  </si>
  <si>
    <t>F.II.c.e1.Temperatura corporal inestable</t>
  </si>
  <si>
    <t>F.II.c.e2.Leucopenia (11.000 leucocitos/mm3) con desviación a izquierda (Mayor o igual a 10% de baciliformes o formas más inmaduras)</t>
  </si>
  <si>
    <t>F.II.c.e3.Aparición de expectoración purulenta, o cambios en las características, o aumento de la cantidad, o aumento en los requerimientos de aspiración de secreciones</t>
  </si>
  <si>
    <t>F.II.c.e4.Sibilancias, estertores o roncus</t>
  </si>
  <si>
    <t>F.II.c.e5.Inestabilidad hemodinámica</t>
  </si>
  <si>
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</si>
  <si>
    <t>F.III.a.e1.Presenta Deterioro en el intercambio gaseoso no explicable por otra causa</t>
  </si>
  <si>
    <t>F.III.b.e1.Aparición de expectoración, aumento o cambio en las características, o aumento de los requerimientos de aspiración o succión de secreciones</t>
  </si>
  <si>
    <t>F.III.b.e2.Hemoptisis</t>
  </si>
  <si>
    <t>F.III.b.e3.Aspirado endotraqueal con aislamiento de microorganismo patógeno &gt; 100.000 UFC3/ml o lavado bronco alveolar o cepillo protegido con recuento significativo (104 o 103 ufc/ml respectivamente) o panel molecular con recuento significativo para neumonía de acuerdo con laboratorio local</t>
  </si>
  <si>
    <t>G.I.a.e1.Fiebre igual o mayor a 38 °C axilar o hipotermia sin otra causa reconocible</t>
  </si>
  <si>
    <t>G.I.a.e2.Leucopenia (&lt;4.000 leucocitos/mm3) o leucocitosis (&gt;11.000 leucocitos/mm3)</t>
  </si>
  <si>
    <t>G.I.a.e3.Tos</t>
  </si>
  <si>
    <t>G.I.a.e4.Aparición o incremento de producción de expectoración</t>
  </si>
  <si>
    <t>G.I.a.e5.Roncus</t>
  </si>
  <si>
    <t>G.I.a.e6.Sibilancias</t>
  </si>
  <si>
    <t>G.I.a.e7.Distrés respiratorio o síndrome de dificultad respiratoria</t>
  </si>
  <si>
    <t>G.I.a.e8.Apnea</t>
  </si>
  <si>
    <t>G.I.a.e9.Bradicardia</t>
  </si>
  <si>
    <t>G.I.a.e10.Imagen pulmonar no presente al ingreso compatible con infección viral</t>
  </si>
  <si>
    <t>G.I.b.e1.Detección de agente viral respiratorio por cualquier técnica de laboratorio</t>
  </si>
  <si>
    <t>G.I.c.e1.No hay evidencias que el agente viral respiratorio se haya encontrado presente o en periodo incubación al momento del ingreso hospitalario</t>
  </si>
  <si>
    <t>H.I.a.e1.Fiebre igual o mayor a 37,8 °C axilar</t>
  </si>
  <si>
    <t>H.I.a.e2.Perdida brusca y completa del olfato (anosmia)</t>
  </si>
  <si>
    <t>H.I.a.e3.Perdida brusca y completa del gusto (ageusia)</t>
  </si>
  <si>
    <t>H.I.a.e4.Tos o estornudos</t>
  </si>
  <si>
    <t>H.I.a.e5.Congestión nasal</t>
  </si>
  <si>
    <t>H.I.a.e6.Disnea o dificultad respiratoria</t>
  </si>
  <si>
    <t>H.I.a.e7.Taquipnea</t>
  </si>
  <si>
    <t>H.I.a.e8.Odinofagia</t>
  </si>
  <si>
    <t>H.I.a.e9.Mialgia</t>
  </si>
  <si>
    <t>H.I.a.e10.Debilidad general o fatiga</t>
  </si>
  <si>
    <t>H.I.a.e11.Dolor torácico</t>
  </si>
  <si>
    <t>H.I.a.e12.Calofríos</t>
  </si>
  <si>
    <t>H.I.a.e13.Diarrea</t>
  </si>
  <si>
    <t>H.I.a.e14.Anorexia o nauseas o vómitos</t>
  </si>
  <si>
    <t>H.I.a.e15.Cefalea</t>
  </si>
  <si>
    <t>H.I.b.e1.Prueba PCR para SARS-CoV-2 positiva</t>
  </si>
  <si>
    <t>H.I.b.e2.Prueba de antígenos para SARS-CoV-2 positiva</t>
  </si>
  <si>
    <t>H.I.c.e1.Tomografía de tórax con opacidades bilaterales múltiples en vidrio esmerilado, con distribución pulmonar periférica y baja sin otra causa conocida</t>
  </si>
  <si>
    <t>H.II.a.e1.Fiebre igual o mayor a 37,8 °C axilar</t>
  </si>
  <si>
    <t>H.II.a.e2.Perdida brusca y completa del olfato (anosmia)</t>
  </si>
  <si>
    <t>H.II.a.e3. Perdida brusca y completa del gusto (ageusia)</t>
  </si>
  <si>
    <t>H.II.a.e4.Tos o estornudos</t>
  </si>
  <si>
    <t>H.II.a.e5.Congestión nasal</t>
  </si>
  <si>
    <t>H.II.a.e6.Disnea o dificultad respiratoria</t>
  </si>
  <si>
    <t>H.II.a.e7.Taquipnea</t>
  </si>
  <si>
    <t>H.II.a.e8.Odinofagia</t>
  </si>
  <si>
    <t>H.II.a.e9.Mialgia</t>
  </si>
  <si>
    <t>H.II.a.e10.Debilidad general o fatiga</t>
  </si>
  <si>
    <t>H.II.a.e11.Dolor torácico</t>
  </si>
  <si>
    <t>H.II.a.e12.Calofríos</t>
  </si>
  <si>
    <t>H.II.a.e13.Diarrea</t>
  </si>
  <si>
    <t>H.II.a.e14.Anorexia o nauseas o vómitos</t>
  </si>
  <si>
    <t>H.II.a.e15.Cefalea</t>
  </si>
  <si>
    <t>H.II.b.e1.Prueba PCR para SARS-CoV-2 positiva</t>
  </si>
  <si>
    <t>H.II.b.e2.Prueba de antígenos para SARS-CoV-2 positiva</t>
  </si>
  <si>
    <t>I.I.a.e1.Fiebre igual o mayor a 38 °C axilar</t>
  </si>
  <si>
    <t>I.I.a.e2.Sensibilidad uterina o subinvolución uterina</t>
  </si>
  <si>
    <t>I.I.a.e3.Loquios de aspecto purulento o cambio en la evolución de su aspecto o aumento de mal olor</t>
  </si>
  <si>
    <t>I.II.a.e1.La paciente tiene un cultivo de fluido o tejido endometrial positivo obtenidos intraoperatoriamente, por punción uterina o por aspirado uterino con técnica aséptica hasta 10 días posterior al parto</t>
  </si>
  <si>
    <t>J.I.a.e1.Detección de microorganismos (cultivo, test molecular) en líquido cefalorraquídeo (LCR) recolectado con técnica aséptica para fines diagnósticos o terapéuticos</t>
  </si>
  <si>
    <t>J.II.a.e1.Fiebre igual o mayor a 38 °C axilar</t>
  </si>
  <si>
    <t>J.II.a.e2.Dolor de cabeza</t>
  </si>
  <si>
    <t>J.II.a.e3.Signos meníngeos</t>
  </si>
  <si>
    <t>J.II.a.e4.Signos de nervios craneales</t>
  </si>
  <si>
    <t>J.II.a.e5.Modificación cualitativa o cuantitativa de conciencia.</t>
  </si>
  <si>
    <t>J.II.a.e6.Apnea (en menores de un año)</t>
  </si>
  <si>
    <t>J.II.a.e7.Bradicardia (en menores de un año)</t>
  </si>
  <si>
    <t>J.II.b.e1.LCR con aumento de glóbulos blancos o en los niveles de proteínas o con descenso de nivel de glucosa según rangos reportados por laboratorio local</t>
  </si>
  <si>
    <t>J.II.b.e2.Microorganismo observados en tinción de Gram del LCR</t>
  </si>
  <si>
    <t>J.II.b.e3.Identificación en uno o más set de hemocultivos periféricos de un microorganismo no relacionado con otra infección activa en otra localización por el mismo agente</t>
  </si>
  <si>
    <t>K.I.a.e1.Paciente presenta identificación de un microorganismo en muestra tomada con técnica aséptica de cámara anterior, posterior o humor vítreo</t>
  </si>
  <si>
    <t>K.II.a.e1.Dolor ocular</t>
  </si>
  <si>
    <t>K.II.a.e2.Visión borrosa</t>
  </si>
  <si>
    <t>K.II.a.e3.Hipopion</t>
  </si>
  <si>
    <t>K.II.b.e1.Como consecuencia de los signos y síntomas, el médico inicia terapia antibiótica de 2 o más días de duración</t>
  </si>
  <si>
    <t>Criterio 1</t>
  </si>
  <si>
    <t>Criterio 2</t>
  </si>
  <si>
    <t>Criterio 3</t>
  </si>
  <si>
    <t>Criterio 4</t>
  </si>
  <si>
    <t>Criterio 5</t>
  </si>
  <si>
    <t>SDA por CD</t>
  </si>
  <si>
    <t>IAAS</t>
  </si>
  <si>
    <t>No</t>
  </si>
  <si>
    <t>Calculo IAAS anual</t>
  </si>
  <si>
    <t>Sintomatología gastrointestinal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</si>
</sst>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-#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7" tint="0.79998168889431442"/>
        <bgColor rgb="FFFEF2CB"/>
      </patternFill>
    </fill>
    <fill>
      <patternFill patternType="solid">
        <fgColor rgb="FFC00000"/>
        <bgColor rgb="FFFEF2CB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rgb="FFFEF2CB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5" fillId="2" borderId="0" xfId="0" applyFont="1" applyFill="1"/>
    <xf numFmtId="14" fontId="5" fillId="2" borderId="0" xfId="0" applyNumberFormat="1" applyFont="1" applyFill="1"/>
    <xf numFmtId="164" fontId="5" fillId="2" borderId="0" xfId="0" applyNumberFormat="1" applyFont="1" applyFill="1"/>
    <xf numFmtId="14" fontId="5" fillId="0" borderId="0" xfId="0" applyNumberFormat="1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10" xfId="0" applyFont="1" applyFill="1" applyBorder="1" applyAlignment="1">
      <alignment horizontal="center"/>
    </xf>
    <xf numFmtId="0" fontId="5" fillId="3" borderId="10" xfId="0" applyFont="1" applyFill="1" applyBorder="1"/>
    <xf numFmtId="14" fontId="5" fillId="3" borderId="10" xfId="0" applyNumberFormat="1" applyFont="1" applyFill="1" applyBorder="1"/>
    <xf numFmtId="14" fontId="5" fillId="3" borderId="1" xfId="0" applyNumberFormat="1" applyFont="1" applyFill="1" applyBorder="1"/>
    <xf numFmtId="14" fontId="5" fillId="3" borderId="2" xfId="0" applyNumberFormat="1" applyFont="1" applyFill="1" applyBorder="1"/>
    <xf numFmtId="0" fontId="5" fillId="4" borderId="10" xfId="0" applyFont="1" applyFill="1" applyBorder="1" applyAlignment="1">
      <alignment horizontal="right"/>
    </xf>
    <xf numFmtId="0" fontId="5" fillId="4" borderId="10" xfId="0" applyFont="1" applyFill="1" applyBorder="1"/>
    <xf numFmtId="14" fontId="5" fillId="4" borderId="10" xfId="0" applyNumberFormat="1" applyFont="1" applyFill="1" applyBorder="1"/>
    <xf numFmtId="14" fontId="5" fillId="4" borderId="1" xfId="0" applyNumberFormat="1" applyFont="1" applyFill="1" applyBorder="1"/>
    <xf numFmtId="0" fontId="5" fillId="5" borderId="10" xfId="0" applyFont="1" applyFill="1" applyBorder="1"/>
    <xf numFmtId="14" fontId="5" fillId="5" borderId="10" xfId="0" applyNumberFormat="1" applyFont="1" applyFill="1" applyBorder="1"/>
    <xf numFmtId="0" fontId="5" fillId="5" borderId="1" xfId="0" applyFont="1" applyFill="1" applyBorder="1"/>
    <xf numFmtId="14" fontId="5" fillId="5" borderId="1" xfId="0" applyNumberFormat="1" applyFont="1" applyFill="1" applyBorder="1"/>
    <xf numFmtId="0" fontId="1" fillId="0" borderId="0" xfId="0" applyFont="1"/>
    <xf numFmtId="14" fontId="5" fillId="4" borderId="16" xfId="0" applyNumberFormat="1" applyFont="1" applyFill="1" applyBorder="1"/>
    <xf numFmtId="14" fontId="5" fillId="5" borderId="7" xfId="0" applyNumberFormat="1" applyFont="1" applyFill="1" applyBorder="1"/>
    <xf numFmtId="14" fontId="5" fillId="5" borderId="11" xfId="0" applyNumberFormat="1" applyFont="1" applyFill="1" applyBorder="1"/>
    <xf numFmtId="14" fontId="5" fillId="5" borderId="17" xfId="0" applyNumberFormat="1" applyFont="1" applyFill="1" applyBorder="1"/>
    <xf numFmtId="14" fontId="5" fillId="4" borderId="11" xfId="0" applyNumberFormat="1" applyFont="1" applyFill="1" applyBorder="1"/>
    <xf numFmtId="14" fontId="5" fillId="4" borderId="0" xfId="0" applyNumberFormat="1" applyFont="1" applyFill="1"/>
    <xf numFmtId="14" fontId="5" fillId="5" borderId="8" xfId="0" applyNumberFormat="1" applyFont="1" applyFill="1" applyBorder="1"/>
    <xf numFmtId="14" fontId="5" fillId="4" borderId="19" xfId="0" applyNumberFormat="1" applyFont="1" applyFill="1" applyBorder="1"/>
    <xf numFmtId="14" fontId="5" fillId="5" borderId="19" xfId="0" applyNumberFormat="1" applyFont="1" applyFill="1" applyBorder="1"/>
    <xf numFmtId="14" fontId="5" fillId="5" borderId="9" xfId="0" applyNumberFormat="1" applyFont="1" applyFill="1" applyBorder="1"/>
    <xf numFmtId="0" fontId="5" fillId="5" borderId="3" xfId="0" applyFont="1" applyFill="1" applyBorder="1" applyAlignment="1">
      <alignment horizontal="center" vertical="center"/>
    </xf>
    <xf numFmtId="14" fontId="5" fillId="3" borderId="11" xfId="0" applyNumberFormat="1" applyFont="1" applyFill="1" applyBorder="1"/>
    <xf numFmtId="0" fontId="0" fillId="0" borderId="11" xfId="0" applyBorder="1"/>
    <xf numFmtId="0" fontId="5" fillId="4" borderId="1" xfId="0" applyFont="1" applyFill="1" applyBorder="1"/>
    <xf numFmtId="14" fontId="5" fillId="3" borderId="15" xfId="0" applyNumberFormat="1" applyFont="1" applyFill="1" applyBorder="1"/>
    <xf numFmtId="14" fontId="5" fillId="3" borderId="18" xfId="0" applyNumberFormat="1" applyFont="1" applyFill="1" applyBorder="1"/>
    <xf numFmtId="14" fontId="5" fillId="4" borderId="8" xfId="0" applyNumberFormat="1" applyFont="1" applyFill="1" applyBorder="1"/>
    <xf numFmtId="14" fontId="5" fillId="4" borderId="13" xfId="0" applyNumberFormat="1" applyFont="1" applyFill="1" applyBorder="1"/>
    <xf numFmtId="0" fontId="3" fillId="0" borderId="11" xfId="0" applyFont="1" applyBorder="1" applyAlignment="1">
      <alignment horizontal="center" wrapText="1"/>
    </xf>
    <xf numFmtId="14" fontId="5" fillId="3" borderId="11" xfId="0" applyNumberFormat="1" applyFont="1" applyFill="1" applyBorder="1" applyAlignment="1">
      <alignment horizontal="center"/>
    </xf>
    <xf numFmtId="1" fontId="5" fillId="3" borderId="11" xfId="0" applyNumberFormat="1" applyFont="1" applyFill="1" applyBorder="1"/>
    <xf numFmtId="1" fontId="5" fillId="3" borderId="20" xfId="0" applyNumberFormat="1" applyFont="1" applyFill="1" applyBorder="1"/>
    <xf numFmtId="1" fontId="5" fillId="4" borderId="11" xfId="0" applyNumberFormat="1" applyFont="1" applyFill="1" applyBorder="1"/>
    <xf numFmtId="1" fontId="5" fillId="5" borderId="11" xfId="0" applyNumberFormat="1" applyFont="1" applyFill="1" applyBorder="1"/>
    <xf numFmtId="0" fontId="5" fillId="3" borderId="1" xfId="0" applyFont="1" applyFill="1" applyBorder="1"/>
    <xf numFmtId="14" fontId="5" fillId="3" borderId="0" xfId="0" applyNumberFormat="1" applyFont="1" applyFill="1"/>
    <xf numFmtId="14" fontId="5" fillId="4" borderId="11" xfId="0" applyNumberFormat="1" applyFont="1" applyFill="1" applyBorder="1" applyAlignment="1">
      <alignment horizontal="center"/>
    </xf>
    <xf numFmtId="14" fontId="5" fillId="4" borderId="15" xfId="0" applyNumberFormat="1" applyFont="1" applyFill="1" applyBorder="1"/>
    <xf numFmtId="0" fontId="5" fillId="4" borderId="16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3" borderId="16" xfId="0" applyFont="1" applyFill="1" applyBorder="1"/>
    <xf numFmtId="0" fontId="5" fillId="3" borderId="8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14" fontId="5" fillId="3" borderId="12" xfId="0" applyNumberFormat="1" applyFont="1" applyFill="1" applyBorder="1"/>
    <xf numFmtId="0" fontId="5" fillId="3" borderId="9" xfId="0" applyFont="1" applyFill="1" applyBorder="1"/>
    <xf numFmtId="14" fontId="5" fillId="3" borderId="16" xfId="0" applyNumberFormat="1" applyFont="1" applyFill="1" applyBorder="1"/>
    <xf numFmtId="14" fontId="5" fillId="3" borderId="7" xfId="0" applyNumberFormat="1" applyFont="1" applyFill="1" applyBorder="1"/>
    <xf numFmtId="1" fontId="5" fillId="4" borderId="12" xfId="0" applyNumberFormat="1" applyFont="1" applyFill="1" applyBorder="1"/>
    <xf numFmtId="0" fontId="5" fillId="3" borderId="15" xfId="0" applyFont="1" applyFill="1" applyBorder="1"/>
    <xf numFmtId="0" fontId="5" fillId="3" borderId="24" xfId="0" applyFont="1" applyFill="1" applyBorder="1"/>
    <xf numFmtId="14" fontId="5" fillId="3" borderId="24" xfId="0" applyNumberFormat="1" applyFont="1" applyFill="1" applyBorder="1"/>
    <xf numFmtId="14" fontId="5" fillId="4" borderId="20" xfId="0" applyNumberFormat="1" applyFont="1" applyFill="1" applyBorder="1"/>
    <xf numFmtId="14" fontId="5" fillId="4" borderId="3" xfId="0" applyNumberFormat="1" applyFont="1" applyFill="1" applyBorder="1"/>
    <xf numFmtId="14" fontId="5" fillId="4" borderId="14" xfId="0" applyNumberFormat="1" applyFont="1" applyFill="1" applyBorder="1"/>
    <xf numFmtId="1" fontId="5" fillId="3" borderId="12" xfId="0" applyNumberFormat="1" applyFont="1" applyFill="1" applyBorder="1"/>
    <xf numFmtId="14" fontId="5" fillId="5" borderId="15" xfId="0" applyNumberFormat="1" applyFont="1" applyFill="1" applyBorder="1"/>
    <xf numFmtId="14" fontId="5" fillId="4" borderId="12" xfId="0" applyNumberFormat="1" applyFont="1" applyFill="1" applyBorder="1"/>
    <xf numFmtId="0" fontId="5" fillId="6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14" fontId="5" fillId="3" borderId="10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14" fontId="5" fillId="3" borderId="11" xfId="0" applyNumberFormat="1" applyFont="1" applyFill="1" applyBorder="1" applyAlignment="1">
      <alignment vertical="center"/>
    </xf>
    <xf numFmtId="1" fontId="5" fillId="3" borderId="11" xfId="0" applyNumberFormat="1" applyFont="1" applyFill="1" applyBorder="1" applyAlignment="1">
      <alignment vertical="center"/>
    </xf>
    <xf numFmtId="1" fontId="5" fillId="3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4" fontId="5" fillId="4" borderId="10" xfId="0" applyNumberFormat="1" applyFont="1" applyFill="1" applyBorder="1" applyAlignment="1">
      <alignment horizontal="right"/>
    </xf>
    <xf numFmtId="0" fontId="0" fillId="0" borderId="0" xfId="0" applyAlignment="1">
      <alignment vertical="center" wrapText="1"/>
    </xf>
    <xf numFmtId="0" fontId="2" fillId="0" borderId="0" xfId="0" applyFont="1"/>
    <xf numFmtId="0" fontId="4" fillId="7" borderId="10" xfId="0" applyFont="1" applyFill="1" applyBorder="1" applyAlignment="1">
      <alignment horizontal="center"/>
    </xf>
    <xf numFmtId="0" fontId="4" fillId="7" borderId="10" xfId="0" applyFont="1" applyFill="1" applyBorder="1"/>
    <xf numFmtId="14" fontId="4" fillId="7" borderId="10" xfId="0" applyNumberFormat="1" applyFont="1" applyFill="1" applyBorder="1"/>
    <xf numFmtId="14" fontId="4" fillId="7" borderId="2" xfId="0" applyNumberFormat="1" applyFont="1" applyFill="1" applyBorder="1"/>
    <xf numFmtId="1" fontId="4" fillId="7" borderId="11" xfId="0" applyNumberFormat="1" applyFont="1" applyFill="1" applyBorder="1"/>
    <xf numFmtId="0" fontId="7" fillId="8" borderId="0" xfId="0" applyFont="1" applyFill="1"/>
    <xf numFmtId="0" fontId="5" fillId="7" borderId="10" xfId="0" applyFont="1" applyFill="1" applyBorder="1" applyAlignment="1">
      <alignment horizontal="center"/>
    </xf>
    <xf numFmtId="2" fontId="5" fillId="7" borderId="10" xfId="0" applyNumberFormat="1" applyFont="1" applyFill="1" applyBorder="1"/>
    <xf numFmtId="0" fontId="5" fillId="7" borderId="10" xfId="0" applyFont="1" applyFill="1" applyBorder="1"/>
    <xf numFmtId="14" fontId="5" fillId="7" borderId="10" xfId="0" applyNumberFormat="1" applyFont="1" applyFill="1" applyBorder="1"/>
    <xf numFmtId="14" fontId="5" fillId="7" borderId="15" xfId="0" applyNumberFormat="1" applyFont="1" applyFill="1" applyBorder="1"/>
    <xf numFmtId="14" fontId="5" fillId="7" borderId="18" xfId="0" applyNumberFormat="1" applyFont="1" applyFill="1" applyBorder="1"/>
    <xf numFmtId="1" fontId="5" fillId="7" borderId="11" xfId="0" applyNumberFormat="1" applyFont="1" applyFill="1" applyBorder="1"/>
    <xf numFmtId="0" fontId="5" fillId="9" borderId="10" xfId="0" applyFont="1" applyFill="1" applyBorder="1" applyAlignment="1">
      <alignment horizontal="center"/>
    </xf>
    <xf numFmtId="0" fontId="5" fillId="9" borderId="10" xfId="0" applyFont="1" applyFill="1" applyBorder="1"/>
    <xf numFmtId="14" fontId="5" fillId="9" borderId="10" xfId="0" applyNumberFormat="1" applyFont="1" applyFill="1" applyBorder="1"/>
    <xf numFmtId="14" fontId="5" fillId="9" borderId="15" xfId="0" applyNumberFormat="1" applyFont="1" applyFill="1" applyBorder="1"/>
    <xf numFmtId="14" fontId="5" fillId="9" borderId="18" xfId="0" applyNumberFormat="1" applyFont="1" applyFill="1" applyBorder="1"/>
    <xf numFmtId="1" fontId="5" fillId="9" borderId="11" xfId="0" applyNumberFormat="1" applyFont="1" applyFill="1" applyBorder="1"/>
    <xf numFmtId="0" fontId="4" fillId="0" borderId="0" xfId="0" applyFont="1"/>
    <xf numFmtId="0" fontId="3" fillId="2" borderId="0" xfId="0" applyFont="1" applyFill="1" applyAlignment="1">
      <alignment horizontal="center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0" borderId="2" xfId="0" applyFont="1" applyBorder="1"/>
    <xf numFmtId="1" fontId="5" fillId="3" borderId="12" xfId="0" applyNumberFormat="1" applyFont="1" applyFill="1" applyBorder="1" applyAlignment="1">
      <alignment horizontal="center"/>
    </xf>
    <xf numFmtId="1" fontId="5" fillId="3" borderId="24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14" fontId="5" fillId="5" borderId="21" xfId="0" applyNumberFormat="1" applyFont="1" applyFill="1" applyBorder="1" applyAlignment="1">
      <alignment horizontal="center"/>
    </xf>
    <xf numFmtId="14" fontId="5" fillId="5" borderId="22" xfId="0" applyNumberFormat="1" applyFont="1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 vertical="center" wrapText="1"/>
    </xf>
    <xf numFmtId="1" fontId="5" fillId="3" borderId="25" xfId="0" applyNumberFormat="1" applyFont="1" applyFill="1" applyBorder="1" applyAlignment="1">
      <alignment horizontal="center" vertical="center" wrapText="1"/>
    </xf>
    <xf numFmtId="1" fontId="5" fillId="3" borderId="24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/>
    </xf>
    <xf numFmtId="14" fontId="5" fillId="5" borderId="26" xfId="0" applyNumberFormat="1" applyFont="1" applyFill="1" applyBorder="1" applyAlignment="1">
      <alignment horizontal="center"/>
    </xf>
    <xf numFmtId="14" fontId="5" fillId="4" borderId="11" xfId="0" applyNumberFormat="1" applyFont="1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 vertical="center"/>
    </xf>
    <xf numFmtId="1" fontId="5" fillId="3" borderId="24" xfId="0" applyNumberFormat="1" applyFont="1" applyFill="1" applyBorder="1" applyAlignment="1">
      <alignment horizontal="center" vertical="center"/>
    </xf>
    <xf numFmtId="1" fontId="5" fillId="3" borderId="25" xfId="0" applyNumberFormat="1" applyFont="1" applyFill="1" applyBorder="1" applyAlignment="1">
      <alignment horizontal="center" vertical="center"/>
    </xf>
    <xf numFmtId="1" fontId="5" fillId="3" borderId="27" xfId="0" applyNumberFormat="1" applyFont="1" applyFill="1" applyBorder="1" applyAlignment="1">
      <alignment horizontal="center" vertical="center" wrapText="1"/>
    </xf>
    <xf numFmtId="14" fontId="5" fillId="3" borderId="21" xfId="0" applyNumberFormat="1" applyFont="1" applyFill="1" applyBorder="1" applyAlignment="1">
      <alignment horizontal="center"/>
    </xf>
    <xf numFmtId="14" fontId="5" fillId="3" borderId="22" xfId="0" applyNumberFormat="1" applyFont="1" applyFill="1" applyBorder="1" applyAlignment="1">
      <alignment horizontal="center"/>
    </xf>
    <xf numFmtId="14" fontId="5" fillId="3" borderId="19" xfId="0" applyNumberFormat="1" applyFont="1" applyFill="1" applyBorder="1" applyAlignment="1">
      <alignment horizontal="center"/>
    </xf>
    <xf numFmtId="14" fontId="5" fillId="3" borderId="2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5983-FDC7-459D-9A93-E8C95A673656}">
  <dimension ref="A1:G1000"/>
  <sheetViews>
    <sheetView workbookViewId="0">
      <selection activeCell="B34" sqref="B34"/>
    </sheetView>
  </sheetViews>
  <sheetFormatPr baseColWidth="10" defaultColWidth="14.46484375" defaultRowHeight="14.25" x14ac:dyDescent="0.45"/>
  <cols>
    <col min="1" max="1" width="10.73046875" customWidth="1"/>
    <col min="2" max="2" width="24.73046875" customWidth="1"/>
    <col min="3" max="3" width="52.19921875" customWidth="1"/>
    <col min="4" max="4" width="32.796875" customWidth="1"/>
    <col min="5" max="5" width="26.53125" customWidth="1"/>
    <col min="6" max="6" width="14" customWidth="1"/>
    <col min="7" max="25" width="10.73046875" customWidth="1"/>
  </cols>
  <sheetData>
    <row r="1" spans="1:7" x14ac:dyDescent="0.45">
      <c r="A1" s="23" t="s">
        <v>38</v>
      </c>
      <c r="B1" s="23" t="s">
        <v>39</v>
      </c>
      <c r="C1" s="23" t="s">
        <v>11</v>
      </c>
      <c r="D1" s="23" t="s">
        <v>9</v>
      </c>
      <c r="E1" s="23" t="s">
        <v>10</v>
      </c>
      <c r="F1" s="23" t="s">
        <v>40</v>
      </c>
      <c r="G1" t="s">
        <v>1073</v>
      </c>
    </row>
    <row r="2" spans="1:7" x14ac:dyDescent="0.45">
      <c r="A2" s="23" t="s">
        <v>41</v>
      </c>
      <c r="B2" s="23" t="s">
        <v>22</v>
      </c>
      <c r="C2" s="23" t="s">
        <v>16</v>
      </c>
      <c r="D2" s="23" t="s">
        <v>22</v>
      </c>
      <c r="E2" s="23" t="s">
        <v>42</v>
      </c>
      <c r="F2" s="23">
        <v>2025</v>
      </c>
      <c r="G2" t="s">
        <v>914</v>
      </c>
    </row>
    <row r="3" spans="1:7" x14ac:dyDescent="0.45">
      <c r="A3" s="23" t="s">
        <v>43</v>
      </c>
      <c r="B3" s="23" t="s">
        <v>44</v>
      </c>
      <c r="C3" s="23" t="s">
        <v>24</v>
      </c>
      <c r="D3" s="23" t="s">
        <v>15</v>
      </c>
      <c r="E3" s="23" t="s">
        <v>45</v>
      </c>
      <c r="F3" s="23"/>
      <c r="G3" t="s">
        <v>1074</v>
      </c>
    </row>
    <row r="4" spans="1:7" x14ac:dyDescent="0.45">
      <c r="A4" s="23" t="s">
        <v>46</v>
      </c>
      <c r="B4" s="23" t="s">
        <v>47</v>
      </c>
      <c r="C4" s="23" t="s">
        <v>17</v>
      </c>
      <c r="D4" s="23" t="s">
        <v>48</v>
      </c>
      <c r="E4" s="23" t="s">
        <v>22</v>
      </c>
      <c r="F4" s="23"/>
    </row>
    <row r="5" spans="1:7" x14ac:dyDescent="0.45">
      <c r="A5" s="23" t="s">
        <v>49</v>
      </c>
      <c r="B5" s="23" t="s">
        <v>50</v>
      </c>
      <c r="C5" s="23" t="s">
        <v>18</v>
      </c>
      <c r="D5" s="23" t="s">
        <v>51</v>
      </c>
      <c r="E5" s="23" t="s">
        <v>15</v>
      </c>
      <c r="F5" s="23"/>
    </row>
    <row r="6" spans="1:7" x14ac:dyDescent="0.45">
      <c r="A6" s="23" t="s">
        <v>52</v>
      </c>
      <c r="B6" s="23" t="s">
        <v>28</v>
      </c>
      <c r="C6" s="23" t="s">
        <v>53</v>
      </c>
      <c r="D6" s="23" t="s">
        <v>54</v>
      </c>
      <c r="E6" s="23" t="s">
        <v>48</v>
      </c>
      <c r="F6" s="23"/>
    </row>
    <row r="7" spans="1:7" x14ac:dyDescent="0.45">
      <c r="A7" s="23" t="s">
        <v>55</v>
      </c>
      <c r="B7" s="23" t="s">
        <v>56</v>
      </c>
      <c r="C7" s="23" t="s">
        <v>57</v>
      </c>
      <c r="D7" s="23" t="s">
        <v>58</v>
      </c>
      <c r="E7" s="23" t="s">
        <v>51</v>
      </c>
      <c r="F7" s="23"/>
    </row>
    <row r="8" spans="1:7" x14ac:dyDescent="0.45">
      <c r="A8" s="23" t="s">
        <v>59</v>
      </c>
      <c r="B8" s="23" t="s">
        <v>60</v>
      </c>
      <c r="C8" s="23" t="s">
        <v>61</v>
      </c>
      <c r="D8" s="23" t="s">
        <v>62</v>
      </c>
      <c r="E8" s="23" t="s">
        <v>54</v>
      </c>
    </row>
    <row r="9" spans="1:7" x14ac:dyDescent="0.45">
      <c r="A9" s="23" t="s">
        <v>63</v>
      </c>
      <c r="B9" s="23" t="s">
        <v>14</v>
      </c>
      <c r="C9" s="23" t="s">
        <v>64</v>
      </c>
      <c r="D9" s="23" t="s">
        <v>72</v>
      </c>
      <c r="E9" s="23" t="s">
        <v>58</v>
      </c>
    </row>
    <row r="10" spans="1:7" x14ac:dyDescent="0.45">
      <c r="A10" s="23" t="s">
        <v>65</v>
      </c>
      <c r="B10" s="23" t="s">
        <v>66</v>
      </c>
      <c r="C10" s="23" t="s">
        <v>67</v>
      </c>
      <c r="D10" s="23" t="s">
        <v>28</v>
      </c>
      <c r="E10" s="23" t="s">
        <v>62</v>
      </c>
    </row>
    <row r="11" spans="1:7" x14ac:dyDescent="0.45">
      <c r="A11" s="23" t="s">
        <v>69</v>
      </c>
      <c r="B11" s="23" t="s">
        <v>70</v>
      </c>
      <c r="C11" s="23" t="s">
        <v>71</v>
      </c>
      <c r="D11" s="23" t="s">
        <v>68</v>
      </c>
      <c r="E11" s="23" t="s">
        <v>72</v>
      </c>
    </row>
    <row r="12" spans="1:7" x14ac:dyDescent="0.45">
      <c r="A12" s="23" t="s">
        <v>73</v>
      </c>
      <c r="B12" s="23" t="s">
        <v>74</v>
      </c>
      <c r="D12" s="23" t="s">
        <v>23</v>
      </c>
      <c r="E12" s="23" t="s">
        <v>28</v>
      </c>
    </row>
    <row r="13" spans="1:7" x14ac:dyDescent="0.45">
      <c r="A13" s="23" t="s">
        <v>76</v>
      </c>
      <c r="B13" s="23" t="s">
        <v>77</v>
      </c>
      <c r="D13" s="23" t="s">
        <v>75</v>
      </c>
      <c r="E13" s="23" t="s">
        <v>68</v>
      </c>
    </row>
    <row r="14" spans="1:7" x14ac:dyDescent="0.45">
      <c r="B14" s="23"/>
      <c r="D14" s="23" t="s">
        <v>50</v>
      </c>
      <c r="E14" s="23" t="s">
        <v>23</v>
      </c>
    </row>
    <row r="15" spans="1:7" x14ac:dyDescent="0.45">
      <c r="D15" s="23" t="s">
        <v>78</v>
      </c>
      <c r="E15" s="23" t="s">
        <v>75</v>
      </c>
    </row>
    <row r="16" spans="1:7" x14ac:dyDescent="0.45">
      <c r="D16" s="23" t="s">
        <v>56</v>
      </c>
      <c r="E16" s="23" t="s">
        <v>50</v>
      </c>
    </row>
    <row r="17" spans="1:5" x14ac:dyDescent="0.45">
      <c r="D17" s="23" t="s">
        <v>14</v>
      </c>
      <c r="E17" s="23" t="s">
        <v>78</v>
      </c>
    </row>
    <row r="18" spans="1:5" x14ac:dyDescent="0.45">
      <c r="D18" s="23" t="s">
        <v>60</v>
      </c>
      <c r="E18" s="23" t="s">
        <v>56</v>
      </c>
    </row>
    <row r="19" spans="1:5" x14ac:dyDescent="0.45">
      <c r="D19" s="23" t="s">
        <v>66</v>
      </c>
      <c r="E19" s="23" t="s">
        <v>14</v>
      </c>
    </row>
    <row r="20" spans="1:5" x14ac:dyDescent="0.45">
      <c r="D20" s="23" t="s">
        <v>79</v>
      </c>
      <c r="E20" s="23" t="s">
        <v>60</v>
      </c>
    </row>
    <row r="21" spans="1:5" ht="15.75" customHeight="1" x14ac:dyDescent="0.45">
      <c r="D21" s="23" t="s">
        <v>74</v>
      </c>
      <c r="E21" s="23" t="s">
        <v>66</v>
      </c>
    </row>
    <row r="22" spans="1:5" ht="15.75" customHeight="1" x14ac:dyDescent="0.45">
      <c r="D22" s="23" t="s">
        <v>77</v>
      </c>
      <c r="E22" s="23" t="s">
        <v>79</v>
      </c>
    </row>
    <row r="23" spans="1:5" ht="15.75" customHeight="1" x14ac:dyDescent="0.45">
      <c r="D23" s="23" t="s">
        <v>80</v>
      </c>
      <c r="E23" s="23" t="s">
        <v>74</v>
      </c>
    </row>
    <row r="24" spans="1:5" ht="15.75" customHeight="1" x14ac:dyDescent="0.45">
      <c r="E24" s="23" t="s">
        <v>77</v>
      </c>
    </row>
    <row r="25" spans="1:5" ht="15.75" customHeight="1" x14ac:dyDescent="0.45">
      <c r="E25" s="23" t="s">
        <v>80</v>
      </c>
    </row>
    <row r="26" spans="1:5" ht="15.75" customHeight="1" x14ac:dyDescent="0.45"/>
    <row r="27" spans="1:5" ht="15.75" customHeight="1" x14ac:dyDescent="0.45"/>
    <row r="28" spans="1:5" ht="15.75" customHeight="1" x14ac:dyDescent="0.45"/>
    <row r="29" spans="1:5" ht="15.75" customHeight="1" x14ac:dyDescent="0.45"/>
    <row r="30" spans="1:5" ht="15.75" customHeight="1" x14ac:dyDescent="0.45">
      <c r="A30" s="85" t="s">
        <v>1075</v>
      </c>
    </row>
    <row r="31" spans="1:5" ht="15.75" customHeight="1" x14ac:dyDescent="0.45">
      <c r="A31" s="85">
        <f>SUM('ENERO 2025'!T113,'FEBRERO 2025'!U89,'MARZO 2025'!U129,'ABRIL 2025'!U122,'MAYO 2025'!U143,'JUNIO 2025'!U128,'JULIO 2025'!U128,'AGOSTO 2025'!U112,'SEPTIEMBRE 2025'!U121,'OCTUBRE 2025'!U123,'NOVIEMBRE 2025'!U139,'DICIEMBRE 2025'!U130)</f>
        <v>7</v>
      </c>
    </row>
    <row r="32" spans="1:5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E880-003F-4FA1-84B4-947EC7684224}">
  <dimension ref="A1:A128"/>
  <sheetViews>
    <sheetView tabSelected="1" workbookViewId="0">
      <selection activeCell="B34" sqref="B34"/>
    </sheetView>
  </sheetViews>
  <sheetFormatPr baseColWidth="10" defaultRowHeight="14.25" x14ac:dyDescent="0.45"/>
  <cols>
    <col min="1" max="1" width="254.59765625" bestFit="1" customWidth="1"/>
  </cols>
  <sheetData>
    <row r="1" spans="1:1" x14ac:dyDescent="0.45">
      <c r="A1" s="84" t="s">
        <v>941</v>
      </c>
    </row>
    <row r="2" spans="1:1" x14ac:dyDescent="0.45">
      <c r="A2" s="84" t="s">
        <v>83</v>
      </c>
    </row>
    <row r="3" spans="1:1" x14ac:dyDescent="0.45">
      <c r="A3" s="84" t="s">
        <v>199</v>
      </c>
    </row>
    <row r="4" spans="1:1" x14ac:dyDescent="0.45">
      <c r="A4" s="84" t="s">
        <v>942</v>
      </c>
    </row>
    <row r="5" spans="1:1" x14ac:dyDescent="0.45">
      <c r="A5" s="84" t="s">
        <v>943</v>
      </c>
    </row>
    <row r="6" spans="1:1" x14ac:dyDescent="0.45">
      <c r="A6" s="84" t="s">
        <v>944</v>
      </c>
    </row>
    <row r="7" spans="1:1" x14ac:dyDescent="0.45">
      <c r="A7" s="84" t="s">
        <v>945</v>
      </c>
    </row>
    <row r="8" spans="1:1" x14ac:dyDescent="0.45">
      <c r="A8" s="84" t="s">
        <v>946</v>
      </c>
    </row>
    <row r="9" spans="1:1" x14ac:dyDescent="0.45">
      <c r="A9" s="84" t="s">
        <v>947</v>
      </c>
    </row>
    <row r="10" spans="1:1" x14ac:dyDescent="0.45">
      <c r="A10" s="84" t="s">
        <v>948</v>
      </c>
    </row>
    <row r="11" spans="1:1" x14ac:dyDescent="0.45">
      <c r="A11" s="84" t="s">
        <v>949</v>
      </c>
    </row>
    <row r="12" spans="1:1" x14ac:dyDescent="0.45">
      <c r="A12" s="84" t="s">
        <v>950</v>
      </c>
    </row>
    <row r="13" spans="1:1" x14ac:dyDescent="0.45">
      <c r="A13" s="84" t="s">
        <v>951</v>
      </c>
    </row>
    <row r="14" spans="1:1" x14ac:dyDescent="0.45">
      <c r="A14" s="84" t="s">
        <v>952</v>
      </c>
    </row>
    <row r="15" spans="1:1" x14ac:dyDescent="0.45">
      <c r="A15" s="84" t="s">
        <v>953</v>
      </c>
    </row>
    <row r="16" spans="1:1" x14ac:dyDescent="0.45">
      <c r="A16" s="84" t="s">
        <v>954</v>
      </c>
    </row>
    <row r="17" spans="1:1" x14ac:dyDescent="0.45">
      <c r="A17" s="84" t="s">
        <v>955</v>
      </c>
    </row>
    <row r="18" spans="1:1" x14ac:dyDescent="0.45">
      <c r="A18" s="84" t="s">
        <v>956</v>
      </c>
    </row>
    <row r="19" spans="1:1" x14ac:dyDescent="0.45">
      <c r="A19" s="84" t="s">
        <v>957</v>
      </c>
    </row>
    <row r="20" spans="1:1" x14ac:dyDescent="0.45">
      <c r="A20" s="84" t="s">
        <v>958</v>
      </c>
    </row>
    <row r="21" spans="1:1" x14ac:dyDescent="0.45">
      <c r="A21" s="84" t="s">
        <v>959</v>
      </c>
    </row>
    <row r="22" spans="1:1" x14ac:dyDescent="0.45">
      <c r="A22" s="84" t="s">
        <v>960</v>
      </c>
    </row>
    <row r="23" spans="1:1" x14ac:dyDescent="0.45">
      <c r="A23" s="84" t="s">
        <v>961</v>
      </c>
    </row>
    <row r="24" spans="1:1" x14ac:dyDescent="0.45">
      <c r="A24" s="84" t="s">
        <v>962</v>
      </c>
    </row>
    <row r="25" spans="1:1" x14ac:dyDescent="0.45">
      <c r="A25" s="84" t="s">
        <v>963</v>
      </c>
    </row>
    <row r="26" spans="1:1" x14ac:dyDescent="0.45">
      <c r="A26" s="84" t="s">
        <v>964</v>
      </c>
    </row>
    <row r="27" spans="1:1" x14ac:dyDescent="0.45">
      <c r="A27" s="84" t="s">
        <v>965</v>
      </c>
    </row>
    <row r="28" spans="1:1" x14ac:dyDescent="0.45">
      <c r="A28" s="84" t="s">
        <v>966</v>
      </c>
    </row>
    <row r="29" spans="1:1" x14ac:dyDescent="0.45">
      <c r="A29" s="84" t="s">
        <v>967</v>
      </c>
    </row>
    <row r="30" spans="1:1" x14ac:dyDescent="0.45">
      <c r="A30" s="84" t="s">
        <v>968</v>
      </c>
    </row>
    <row r="31" spans="1:1" x14ac:dyDescent="0.45">
      <c r="A31" s="84" t="s">
        <v>969</v>
      </c>
    </row>
    <row r="32" spans="1:1" x14ac:dyDescent="0.45">
      <c r="A32" s="84" t="s">
        <v>970</v>
      </c>
    </row>
    <row r="33" spans="1:1" x14ac:dyDescent="0.45">
      <c r="A33" s="84" t="s">
        <v>971</v>
      </c>
    </row>
    <row r="34" spans="1:1" x14ac:dyDescent="0.45">
      <c r="A34" s="84" t="s">
        <v>972</v>
      </c>
    </row>
    <row r="35" spans="1:1" x14ac:dyDescent="0.45">
      <c r="A35" s="84" t="s">
        <v>973</v>
      </c>
    </row>
    <row r="36" spans="1:1" x14ac:dyDescent="0.45">
      <c r="A36" s="84" t="s">
        <v>974</v>
      </c>
    </row>
    <row r="37" spans="1:1" x14ac:dyDescent="0.45">
      <c r="A37" s="84" t="s">
        <v>975</v>
      </c>
    </row>
    <row r="38" spans="1:1" x14ac:dyDescent="0.45">
      <c r="A38" s="84" t="s">
        <v>976</v>
      </c>
    </row>
    <row r="39" spans="1:1" x14ac:dyDescent="0.45">
      <c r="A39" s="84" t="s">
        <v>977</v>
      </c>
    </row>
    <row r="40" spans="1:1" x14ac:dyDescent="0.45">
      <c r="A40" s="84" t="s">
        <v>978</v>
      </c>
    </row>
    <row r="41" spans="1:1" x14ac:dyDescent="0.45">
      <c r="A41" s="84" t="s">
        <v>979</v>
      </c>
    </row>
    <row r="42" spans="1:1" x14ac:dyDescent="0.45">
      <c r="A42" s="84" t="s">
        <v>980</v>
      </c>
    </row>
    <row r="43" spans="1:1" x14ac:dyDescent="0.45">
      <c r="A43" s="84" t="s">
        <v>981</v>
      </c>
    </row>
    <row r="44" spans="1:1" x14ac:dyDescent="0.45">
      <c r="A44" s="84" t="s">
        <v>982</v>
      </c>
    </row>
    <row r="45" spans="1:1" x14ac:dyDescent="0.45">
      <c r="A45" s="84" t="s">
        <v>983</v>
      </c>
    </row>
    <row r="46" spans="1:1" x14ac:dyDescent="0.45">
      <c r="A46" s="84" t="s">
        <v>984</v>
      </c>
    </row>
    <row r="47" spans="1:1" x14ac:dyDescent="0.45">
      <c r="A47" s="84" t="s">
        <v>985</v>
      </c>
    </row>
    <row r="48" spans="1:1" x14ac:dyDescent="0.45">
      <c r="A48" s="84" t="s">
        <v>986</v>
      </c>
    </row>
    <row r="49" spans="1:1" x14ac:dyDescent="0.45">
      <c r="A49" s="84" t="s">
        <v>987</v>
      </c>
    </row>
    <row r="50" spans="1:1" x14ac:dyDescent="0.45">
      <c r="A50" s="84" t="s">
        <v>988</v>
      </c>
    </row>
    <row r="51" spans="1:1" x14ac:dyDescent="0.45">
      <c r="A51" s="84" t="s">
        <v>989</v>
      </c>
    </row>
    <row r="52" spans="1:1" x14ac:dyDescent="0.45">
      <c r="A52" s="84" t="s">
        <v>990</v>
      </c>
    </row>
    <row r="53" spans="1:1" x14ac:dyDescent="0.45">
      <c r="A53" s="84" t="s">
        <v>991</v>
      </c>
    </row>
    <row r="54" spans="1:1" x14ac:dyDescent="0.45">
      <c r="A54" s="84" t="s">
        <v>992</v>
      </c>
    </row>
    <row r="55" spans="1:1" x14ac:dyDescent="0.45">
      <c r="A55" s="84" t="s">
        <v>993</v>
      </c>
    </row>
    <row r="56" spans="1:1" x14ac:dyDescent="0.45">
      <c r="A56" s="84" t="s">
        <v>994</v>
      </c>
    </row>
    <row r="57" spans="1:1" x14ac:dyDescent="0.45">
      <c r="A57" s="84" t="s">
        <v>995</v>
      </c>
    </row>
    <row r="58" spans="1:1" x14ac:dyDescent="0.45">
      <c r="A58" s="84" t="s">
        <v>996</v>
      </c>
    </row>
    <row r="59" spans="1:1" x14ac:dyDescent="0.45">
      <c r="A59" s="84" t="s">
        <v>997</v>
      </c>
    </row>
    <row r="60" spans="1:1" x14ac:dyDescent="0.45">
      <c r="A60" s="84" t="s">
        <v>998</v>
      </c>
    </row>
    <row r="61" spans="1:1" x14ac:dyDescent="0.45">
      <c r="A61" s="84" t="s">
        <v>999</v>
      </c>
    </row>
    <row r="62" spans="1:1" x14ac:dyDescent="0.45">
      <c r="A62" s="84" t="s">
        <v>1000</v>
      </c>
    </row>
    <row r="63" spans="1:1" x14ac:dyDescent="0.45">
      <c r="A63" s="84" t="s">
        <v>1001</v>
      </c>
    </row>
    <row r="64" spans="1:1" x14ac:dyDescent="0.45">
      <c r="A64" s="84" t="s">
        <v>1002</v>
      </c>
    </row>
    <row r="65" spans="1:1" x14ac:dyDescent="0.45">
      <c r="A65" s="84" t="s">
        <v>1003</v>
      </c>
    </row>
    <row r="66" spans="1:1" x14ac:dyDescent="0.45">
      <c r="A66" s="84" t="s">
        <v>1004</v>
      </c>
    </row>
    <row r="67" spans="1:1" x14ac:dyDescent="0.45">
      <c r="A67" s="84" t="s">
        <v>1005</v>
      </c>
    </row>
    <row r="68" spans="1:1" x14ac:dyDescent="0.45">
      <c r="A68" s="84" t="s">
        <v>1006</v>
      </c>
    </row>
    <row r="69" spans="1:1" x14ac:dyDescent="0.45">
      <c r="A69" s="84" t="s">
        <v>1007</v>
      </c>
    </row>
    <row r="70" spans="1:1" x14ac:dyDescent="0.45">
      <c r="A70" s="84" t="s">
        <v>1008</v>
      </c>
    </row>
    <row r="71" spans="1:1" x14ac:dyDescent="0.45">
      <c r="A71" s="84" t="s">
        <v>1009</v>
      </c>
    </row>
    <row r="72" spans="1:1" x14ac:dyDescent="0.45">
      <c r="A72" s="84" t="s">
        <v>1010</v>
      </c>
    </row>
    <row r="73" spans="1:1" x14ac:dyDescent="0.45">
      <c r="A73" s="84" t="s">
        <v>1011</v>
      </c>
    </row>
    <row r="74" spans="1:1" x14ac:dyDescent="0.45">
      <c r="A74" s="84" t="s">
        <v>1012</v>
      </c>
    </row>
    <row r="75" spans="1:1" x14ac:dyDescent="0.45">
      <c r="A75" s="84" t="s">
        <v>1013</v>
      </c>
    </row>
    <row r="76" spans="1:1" x14ac:dyDescent="0.45">
      <c r="A76" s="84" t="s">
        <v>1014</v>
      </c>
    </row>
    <row r="77" spans="1:1" x14ac:dyDescent="0.45">
      <c r="A77" s="84" t="s">
        <v>1015</v>
      </c>
    </row>
    <row r="78" spans="1:1" x14ac:dyDescent="0.45">
      <c r="A78" s="84" t="s">
        <v>1016</v>
      </c>
    </row>
    <row r="79" spans="1:1" x14ac:dyDescent="0.45">
      <c r="A79" s="84" t="s">
        <v>1017</v>
      </c>
    </row>
    <row r="80" spans="1:1" x14ac:dyDescent="0.45">
      <c r="A80" s="84" t="s">
        <v>1018</v>
      </c>
    </row>
    <row r="81" spans="1:1" x14ac:dyDescent="0.45">
      <c r="A81" s="84" t="s">
        <v>1019</v>
      </c>
    </row>
    <row r="82" spans="1:1" x14ac:dyDescent="0.45">
      <c r="A82" s="84" t="s">
        <v>1020</v>
      </c>
    </row>
    <row r="83" spans="1:1" x14ac:dyDescent="0.45">
      <c r="A83" s="84" t="s">
        <v>1021</v>
      </c>
    </row>
    <row r="84" spans="1:1" x14ac:dyDescent="0.45">
      <c r="A84" s="84" t="s">
        <v>1022</v>
      </c>
    </row>
    <row r="85" spans="1:1" x14ac:dyDescent="0.45">
      <c r="A85" s="84" t="s">
        <v>1023</v>
      </c>
    </row>
    <row r="86" spans="1:1" x14ac:dyDescent="0.45">
      <c r="A86" s="84" t="s">
        <v>1024</v>
      </c>
    </row>
    <row r="87" spans="1:1" x14ac:dyDescent="0.45">
      <c r="A87" s="84" t="s">
        <v>1025</v>
      </c>
    </row>
    <row r="88" spans="1:1" x14ac:dyDescent="0.45">
      <c r="A88" s="84" t="s">
        <v>1026</v>
      </c>
    </row>
    <row r="89" spans="1:1" x14ac:dyDescent="0.45">
      <c r="A89" s="84" t="s">
        <v>1027</v>
      </c>
    </row>
    <row r="90" spans="1:1" x14ac:dyDescent="0.45">
      <c r="A90" s="84" t="s">
        <v>1028</v>
      </c>
    </row>
    <row r="91" spans="1:1" x14ac:dyDescent="0.45">
      <c r="A91" s="84" t="s">
        <v>1029</v>
      </c>
    </row>
    <row r="92" spans="1:1" x14ac:dyDescent="0.45">
      <c r="A92" s="84" t="s">
        <v>1030</v>
      </c>
    </row>
    <row r="93" spans="1:1" x14ac:dyDescent="0.45">
      <c r="A93" s="84" t="s">
        <v>1031</v>
      </c>
    </row>
    <row r="94" spans="1:1" x14ac:dyDescent="0.45">
      <c r="A94" s="84" t="s">
        <v>1032</v>
      </c>
    </row>
    <row r="95" spans="1:1" x14ac:dyDescent="0.45">
      <c r="A95" s="84" t="s">
        <v>1033</v>
      </c>
    </row>
    <row r="96" spans="1:1" x14ac:dyDescent="0.45">
      <c r="A96" s="84" t="s">
        <v>1034</v>
      </c>
    </row>
    <row r="97" spans="1:1" x14ac:dyDescent="0.45">
      <c r="A97" s="84" t="s">
        <v>1035</v>
      </c>
    </row>
    <row r="98" spans="1:1" x14ac:dyDescent="0.45">
      <c r="A98" s="84" t="s">
        <v>1036</v>
      </c>
    </row>
    <row r="99" spans="1:1" x14ac:dyDescent="0.45">
      <c r="A99" s="84" t="s">
        <v>1037</v>
      </c>
    </row>
    <row r="100" spans="1:1" x14ac:dyDescent="0.45">
      <c r="A100" s="84" t="s">
        <v>1038</v>
      </c>
    </row>
    <row r="101" spans="1:1" x14ac:dyDescent="0.45">
      <c r="A101" s="84" t="s">
        <v>1039</v>
      </c>
    </row>
    <row r="102" spans="1:1" x14ac:dyDescent="0.45">
      <c r="A102" s="84" t="s">
        <v>1040</v>
      </c>
    </row>
    <row r="103" spans="1:1" x14ac:dyDescent="0.45">
      <c r="A103" s="84" t="s">
        <v>1041</v>
      </c>
    </row>
    <row r="104" spans="1:1" x14ac:dyDescent="0.45">
      <c r="A104" s="84" t="s">
        <v>1042</v>
      </c>
    </row>
    <row r="105" spans="1:1" x14ac:dyDescent="0.45">
      <c r="A105" s="84" t="s">
        <v>1043</v>
      </c>
    </row>
    <row r="106" spans="1:1" x14ac:dyDescent="0.45">
      <c r="A106" s="84" t="s">
        <v>1044</v>
      </c>
    </row>
    <row r="107" spans="1:1" x14ac:dyDescent="0.45">
      <c r="A107" s="84" t="s">
        <v>1045</v>
      </c>
    </row>
    <row r="108" spans="1:1" x14ac:dyDescent="0.45">
      <c r="A108" s="84" t="s">
        <v>1046</v>
      </c>
    </row>
    <row r="109" spans="1:1" x14ac:dyDescent="0.45">
      <c r="A109" s="84" t="s">
        <v>1047</v>
      </c>
    </row>
    <row r="110" spans="1:1" x14ac:dyDescent="0.45">
      <c r="A110" s="84" t="s">
        <v>1048</v>
      </c>
    </row>
    <row r="111" spans="1:1" x14ac:dyDescent="0.45">
      <c r="A111" s="84" t="s">
        <v>1049</v>
      </c>
    </row>
    <row r="112" spans="1:1" x14ac:dyDescent="0.45">
      <c r="A112" s="84" t="s">
        <v>1050</v>
      </c>
    </row>
    <row r="113" spans="1:1" x14ac:dyDescent="0.45">
      <c r="A113" s="84" t="s">
        <v>1051</v>
      </c>
    </row>
    <row r="114" spans="1:1" x14ac:dyDescent="0.45">
      <c r="A114" s="84" t="s">
        <v>1052</v>
      </c>
    </row>
    <row r="115" spans="1:1" x14ac:dyDescent="0.45">
      <c r="A115" s="84" t="s">
        <v>1053</v>
      </c>
    </row>
    <row r="116" spans="1:1" x14ac:dyDescent="0.45">
      <c r="A116" s="84" t="s">
        <v>1054</v>
      </c>
    </row>
    <row r="117" spans="1:1" x14ac:dyDescent="0.45">
      <c r="A117" s="84" t="s">
        <v>1055</v>
      </c>
    </row>
    <row r="118" spans="1:1" x14ac:dyDescent="0.45">
      <c r="A118" s="84" t="s">
        <v>1056</v>
      </c>
    </row>
    <row r="119" spans="1:1" x14ac:dyDescent="0.45">
      <c r="A119" s="84" t="s">
        <v>1057</v>
      </c>
    </row>
    <row r="120" spans="1:1" x14ac:dyDescent="0.45">
      <c r="A120" s="84" t="s">
        <v>1058</v>
      </c>
    </row>
    <row r="121" spans="1:1" x14ac:dyDescent="0.45">
      <c r="A121" s="84" t="s">
        <v>1059</v>
      </c>
    </row>
    <row r="122" spans="1:1" x14ac:dyDescent="0.45">
      <c r="A122" s="84" t="s">
        <v>1060</v>
      </c>
    </row>
    <row r="123" spans="1:1" x14ac:dyDescent="0.45">
      <c r="A123" s="84" t="s">
        <v>1061</v>
      </c>
    </row>
    <row r="124" spans="1:1" x14ac:dyDescent="0.45">
      <c r="A124" s="84" t="s">
        <v>1062</v>
      </c>
    </row>
    <row r="125" spans="1:1" x14ac:dyDescent="0.45">
      <c r="A125" s="84" t="s">
        <v>1063</v>
      </c>
    </row>
    <row r="126" spans="1:1" x14ac:dyDescent="0.45">
      <c r="A126" s="84" t="s">
        <v>1064</v>
      </c>
    </row>
    <row r="127" spans="1:1" x14ac:dyDescent="0.45">
      <c r="A127" s="84" t="s">
        <v>1065</v>
      </c>
    </row>
    <row r="128" spans="1:1" x14ac:dyDescent="0.45">
      <c r="A128" s="84" t="s">
        <v>1066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BC98-D1C8-4583-B0C0-2401DD114870}">
  <dimension ref="A1:T978"/>
  <sheetViews>
    <sheetView topLeftCell="B1" zoomScale="80" zoomScaleNormal="80" workbookViewId="0">
      <pane xSplit="1" ySplit="7" topLeftCell="L74" activePane="bottomRight" state="frozen"/>
      <selection activeCell="B1" sqref="B1"/>
      <selection pane="topRight" activeCell="C1" sqref="C1"/>
      <selection pane="bottomLeft" activeCell="B8" sqref="B8"/>
      <selection pane="bottomRight" activeCell="T99" sqref="T99"/>
    </sheetView>
  </sheetViews>
  <sheetFormatPr baseColWidth="10" defaultRowHeight="14.25" x14ac:dyDescent="0.45"/>
  <cols>
    <col min="1" max="1" width="10.9296875" hidden="1" customWidth="1"/>
    <col min="2" max="2" width="11.796875" customWidth="1"/>
    <col min="3" max="10" width="10.9296875" customWidth="1"/>
    <col min="12" max="13" width="10.9296875" customWidth="1"/>
    <col min="15" max="19" width="15.59765625" bestFit="1" customWidth="1"/>
  </cols>
  <sheetData>
    <row r="1" spans="1:20" x14ac:dyDescent="0.45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spans="1:20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20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20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</row>
    <row r="5" spans="1:20" x14ac:dyDescent="0.45">
      <c r="A5" s="117" t="s">
        <v>33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20" ht="14.65" thickBot="1" x14ac:dyDescent="0.5">
      <c r="G6" s="4"/>
      <c r="H6" s="4"/>
      <c r="L6" s="4"/>
    </row>
    <row r="7" spans="1:20" ht="15.75" customHeight="1" x14ac:dyDescent="0.45">
      <c r="A7" s="5" t="s">
        <v>2</v>
      </c>
      <c r="B7" s="6" t="s">
        <v>2</v>
      </c>
      <c r="C7" s="7" t="s">
        <v>3</v>
      </c>
      <c r="D7" s="7" t="s">
        <v>4</v>
      </c>
      <c r="E7" s="7" t="s">
        <v>5</v>
      </c>
      <c r="F7" s="6" t="s">
        <v>6</v>
      </c>
      <c r="G7" s="8" t="s">
        <v>7</v>
      </c>
      <c r="H7" s="8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9" t="s">
        <v>13</v>
      </c>
      <c r="N7" s="42" t="s">
        <v>208</v>
      </c>
      <c r="O7" s="85" t="s">
        <v>1067</v>
      </c>
      <c r="P7" s="85" t="s">
        <v>1068</v>
      </c>
      <c r="Q7" s="85" t="s">
        <v>1069</v>
      </c>
      <c r="R7" s="85" t="s">
        <v>1070</v>
      </c>
      <c r="S7" s="85" t="s">
        <v>1071</v>
      </c>
      <c r="T7" s="85" t="s">
        <v>1073</v>
      </c>
    </row>
    <row r="8" spans="1:20" ht="16.5" customHeight="1" x14ac:dyDescent="0.45">
      <c r="A8" s="10">
        <v>52875641</v>
      </c>
      <c r="B8" s="11" t="str">
        <f t="shared" ref="B8:B108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5.287.564-1</v>
      </c>
      <c r="C8" s="11" t="s">
        <v>14</v>
      </c>
      <c r="D8" s="11" t="s">
        <v>19</v>
      </c>
      <c r="E8" s="11" t="s">
        <v>20</v>
      </c>
      <c r="F8" s="11" t="s">
        <v>21</v>
      </c>
      <c r="G8" s="12">
        <v>45619</v>
      </c>
      <c r="H8" s="12"/>
      <c r="I8" s="11" t="s">
        <v>22</v>
      </c>
      <c r="J8" s="11" t="s">
        <v>106</v>
      </c>
      <c r="K8" s="11" t="s">
        <v>24</v>
      </c>
      <c r="L8" s="12">
        <v>45658</v>
      </c>
      <c r="M8" s="13">
        <v>45665</v>
      </c>
      <c r="N8" s="35"/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1074</v>
      </c>
    </row>
    <row r="9" spans="1:20" ht="16.5" customHeight="1" x14ac:dyDescent="0.45">
      <c r="A9" s="10">
        <v>52875641</v>
      </c>
      <c r="B9" s="11" t="str">
        <f t="shared" si="0"/>
        <v>5.287.564-1</v>
      </c>
      <c r="C9" s="11" t="s">
        <v>14</v>
      </c>
      <c r="D9" s="11" t="s">
        <v>19</v>
      </c>
      <c r="E9" s="11" t="s">
        <v>20</v>
      </c>
      <c r="F9" s="11" t="s">
        <v>21</v>
      </c>
      <c r="G9" s="12">
        <v>45619</v>
      </c>
      <c r="H9" s="12"/>
      <c r="I9" s="11" t="s">
        <v>22</v>
      </c>
      <c r="J9" s="11" t="s">
        <v>106</v>
      </c>
      <c r="K9" s="11" t="s">
        <v>17</v>
      </c>
      <c r="L9" s="12">
        <v>45658</v>
      </c>
      <c r="M9" s="13">
        <v>45665</v>
      </c>
      <c r="N9" s="35"/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1074</v>
      </c>
    </row>
    <row r="10" spans="1:20" ht="16.5" customHeight="1" x14ac:dyDescent="0.45">
      <c r="A10" s="10">
        <v>52875642</v>
      </c>
      <c r="B10" s="11" t="str">
        <f t="shared" ref="B10" si="1">IF(LEN(A10)=8,MID(A10,1,1)&amp;"."&amp;MID(A10,2,3)&amp;"."&amp;MID(A10,5,3)&amp;"-"&amp;RIGHT(A10,1),IF(LEFT(RIGHT(A10,2),1)="-",MID(A10,1,1)&amp;"."&amp;MID(A10,2,3)&amp;"."&amp;MID(A10,5,3)&amp;"-"&amp;RIGHT(A10,1),MID(A10,1,2)&amp;"."&amp;MID(A10,3,3)&amp;"."&amp;MID(A10,6,3)&amp;"-"&amp;MID(A10,9,1)))</f>
        <v>5.287.564-2</v>
      </c>
      <c r="C10" s="11" t="s">
        <v>14</v>
      </c>
      <c r="D10" s="11" t="s">
        <v>19</v>
      </c>
      <c r="E10" s="11" t="s">
        <v>20</v>
      </c>
      <c r="F10" s="11" t="s">
        <v>21</v>
      </c>
      <c r="G10" s="12">
        <v>45619</v>
      </c>
      <c r="H10" s="12"/>
      <c r="I10" s="11" t="s">
        <v>22</v>
      </c>
      <c r="J10" s="11" t="s">
        <v>106</v>
      </c>
      <c r="K10" s="11" t="s">
        <v>17</v>
      </c>
      <c r="L10" s="12">
        <v>45658</v>
      </c>
      <c r="M10" s="14">
        <v>45665</v>
      </c>
      <c r="N10" s="35"/>
      <c r="O10" t="s">
        <v>83</v>
      </c>
      <c r="P10" t="s">
        <v>83</v>
      </c>
      <c r="Q10" t="s">
        <v>83</v>
      </c>
      <c r="R10" t="s">
        <v>83</v>
      </c>
      <c r="S10" t="s">
        <v>83</v>
      </c>
      <c r="T10" t="s">
        <v>1074</v>
      </c>
    </row>
    <row r="11" spans="1:20" ht="16.5" customHeight="1" x14ac:dyDescent="0.45">
      <c r="A11" s="10">
        <v>115753290</v>
      </c>
      <c r="B11" s="11" t="str">
        <f t="shared" si="0"/>
        <v>11.575.329-0</v>
      </c>
      <c r="C11" s="11" t="s">
        <v>14</v>
      </c>
      <c r="D11" s="11" t="s">
        <v>30</v>
      </c>
      <c r="E11" s="11" t="s">
        <v>31</v>
      </c>
      <c r="F11" s="11" t="s">
        <v>29</v>
      </c>
      <c r="G11" s="12">
        <v>45644</v>
      </c>
      <c r="H11" s="12"/>
      <c r="I11" s="11" t="s">
        <v>15</v>
      </c>
      <c r="J11" s="11" t="s">
        <v>23</v>
      </c>
      <c r="K11" s="11" t="s">
        <v>16</v>
      </c>
      <c r="L11" s="12">
        <v>45658</v>
      </c>
      <c r="M11" s="14">
        <v>45660</v>
      </c>
      <c r="N11" s="35"/>
      <c r="O11" t="s">
        <v>83</v>
      </c>
      <c r="P11" t="s">
        <v>83</v>
      </c>
      <c r="Q11" t="s">
        <v>83</v>
      </c>
      <c r="R11" t="s">
        <v>83</v>
      </c>
      <c r="S11" t="s">
        <v>83</v>
      </c>
      <c r="T11" t="s">
        <v>1074</v>
      </c>
    </row>
    <row r="12" spans="1:20" ht="16.5" customHeight="1" x14ac:dyDescent="0.45">
      <c r="A12" s="10">
        <v>115753290</v>
      </c>
      <c r="B12" s="11" t="str">
        <f t="shared" si="0"/>
        <v>11.575.329-0</v>
      </c>
      <c r="C12" s="11" t="s">
        <v>14</v>
      </c>
      <c r="D12" s="11" t="s">
        <v>30</v>
      </c>
      <c r="E12" s="11" t="s">
        <v>31</v>
      </c>
      <c r="F12" s="11" t="s">
        <v>29</v>
      </c>
      <c r="G12" s="12">
        <v>45644</v>
      </c>
      <c r="H12" s="12"/>
      <c r="I12" s="11" t="s">
        <v>15</v>
      </c>
      <c r="J12" s="11" t="s">
        <v>23</v>
      </c>
      <c r="K12" s="11" t="s">
        <v>17</v>
      </c>
      <c r="L12" s="12">
        <v>45658</v>
      </c>
      <c r="M12" s="14">
        <v>45660</v>
      </c>
      <c r="N12" s="35"/>
      <c r="O12" t="s">
        <v>83</v>
      </c>
      <c r="P12" t="s">
        <v>83</v>
      </c>
      <c r="Q12" t="s">
        <v>83</v>
      </c>
      <c r="R12" t="s">
        <v>83</v>
      </c>
      <c r="S12" t="s">
        <v>83</v>
      </c>
      <c r="T12" t="s">
        <v>1074</v>
      </c>
    </row>
    <row r="13" spans="1:20" ht="16.5" customHeight="1" x14ac:dyDescent="0.45">
      <c r="A13" s="10">
        <v>115753290</v>
      </c>
      <c r="B13" s="11" t="str">
        <f t="shared" si="0"/>
        <v>11.575.329-0</v>
      </c>
      <c r="C13" s="11" t="s">
        <v>14</v>
      </c>
      <c r="D13" s="11" t="s">
        <v>30</v>
      </c>
      <c r="E13" s="11" t="s">
        <v>31</v>
      </c>
      <c r="F13" s="11" t="s">
        <v>29</v>
      </c>
      <c r="G13" s="12">
        <v>45644</v>
      </c>
      <c r="H13" s="12"/>
      <c r="I13" s="11" t="s">
        <v>15</v>
      </c>
      <c r="J13" s="11" t="s">
        <v>23</v>
      </c>
      <c r="K13" s="11" t="s">
        <v>18</v>
      </c>
      <c r="L13" s="12">
        <v>45658</v>
      </c>
      <c r="M13" s="14">
        <v>45658</v>
      </c>
      <c r="N13" s="35"/>
      <c r="O13" t="s">
        <v>83</v>
      </c>
      <c r="P13" t="s">
        <v>83</v>
      </c>
      <c r="Q13" t="s">
        <v>83</v>
      </c>
      <c r="R13" t="s">
        <v>83</v>
      </c>
      <c r="S13" t="s">
        <v>83</v>
      </c>
      <c r="T13" t="s">
        <v>1074</v>
      </c>
    </row>
    <row r="14" spans="1:20" ht="26.55" customHeight="1" x14ac:dyDescent="0.45">
      <c r="A14" s="10">
        <v>142068079</v>
      </c>
      <c r="B14" s="11" t="str">
        <f t="shared" si="0"/>
        <v>14.206.807-9</v>
      </c>
      <c r="C14" s="11" t="s">
        <v>14</v>
      </c>
      <c r="D14" s="11" t="s">
        <v>100</v>
      </c>
      <c r="E14" s="11" t="s">
        <v>101</v>
      </c>
      <c r="F14" s="11" t="s">
        <v>102</v>
      </c>
      <c r="G14" s="12">
        <v>45652</v>
      </c>
      <c r="H14" s="12">
        <v>45670</v>
      </c>
      <c r="I14" s="11" t="s">
        <v>15</v>
      </c>
      <c r="J14" s="11" t="s">
        <v>28</v>
      </c>
      <c r="K14" s="11" t="s">
        <v>16</v>
      </c>
      <c r="L14" s="12">
        <v>45658</v>
      </c>
      <c r="M14" s="14">
        <v>45670</v>
      </c>
      <c r="N14" s="35"/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1074</v>
      </c>
    </row>
    <row r="15" spans="1:20" ht="16.5" customHeight="1" x14ac:dyDescent="0.45">
      <c r="A15" s="10">
        <v>142068079</v>
      </c>
      <c r="B15" s="11" t="str">
        <f t="shared" si="0"/>
        <v>14.206.807-9</v>
      </c>
      <c r="C15" s="11" t="s">
        <v>14</v>
      </c>
      <c r="D15" s="11" t="s">
        <v>100</v>
      </c>
      <c r="E15" s="11" t="s">
        <v>101</v>
      </c>
      <c r="F15" s="11" t="s">
        <v>102</v>
      </c>
      <c r="G15" s="12">
        <v>45652</v>
      </c>
      <c r="H15" s="12">
        <v>45670</v>
      </c>
      <c r="I15" s="11" t="s">
        <v>15</v>
      </c>
      <c r="J15" s="11" t="s">
        <v>28</v>
      </c>
      <c r="K15" s="11" t="s">
        <v>17</v>
      </c>
      <c r="L15" s="12">
        <v>45658</v>
      </c>
      <c r="M15" s="14">
        <v>45667</v>
      </c>
      <c r="N15" s="35"/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1074</v>
      </c>
    </row>
    <row r="16" spans="1:20" ht="16.5" customHeight="1" x14ac:dyDescent="0.45">
      <c r="A16" s="10">
        <v>142068079</v>
      </c>
      <c r="B16" s="11" t="str">
        <f t="shared" si="0"/>
        <v>14.206.807-9</v>
      </c>
      <c r="C16" s="11" t="s">
        <v>14</v>
      </c>
      <c r="D16" s="11" t="s">
        <v>100</v>
      </c>
      <c r="E16" s="11" t="s">
        <v>101</v>
      </c>
      <c r="F16" s="11" t="s">
        <v>102</v>
      </c>
      <c r="G16" s="12">
        <v>45652</v>
      </c>
      <c r="H16" s="12">
        <v>45670</v>
      </c>
      <c r="I16" s="11" t="s">
        <v>15</v>
      </c>
      <c r="J16" s="11" t="s">
        <v>28</v>
      </c>
      <c r="K16" s="11" t="s">
        <v>18</v>
      </c>
      <c r="L16" s="12">
        <v>45658</v>
      </c>
      <c r="M16" s="14">
        <v>45666</v>
      </c>
      <c r="N16" s="35"/>
      <c r="O16" t="s">
        <v>981</v>
      </c>
      <c r="P16" t="s">
        <v>975</v>
      </c>
      <c r="Q16" t="s">
        <v>83</v>
      </c>
      <c r="R16" t="s">
        <v>83</v>
      </c>
      <c r="S16" t="s">
        <v>83</v>
      </c>
      <c r="T16" t="s">
        <v>914</v>
      </c>
    </row>
    <row r="17" spans="1:20" ht="16.5" customHeight="1" x14ac:dyDescent="0.45">
      <c r="A17" s="10">
        <v>73224721</v>
      </c>
      <c r="B17" s="11" t="str">
        <f t="shared" si="0"/>
        <v>7.322.472-1</v>
      </c>
      <c r="C17" s="11" t="s">
        <v>14</v>
      </c>
      <c r="D17" s="11" t="s">
        <v>103</v>
      </c>
      <c r="E17" s="11" t="s">
        <v>104</v>
      </c>
      <c r="F17" s="11" t="s">
        <v>105</v>
      </c>
      <c r="G17" s="12">
        <v>45655</v>
      </c>
      <c r="H17" s="12">
        <v>45660</v>
      </c>
      <c r="I17" s="11" t="s">
        <v>72</v>
      </c>
      <c r="J17" s="11" t="s">
        <v>60</v>
      </c>
      <c r="K17" s="11" t="s">
        <v>16</v>
      </c>
      <c r="L17" s="12">
        <v>45658</v>
      </c>
      <c r="M17" s="13">
        <v>45660</v>
      </c>
      <c r="N17" s="35"/>
      <c r="O17" t="s">
        <v>83</v>
      </c>
      <c r="P17" t="s">
        <v>83</v>
      </c>
      <c r="Q17" t="s">
        <v>83</v>
      </c>
      <c r="R17" t="s">
        <v>83</v>
      </c>
      <c r="S17" t="s">
        <v>83</v>
      </c>
      <c r="T17" t="s">
        <v>1074</v>
      </c>
    </row>
    <row r="18" spans="1:20" ht="16.5" customHeight="1" x14ac:dyDescent="0.45">
      <c r="A18" s="10">
        <v>112911847</v>
      </c>
      <c r="B18" s="11" t="str">
        <f t="shared" si="0"/>
        <v>11.291.184-7</v>
      </c>
      <c r="C18" s="11" t="s">
        <v>14</v>
      </c>
      <c r="D18" s="11" t="s">
        <v>107</v>
      </c>
      <c r="E18" s="11" t="s">
        <v>104</v>
      </c>
      <c r="F18" s="11" t="s">
        <v>99</v>
      </c>
      <c r="G18" s="12">
        <v>45656</v>
      </c>
      <c r="H18" s="12">
        <v>45661</v>
      </c>
      <c r="I18" s="11" t="s">
        <v>15</v>
      </c>
      <c r="J18" s="11" t="s">
        <v>72</v>
      </c>
      <c r="K18" s="11" t="s">
        <v>64</v>
      </c>
      <c r="L18" s="121" t="s">
        <v>108</v>
      </c>
      <c r="M18" s="122"/>
      <c r="N18" s="43"/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1074</v>
      </c>
    </row>
    <row r="19" spans="1:20" ht="16.5" customHeight="1" x14ac:dyDescent="0.45">
      <c r="A19" s="10">
        <v>88166310</v>
      </c>
      <c r="B19" s="11" t="str">
        <f t="shared" si="0"/>
        <v>8.816.631-0</v>
      </c>
      <c r="C19" s="11" t="s">
        <v>14</v>
      </c>
      <c r="D19" s="11" t="s">
        <v>109</v>
      </c>
      <c r="E19" s="11" t="s">
        <v>110</v>
      </c>
      <c r="F19" s="11" t="s">
        <v>111</v>
      </c>
      <c r="G19" s="12">
        <v>45658</v>
      </c>
      <c r="H19" s="12">
        <v>45674</v>
      </c>
      <c r="I19" s="11" t="s">
        <v>15</v>
      </c>
      <c r="J19" s="11" t="s">
        <v>72</v>
      </c>
      <c r="K19" s="11" t="s">
        <v>16</v>
      </c>
      <c r="L19" s="12">
        <v>45658</v>
      </c>
      <c r="M19" s="13">
        <v>45674</v>
      </c>
      <c r="N19" s="35"/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1074</v>
      </c>
    </row>
    <row r="20" spans="1:20" ht="16.5" customHeight="1" x14ac:dyDescent="0.45">
      <c r="A20" s="10">
        <v>88166310</v>
      </c>
      <c r="B20" s="11" t="str">
        <f t="shared" si="0"/>
        <v>8.816.631-0</v>
      </c>
      <c r="C20" s="11" t="s">
        <v>14</v>
      </c>
      <c r="D20" s="11" t="s">
        <v>109</v>
      </c>
      <c r="E20" s="11" t="s">
        <v>110</v>
      </c>
      <c r="F20" s="11" t="s">
        <v>111</v>
      </c>
      <c r="G20" s="12">
        <v>45658</v>
      </c>
      <c r="H20" s="12">
        <v>45674</v>
      </c>
      <c r="I20" s="11" t="s">
        <v>15</v>
      </c>
      <c r="J20" s="11" t="s">
        <v>72</v>
      </c>
      <c r="K20" s="11" t="s">
        <v>17</v>
      </c>
      <c r="L20" s="12">
        <v>45658</v>
      </c>
      <c r="M20" s="13">
        <v>45671</v>
      </c>
      <c r="N20" s="35"/>
      <c r="O20" t="s">
        <v>951</v>
      </c>
      <c r="P20" t="s">
        <v>958</v>
      </c>
      <c r="Q20" t="s">
        <v>83</v>
      </c>
      <c r="R20" t="s">
        <v>83</v>
      </c>
      <c r="S20" t="s">
        <v>83</v>
      </c>
      <c r="T20" t="s">
        <v>914</v>
      </c>
    </row>
    <row r="21" spans="1:20" ht="16.5" customHeight="1" x14ac:dyDescent="0.45">
      <c r="A21" s="10">
        <v>88166310</v>
      </c>
      <c r="B21" s="11" t="str">
        <f t="shared" si="0"/>
        <v>8.816.631-0</v>
      </c>
      <c r="C21" s="11" t="s">
        <v>14</v>
      </c>
      <c r="D21" s="11" t="s">
        <v>109</v>
      </c>
      <c r="E21" s="11" t="s">
        <v>110</v>
      </c>
      <c r="F21" s="11" t="s">
        <v>111</v>
      </c>
      <c r="G21" s="12">
        <v>45658</v>
      </c>
      <c r="H21" s="12">
        <v>45674</v>
      </c>
      <c r="I21" s="11" t="s">
        <v>15</v>
      </c>
      <c r="J21" s="11" t="s">
        <v>72</v>
      </c>
      <c r="K21" s="11" t="s">
        <v>18</v>
      </c>
      <c r="L21" s="12">
        <v>45658</v>
      </c>
      <c r="M21" s="14">
        <v>45671</v>
      </c>
      <c r="N21" s="35"/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1074</v>
      </c>
    </row>
    <row r="22" spans="1:20" ht="16.5" customHeight="1" x14ac:dyDescent="0.45">
      <c r="A22" s="10">
        <v>217511933</v>
      </c>
      <c r="B22" s="11" t="str">
        <f t="shared" si="0"/>
        <v>21.751.193-3</v>
      </c>
      <c r="C22" s="11" t="s">
        <v>14</v>
      </c>
      <c r="D22" s="11" t="s">
        <v>112</v>
      </c>
      <c r="E22" s="11" t="s">
        <v>113</v>
      </c>
      <c r="F22" s="11" t="s">
        <v>114</v>
      </c>
      <c r="G22" s="12">
        <v>45660</v>
      </c>
      <c r="H22" s="12"/>
      <c r="I22" s="11" t="s">
        <v>15</v>
      </c>
      <c r="J22" s="11" t="s">
        <v>206</v>
      </c>
      <c r="K22" s="11" t="s">
        <v>16</v>
      </c>
      <c r="L22" s="12">
        <v>45294</v>
      </c>
      <c r="M22" s="14">
        <v>45688</v>
      </c>
      <c r="N22" s="35"/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1074</v>
      </c>
    </row>
    <row r="23" spans="1:20" ht="16.5" customHeight="1" x14ac:dyDescent="0.45">
      <c r="A23" s="10">
        <v>217511933</v>
      </c>
      <c r="B23" s="11" t="str">
        <f t="shared" si="0"/>
        <v>21.751.193-3</v>
      </c>
      <c r="C23" s="11" t="s">
        <v>14</v>
      </c>
      <c r="D23" s="11" t="s">
        <v>112</v>
      </c>
      <c r="E23" s="11" t="s">
        <v>113</v>
      </c>
      <c r="F23" s="11" t="s">
        <v>114</v>
      </c>
      <c r="G23" s="12">
        <v>45660</v>
      </c>
      <c r="H23" s="12"/>
      <c r="I23" s="11" t="s">
        <v>15</v>
      </c>
      <c r="J23" s="11" t="s">
        <v>206</v>
      </c>
      <c r="K23" s="11" t="s">
        <v>17</v>
      </c>
      <c r="L23" s="12">
        <v>45294</v>
      </c>
      <c r="M23" s="14">
        <v>45688</v>
      </c>
      <c r="N23" s="35"/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1074</v>
      </c>
    </row>
    <row r="24" spans="1:20" ht="16.5" customHeight="1" x14ac:dyDescent="0.45">
      <c r="A24" s="10">
        <v>217511933</v>
      </c>
      <c r="B24" s="11" t="str">
        <f t="shared" si="0"/>
        <v>21.751.193-3</v>
      </c>
      <c r="C24" s="11" t="s">
        <v>14</v>
      </c>
      <c r="D24" s="11" t="s">
        <v>112</v>
      </c>
      <c r="E24" s="11" t="s">
        <v>113</v>
      </c>
      <c r="F24" s="11" t="s">
        <v>114</v>
      </c>
      <c r="G24" s="12">
        <v>45660</v>
      </c>
      <c r="H24" s="12"/>
      <c r="I24" s="11" t="s">
        <v>15</v>
      </c>
      <c r="J24" s="11" t="s">
        <v>206</v>
      </c>
      <c r="K24" s="11" t="s">
        <v>18</v>
      </c>
      <c r="L24" s="12">
        <v>45294</v>
      </c>
      <c r="M24" s="14">
        <v>45688</v>
      </c>
      <c r="N24" s="35"/>
      <c r="O24" t="s">
        <v>981</v>
      </c>
      <c r="P24" t="s">
        <v>975</v>
      </c>
      <c r="Q24" t="s">
        <v>83</v>
      </c>
      <c r="R24" t="s">
        <v>83</v>
      </c>
      <c r="S24" t="s">
        <v>83</v>
      </c>
      <c r="T24" t="s">
        <v>914</v>
      </c>
    </row>
    <row r="25" spans="1:20" ht="16.5" customHeight="1" x14ac:dyDescent="0.45">
      <c r="A25" s="10">
        <v>83860898</v>
      </c>
      <c r="B25" s="11" t="str">
        <f t="shared" si="0"/>
        <v>8.386.089-8</v>
      </c>
      <c r="C25" s="11" t="s">
        <v>14</v>
      </c>
      <c r="D25" s="11" t="s">
        <v>115</v>
      </c>
      <c r="E25" s="11" t="s">
        <v>116</v>
      </c>
      <c r="F25" s="11" t="s">
        <v>105</v>
      </c>
      <c r="G25" s="12">
        <v>45661</v>
      </c>
      <c r="H25" s="12">
        <v>45667</v>
      </c>
      <c r="I25" s="11" t="s">
        <v>15</v>
      </c>
      <c r="J25" s="11" t="s">
        <v>200</v>
      </c>
      <c r="K25" s="11" t="s">
        <v>16</v>
      </c>
      <c r="L25" s="12">
        <v>45661</v>
      </c>
      <c r="M25" s="14">
        <v>45665</v>
      </c>
      <c r="N25" s="35"/>
      <c r="O25" t="s">
        <v>83</v>
      </c>
      <c r="P25" t="s">
        <v>83</v>
      </c>
      <c r="Q25" t="s">
        <v>83</v>
      </c>
      <c r="R25" t="s">
        <v>83</v>
      </c>
      <c r="S25" t="s">
        <v>83</v>
      </c>
      <c r="T25" t="s">
        <v>1074</v>
      </c>
    </row>
    <row r="26" spans="1:20" ht="16.5" customHeight="1" x14ac:dyDescent="0.45">
      <c r="A26" s="10">
        <v>83860898</v>
      </c>
      <c r="B26" s="11" t="str">
        <f t="shared" si="0"/>
        <v>8.386.089-8</v>
      </c>
      <c r="C26" s="11" t="s">
        <v>14</v>
      </c>
      <c r="D26" s="11" t="s">
        <v>115</v>
      </c>
      <c r="E26" s="11" t="s">
        <v>116</v>
      </c>
      <c r="F26" s="11" t="s">
        <v>105</v>
      </c>
      <c r="G26" s="12">
        <v>45661</v>
      </c>
      <c r="H26" s="12">
        <v>45667</v>
      </c>
      <c r="I26" s="11" t="s">
        <v>15</v>
      </c>
      <c r="J26" s="11" t="s">
        <v>200</v>
      </c>
      <c r="K26" s="11" t="s">
        <v>17</v>
      </c>
      <c r="L26" s="12">
        <v>45661</v>
      </c>
      <c r="M26" s="14">
        <v>45665</v>
      </c>
      <c r="N26" s="35"/>
      <c r="O26" t="s">
        <v>83</v>
      </c>
      <c r="P26" t="s">
        <v>83</v>
      </c>
      <c r="Q26" t="s">
        <v>83</v>
      </c>
      <c r="R26" t="s">
        <v>83</v>
      </c>
      <c r="S26" t="s">
        <v>83</v>
      </c>
      <c r="T26" t="s">
        <v>1074</v>
      </c>
    </row>
    <row r="27" spans="1:20" ht="16.5" customHeight="1" x14ac:dyDescent="0.45">
      <c r="A27" s="10">
        <v>107314261</v>
      </c>
      <c r="B27" s="11" t="str">
        <f t="shared" si="0"/>
        <v>10.731.426-1</v>
      </c>
      <c r="C27" s="11" t="s">
        <v>14</v>
      </c>
      <c r="D27" s="11" t="s">
        <v>117</v>
      </c>
      <c r="E27" s="11" t="s">
        <v>118</v>
      </c>
      <c r="F27" s="11" t="s">
        <v>119</v>
      </c>
      <c r="G27" s="12">
        <v>45661</v>
      </c>
      <c r="H27" s="12">
        <v>45665</v>
      </c>
      <c r="I27" s="11" t="s">
        <v>15</v>
      </c>
      <c r="J27" s="11" t="s">
        <v>75</v>
      </c>
      <c r="K27" s="11" t="s">
        <v>16</v>
      </c>
      <c r="L27" s="12">
        <v>45661</v>
      </c>
      <c r="M27" s="13">
        <v>45665</v>
      </c>
      <c r="N27" s="35"/>
      <c r="O27" t="s">
        <v>83</v>
      </c>
      <c r="P27" t="s">
        <v>83</v>
      </c>
      <c r="Q27" t="s">
        <v>83</v>
      </c>
      <c r="R27" t="s">
        <v>83</v>
      </c>
      <c r="S27" t="s">
        <v>83</v>
      </c>
      <c r="T27" t="s">
        <v>1074</v>
      </c>
    </row>
    <row r="28" spans="1:20" ht="16.5" customHeight="1" x14ac:dyDescent="0.45">
      <c r="A28" s="10">
        <v>107314261</v>
      </c>
      <c r="B28" s="11" t="str">
        <f t="shared" si="0"/>
        <v>10.731.426-1</v>
      </c>
      <c r="C28" s="11" t="s">
        <v>14</v>
      </c>
      <c r="D28" s="11" t="s">
        <v>117</v>
      </c>
      <c r="E28" s="11" t="s">
        <v>118</v>
      </c>
      <c r="F28" s="11" t="s">
        <v>119</v>
      </c>
      <c r="G28" s="12">
        <v>45661</v>
      </c>
      <c r="H28" s="12">
        <v>45665</v>
      </c>
      <c r="I28" s="11" t="s">
        <v>15</v>
      </c>
      <c r="J28" s="11" t="s">
        <v>75</v>
      </c>
      <c r="K28" s="11" t="s">
        <v>17</v>
      </c>
      <c r="L28" s="12">
        <v>45661</v>
      </c>
      <c r="M28" s="13">
        <v>45665</v>
      </c>
      <c r="N28" s="35"/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1074</v>
      </c>
    </row>
    <row r="29" spans="1:20" ht="16.5" customHeight="1" x14ac:dyDescent="0.45">
      <c r="A29" s="10">
        <v>85739522</v>
      </c>
      <c r="B29" s="11" t="str">
        <f t="shared" si="0"/>
        <v>8.573.952-2</v>
      </c>
      <c r="C29" s="11" t="s">
        <v>14</v>
      </c>
      <c r="D29" s="11" t="s">
        <v>120</v>
      </c>
      <c r="E29" s="11" t="s">
        <v>121</v>
      </c>
      <c r="F29" s="11" t="s">
        <v>122</v>
      </c>
      <c r="G29" s="12">
        <v>45660</v>
      </c>
      <c r="H29" s="12">
        <v>45666</v>
      </c>
      <c r="I29" s="11" t="s">
        <v>15</v>
      </c>
      <c r="J29" s="11" t="s">
        <v>48</v>
      </c>
      <c r="K29" s="11" t="s">
        <v>16</v>
      </c>
      <c r="L29" s="12">
        <v>45660</v>
      </c>
      <c r="M29" s="13">
        <v>45666</v>
      </c>
      <c r="N29" s="35"/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1074</v>
      </c>
    </row>
    <row r="30" spans="1:20" ht="16.5" customHeight="1" x14ac:dyDescent="0.45">
      <c r="A30" s="10">
        <v>85739522</v>
      </c>
      <c r="B30" s="11" t="str">
        <f t="shared" si="0"/>
        <v>8.573.952-2</v>
      </c>
      <c r="C30" s="11" t="s">
        <v>14</v>
      </c>
      <c r="D30" s="11" t="s">
        <v>120</v>
      </c>
      <c r="E30" s="11" t="s">
        <v>121</v>
      </c>
      <c r="F30" s="11" t="s">
        <v>122</v>
      </c>
      <c r="G30" s="12">
        <v>45660</v>
      </c>
      <c r="H30" s="12">
        <v>45666</v>
      </c>
      <c r="I30" s="11" t="s">
        <v>15</v>
      </c>
      <c r="J30" s="11" t="s">
        <v>48</v>
      </c>
      <c r="K30" s="11" t="s">
        <v>17</v>
      </c>
      <c r="L30" s="12">
        <v>45660</v>
      </c>
      <c r="M30" s="13">
        <v>45666</v>
      </c>
      <c r="N30" s="35"/>
      <c r="O30" t="s">
        <v>83</v>
      </c>
      <c r="P30" t="s">
        <v>83</v>
      </c>
      <c r="Q30" t="s">
        <v>83</v>
      </c>
      <c r="R30" t="s">
        <v>83</v>
      </c>
      <c r="S30" t="s">
        <v>83</v>
      </c>
      <c r="T30" t="s">
        <v>1074</v>
      </c>
    </row>
    <row r="31" spans="1:20" ht="16.5" customHeight="1" x14ac:dyDescent="0.45">
      <c r="A31" s="10">
        <v>85739522</v>
      </c>
      <c r="B31" s="11" t="str">
        <f t="shared" si="0"/>
        <v>8.573.952-2</v>
      </c>
      <c r="C31" s="11" t="s">
        <v>14</v>
      </c>
      <c r="D31" s="11" t="s">
        <v>120</v>
      </c>
      <c r="E31" s="11" t="s">
        <v>121</v>
      </c>
      <c r="F31" s="11" t="s">
        <v>122</v>
      </c>
      <c r="G31" s="12">
        <v>45660</v>
      </c>
      <c r="H31" s="12">
        <v>45666</v>
      </c>
      <c r="I31" s="11" t="s">
        <v>15</v>
      </c>
      <c r="J31" s="11" t="s">
        <v>48</v>
      </c>
      <c r="K31" s="11" t="s">
        <v>18</v>
      </c>
      <c r="L31" s="12">
        <v>45660</v>
      </c>
      <c r="M31" s="13">
        <v>45666</v>
      </c>
      <c r="N31" s="35"/>
      <c r="O31" t="s">
        <v>83</v>
      </c>
      <c r="P31" t="s">
        <v>83</v>
      </c>
      <c r="Q31" t="s">
        <v>83</v>
      </c>
      <c r="R31" t="s">
        <v>83</v>
      </c>
      <c r="S31" t="s">
        <v>83</v>
      </c>
      <c r="T31" t="s">
        <v>1074</v>
      </c>
    </row>
    <row r="32" spans="1:20" ht="16.5" customHeight="1" x14ac:dyDescent="0.45">
      <c r="A32" s="10">
        <v>60986703</v>
      </c>
      <c r="B32" s="11" t="str">
        <f t="shared" si="0"/>
        <v>6.098.670-3</v>
      </c>
      <c r="C32" s="11" t="s">
        <v>14</v>
      </c>
      <c r="D32" s="11" t="s">
        <v>123</v>
      </c>
      <c r="E32" s="11" t="s">
        <v>124</v>
      </c>
      <c r="F32" s="11" t="s">
        <v>37</v>
      </c>
      <c r="G32" s="12">
        <v>45663</v>
      </c>
      <c r="H32" s="12">
        <v>45667</v>
      </c>
      <c r="I32" s="11" t="s">
        <v>15</v>
      </c>
      <c r="J32" s="11" t="s">
        <v>72</v>
      </c>
      <c r="K32" s="11" t="s">
        <v>16</v>
      </c>
      <c r="L32" s="12">
        <v>45663</v>
      </c>
      <c r="M32" s="13">
        <v>45666</v>
      </c>
      <c r="N32" s="35"/>
      <c r="O32" t="s">
        <v>83</v>
      </c>
      <c r="P32" t="s">
        <v>83</v>
      </c>
      <c r="Q32" t="s">
        <v>83</v>
      </c>
      <c r="R32" t="s">
        <v>83</v>
      </c>
      <c r="S32" t="s">
        <v>83</v>
      </c>
      <c r="T32" t="s">
        <v>1074</v>
      </c>
    </row>
    <row r="33" spans="1:20" ht="16.5" customHeight="1" x14ac:dyDescent="0.45">
      <c r="A33" s="10">
        <v>60986703</v>
      </c>
      <c r="B33" s="11" t="str">
        <f t="shared" si="0"/>
        <v>6.098.670-3</v>
      </c>
      <c r="C33" s="11" t="s">
        <v>14</v>
      </c>
      <c r="D33" s="11" t="s">
        <v>123</v>
      </c>
      <c r="E33" s="11" t="s">
        <v>124</v>
      </c>
      <c r="F33" s="11" t="s">
        <v>37</v>
      </c>
      <c r="G33" s="12">
        <v>45663</v>
      </c>
      <c r="H33" s="12">
        <v>45667</v>
      </c>
      <c r="I33" s="11" t="s">
        <v>15</v>
      </c>
      <c r="J33" s="11" t="s">
        <v>72</v>
      </c>
      <c r="K33" s="11" t="s">
        <v>17</v>
      </c>
      <c r="L33" s="12">
        <v>45663</v>
      </c>
      <c r="M33" s="13">
        <v>45666</v>
      </c>
      <c r="N33" s="35"/>
      <c r="O33" t="s">
        <v>83</v>
      </c>
      <c r="P33" t="s">
        <v>83</v>
      </c>
      <c r="Q33" t="s">
        <v>83</v>
      </c>
      <c r="R33" t="s">
        <v>83</v>
      </c>
      <c r="S33" t="s">
        <v>83</v>
      </c>
      <c r="T33" t="s">
        <v>1074</v>
      </c>
    </row>
    <row r="34" spans="1:20" ht="16.5" customHeight="1" x14ac:dyDescent="0.45">
      <c r="A34" s="10">
        <v>60986703</v>
      </c>
      <c r="B34" s="11" t="str">
        <f t="shared" si="0"/>
        <v>6.098.670-3</v>
      </c>
      <c r="C34" s="11" t="s">
        <v>14</v>
      </c>
      <c r="D34" s="11" t="s">
        <v>123</v>
      </c>
      <c r="E34" s="11" t="s">
        <v>124</v>
      </c>
      <c r="F34" s="11" t="s">
        <v>37</v>
      </c>
      <c r="G34" s="12">
        <v>45663</v>
      </c>
      <c r="H34" s="12">
        <v>45667</v>
      </c>
      <c r="I34" s="11" t="s">
        <v>15</v>
      </c>
      <c r="J34" s="11" t="s">
        <v>72</v>
      </c>
      <c r="K34" s="11" t="s">
        <v>18</v>
      </c>
      <c r="L34" s="12">
        <v>45663</v>
      </c>
      <c r="M34" s="14">
        <v>45664</v>
      </c>
      <c r="N34" s="35"/>
      <c r="O34" t="s">
        <v>83</v>
      </c>
      <c r="P34" t="s">
        <v>83</v>
      </c>
      <c r="Q34" t="s">
        <v>83</v>
      </c>
      <c r="R34" t="s">
        <v>83</v>
      </c>
      <c r="S34" t="s">
        <v>83</v>
      </c>
      <c r="T34" t="s">
        <v>1074</v>
      </c>
    </row>
    <row r="35" spans="1:20" ht="16.5" customHeight="1" x14ac:dyDescent="0.45">
      <c r="A35" s="10">
        <v>106231540</v>
      </c>
      <c r="B35" s="11" t="str">
        <f t="shared" si="0"/>
        <v>10.623.154-0</v>
      </c>
      <c r="C35" s="11" t="s">
        <v>14</v>
      </c>
      <c r="D35" s="11" t="s">
        <v>125</v>
      </c>
      <c r="E35" s="11" t="s">
        <v>126</v>
      </c>
      <c r="F35" s="11" t="s">
        <v>127</v>
      </c>
      <c r="G35" s="12">
        <v>45663</v>
      </c>
      <c r="H35" s="12">
        <v>45665</v>
      </c>
      <c r="I35" s="11" t="s">
        <v>15</v>
      </c>
      <c r="J35" s="11" t="s">
        <v>72</v>
      </c>
      <c r="K35" s="11" t="s">
        <v>16</v>
      </c>
      <c r="L35" s="12">
        <v>45663</v>
      </c>
      <c r="M35" s="13">
        <v>45665</v>
      </c>
      <c r="N35" s="35"/>
      <c r="O35" t="s">
        <v>83</v>
      </c>
      <c r="P35" t="s">
        <v>83</v>
      </c>
      <c r="Q35" t="s">
        <v>83</v>
      </c>
      <c r="R35" t="s">
        <v>83</v>
      </c>
      <c r="S35" t="s">
        <v>83</v>
      </c>
      <c r="T35" t="s">
        <v>1074</v>
      </c>
    </row>
    <row r="36" spans="1:20" ht="16.5" customHeight="1" x14ac:dyDescent="0.45">
      <c r="A36" s="10">
        <v>106231540</v>
      </c>
      <c r="B36" s="11" t="str">
        <f t="shared" si="0"/>
        <v>10.623.154-0</v>
      </c>
      <c r="C36" s="11" t="s">
        <v>14</v>
      </c>
      <c r="D36" s="11" t="s">
        <v>125</v>
      </c>
      <c r="E36" s="11" t="s">
        <v>126</v>
      </c>
      <c r="F36" s="11" t="s">
        <v>127</v>
      </c>
      <c r="G36" s="12">
        <v>45663</v>
      </c>
      <c r="H36" s="12">
        <v>45665</v>
      </c>
      <c r="I36" s="11" t="s">
        <v>15</v>
      </c>
      <c r="J36" s="11" t="s">
        <v>72</v>
      </c>
      <c r="K36" s="11" t="s">
        <v>17</v>
      </c>
      <c r="L36" s="12">
        <v>45663</v>
      </c>
      <c r="M36" s="13">
        <v>45665</v>
      </c>
      <c r="N36" s="35"/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1074</v>
      </c>
    </row>
    <row r="37" spans="1:20" ht="16.5" customHeight="1" x14ac:dyDescent="0.45">
      <c r="A37" s="10">
        <v>116776863</v>
      </c>
      <c r="B37" s="11" t="str">
        <f t="shared" si="0"/>
        <v>11.677.686-3</v>
      </c>
      <c r="C37" s="11" t="s">
        <v>14</v>
      </c>
      <c r="D37" s="11" t="s">
        <v>128</v>
      </c>
      <c r="E37" s="11" t="s">
        <v>129</v>
      </c>
      <c r="F37" s="11" t="s">
        <v>130</v>
      </c>
      <c r="G37" s="12">
        <v>45664</v>
      </c>
      <c r="H37" s="12">
        <v>45667</v>
      </c>
      <c r="I37" s="11" t="s">
        <v>15</v>
      </c>
      <c r="J37" s="11" t="s">
        <v>72</v>
      </c>
      <c r="K37" s="11" t="s">
        <v>16</v>
      </c>
      <c r="L37" s="12">
        <v>45664</v>
      </c>
      <c r="M37" s="13">
        <v>45667</v>
      </c>
      <c r="N37" s="35"/>
      <c r="O37" t="s">
        <v>83</v>
      </c>
      <c r="P37" t="s">
        <v>83</v>
      </c>
      <c r="Q37" t="s">
        <v>83</v>
      </c>
      <c r="R37" t="s">
        <v>83</v>
      </c>
      <c r="S37" t="s">
        <v>83</v>
      </c>
      <c r="T37" t="s">
        <v>1074</v>
      </c>
    </row>
    <row r="38" spans="1:20" ht="16.5" customHeight="1" x14ac:dyDescent="0.45">
      <c r="A38" s="10">
        <v>72221370</v>
      </c>
      <c r="B38" s="11" t="str">
        <f t="shared" si="0"/>
        <v>7.222.137-0</v>
      </c>
      <c r="C38" s="11" t="s">
        <v>14</v>
      </c>
      <c r="D38" s="11" t="s">
        <v>131</v>
      </c>
      <c r="E38" s="11" t="s">
        <v>132</v>
      </c>
      <c r="F38" s="11" t="s">
        <v>133</v>
      </c>
      <c r="G38" s="12">
        <v>45664</v>
      </c>
      <c r="H38" s="12">
        <v>45667</v>
      </c>
      <c r="I38" s="11" t="s">
        <v>15</v>
      </c>
      <c r="J38" s="11" t="s">
        <v>72</v>
      </c>
      <c r="K38" s="11" t="s">
        <v>16</v>
      </c>
      <c r="L38" s="12">
        <v>45664</v>
      </c>
      <c r="M38" s="13">
        <v>45667</v>
      </c>
      <c r="N38" s="35"/>
      <c r="O38" t="s">
        <v>83</v>
      </c>
      <c r="P38" t="s">
        <v>83</v>
      </c>
      <c r="Q38" t="s">
        <v>83</v>
      </c>
      <c r="R38" t="s">
        <v>83</v>
      </c>
      <c r="S38" t="s">
        <v>83</v>
      </c>
      <c r="T38" t="s">
        <v>1074</v>
      </c>
    </row>
    <row r="39" spans="1:20" ht="16.5" customHeight="1" x14ac:dyDescent="0.45">
      <c r="A39" s="10">
        <v>72221370</v>
      </c>
      <c r="B39" s="11" t="str">
        <f t="shared" si="0"/>
        <v>7.222.137-0</v>
      </c>
      <c r="C39" s="11" t="s">
        <v>14</v>
      </c>
      <c r="D39" s="11" t="s">
        <v>131</v>
      </c>
      <c r="E39" s="11" t="s">
        <v>132</v>
      </c>
      <c r="F39" s="11" t="s">
        <v>133</v>
      </c>
      <c r="G39" s="12">
        <v>45664</v>
      </c>
      <c r="H39" s="12">
        <v>45667</v>
      </c>
      <c r="I39" s="11" t="s">
        <v>15</v>
      </c>
      <c r="J39" s="11" t="s">
        <v>72</v>
      </c>
      <c r="K39" s="11" t="s">
        <v>17</v>
      </c>
      <c r="L39" s="12">
        <v>45664</v>
      </c>
      <c r="M39" s="13">
        <v>45667</v>
      </c>
      <c r="N39" s="35"/>
      <c r="O39" t="s">
        <v>83</v>
      </c>
      <c r="P39" t="s">
        <v>83</v>
      </c>
      <c r="Q39" t="s">
        <v>83</v>
      </c>
      <c r="R39" t="s">
        <v>83</v>
      </c>
      <c r="S39" t="s">
        <v>83</v>
      </c>
      <c r="T39" t="s">
        <v>1074</v>
      </c>
    </row>
    <row r="40" spans="1:20" ht="16.5" customHeight="1" x14ac:dyDescent="0.45">
      <c r="A40" s="10">
        <v>65306670</v>
      </c>
      <c r="B40" s="11" t="str">
        <f t="shared" si="0"/>
        <v>6.530.667-0</v>
      </c>
      <c r="C40" s="11" t="s">
        <v>14</v>
      </c>
      <c r="D40" s="11" t="s">
        <v>104</v>
      </c>
      <c r="E40" s="11" t="s">
        <v>134</v>
      </c>
      <c r="F40" s="11" t="s">
        <v>135</v>
      </c>
      <c r="G40" s="12">
        <v>45666</v>
      </c>
      <c r="H40" s="12">
        <v>45671</v>
      </c>
      <c r="I40" s="11" t="s">
        <v>15</v>
      </c>
      <c r="J40" s="11" t="s">
        <v>60</v>
      </c>
      <c r="K40" s="11" t="s">
        <v>16</v>
      </c>
      <c r="L40" s="12">
        <v>45666</v>
      </c>
      <c r="M40" s="13">
        <v>45671</v>
      </c>
      <c r="N40" s="35"/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1074</v>
      </c>
    </row>
    <row r="41" spans="1:20" ht="16.5" customHeight="1" x14ac:dyDescent="0.45">
      <c r="A41" s="10">
        <v>65306670</v>
      </c>
      <c r="B41" s="11" t="str">
        <f t="shared" si="0"/>
        <v>6.530.667-0</v>
      </c>
      <c r="C41" s="11" t="s">
        <v>14</v>
      </c>
      <c r="D41" s="11" t="s">
        <v>104</v>
      </c>
      <c r="E41" s="11" t="s">
        <v>134</v>
      </c>
      <c r="F41" s="11" t="s">
        <v>135</v>
      </c>
      <c r="G41" s="12">
        <v>45666</v>
      </c>
      <c r="H41" s="12">
        <v>45671</v>
      </c>
      <c r="I41" s="11" t="s">
        <v>15</v>
      </c>
      <c r="J41" s="11" t="s">
        <v>60</v>
      </c>
      <c r="K41" s="11" t="s">
        <v>17</v>
      </c>
      <c r="L41" s="12">
        <v>45666</v>
      </c>
      <c r="M41" s="13">
        <v>45671</v>
      </c>
      <c r="N41" s="35"/>
      <c r="O41" t="s">
        <v>83</v>
      </c>
      <c r="P41" t="s">
        <v>83</v>
      </c>
      <c r="Q41" t="s">
        <v>83</v>
      </c>
      <c r="R41" t="s">
        <v>83</v>
      </c>
      <c r="S41" t="s">
        <v>83</v>
      </c>
      <c r="T41" t="s">
        <v>1074</v>
      </c>
    </row>
    <row r="42" spans="1:20" ht="16.5" customHeight="1" x14ac:dyDescent="0.45">
      <c r="A42" s="10">
        <v>271328176</v>
      </c>
      <c r="B42" s="11" t="str">
        <f t="shared" si="0"/>
        <v>27.132.817-6</v>
      </c>
      <c r="C42" s="11" t="s">
        <v>14</v>
      </c>
      <c r="D42" s="11" t="s">
        <v>136</v>
      </c>
      <c r="E42" s="11" t="s">
        <v>137</v>
      </c>
      <c r="F42" s="11" t="s">
        <v>138</v>
      </c>
      <c r="G42" s="12">
        <v>45663</v>
      </c>
      <c r="H42" s="12">
        <v>45667</v>
      </c>
      <c r="I42" s="11" t="s">
        <v>15</v>
      </c>
      <c r="J42" s="11" t="s">
        <v>60</v>
      </c>
      <c r="K42" s="11" t="s">
        <v>16</v>
      </c>
      <c r="L42" s="12">
        <v>45663</v>
      </c>
      <c r="M42" s="13">
        <v>45667</v>
      </c>
      <c r="N42" s="35"/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1074</v>
      </c>
    </row>
    <row r="43" spans="1:20" ht="16.5" customHeight="1" x14ac:dyDescent="0.45">
      <c r="A43" s="10">
        <v>271328176</v>
      </c>
      <c r="B43" s="11" t="str">
        <f t="shared" si="0"/>
        <v>27.132.817-6</v>
      </c>
      <c r="C43" s="11" t="s">
        <v>14</v>
      </c>
      <c r="D43" s="11" t="s">
        <v>136</v>
      </c>
      <c r="E43" s="11" t="s">
        <v>137</v>
      </c>
      <c r="F43" s="11" t="s">
        <v>138</v>
      </c>
      <c r="G43" s="12">
        <v>45663</v>
      </c>
      <c r="H43" s="12">
        <v>45667</v>
      </c>
      <c r="I43" s="11" t="s">
        <v>15</v>
      </c>
      <c r="J43" s="11" t="s">
        <v>60</v>
      </c>
      <c r="K43" s="11" t="s">
        <v>17</v>
      </c>
      <c r="L43" s="12">
        <v>45663</v>
      </c>
      <c r="M43" s="13">
        <v>45667</v>
      </c>
      <c r="N43" s="35"/>
      <c r="O43" t="s">
        <v>83</v>
      </c>
      <c r="P43" t="s">
        <v>83</v>
      </c>
      <c r="Q43" t="s">
        <v>83</v>
      </c>
      <c r="R43" t="s">
        <v>83</v>
      </c>
      <c r="S43" t="s">
        <v>83</v>
      </c>
      <c r="T43" t="s">
        <v>1074</v>
      </c>
    </row>
    <row r="44" spans="1:20" ht="16.5" customHeight="1" x14ac:dyDescent="0.45">
      <c r="A44" s="10">
        <v>216120094</v>
      </c>
      <c r="B44" s="11" t="str">
        <f t="shared" si="0"/>
        <v>21.612.009-4</v>
      </c>
      <c r="C44" s="11" t="s">
        <v>14</v>
      </c>
      <c r="D44" s="11" t="s">
        <v>139</v>
      </c>
      <c r="E44" s="11" t="s">
        <v>140</v>
      </c>
      <c r="F44" s="11" t="s">
        <v>141</v>
      </c>
      <c r="G44" s="12">
        <v>45669</v>
      </c>
      <c r="H44" s="12">
        <v>45673</v>
      </c>
      <c r="I44" s="11" t="s">
        <v>15</v>
      </c>
      <c r="J44" s="11" t="s">
        <v>42</v>
      </c>
      <c r="K44" s="11" t="s">
        <v>16</v>
      </c>
      <c r="L44" s="12">
        <v>45669</v>
      </c>
      <c r="M44" s="13">
        <v>45671</v>
      </c>
      <c r="N44" s="35"/>
      <c r="O44" t="s">
        <v>83</v>
      </c>
      <c r="P44" t="s">
        <v>83</v>
      </c>
      <c r="Q44" t="s">
        <v>83</v>
      </c>
      <c r="R44" t="s">
        <v>83</v>
      </c>
      <c r="S44" t="s">
        <v>83</v>
      </c>
      <c r="T44" t="s">
        <v>1074</v>
      </c>
    </row>
    <row r="45" spans="1:20" ht="16.5" customHeight="1" x14ac:dyDescent="0.45">
      <c r="A45" s="10">
        <v>121827603</v>
      </c>
      <c r="B45" s="11" t="str">
        <f t="shared" si="0"/>
        <v>12.182.760-3</v>
      </c>
      <c r="C45" s="11" t="s">
        <v>14</v>
      </c>
      <c r="D45" s="11" t="s">
        <v>142</v>
      </c>
      <c r="E45" s="11" t="s">
        <v>143</v>
      </c>
      <c r="F45" s="11" t="s">
        <v>105</v>
      </c>
      <c r="G45" s="12">
        <v>45668</v>
      </c>
      <c r="H45" s="12">
        <v>45684</v>
      </c>
      <c r="I45" s="11" t="s">
        <v>15</v>
      </c>
      <c r="J45" s="11" t="s">
        <v>60</v>
      </c>
      <c r="K45" s="11" t="s">
        <v>16</v>
      </c>
      <c r="L45" s="12">
        <v>45668</v>
      </c>
      <c r="M45" s="13">
        <v>45684</v>
      </c>
      <c r="N45" s="35"/>
      <c r="O45" t="s">
        <v>942</v>
      </c>
      <c r="P45" t="s">
        <v>83</v>
      </c>
      <c r="Q45" t="s">
        <v>83</v>
      </c>
      <c r="R45" t="s">
        <v>83</v>
      </c>
      <c r="S45" t="s">
        <v>83</v>
      </c>
      <c r="T45" t="s">
        <v>1074</v>
      </c>
    </row>
    <row r="46" spans="1:20" ht="16.5" customHeight="1" x14ac:dyDescent="0.45">
      <c r="A46" s="10">
        <v>121827603</v>
      </c>
      <c r="B46" s="11" t="str">
        <f t="shared" si="0"/>
        <v>12.182.760-3</v>
      </c>
      <c r="C46" s="11" t="s">
        <v>14</v>
      </c>
      <c r="D46" s="11" t="s">
        <v>142</v>
      </c>
      <c r="E46" s="11" t="s">
        <v>143</v>
      </c>
      <c r="F46" s="11" t="s">
        <v>105</v>
      </c>
      <c r="G46" s="12">
        <v>45668</v>
      </c>
      <c r="H46" s="12">
        <v>45684</v>
      </c>
      <c r="I46" s="11" t="s">
        <v>15</v>
      </c>
      <c r="J46" s="11" t="s">
        <v>60</v>
      </c>
      <c r="K46" s="11" t="s">
        <v>17</v>
      </c>
      <c r="L46" s="12">
        <v>45668</v>
      </c>
      <c r="M46" s="13">
        <v>45684</v>
      </c>
      <c r="N46" s="35"/>
      <c r="O46" t="s">
        <v>83</v>
      </c>
      <c r="P46" t="s">
        <v>83</v>
      </c>
      <c r="Q46" t="s">
        <v>83</v>
      </c>
      <c r="R46" t="s">
        <v>83</v>
      </c>
      <c r="S46" t="s">
        <v>83</v>
      </c>
      <c r="T46" t="s">
        <v>1074</v>
      </c>
    </row>
    <row r="47" spans="1:20" ht="16.5" customHeight="1" x14ac:dyDescent="0.45">
      <c r="A47" s="10">
        <v>121827603</v>
      </c>
      <c r="B47" s="11" t="str">
        <f t="shared" si="0"/>
        <v>12.182.760-3</v>
      </c>
      <c r="C47" s="11" t="s">
        <v>14</v>
      </c>
      <c r="D47" s="11" t="s">
        <v>142</v>
      </c>
      <c r="E47" s="11" t="s">
        <v>143</v>
      </c>
      <c r="F47" s="11" t="s">
        <v>105</v>
      </c>
      <c r="G47" s="12">
        <v>45668</v>
      </c>
      <c r="H47" s="12">
        <v>45684</v>
      </c>
      <c r="I47" s="11" t="s">
        <v>15</v>
      </c>
      <c r="J47" s="11" t="s">
        <v>60</v>
      </c>
      <c r="K47" s="11" t="s">
        <v>18</v>
      </c>
      <c r="L47" s="12">
        <v>45668</v>
      </c>
      <c r="M47" s="14">
        <v>45679</v>
      </c>
      <c r="N47" s="35"/>
      <c r="O47" t="s">
        <v>83</v>
      </c>
      <c r="P47" t="s">
        <v>83</v>
      </c>
      <c r="Q47" t="s">
        <v>83</v>
      </c>
      <c r="R47" t="s">
        <v>83</v>
      </c>
      <c r="S47" t="s">
        <v>83</v>
      </c>
      <c r="T47" t="s">
        <v>1074</v>
      </c>
    </row>
    <row r="48" spans="1:20" ht="16.5" customHeight="1" x14ac:dyDescent="0.45">
      <c r="A48" s="10">
        <v>119855063</v>
      </c>
      <c r="B48" s="11" t="str">
        <f t="shared" si="0"/>
        <v>11.985.506-3</v>
      </c>
      <c r="C48" s="11" t="s">
        <v>14</v>
      </c>
      <c r="D48" s="11" t="s">
        <v>144</v>
      </c>
      <c r="E48" s="11" t="s">
        <v>145</v>
      </c>
      <c r="F48" s="11" t="s">
        <v>146</v>
      </c>
      <c r="G48" s="12">
        <v>45668</v>
      </c>
      <c r="H48" s="12">
        <v>45673</v>
      </c>
      <c r="I48" s="11" t="s">
        <v>15</v>
      </c>
      <c r="J48" s="11" t="s">
        <v>60</v>
      </c>
      <c r="K48" s="11" t="s">
        <v>16</v>
      </c>
      <c r="L48" s="12">
        <v>45668</v>
      </c>
      <c r="M48" s="13">
        <v>45673</v>
      </c>
      <c r="N48" s="35"/>
      <c r="O48" t="s">
        <v>83</v>
      </c>
      <c r="P48" t="s">
        <v>83</v>
      </c>
      <c r="Q48" t="s">
        <v>83</v>
      </c>
      <c r="R48" t="s">
        <v>83</v>
      </c>
      <c r="S48" t="s">
        <v>83</v>
      </c>
      <c r="T48" t="s">
        <v>1074</v>
      </c>
    </row>
    <row r="49" spans="1:20" ht="16.5" customHeight="1" x14ac:dyDescent="0.45">
      <c r="A49" s="10">
        <v>119855063</v>
      </c>
      <c r="B49" s="11" t="str">
        <f t="shared" si="0"/>
        <v>11.985.506-3</v>
      </c>
      <c r="C49" s="11" t="s">
        <v>14</v>
      </c>
      <c r="D49" s="11" t="s">
        <v>144</v>
      </c>
      <c r="E49" s="11" t="s">
        <v>145</v>
      </c>
      <c r="F49" s="11" t="s">
        <v>146</v>
      </c>
      <c r="G49" s="12">
        <v>45668</v>
      </c>
      <c r="H49" s="12">
        <v>45673</v>
      </c>
      <c r="I49" s="11" t="s">
        <v>15</v>
      </c>
      <c r="J49" s="11" t="s">
        <v>60</v>
      </c>
      <c r="K49" s="11" t="s">
        <v>17</v>
      </c>
      <c r="L49" s="12">
        <v>45668</v>
      </c>
      <c r="M49" s="13">
        <v>45673</v>
      </c>
      <c r="N49" s="35"/>
      <c r="O49" t="s">
        <v>83</v>
      </c>
      <c r="P49" t="s">
        <v>83</v>
      </c>
      <c r="Q49" t="s">
        <v>83</v>
      </c>
      <c r="R49" t="s">
        <v>83</v>
      </c>
      <c r="S49" t="s">
        <v>83</v>
      </c>
      <c r="T49" t="s">
        <v>1074</v>
      </c>
    </row>
    <row r="50" spans="1:20" ht="16.5" customHeight="1" x14ac:dyDescent="0.45">
      <c r="A50" s="10">
        <v>125282512</v>
      </c>
      <c r="B50" s="11" t="str">
        <f t="shared" si="0"/>
        <v>12.528.251-2</v>
      </c>
      <c r="C50" s="11" t="s">
        <v>14</v>
      </c>
      <c r="D50" s="11" t="s">
        <v>147</v>
      </c>
      <c r="E50" s="11" t="s">
        <v>148</v>
      </c>
      <c r="F50" s="11" t="s">
        <v>149</v>
      </c>
      <c r="G50" s="12">
        <v>45670</v>
      </c>
      <c r="H50" s="12">
        <v>45673</v>
      </c>
      <c r="I50" s="11" t="s">
        <v>15</v>
      </c>
      <c r="J50" s="11" t="s">
        <v>60</v>
      </c>
      <c r="K50" s="11" t="s">
        <v>16</v>
      </c>
      <c r="L50" s="12">
        <v>45670</v>
      </c>
      <c r="M50" s="13">
        <v>45673</v>
      </c>
      <c r="N50" s="35"/>
      <c r="O50" t="s">
        <v>83</v>
      </c>
      <c r="P50" t="s">
        <v>83</v>
      </c>
      <c r="Q50" t="s">
        <v>83</v>
      </c>
      <c r="R50" t="s">
        <v>83</v>
      </c>
      <c r="S50" t="s">
        <v>83</v>
      </c>
      <c r="T50" t="s">
        <v>1074</v>
      </c>
    </row>
    <row r="51" spans="1:20" ht="16.5" customHeight="1" x14ac:dyDescent="0.45">
      <c r="A51" s="10">
        <v>125282512</v>
      </c>
      <c r="B51" s="11" t="str">
        <f t="shared" si="0"/>
        <v>12.528.251-2</v>
      </c>
      <c r="C51" s="11" t="s">
        <v>14</v>
      </c>
      <c r="D51" s="11" t="s">
        <v>147</v>
      </c>
      <c r="E51" s="11" t="s">
        <v>148</v>
      </c>
      <c r="F51" s="11" t="s">
        <v>149</v>
      </c>
      <c r="G51" s="12">
        <v>45670</v>
      </c>
      <c r="H51" s="12">
        <v>45673</v>
      </c>
      <c r="I51" s="11" t="s">
        <v>15</v>
      </c>
      <c r="J51" s="11" t="s">
        <v>60</v>
      </c>
      <c r="K51" s="11" t="s">
        <v>17</v>
      </c>
      <c r="L51" s="12">
        <v>45670</v>
      </c>
      <c r="M51" s="13">
        <v>45673</v>
      </c>
      <c r="N51" s="35"/>
      <c r="O51" t="s">
        <v>83</v>
      </c>
      <c r="P51" t="s">
        <v>83</v>
      </c>
      <c r="Q51" t="s">
        <v>83</v>
      </c>
      <c r="R51" t="s">
        <v>83</v>
      </c>
      <c r="S51" t="s">
        <v>83</v>
      </c>
      <c r="T51" t="s">
        <v>1074</v>
      </c>
    </row>
    <row r="52" spans="1:20" ht="16.5" customHeight="1" x14ac:dyDescent="0.45">
      <c r="A52" s="10">
        <v>125282512</v>
      </c>
      <c r="B52" s="11" t="str">
        <f t="shared" si="0"/>
        <v>12.528.251-2</v>
      </c>
      <c r="C52" s="11" t="s">
        <v>14</v>
      </c>
      <c r="D52" s="11" t="s">
        <v>147</v>
      </c>
      <c r="E52" s="11" t="s">
        <v>148</v>
      </c>
      <c r="F52" s="11" t="s">
        <v>149</v>
      </c>
      <c r="G52" s="12">
        <v>45670</v>
      </c>
      <c r="H52" s="12">
        <v>45673</v>
      </c>
      <c r="I52" s="11" t="s">
        <v>15</v>
      </c>
      <c r="J52" s="11" t="s">
        <v>60</v>
      </c>
      <c r="K52" s="11" t="s">
        <v>18</v>
      </c>
      <c r="L52" s="12">
        <v>45670</v>
      </c>
      <c r="M52" s="13">
        <v>45672</v>
      </c>
      <c r="N52" s="35"/>
      <c r="O52" t="s">
        <v>83</v>
      </c>
      <c r="P52" t="s">
        <v>83</v>
      </c>
      <c r="Q52" t="s">
        <v>83</v>
      </c>
      <c r="R52" t="s">
        <v>83</v>
      </c>
      <c r="S52" t="s">
        <v>83</v>
      </c>
      <c r="T52" t="s">
        <v>1074</v>
      </c>
    </row>
    <row r="53" spans="1:20" ht="16.5" customHeight="1" x14ac:dyDescent="0.45">
      <c r="A53" s="10">
        <v>68405327</v>
      </c>
      <c r="B53" s="11" t="str">
        <f t="shared" si="0"/>
        <v>6.840.532-7</v>
      </c>
      <c r="C53" s="11" t="s">
        <v>14</v>
      </c>
      <c r="D53" s="11" t="s">
        <v>150</v>
      </c>
      <c r="E53" s="11" t="s">
        <v>151</v>
      </c>
      <c r="F53" s="11" t="s">
        <v>152</v>
      </c>
      <c r="G53" s="12">
        <v>45672</v>
      </c>
      <c r="H53" s="12">
        <v>45674</v>
      </c>
      <c r="I53" s="11" t="s">
        <v>28</v>
      </c>
      <c r="J53" s="11" t="s">
        <v>60</v>
      </c>
      <c r="K53" s="11" t="s">
        <v>16</v>
      </c>
      <c r="L53" s="12">
        <v>45672</v>
      </c>
      <c r="M53" s="13">
        <v>45674</v>
      </c>
      <c r="N53" s="35"/>
      <c r="O53" t="s">
        <v>83</v>
      </c>
      <c r="P53" t="s">
        <v>83</v>
      </c>
      <c r="Q53" t="s">
        <v>83</v>
      </c>
      <c r="R53" t="s">
        <v>83</v>
      </c>
      <c r="S53" t="s">
        <v>83</v>
      </c>
      <c r="T53" t="s">
        <v>1074</v>
      </c>
    </row>
    <row r="54" spans="1:20" ht="16.5" customHeight="1" x14ac:dyDescent="0.45">
      <c r="A54" s="10">
        <v>68405327</v>
      </c>
      <c r="B54" s="11" t="str">
        <f t="shared" si="0"/>
        <v>6.840.532-7</v>
      </c>
      <c r="C54" s="11" t="s">
        <v>14</v>
      </c>
      <c r="D54" s="11" t="s">
        <v>150</v>
      </c>
      <c r="E54" s="11" t="s">
        <v>151</v>
      </c>
      <c r="F54" s="11" t="s">
        <v>152</v>
      </c>
      <c r="G54" s="12">
        <v>45672</v>
      </c>
      <c r="H54" s="12">
        <v>45674</v>
      </c>
      <c r="I54" s="11" t="s">
        <v>28</v>
      </c>
      <c r="J54" s="11" t="s">
        <v>60</v>
      </c>
      <c r="K54" s="11" t="s">
        <v>17</v>
      </c>
      <c r="L54" s="12">
        <v>45672</v>
      </c>
      <c r="M54" s="13">
        <v>45674</v>
      </c>
      <c r="N54" s="35"/>
      <c r="O54" t="s">
        <v>83</v>
      </c>
      <c r="P54" t="s">
        <v>83</v>
      </c>
      <c r="Q54" t="s">
        <v>83</v>
      </c>
      <c r="R54" t="s">
        <v>83</v>
      </c>
      <c r="S54" t="s">
        <v>83</v>
      </c>
      <c r="T54" t="s">
        <v>1074</v>
      </c>
    </row>
    <row r="55" spans="1:20" ht="16.5" customHeight="1" x14ac:dyDescent="0.45">
      <c r="A55" s="10">
        <v>68405327</v>
      </c>
      <c r="B55" s="11" t="str">
        <f t="shared" si="0"/>
        <v>6.840.532-7</v>
      </c>
      <c r="C55" s="11" t="s">
        <v>14</v>
      </c>
      <c r="D55" s="11" t="s">
        <v>150</v>
      </c>
      <c r="E55" s="11" t="s">
        <v>151</v>
      </c>
      <c r="F55" s="11" t="s">
        <v>152</v>
      </c>
      <c r="G55" s="12">
        <v>45672</v>
      </c>
      <c r="H55" s="12">
        <v>45674</v>
      </c>
      <c r="I55" s="11" t="s">
        <v>28</v>
      </c>
      <c r="J55" s="11" t="s">
        <v>60</v>
      </c>
      <c r="K55" s="11" t="s">
        <v>18</v>
      </c>
      <c r="L55" s="12">
        <v>45672</v>
      </c>
      <c r="M55" s="13">
        <v>45672</v>
      </c>
      <c r="N55" s="35"/>
      <c r="O55" t="s">
        <v>83</v>
      </c>
      <c r="P55" t="s">
        <v>83</v>
      </c>
      <c r="Q55" t="s">
        <v>83</v>
      </c>
      <c r="R55" t="s">
        <v>83</v>
      </c>
      <c r="S55" t="s">
        <v>83</v>
      </c>
      <c r="T55" t="s">
        <v>1074</v>
      </c>
    </row>
    <row r="56" spans="1:20" ht="16.5" customHeight="1" x14ac:dyDescent="0.45">
      <c r="A56" s="10">
        <v>95174787</v>
      </c>
      <c r="B56" s="11" t="str">
        <f t="shared" si="0"/>
        <v>9.517.478-7</v>
      </c>
      <c r="C56" s="11" t="s">
        <v>14</v>
      </c>
      <c r="D56" s="11" t="s">
        <v>112</v>
      </c>
      <c r="E56" s="11" t="s">
        <v>115</v>
      </c>
      <c r="F56" s="11" t="s">
        <v>153</v>
      </c>
      <c r="G56" s="12">
        <v>45672</v>
      </c>
      <c r="H56" s="12">
        <v>45683</v>
      </c>
      <c r="I56" s="11" t="s">
        <v>22</v>
      </c>
      <c r="J56" s="11" t="s">
        <v>60</v>
      </c>
      <c r="K56" s="11" t="s">
        <v>16</v>
      </c>
      <c r="L56" s="12">
        <v>45672</v>
      </c>
      <c r="M56" s="13">
        <v>45683</v>
      </c>
      <c r="N56" s="35"/>
      <c r="O56" t="s">
        <v>83</v>
      </c>
      <c r="P56" t="s">
        <v>83</v>
      </c>
      <c r="Q56" t="s">
        <v>83</v>
      </c>
      <c r="R56" t="s">
        <v>83</v>
      </c>
      <c r="S56" t="s">
        <v>83</v>
      </c>
      <c r="T56" t="s">
        <v>1074</v>
      </c>
    </row>
    <row r="57" spans="1:20" ht="16.5" customHeight="1" x14ac:dyDescent="0.45">
      <c r="A57" s="10">
        <v>95174787</v>
      </c>
      <c r="B57" s="11" t="str">
        <f t="shared" si="0"/>
        <v>9.517.478-7</v>
      </c>
      <c r="C57" s="11" t="s">
        <v>14</v>
      </c>
      <c r="D57" s="11" t="s">
        <v>112</v>
      </c>
      <c r="E57" s="11" t="s">
        <v>115</v>
      </c>
      <c r="F57" s="11" t="s">
        <v>153</v>
      </c>
      <c r="G57" s="12">
        <v>45672</v>
      </c>
      <c r="H57" s="12">
        <v>45683</v>
      </c>
      <c r="I57" s="11" t="s">
        <v>22</v>
      </c>
      <c r="J57" s="11" t="s">
        <v>60</v>
      </c>
      <c r="K57" s="11" t="s">
        <v>17</v>
      </c>
      <c r="L57" s="12">
        <v>45672</v>
      </c>
      <c r="M57" s="13">
        <v>45683</v>
      </c>
      <c r="N57" s="35"/>
      <c r="O57" t="s">
        <v>83</v>
      </c>
      <c r="P57" t="s">
        <v>83</v>
      </c>
      <c r="Q57" t="s">
        <v>83</v>
      </c>
      <c r="R57" t="s">
        <v>83</v>
      </c>
      <c r="S57" t="s">
        <v>83</v>
      </c>
      <c r="T57" t="s">
        <v>1074</v>
      </c>
    </row>
    <row r="58" spans="1:20" ht="16.5" customHeight="1" x14ac:dyDescent="0.45">
      <c r="A58" s="10">
        <v>95174787</v>
      </c>
      <c r="B58" s="11" t="str">
        <f t="shared" si="0"/>
        <v>9.517.478-7</v>
      </c>
      <c r="C58" s="11" t="s">
        <v>14</v>
      </c>
      <c r="D58" s="11" t="s">
        <v>112</v>
      </c>
      <c r="E58" s="11" t="s">
        <v>115</v>
      </c>
      <c r="F58" s="11" t="s">
        <v>153</v>
      </c>
      <c r="G58" s="12">
        <v>45672</v>
      </c>
      <c r="H58" s="12">
        <v>45683</v>
      </c>
      <c r="I58" s="11" t="s">
        <v>22</v>
      </c>
      <c r="J58" s="11" t="s">
        <v>60</v>
      </c>
      <c r="K58" s="11" t="s">
        <v>18</v>
      </c>
      <c r="L58" s="12">
        <v>45672</v>
      </c>
      <c r="M58" s="14">
        <v>45675</v>
      </c>
      <c r="N58" s="35"/>
      <c r="O58" t="s">
        <v>83</v>
      </c>
      <c r="P58" t="s">
        <v>83</v>
      </c>
      <c r="Q58" t="s">
        <v>83</v>
      </c>
      <c r="R58" t="s">
        <v>83</v>
      </c>
      <c r="S58" t="s">
        <v>83</v>
      </c>
      <c r="T58" t="s">
        <v>1074</v>
      </c>
    </row>
    <row r="59" spans="1:20" ht="16.5" customHeight="1" x14ac:dyDescent="0.45">
      <c r="A59" s="10">
        <v>140610615</v>
      </c>
      <c r="B59" s="11" t="str">
        <f t="shared" si="0"/>
        <v>14.061.061-5</v>
      </c>
      <c r="C59" s="11" t="s">
        <v>14</v>
      </c>
      <c r="D59" s="11" t="s">
        <v>154</v>
      </c>
      <c r="E59" s="11" t="s">
        <v>101</v>
      </c>
      <c r="F59" s="11" t="s">
        <v>155</v>
      </c>
      <c r="G59" s="12">
        <v>45673</v>
      </c>
      <c r="H59" s="12">
        <v>45681</v>
      </c>
      <c r="I59" s="11" t="s">
        <v>72</v>
      </c>
      <c r="J59" s="11" t="s">
        <v>60</v>
      </c>
      <c r="K59" s="11" t="s">
        <v>16</v>
      </c>
      <c r="L59" s="12">
        <v>45673</v>
      </c>
      <c r="M59" s="13">
        <v>45681</v>
      </c>
      <c r="N59" s="35"/>
      <c r="O59" t="s">
        <v>83</v>
      </c>
      <c r="P59" t="s">
        <v>83</v>
      </c>
      <c r="Q59" t="s">
        <v>83</v>
      </c>
      <c r="R59" t="s">
        <v>83</v>
      </c>
      <c r="S59" t="s">
        <v>83</v>
      </c>
      <c r="T59" t="s">
        <v>1074</v>
      </c>
    </row>
    <row r="60" spans="1:20" ht="16.5" customHeight="1" x14ac:dyDescent="0.45">
      <c r="A60" s="10">
        <v>140610615</v>
      </c>
      <c r="B60" s="11" t="str">
        <f t="shared" si="0"/>
        <v>14.061.061-5</v>
      </c>
      <c r="C60" s="11" t="s">
        <v>14</v>
      </c>
      <c r="D60" s="11" t="s">
        <v>154</v>
      </c>
      <c r="E60" s="11" t="s">
        <v>101</v>
      </c>
      <c r="F60" s="11" t="s">
        <v>155</v>
      </c>
      <c r="G60" s="12">
        <v>45673</v>
      </c>
      <c r="H60" s="12">
        <v>45681</v>
      </c>
      <c r="I60" s="11" t="s">
        <v>72</v>
      </c>
      <c r="J60" s="11" t="s">
        <v>60</v>
      </c>
      <c r="K60" s="11" t="s">
        <v>17</v>
      </c>
      <c r="L60" s="12">
        <v>45673</v>
      </c>
      <c r="M60" s="13">
        <v>45681</v>
      </c>
      <c r="N60" s="35"/>
      <c r="O60" t="s">
        <v>83</v>
      </c>
      <c r="P60" t="s">
        <v>83</v>
      </c>
      <c r="Q60" t="s">
        <v>83</v>
      </c>
      <c r="R60" t="s">
        <v>83</v>
      </c>
      <c r="S60" t="s">
        <v>83</v>
      </c>
      <c r="T60" t="s">
        <v>1074</v>
      </c>
    </row>
    <row r="61" spans="1:20" ht="16.5" customHeight="1" x14ac:dyDescent="0.45">
      <c r="A61" s="10">
        <v>140610615</v>
      </c>
      <c r="B61" s="11" t="str">
        <f t="shared" si="0"/>
        <v>14.061.061-5</v>
      </c>
      <c r="C61" s="11" t="s">
        <v>14</v>
      </c>
      <c r="D61" s="11" t="s">
        <v>154</v>
      </c>
      <c r="E61" s="11" t="s">
        <v>101</v>
      </c>
      <c r="F61" s="11" t="s">
        <v>155</v>
      </c>
      <c r="G61" s="12">
        <v>45673</v>
      </c>
      <c r="H61" s="12">
        <v>45681</v>
      </c>
      <c r="I61" s="11" t="s">
        <v>72</v>
      </c>
      <c r="J61" s="11" t="s">
        <v>60</v>
      </c>
      <c r="K61" s="11" t="s">
        <v>18</v>
      </c>
      <c r="L61" s="12">
        <v>45673</v>
      </c>
      <c r="M61" s="14">
        <v>45679</v>
      </c>
      <c r="N61" s="35"/>
      <c r="O61" t="s">
        <v>83</v>
      </c>
      <c r="P61" t="s">
        <v>83</v>
      </c>
      <c r="Q61" t="s">
        <v>83</v>
      </c>
      <c r="R61" t="s">
        <v>83</v>
      </c>
      <c r="S61" t="s">
        <v>83</v>
      </c>
      <c r="T61" t="s">
        <v>1074</v>
      </c>
    </row>
    <row r="62" spans="1:20" ht="16.5" customHeight="1" x14ac:dyDescent="0.45">
      <c r="A62" s="10">
        <v>70903660</v>
      </c>
      <c r="B62" s="11" t="str">
        <f t="shared" si="0"/>
        <v>7.090.366-0</v>
      </c>
      <c r="C62" s="11" t="s">
        <v>14</v>
      </c>
      <c r="D62" s="11" t="s">
        <v>156</v>
      </c>
      <c r="E62" s="11" t="s">
        <v>157</v>
      </c>
      <c r="F62" s="11" t="s">
        <v>158</v>
      </c>
      <c r="G62" s="12">
        <v>45673</v>
      </c>
      <c r="H62" s="12">
        <v>45675</v>
      </c>
      <c r="I62" s="11" t="s">
        <v>15</v>
      </c>
      <c r="J62" s="11" t="s">
        <v>28</v>
      </c>
      <c r="K62" s="11" t="s">
        <v>16</v>
      </c>
      <c r="L62" s="12">
        <v>45673</v>
      </c>
      <c r="M62" s="14">
        <v>45675</v>
      </c>
      <c r="N62" s="35"/>
      <c r="O62" t="s">
        <v>83</v>
      </c>
      <c r="P62" t="s">
        <v>83</v>
      </c>
      <c r="Q62" t="s">
        <v>83</v>
      </c>
      <c r="R62" t="s">
        <v>83</v>
      </c>
      <c r="S62" t="s">
        <v>83</v>
      </c>
      <c r="T62" t="s">
        <v>1074</v>
      </c>
    </row>
    <row r="63" spans="1:20" ht="16.5" customHeight="1" x14ac:dyDescent="0.45">
      <c r="A63" s="10">
        <v>70903660</v>
      </c>
      <c r="B63" s="11" t="str">
        <f t="shared" si="0"/>
        <v>7.090.366-0</v>
      </c>
      <c r="C63" s="11" t="s">
        <v>14</v>
      </c>
      <c r="D63" s="11" t="s">
        <v>156</v>
      </c>
      <c r="E63" s="11" t="s">
        <v>157</v>
      </c>
      <c r="F63" s="11" t="s">
        <v>158</v>
      </c>
      <c r="G63" s="12">
        <v>45673</v>
      </c>
      <c r="H63" s="12">
        <v>45675</v>
      </c>
      <c r="I63" s="11" t="s">
        <v>15</v>
      </c>
      <c r="J63" s="11" t="s">
        <v>28</v>
      </c>
      <c r="K63" s="11" t="s">
        <v>17</v>
      </c>
      <c r="L63" s="12">
        <v>45673</v>
      </c>
      <c r="M63" s="14">
        <v>45675</v>
      </c>
      <c r="N63" s="35"/>
      <c r="O63" t="s">
        <v>83</v>
      </c>
      <c r="P63" t="s">
        <v>83</v>
      </c>
      <c r="Q63" t="s">
        <v>83</v>
      </c>
      <c r="R63" t="s">
        <v>83</v>
      </c>
      <c r="S63" t="s">
        <v>83</v>
      </c>
      <c r="T63" t="s">
        <v>1074</v>
      </c>
    </row>
    <row r="64" spans="1:20" ht="16.5" customHeight="1" x14ac:dyDescent="0.45">
      <c r="A64" s="10">
        <v>198346047</v>
      </c>
      <c r="B64" s="11" t="str">
        <f t="shared" si="0"/>
        <v>19.834.604-7</v>
      </c>
      <c r="C64" s="11" t="s">
        <v>14</v>
      </c>
      <c r="D64" s="11" t="s">
        <v>159</v>
      </c>
      <c r="E64" s="11" t="s">
        <v>160</v>
      </c>
      <c r="F64" s="11" t="s">
        <v>161</v>
      </c>
      <c r="G64" s="12">
        <v>45673</v>
      </c>
      <c r="H64" s="12">
        <v>45676</v>
      </c>
      <c r="I64" s="11" t="s">
        <v>15</v>
      </c>
      <c r="J64" s="11" t="s">
        <v>75</v>
      </c>
      <c r="K64" s="11" t="s">
        <v>16</v>
      </c>
      <c r="L64" s="12">
        <v>45673</v>
      </c>
      <c r="M64" s="13">
        <v>45676</v>
      </c>
      <c r="N64" s="35"/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1074</v>
      </c>
    </row>
    <row r="65" spans="1:20" ht="16.5" customHeight="1" x14ac:dyDescent="0.45">
      <c r="A65" s="10">
        <v>217415632</v>
      </c>
      <c r="B65" s="11" t="str">
        <f t="shared" si="0"/>
        <v>21.741.563-2</v>
      </c>
      <c r="C65" s="11" t="s">
        <v>14</v>
      </c>
      <c r="D65" s="11" t="s">
        <v>162</v>
      </c>
      <c r="E65" s="11" t="s">
        <v>163</v>
      </c>
      <c r="F65" s="11" t="s">
        <v>164</v>
      </c>
      <c r="G65" s="12">
        <v>45674</v>
      </c>
      <c r="H65" s="12">
        <v>45681</v>
      </c>
      <c r="I65" s="11" t="s">
        <v>165</v>
      </c>
      <c r="J65" s="11" t="s">
        <v>60</v>
      </c>
      <c r="K65" s="11" t="s">
        <v>16</v>
      </c>
      <c r="L65" s="12">
        <v>45674</v>
      </c>
      <c r="M65" s="13">
        <v>45681</v>
      </c>
      <c r="N65" s="35"/>
      <c r="O65" t="s">
        <v>83</v>
      </c>
      <c r="P65" t="s">
        <v>83</v>
      </c>
      <c r="Q65" t="s">
        <v>83</v>
      </c>
      <c r="R65" t="s">
        <v>83</v>
      </c>
      <c r="S65" t="s">
        <v>83</v>
      </c>
      <c r="T65" t="s">
        <v>1074</v>
      </c>
    </row>
    <row r="66" spans="1:20" ht="16.5" customHeight="1" x14ac:dyDescent="0.45">
      <c r="A66" s="10">
        <v>217415632</v>
      </c>
      <c r="B66" s="11" t="str">
        <f t="shared" si="0"/>
        <v>21.741.563-2</v>
      </c>
      <c r="C66" s="11" t="s">
        <v>14</v>
      </c>
      <c r="D66" s="11" t="s">
        <v>162</v>
      </c>
      <c r="E66" s="11" t="s">
        <v>163</v>
      </c>
      <c r="F66" s="11" t="s">
        <v>164</v>
      </c>
      <c r="G66" s="12">
        <v>45674</v>
      </c>
      <c r="H66" s="12">
        <v>45681</v>
      </c>
      <c r="I66" s="11" t="s">
        <v>165</v>
      </c>
      <c r="J66" s="11" t="s">
        <v>60</v>
      </c>
      <c r="K66" s="11" t="s">
        <v>17</v>
      </c>
      <c r="L66" s="12">
        <v>45674</v>
      </c>
      <c r="M66" s="14">
        <v>45677</v>
      </c>
      <c r="N66" s="35"/>
      <c r="O66" t="s">
        <v>83</v>
      </c>
      <c r="P66" t="s">
        <v>83</v>
      </c>
      <c r="Q66" t="s">
        <v>83</v>
      </c>
      <c r="R66" t="s">
        <v>83</v>
      </c>
      <c r="S66" t="s">
        <v>83</v>
      </c>
      <c r="T66" t="s">
        <v>1074</v>
      </c>
    </row>
    <row r="67" spans="1:20" ht="16.5" customHeight="1" x14ac:dyDescent="0.45">
      <c r="A67" s="10">
        <v>217415632</v>
      </c>
      <c r="B67" s="11" t="str">
        <f t="shared" si="0"/>
        <v>21.741.563-2</v>
      </c>
      <c r="C67" s="11" t="s">
        <v>14</v>
      </c>
      <c r="D67" s="11" t="s">
        <v>162</v>
      </c>
      <c r="E67" s="11" t="s">
        <v>163</v>
      </c>
      <c r="F67" s="11" t="s">
        <v>164</v>
      </c>
      <c r="G67" s="12">
        <v>45674</v>
      </c>
      <c r="H67" s="12">
        <v>45681</v>
      </c>
      <c r="I67" s="11" t="s">
        <v>165</v>
      </c>
      <c r="J67" s="11" t="s">
        <v>60</v>
      </c>
      <c r="K67" s="11" t="s">
        <v>18</v>
      </c>
      <c r="L67" s="12">
        <v>45674</v>
      </c>
      <c r="M67" s="14">
        <v>45674</v>
      </c>
      <c r="N67" s="35"/>
      <c r="O67" t="s">
        <v>83</v>
      </c>
      <c r="P67" t="s">
        <v>83</v>
      </c>
      <c r="Q67" t="s">
        <v>83</v>
      </c>
      <c r="R67" t="s">
        <v>83</v>
      </c>
      <c r="S67" t="s">
        <v>83</v>
      </c>
      <c r="T67" t="s">
        <v>1074</v>
      </c>
    </row>
    <row r="68" spans="1:20" ht="16.5" customHeight="1" x14ac:dyDescent="0.45">
      <c r="A68" s="10">
        <v>106763658</v>
      </c>
      <c r="B68" s="11" t="str">
        <f t="shared" si="0"/>
        <v>10.676.365-8</v>
      </c>
      <c r="C68" s="11" t="s">
        <v>14</v>
      </c>
      <c r="D68" s="11" t="s">
        <v>172</v>
      </c>
      <c r="E68" s="11" t="s">
        <v>159</v>
      </c>
      <c r="F68" s="11" t="s">
        <v>171</v>
      </c>
      <c r="G68" s="12">
        <v>45674</v>
      </c>
      <c r="H68" s="12">
        <v>45679</v>
      </c>
      <c r="I68" s="11" t="s">
        <v>15</v>
      </c>
      <c r="J68" s="11" t="s">
        <v>60</v>
      </c>
      <c r="K68" s="11" t="s">
        <v>16</v>
      </c>
      <c r="L68" s="12">
        <v>45674</v>
      </c>
      <c r="M68" s="13">
        <v>45679</v>
      </c>
      <c r="N68" s="35"/>
      <c r="O68" t="s">
        <v>83</v>
      </c>
      <c r="P68" t="s">
        <v>83</v>
      </c>
      <c r="Q68" t="s">
        <v>83</v>
      </c>
      <c r="R68" t="s">
        <v>83</v>
      </c>
      <c r="S68" t="s">
        <v>83</v>
      </c>
      <c r="T68" t="s">
        <v>1074</v>
      </c>
    </row>
    <row r="69" spans="1:20" ht="16.5" customHeight="1" x14ac:dyDescent="0.45">
      <c r="A69" s="10">
        <v>212661392</v>
      </c>
      <c r="B69" s="11" t="str">
        <f t="shared" si="0"/>
        <v>21.266.139-2</v>
      </c>
      <c r="C69" s="11" t="s">
        <v>14</v>
      </c>
      <c r="D69" s="11" t="s">
        <v>173</v>
      </c>
      <c r="E69" s="11" t="s">
        <v>174</v>
      </c>
      <c r="F69" s="11" t="s">
        <v>175</v>
      </c>
      <c r="G69" s="12">
        <v>45677</v>
      </c>
      <c r="H69" s="12">
        <v>45679</v>
      </c>
      <c r="I69" s="11" t="s">
        <v>15</v>
      </c>
      <c r="J69" s="11" t="s">
        <v>176</v>
      </c>
      <c r="K69" s="11" t="s">
        <v>16</v>
      </c>
      <c r="L69" s="12">
        <v>45677</v>
      </c>
      <c r="M69" s="13">
        <v>45679</v>
      </c>
      <c r="N69" s="35"/>
      <c r="O69" t="s">
        <v>83</v>
      </c>
      <c r="P69" t="s">
        <v>83</v>
      </c>
      <c r="Q69" t="s">
        <v>83</v>
      </c>
      <c r="R69" t="s">
        <v>83</v>
      </c>
      <c r="S69" t="s">
        <v>83</v>
      </c>
      <c r="T69" t="s">
        <v>1074</v>
      </c>
    </row>
    <row r="70" spans="1:20" ht="16.5" customHeight="1" x14ac:dyDescent="0.45">
      <c r="A70" s="10">
        <v>212661392</v>
      </c>
      <c r="B70" s="11" t="str">
        <f t="shared" si="0"/>
        <v>21.266.139-2</v>
      </c>
      <c r="C70" s="11" t="s">
        <v>14</v>
      </c>
      <c r="D70" s="11" t="s">
        <v>173</v>
      </c>
      <c r="E70" s="11" t="s">
        <v>174</v>
      </c>
      <c r="F70" s="11" t="s">
        <v>175</v>
      </c>
      <c r="G70" s="12">
        <v>45677</v>
      </c>
      <c r="H70" s="12">
        <v>45679</v>
      </c>
      <c r="I70" s="11" t="s">
        <v>15</v>
      </c>
      <c r="J70" s="11" t="s">
        <v>176</v>
      </c>
      <c r="K70" s="11" t="s">
        <v>17</v>
      </c>
      <c r="L70" s="12">
        <v>45677</v>
      </c>
      <c r="M70" s="13">
        <v>45679</v>
      </c>
      <c r="N70" s="35"/>
      <c r="O70" t="s">
        <v>83</v>
      </c>
      <c r="P70" t="s">
        <v>83</v>
      </c>
      <c r="Q70" t="s">
        <v>83</v>
      </c>
      <c r="R70" t="s">
        <v>83</v>
      </c>
      <c r="S70" t="s">
        <v>83</v>
      </c>
      <c r="T70" t="s">
        <v>1074</v>
      </c>
    </row>
    <row r="71" spans="1:20" ht="16.5" customHeight="1" x14ac:dyDescent="0.45">
      <c r="A71" s="10">
        <v>212661392</v>
      </c>
      <c r="B71" s="11" t="str">
        <f t="shared" si="0"/>
        <v>21.266.139-2</v>
      </c>
      <c r="C71" s="11" t="s">
        <v>14</v>
      </c>
      <c r="D71" s="11" t="s">
        <v>173</v>
      </c>
      <c r="E71" s="11" t="s">
        <v>174</v>
      </c>
      <c r="F71" s="11" t="s">
        <v>175</v>
      </c>
      <c r="G71" s="12">
        <v>45677</v>
      </c>
      <c r="H71" s="12">
        <v>45679</v>
      </c>
      <c r="I71" s="11" t="s">
        <v>15</v>
      </c>
      <c r="J71" s="11" t="s">
        <v>176</v>
      </c>
      <c r="K71" s="11" t="s">
        <v>18</v>
      </c>
      <c r="L71" s="12">
        <v>45677</v>
      </c>
      <c r="M71" s="13">
        <v>45679</v>
      </c>
      <c r="N71" s="35"/>
      <c r="O71" t="s">
        <v>83</v>
      </c>
      <c r="P71" t="s">
        <v>83</v>
      </c>
      <c r="Q71" t="s">
        <v>83</v>
      </c>
      <c r="R71" t="s">
        <v>83</v>
      </c>
      <c r="S71" t="s">
        <v>83</v>
      </c>
      <c r="T71" t="s">
        <v>1074</v>
      </c>
    </row>
    <row r="72" spans="1:20" ht="16.5" customHeight="1" x14ac:dyDescent="0.45">
      <c r="A72" s="10">
        <v>416809593</v>
      </c>
      <c r="B72" s="11" t="str">
        <f t="shared" si="0"/>
        <v>41.680.959-3</v>
      </c>
      <c r="C72" s="11" t="s">
        <v>14</v>
      </c>
      <c r="D72" s="11" t="s">
        <v>177</v>
      </c>
      <c r="E72" s="11" t="s">
        <v>178</v>
      </c>
      <c r="F72" s="11" t="s">
        <v>179</v>
      </c>
      <c r="G72" s="12">
        <v>45675</v>
      </c>
      <c r="H72" s="12">
        <v>45677</v>
      </c>
      <c r="I72" s="11" t="s">
        <v>15</v>
      </c>
      <c r="J72" s="11" t="s">
        <v>72</v>
      </c>
      <c r="K72" s="11" t="s">
        <v>16</v>
      </c>
      <c r="L72" s="12">
        <v>45675</v>
      </c>
      <c r="M72" s="13">
        <v>45677</v>
      </c>
      <c r="N72" s="35"/>
      <c r="O72" t="s">
        <v>83</v>
      </c>
      <c r="P72" t="s">
        <v>83</v>
      </c>
      <c r="Q72" t="s">
        <v>83</v>
      </c>
      <c r="R72" t="s">
        <v>83</v>
      </c>
      <c r="S72" t="s">
        <v>83</v>
      </c>
      <c r="T72" t="s">
        <v>1074</v>
      </c>
    </row>
    <row r="73" spans="1:20" ht="16.5" customHeight="1" x14ac:dyDescent="0.45">
      <c r="A73" s="10">
        <v>144336992</v>
      </c>
      <c r="B73" s="11" t="str">
        <f t="shared" si="0"/>
        <v>14.433.699-2</v>
      </c>
      <c r="C73" s="11" t="s">
        <v>14</v>
      </c>
      <c r="D73" s="11" t="s">
        <v>180</v>
      </c>
      <c r="E73" s="11" t="s">
        <v>181</v>
      </c>
      <c r="F73" s="11" t="s">
        <v>37</v>
      </c>
      <c r="G73" s="12">
        <v>45676</v>
      </c>
      <c r="H73" s="12">
        <v>45686</v>
      </c>
      <c r="I73" s="11" t="s">
        <v>75</v>
      </c>
      <c r="J73" s="11" t="s">
        <v>72</v>
      </c>
      <c r="K73" s="11" t="s">
        <v>16</v>
      </c>
      <c r="L73" s="12">
        <v>45676</v>
      </c>
      <c r="M73" s="14">
        <v>45686</v>
      </c>
      <c r="N73" s="35"/>
      <c r="O73" t="s">
        <v>83</v>
      </c>
      <c r="P73" t="s">
        <v>83</v>
      </c>
      <c r="Q73" t="s">
        <v>83</v>
      </c>
      <c r="R73" t="s">
        <v>83</v>
      </c>
      <c r="S73" t="s">
        <v>83</v>
      </c>
      <c r="T73" t="s">
        <v>1074</v>
      </c>
    </row>
    <row r="74" spans="1:20" ht="16.5" customHeight="1" x14ac:dyDescent="0.45">
      <c r="A74" s="10">
        <v>144336992</v>
      </c>
      <c r="B74" s="11" t="str">
        <f t="shared" si="0"/>
        <v>14.433.699-2</v>
      </c>
      <c r="C74" s="11" t="s">
        <v>14</v>
      </c>
      <c r="D74" s="11" t="s">
        <v>180</v>
      </c>
      <c r="E74" s="11" t="s">
        <v>181</v>
      </c>
      <c r="F74" s="11" t="s">
        <v>37</v>
      </c>
      <c r="G74" s="12">
        <v>45676</v>
      </c>
      <c r="H74" s="12">
        <v>45686</v>
      </c>
      <c r="I74" s="11" t="s">
        <v>75</v>
      </c>
      <c r="J74" s="11" t="s">
        <v>72</v>
      </c>
      <c r="K74" s="11" t="s">
        <v>17</v>
      </c>
      <c r="L74" s="12">
        <v>45676</v>
      </c>
      <c r="M74" s="14">
        <v>45681</v>
      </c>
      <c r="N74" s="35"/>
      <c r="O74" t="s">
        <v>83</v>
      </c>
      <c r="P74" t="s">
        <v>83</v>
      </c>
      <c r="Q74" t="s">
        <v>83</v>
      </c>
      <c r="R74" t="s">
        <v>83</v>
      </c>
      <c r="S74" t="s">
        <v>83</v>
      </c>
      <c r="T74" t="s">
        <v>1074</v>
      </c>
    </row>
    <row r="75" spans="1:20" ht="16.5" customHeight="1" x14ac:dyDescent="0.45">
      <c r="A75" s="10">
        <v>144336992</v>
      </c>
      <c r="B75" s="11" t="str">
        <f t="shared" si="0"/>
        <v>14.433.699-2</v>
      </c>
      <c r="C75" s="11" t="s">
        <v>14</v>
      </c>
      <c r="D75" s="11" t="s">
        <v>180</v>
      </c>
      <c r="E75" s="11" t="s">
        <v>181</v>
      </c>
      <c r="F75" s="11" t="s">
        <v>37</v>
      </c>
      <c r="G75" s="12">
        <v>45676</v>
      </c>
      <c r="H75" s="12">
        <v>45686</v>
      </c>
      <c r="I75" s="11" t="s">
        <v>75</v>
      </c>
      <c r="J75" s="11" t="s">
        <v>72</v>
      </c>
      <c r="K75" s="11" t="s">
        <v>18</v>
      </c>
      <c r="L75" s="12">
        <v>45676</v>
      </c>
      <c r="M75" s="14">
        <v>45679</v>
      </c>
      <c r="N75" s="35"/>
      <c r="O75" t="s">
        <v>83</v>
      </c>
      <c r="P75" t="s">
        <v>83</v>
      </c>
      <c r="Q75" t="s">
        <v>83</v>
      </c>
      <c r="R75" t="s">
        <v>83</v>
      </c>
      <c r="S75" t="s">
        <v>83</v>
      </c>
      <c r="T75" t="s">
        <v>1074</v>
      </c>
    </row>
    <row r="76" spans="1:20" ht="16.5" customHeight="1" x14ac:dyDescent="0.45">
      <c r="A76" s="10">
        <v>57738006</v>
      </c>
      <c r="B76" s="11" t="str">
        <f t="shared" si="0"/>
        <v>5.773.800-6</v>
      </c>
      <c r="C76" s="11" t="s">
        <v>14</v>
      </c>
      <c r="D76" s="11" t="s">
        <v>182</v>
      </c>
      <c r="E76" s="11" t="s">
        <v>183</v>
      </c>
      <c r="F76" s="11" t="s">
        <v>184</v>
      </c>
      <c r="G76" s="12">
        <v>45679</v>
      </c>
      <c r="H76" s="12">
        <v>45684</v>
      </c>
      <c r="I76" s="11" t="s">
        <v>60</v>
      </c>
      <c r="J76" s="11" t="s">
        <v>106</v>
      </c>
      <c r="K76" s="11" t="s">
        <v>16</v>
      </c>
      <c r="L76" s="12">
        <v>45679</v>
      </c>
      <c r="M76" s="13">
        <v>45684</v>
      </c>
      <c r="N76" s="35"/>
      <c r="O76" t="s">
        <v>83</v>
      </c>
      <c r="P76" t="s">
        <v>83</v>
      </c>
      <c r="Q76" t="s">
        <v>83</v>
      </c>
      <c r="R76" t="s">
        <v>83</v>
      </c>
      <c r="S76" t="s">
        <v>83</v>
      </c>
      <c r="T76" t="s">
        <v>1074</v>
      </c>
    </row>
    <row r="77" spans="1:20" ht="16.5" customHeight="1" x14ac:dyDescent="0.45">
      <c r="A77" s="10">
        <v>57738006</v>
      </c>
      <c r="B77" s="11" t="str">
        <f t="shared" si="0"/>
        <v>5.773.800-6</v>
      </c>
      <c r="C77" s="11" t="s">
        <v>14</v>
      </c>
      <c r="D77" s="11" t="s">
        <v>182</v>
      </c>
      <c r="E77" s="11" t="s">
        <v>183</v>
      </c>
      <c r="F77" s="11" t="s">
        <v>184</v>
      </c>
      <c r="G77" s="12">
        <v>45679</v>
      </c>
      <c r="H77" s="12">
        <v>45684</v>
      </c>
      <c r="I77" s="11" t="s">
        <v>60</v>
      </c>
      <c r="J77" s="11" t="s">
        <v>106</v>
      </c>
      <c r="K77" s="11" t="s">
        <v>17</v>
      </c>
      <c r="L77" s="12">
        <v>45679</v>
      </c>
      <c r="M77" s="13">
        <v>45684</v>
      </c>
      <c r="N77" s="35"/>
      <c r="O77" t="s">
        <v>83</v>
      </c>
      <c r="P77" t="s">
        <v>83</v>
      </c>
      <c r="Q77" t="s">
        <v>83</v>
      </c>
      <c r="R77" t="s">
        <v>83</v>
      </c>
      <c r="S77" t="s">
        <v>83</v>
      </c>
      <c r="T77" t="s">
        <v>1074</v>
      </c>
    </row>
    <row r="78" spans="1:20" ht="16.5" customHeight="1" x14ac:dyDescent="0.45">
      <c r="A78" s="10">
        <v>57738006</v>
      </c>
      <c r="B78" s="11" t="str">
        <f t="shared" si="0"/>
        <v>5.773.800-6</v>
      </c>
      <c r="C78" s="11" t="s">
        <v>14</v>
      </c>
      <c r="D78" s="11" t="s">
        <v>182</v>
      </c>
      <c r="E78" s="11" t="s">
        <v>183</v>
      </c>
      <c r="F78" s="11" t="s">
        <v>184</v>
      </c>
      <c r="G78" s="12">
        <v>45679</v>
      </c>
      <c r="H78" s="12">
        <v>45684</v>
      </c>
      <c r="I78" s="11" t="s">
        <v>60</v>
      </c>
      <c r="J78" s="11" t="s">
        <v>106</v>
      </c>
      <c r="K78" s="11" t="s">
        <v>18</v>
      </c>
      <c r="L78" s="12">
        <v>45679</v>
      </c>
      <c r="M78" s="13">
        <v>45684</v>
      </c>
      <c r="N78" s="35"/>
      <c r="O78" t="s">
        <v>83</v>
      </c>
      <c r="P78" t="s">
        <v>83</v>
      </c>
      <c r="Q78" t="s">
        <v>83</v>
      </c>
      <c r="R78" t="s">
        <v>83</v>
      </c>
      <c r="S78" t="s">
        <v>83</v>
      </c>
      <c r="T78" t="s">
        <v>1074</v>
      </c>
    </row>
    <row r="79" spans="1:20" ht="16.5" customHeight="1" x14ac:dyDescent="0.45">
      <c r="A79" s="10">
        <v>75089988</v>
      </c>
      <c r="B79" s="11" t="str">
        <f t="shared" si="0"/>
        <v>7.508.998-8</v>
      </c>
      <c r="C79" s="11" t="s">
        <v>14</v>
      </c>
      <c r="D79" s="11" t="s">
        <v>154</v>
      </c>
      <c r="E79" s="11" t="s">
        <v>30</v>
      </c>
      <c r="F79" s="11" t="s">
        <v>185</v>
      </c>
      <c r="G79" s="12">
        <v>45677</v>
      </c>
      <c r="H79" s="12">
        <v>45685</v>
      </c>
      <c r="I79" s="11" t="s">
        <v>15</v>
      </c>
      <c r="J79" s="11" t="s">
        <v>60</v>
      </c>
      <c r="K79" s="11" t="s">
        <v>16</v>
      </c>
      <c r="L79" s="12">
        <v>45677</v>
      </c>
      <c r="M79" s="13">
        <v>45685</v>
      </c>
      <c r="N79" s="35"/>
      <c r="O79" t="s">
        <v>83</v>
      </c>
      <c r="P79" t="s">
        <v>83</v>
      </c>
      <c r="Q79" t="s">
        <v>83</v>
      </c>
      <c r="R79" t="s">
        <v>83</v>
      </c>
      <c r="S79" t="s">
        <v>83</v>
      </c>
      <c r="T79" t="s">
        <v>1074</v>
      </c>
    </row>
    <row r="80" spans="1:20" ht="16.5" customHeight="1" x14ac:dyDescent="0.45">
      <c r="A80" s="10">
        <v>75089988</v>
      </c>
      <c r="B80" s="11" t="str">
        <f t="shared" si="0"/>
        <v>7.508.998-8</v>
      </c>
      <c r="C80" s="11" t="s">
        <v>14</v>
      </c>
      <c r="D80" s="11" t="s">
        <v>154</v>
      </c>
      <c r="E80" s="11" t="s">
        <v>30</v>
      </c>
      <c r="F80" s="11" t="s">
        <v>185</v>
      </c>
      <c r="G80" s="12">
        <v>45677</v>
      </c>
      <c r="H80" s="12">
        <v>45685</v>
      </c>
      <c r="I80" s="11" t="s">
        <v>15</v>
      </c>
      <c r="J80" s="11" t="s">
        <v>60</v>
      </c>
      <c r="K80" s="11" t="s">
        <v>17</v>
      </c>
      <c r="L80" s="12">
        <v>45677</v>
      </c>
      <c r="M80" s="13">
        <v>45685</v>
      </c>
      <c r="N80" s="35"/>
      <c r="O80" t="s">
        <v>83</v>
      </c>
      <c r="P80" t="s">
        <v>83</v>
      </c>
      <c r="Q80" t="s">
        <v>83</v>
      </c>
      <c r="R80" t="s">
        <v>83</v>
      </c>
      <c r="S80" t="s">
        <v>83</v>
      </c>
      <c r="T80" t="s">
        <v>1074</v>
      </c>
    </row>
    <row r="81" spans="1:20" ht="16.5" customHeight="1" x14ac:dyDescent="0.45">
      <c r="A81" s="10">
        <v>75089988</v>
      </c>
      <c r="B81" s="11" t="str">
        <f t="shared" si="0"/>
        <v>7.508.998-8</v>
      </c>
      <c r="C81" s="11" t="s">
        <v>14</v>
      </c>
      <c r="D81" s="11" t="s">
        <v>154</v>
      </c>
      <c r="E81" s="11" t="s">
        <v>30</v>
      </c>
      <c r="F81" s="11" t="s">
        <v>185</v>
      </c>
      <c r="G81" s="12">
        <v>45677</v>
      </c>
      <c r="H81" s="12">
        <v>45685</v>
      </c>
      <c r="I81" s="11" t="s">
        <v>15</v>
      </c>
      <c r="J81" s="11" t="s">
        <v>60</v>
      </c>
      <c r="K81" s="11" t="s">
        <v>18</v>
      </c>
      <c r="L81" s="12">
        <v>45677</v>
      </c>
      <c r="M81" s="14">
        <v>45683</v>
      </c>
      <c r="N81" s="35"/>
      <c r="O81" t="s">
        <v>83</v>
      </c>
      <c r="P81" t="s">
        <v>83</v>
      </c>
      <c r="Q81" t="s">
        <v>83</v>
      </c>
      <c r="R81" t="s">
        <v>83</v>
      </c>
      <c r="S81" t="s">
        <v>83</v>
      </c>
      <c r="T81" t="s">
        <v>1074</v>
      </c>
    </row>
    <row r="82" spans="1:20" ht="16.5" customHeight="1" x14ac:dyDescent="0.45">
      <c r="A82" s="10">
        <v>53532349</v>
      </c>
      <c r="B82" s="11" t="str">
        <f t="shared" si="0"/>
        <v>5.353.234-9</v>
      </c>
      <c r="C82" s="11" t="s">
        <v>14</v>
      </c>
      <c r="D82" s="11" t="s">
        <v>145</v>
      </c>
      <c r="E82" s="11" t="s">
        <v>186</v>
      </c>
      <c r="F82" s="11" t="s">
        <v>187</v>
      </c>
      <c r="G82" s="12">
        <v>45679</v>
      </c>
      <c r="H82" s="12">
        <v>45681</v>
      </c>
      <c r="I82" s="11" t="s">
        <v>15</v>
      </c>
      <c r="J82" s="11" t="s">
        <v>106</v>
      </c>
      <c r="K82" s="11" t="s">
        <v>17</v>
      </c>
      <c r="L82" s="12">
        <v>45679</v>
      </c>
      <c r="M82" s="13">
        <v>45681</v>
      </c>
      <c r="N82" s="35"/>
      <c r="O82" t="s">
        <v>83</v>
      </c>
      <c r="P82" t="s">
        <v>83</v>
      </c>
      <c r="Q82" t="s">
        <v>83</v>
      </c>
      <c r="R82" t="s">
        <v>83</v>
      </c>
      <c r="S82" t="s">
        <v>83</v>
      </c>
      <c r="T82" t="s">
        <v>1074</v>
      </c>
    </row>
    <row r="83" spans="1:20" ht="16.5" customHeight="1" x14ac:dyDescent="0.45">
      <c r="A83" s="10">
        <v>53532349</v>
      </c>
      <c r="B83" s="11" t="str">
        <f t="shared" si="0"/>
        <v>5.353.234-9</v>
      </c>
      <c r="C83" s="11" t="s">
        <v>14</v>
      </c>
      <c r="D83" s="11" t="s">
        <v>145</v>
      </c>
      <c r="E83" s="11" t="s">
        <v>186</v>
      </c>
      <c r="F83" s="11" t="s">
        <v>187</v>
      </c>
      <c r="G83" s="12">
        <v>45679</v>
      </c>
      <c r="H83" s="12">
        <v>45681</v>
      </c>
      <c r="I83" s="11" t="s">
        <v>15</v>
      </c>
      <c r="J83" s="11" t="s">
        <v>106</v>
      </c>
      <c r="K83" s="11" t="s">
        <v>18</v>
      </c>
      <c r="L83" s="12">
        <v>45679</v>
      </c>
      <c r="M83" s="13">
        <v>45681</v>
      </c>
      <c r="N83" s="35"/>
      <c r="O83" t="s">
        <v>83</v>
      </c>
      <c r="P83" t="s">
        <v>83</v>
      </c>
      <c r="Q83" t="s">
        <v>83</v>
      </c>
      <c r="R83" t="s">
        <v>83</v>
      </c>
      <c r="S83" t="s">
        <v>83</v>
      </c>
      <c r="T83" t="s">
        <v>1074</v>
      </c>
    </row>
    <row r="84" spans="1:20" ht="16.5" customHeight="1" x14ac:dyDescent="0.45">
      <c r="A84" s="10">
        <v>102959906</v>
      </c>
      <c r="B84" s="11" t="str">
        <f t="shared" si="0"/>
        <v>10.295.990-6</v>
      </c>
      <c r="C84" s="11" t="s">
        <v>14</v>
      </c>
      <c r="D84" s="11" t="s">
        <v>201</v>
      </c>
      <c r="E84" s="11" t="s">
        <v>202</v>
      </c>
      <c r="F84" s="11" t="s">
        <v>171</v>
      </c>
      <c r="G84" s="12">
        <v>45683</v>
      </c>
      <c r="H84" s="12"/>
      <c r="I84" s="11" t="s">
        <v>72</v>
      </c>
      <c r="J84" s="11" t="s">
        <v>206</v>
      </c>
      <c r="K84" s="11" t="s">
        <v>16</v>
      </c>
      <c r="L84" s="12">
        <v>45683</v>
      </c>
      <c r="M84" s="14">
        <v>45688</v>
      </c>
      <c r="N84" s="35"/>
      <c r="O84" t="s">
        <v>83</v>
      </c>
      <c r="P84" t="s">
        <v>83</v>
      </c>
      <c r="Q84" t="s">
        <v>83</v>
      </c>
      <c r="R84" t="s">
        <v>83</v>
      </c>
      <c r="S84" t="s">
        <v>83</v>
      </c>
      <c r="T84" t="s">
        <v>1074</v>
      </c>
    </row>
    <row r="85" spans="1:20" ht="16.5" customHeight="1" x14ac:dyDescent="0.45">
      <c r="A85" s="10">
        <v>102959906</v>
      </c>
      <c r="B85" s="11" t="str">
        <f t="shared" si="0"/>
        <v>10.295.990-6</v>
      </c>
      <c r="C85" s="11" t="s">
        <v>14</v>
      </c>
      <c r="D85" s="11" t="s">
        <v>201</v>
      </c>
      <c r="E85" s="11" t="s">
        <v>202</v>
      </c>
      <c r="F85" s="11" t="s">
        <v>171</v>
      </c>
      <c r="G85" s="12">
        <v>45683</v>
      </c>
      <c r="H85" s="12"/>
      <c r="I85" s="11" t="s">
        <v>72</v>
      </c>
      <c r="J85" s="11" t="s">
        <v>206</v>
      </c>
      <c r="K85" s="11" t="s">
        <v>17</v>
      </c>
      <c r="L85" s="12">
        <v>45683</v>
      </c>
      <c r="M85" s="14">
        <v>45688</v>
      </c>
      <c r="N85" s="35"/>
      <c r="O85" t="s">
        <v>83</v>
      </c>
      <c r="P85" t="s">
        <v>83</v>
      </c>
      <c r="Q85" t="s">
        <v>83</v>
      </c>
      <c r="R85" t="s">
        <v>83</v>
      </c>
      <c r="S85" t="s">
        <v>83</v>
      </c>
      <c r="T85" t="s">
        <v>1074</v>
      </c>
    </row>
    <row r="86" spans="1:20" ht="16.5" customHeight="1" x14ac:dyDescent="0.45">
      <c r="A86" s="10">
        <v>123212614</v>
      </c>
      <c r="B86" s="11" t="str">
        <f t="shared" si="0"/>
        <v>12.321.261-4</v>
      </c>
      <c r="C86" s="11" t="s">
        <v>14</v>
      </c>
      <c r="D86" s="11" t="s">
        <v>203</v>
      </c>
      <c r="E86" s="11" t="s">
        <v>204</v>
      </c>
      <c r="F86" s="11" t="s">
        <v>205</v>
      </c>
      <c r="G86" s="12">
        <v>45684</v>
      </c>
      <c r="H86" s="12">
        <v>45687</v>
      </c>
      <c r="I86" s="11" t="s">
        <v>15</v>
      </c>
      <c r="J86" s="11" t="s">
        <v>42</v>
      </c>
      <c r="K86" s="11" t="s">
        <v>16</v>
      </c>
      <c r="L86" s="12">
        <v>45684</v>
      </c>
      <c r="M86" s="14">
        <v>45687</v>
      </c>
      <c r="N86" s="35"/>
      <c r="O86" t="s">
        <v>83</v>
      </c>
      <c r="P86" t="s">
        <v>83</v>
      </c>
      <c r="Q86" t="s">
        <v>83</v>
      </c>
      <c r="R86" t="s">
        <v>83</v>
      </c>
      <c r="S86" t="s">
        <v>83</v>
      </c>
      <c r="T86" t="s">
        <v>1074</v>
      </c>
    </row>
    <row r="87" spans="1:20" ht="16.5" customHeight="1" x14ac:dyDescent="0.45">
      <c r="A87" s="10">
        <v>123212614</v>
      </c>
      <c r="B87" s="11" t="str">
        <f t="shared" si="0"/>
        <v>12.321.261-4</v>
      </c>
      <c r="C87" s="11" t="s">
        <v>14</v>
      </c>
      <c r="D87" s="11" t="s">
        <v>203</v>
      </c>
      <c r="E87" s="11" t="s">
        <v>204</v>
      </c>
      <c r="F87" s="11" t="s">
        <v>205</v>
      </c>
      <c r="G87" s="12">
        <v>45684</v>
      </c>
      <c r="H87" s="12">
        <v>45687</v>
      </c>
      <c r="I87" s="11" t="s">
        <v>15</v>
      </c>
      <c r="J87" s="11" t="s">
        <v>42</v>
      </c>
      <c r="K87" s="11" t="s">
        <v>17</v>
      </c>
      <c r="L87" s="12">
        <v>45684</v>
      </c>
      <c r="M87" s="14">
        <v>45686</v>
      </c>
      <c r="N87" s="35"/>
      <c r="O87" t="s">
        <v>83</v>
      </c>
      <c r="P87" t="s">
        <v>83</v>
      </c>
      <c r="Q87" t="s">
        <v>83</v>
      </c>
      <c r="R87" t="s">
        <v>83</v>
      </c>
      <c r="S87" t="s">
        <v>83</v>
      </c>
      <c r="T87" t="s">
        <v>1074</v>
      </c>
    </row>
    <row r="88" spans="1:20" ht="16.5" customHeight="1" x14ac:dyDescent="0.45">
      <c r="A88" s="10">
        <v>123212614</v>
      </c>
      <c r="B88" s="11" t="str">
        <f t="shared" si="0"/>
        <v>12.321.261-4</v>
      </c>
      <c r="C88" s="11" t="s">
        <v>14</v>
      </c>
      <c r="D88" s="11" t="s">
        <v>203</v>
      </c>
      <c r="E88" s="11" t="s">
        <v>204</v>
      </c>
      <c r="F88" s="11" t="s">
        <v>205</v>
      </c>
      <c r="G88" s="12">
        <v>45684</v>
      </c>
      <c r="H88" s="12">
        <v>45687</v>
      </c>
      <c r="I88" s="11" t="s">
        <v>15</v>
      </c>
      <c r="J88" s="11" t="s">
        <v>42</v>
      </c>
      <c r="K88" s="11" t="s">
        <v>18</v>
      </c>
      <c r="L88" s="12">
        <v>45684</v>
      </c>
      <c r="M88" s="14">
        <v>45685</v>
      </c>
      <c r="N88" s="35"/>
      <c r="O88" t="s">
        <v>83</v>
      </c>
      <c r="P88" t="s">
        <v>83</v>
      </c>
      <c r="Q88" t="s">
        <v>83</v>
      </c>
      <c r="R88" t="s">
        <v>83</v>
      </c>
      <c r="S88" t="s">
        <v>83</v>
      </c>
      <c r="T88" t="s">
        <v>1074</v>
      </c>
    </row>
    <row r="89" spans="1:20" ht="15.75" customHeight="1" x14ac:dyDescent="0.45">
      <c r="A89" s="15">
        <v>262838021</v>
      </c>
      <c r="B89" s="16" t="str">
        <f t="shared" si="0"/>
        <v>26.283.802-1</v>
      </c>
      <c r="C89" s="16" t="s">
        <v>28</v>
      </c>
      <c r="D89" s="16" t="s">
        <v>26</v>
      </c>
      <c r="E89" s="16" t="s">
        <v>25</v>
      </c>
      <c r="F89" s="16" t="s">
        <v>27</v>
      </c>
      <c r="G89" s="17">
        <v>45645</v>
      </c>
      <c r="H89" s="17">
        <v>45666</v>
      </c>
      <c r="I89" s="16" t="s">
        <v>14</v>
      </c>
      <c r="J89" s="16" t="s">
        <v>23</v>
      </c>
      <c r="K89" s="16" t="s">
        <v>16</v>
      </c>
      <c r="L89" s="17">
        <v>45658</v>
      </c>
      <c r="M89" s="18">
        <v>45659</v>
      </c>
      <c r="N89" s="28"/>
      <c r="O89" t="s">
        <v>83</v>
      </c>
      <c r="P89" t="s">
        <v>83</v>
      </c>
      <c r="Q89" t="s">
        <v>83</v>
      </c>
      <c r="R89" t="s">
        <v>83</v>
      </c>
      <c r="S89" t="s">
        <v>83</v>
      </c>
      <c r="T89" t="s">
        <v>1074</v>
      </c>
    </row>
    <row r="90" spans="1:20" ht="15.75" customHeight="1" x14ac:dyDescent="0.45">
      <c r="A90" s="15">
        <v>81083584</v>
      </c>
      <c r="B90" s="16" t="str">
        <f t="shared" si="0"/>
        <v>8.108.358-4</v>
      </c>
      <c r="C90" s="16" t="s">
        <v>28</v>
      </c>
      <c r="D90" s="16" t="s">
        <v>85</v>
      </c>
      <c r="E90" s="16" t="s">
        <v>86</v>
      </c>
      <c r="F90" s="16" t="s">
        <v>84</v>
      </c>
      <c r="G90" s="17">
        <v>45656</v>
      </c>
      <c r="H90" s="17">
        <v>45660</v>
      </c>
      <c r="I90" s="16" t="s">
        <v>14</v>
      </c>
      <c r="J90" s="16" t="s">
        <v>62</v>
      </c>
      <c r="K90" s="16" t="s">
        <v>16</v>
      </c>
      <c r="L90" s="17">
        <v>45658</v>
      </c>
      <c r="M90" s="18">
        <v>45660</v>
      </c>
      <c r="N90" s="28"/>
      <c r="O90" t="s">
        <v>83</v>
      </c>
      <c r="P90" t="s">
        <v>83</v>
      </c>
      <c r="Q90" t="s">
        <v>83</v>
      </c>
      <c r="R90" t="s">
        <v>83</v>
      </c>
      <c r="S90" t="s">
        <v>83</v>
      </c>
      <c r="T90" t="s">
        <v>1074</v>
      </c>
    </row>
    <row r="91" spans="1:20" ht="15.75" customHeight="1" x14ac:dyDescent="0.45">
      <c r="A91" s="15">
        <v>81083584</v>
      </c>
      <c r="B91" s="16" t="str">
        <f t="shared" si="0"/>
        <v>8.108.358-4</v>
      </c>
      <c r="C91" s="16" t="s">
        <v>28</v>
      </c>
      <c r="D91" s="16" t="s">
        <v>85</v>
      </c>
      <c r="E91" s="16" t="s">
        <v>86</v>
      </c>
      <c r="F91" s="16" t="s">
        <v>84</v>
      </c>
      <c r="G91" s="17">
        <v>45656</v>
      </c>
      <c r="H91" s="17">
        <v>45660</v>
      </c>
      <c r="I91" s="16" t="s">
        <v>14</v>
      </c>
      <c r="J91" s="16" t="s">
        <v>62</v>
      </c>
      <c r="K91" s="16" t="s">
        <v>17</v>
      </c>
      <c r="L91" s="17">
        <v>45658</v>
      </c>
      <c r="M91" s="18">
        <v>45660</v>
      </c>
      <c r="N91" s="28"/>
      <c r="O91" t="s">
        <v>83</v>
      </c>
      <c r="P91" t="s">
        <v>83</v>
      </c>
      <c r="Q91" t="s">
        <v>83</v>
      </c>
      <c r="R91" t="s">
        <v>83</v>
      </c>
      <c r="S91" t="s">
        <v>83</v>
      </c>
      <c r="T91" t="s">
        <v>1074</v>
      </c>
    </row>
    <row r="92" spans="1:20" ht="15.75" customHeight="1" x14ac:dyDescent="0.45">
      <c r="A92" s="15" t="s">
        <v>87</v>
      </c>
      <c r="B92" s="16" t="str">
        <f t="shared" si="0"/>
        <v>10.636.754-k</v>
      </c>
      <c r="C92" s="16" t="s">
        <v>28</v>
      </c>
      <c r="D92" s="16" t="s">
        <v>88</v>
      </c>
      <c r="E92" s="16" t="s">
        <v>88</v>
      </c>
      <c r="F92" s="16" t="s">
        <v>89</v>
      </c>
      <c r="G92" s="17">
        <v>45656</v>
      </c>
      <c r="H92" s="17">
        <v>45670</v>
      </c>
      <c r="I92" s="16" t="s">
        <v>15</v>
      </c>
      <c r="J92" s="16" t="s">
        <v>72</v>
      </c>
      <c r="K92" s="16" t="s">
        <v>17</v>
      </c>
      <c r="L92" s="17">
        <v>45658</v>
      </c>
      <c r="M92" s="18">
        <v>45663</v>
      </c>
      <c r="N92" s="28"/>
      <c r="O92" t="s">
        <v>83</v>
      </c>
      <c r="P92" t="s">
        <v>83</v>
      </c>
      <c r="Q92" t="s">
        <v>83</v>
      </c>
      <c r="R92" t="s">
        <v>83</v>
      </c>
      <c r="S92" t="s">
        <v>83</v>
      </c>
      <c r="T92" t="s">
        <v>1074</v>
      </c>
    </row>
    <row r="93" spans="1:20" ht="15.75" customHeight="1" x14ac:dyDescent="0.45">
      <c r="A93" s="15" t="s">
        <v>87</v>
      </c>
      <c r="B93" s="16" t="str">
        <f t="shared" ref="B93" si="2">IF(LEN(A93)=8,MID(A93,1,1)&amp;"."&amp;MID(A93,2,3)&amp;"."&amp;MID(A93,5,3)&amp;"-"&amp;RIGHT(A93,1),IF(LEFT(RIGHT(A93,2),1)="-",MID(A93,1,1)&amp;"."&amp;MID(A93,2,3)&amp;"."&amp;MID(A93,5,3)&amp;"-"&amp;RIGHT(A93,1),MID(A93,1,2)&amp;"."&amp;MID(A93,3,3)&amp;"."&amp;MID(A93,6,3)&amp;"-"&amp;MID(A93,9,1)))</f>
        <v>10.636.754-k</v>
      </c>
      <c r="C93" s="16" t="s">
        <v>28</v>
      </c>
      <c r="D93" s="16" t="s">
        <v>88</v>
      </c>
      <c r="E93" s="16" t="s">
        <v>88</v>
      </c>
      <c r="F93" s="16" t="s">
        <v>89</v>
      </c>
      <c r="G93" s="17">
        <v>45656</v>
      </c>
      <c r="H93" s="17">
        <v>45670</v>
      </c>
      <c r="I93" s="16" t="s">
        <v>15</v>
      </c>
      <c r="J93" s="16" t="s">
        <v>72</v>
      </c>
      <c r="K93" s="16" t="s">
        <v>17</v>
      </c>
      <c r="L93" s="17">
        <v>45667</v>
      </c>
      <c r="M93" s="18">
        <v>45670</v>
      </c>
      <c r="N93" s="28"/>
      <c r="O93" t="s">
        <v>83</v>
      </c>
      <c r="P93" t="s">
        <v>83</v>
      </c>
      <c r="Q93" t="s">
        <v>83</v>
      </c>
      <c r="R93" t="s">
        <v>83</v>
      </c>
      <c r="S93" t="s">
        <v>83</v>
      </c>
      <c r="T93" t="s">
        <v>1074</v>
      </c>
    </row>
    <row r="94" spans="1:20" ht="15.75" customHeight="1" x14ac:dyDescent="0.45">
      <c r="A94" s="15">
        <v>78081937</v>
      </c>
      <c r="B94" s="16" t="str">
        <f t="shared" si="0"/>
        <v>7.808.193-7</v>
      </c>
      <c r="C94" s="16" t="s">
        <v>28</v>
      </c>
      <c r="D94" s="16" t="s">
        <v>90</v>
      </c>
      <c r="E94" s="16" t="s">
        <v>91</v>
      </c>
      <c r="F94" s="16" t="s">
        <v>92</v>
      </c>
      <c r="G94" s="17">
        <v>45657</v>
      </c>
      <c r="H94" s="17">
        <v>45670</v>
      </c>
      <c r="I94" s="16" t="s">
        <v>56</v>
      </c>
      <c r="J94" s="16" t="s">
        <v>62</v>
      </c>
      <c r="K94" s="16" t="s">
        <v>16</v>
      </c>
      <c r="L94" s="17">
        <v>45658</v>
      </c>
      <c r="M94" s="18">
        <v>45663</v>
      </c>
      <c r="N94" s="28"/>
      <c r="O94" t="s">
        <v>83</v>
      </c>
      <c r="P94" t="s">
        <v>83</v>
      </c>
      <c r="Q94" t="s">
        <v>83</v>
      </c>
      <c r="R94" t="s">
        <v>83</v>
      </c>
      <c r="S94" t="s">
        <v>83</v>
      </c>
      <c r="T94" t="s">
        <v>1074</v>
      </c>
    </row>
    <row r="95" spans="1:20" ht="15.75" customHeight="1" x14ac:dyDescent="0.45">
      <c r="A95" s="15">
        <v>78081937</v>
      </c>
      <c r="B95" s="16" t="str">
        <f t="shared" si="0"/>
        <v>7.808.193-7</v>
      </c>
      <c r="C95" s="16" t="s">
        <v>28</v>
      </c>
      <c r="D95" s="16" t="s">
        <v>90</v>
      </c>
      <c r="E95" s="16" t="s">
        <v>91</v>
      </c>
      <c r="F95" s="16" t="s">
        <v>92</v>
      </c>
      <c r="G95" s="17">
        <v>45657</v>
      </c>
      <c r="H95" s="17">
        <v>45670</v>
      </c>
      <c r="I95" s="16" t="s">
        <v>56</v>
      </c>
      <c r="J95" s="16" t="s">
        <v>62</v>
      </c>
      <c r="K95" s="16" t="s">
        <v>17</v>
      </c>
      <c r="L95" s="17">
        <v>45658</v>
      </c>
      <c r="M95" s="18">
        <v>45670</v>
      </c>
      <c r="N95" s="28"/>
      <c r="O95" t="s">
        <v>83</v>
      </c>
      <c r="P95" t="s">
        <v>83</v>
      </c>
      <c r="Q95" t="s">
        <v>83</v>
      </c>
      <c r="R95" t="s">
        <v>83</v>
      </c>
      <c r="S95" t="s">
        <v>83</v>
      </c>
      <c r="T95" t="s">
        <v>1074</v>
      </c>
    </row>
    <row r="96" spans="1:20" ht="15.75" customHeight="1" x14ac:dyDescent="0.45">
      <c r="A96" s="15">
        <v>78081938</v>
      </c>
      <c r="B96" s="16" t="str">
        <f t="shared" ref="B96" si="3"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7.808.193-8</v>
      </c>
      <c r="C96" s="16" t="s">
        <v>28</v>
      </c>
      <c r="D96" s="16" t="s">
        <v>90</v>
      </c>
      <c r="E96" s="16" t="s">
        <v>91</v>
      </c>
      <c r="F96" s="16" t="s">
        <v>92</v>
      </c>
      <c r="G96" s="17">
        <v>45657</v>
      </c>
      <c r="H96" s="17">
        <v>45670</v>
      </c>
      <c r="I96" s="16" t="s">
        <v>56</v>
      </c>
      <c r="J96" s="16" t="s">
        <v>62</v>
      </c>
      <c r="K96" s="16" t="s">
        <v>57</v>
      </c>
      <c r="L96" s="17">
        <v>45658</v>
      </c>
      <c r="M96" s="18">
        <v>45670</v>
      </c>
      <c r="N96" s="28"/>
      <c r="O96" t="s">
        <v>83</v>
      </c>
      <c r="P96" t="s">
        <v>83</v>
      </c>
      <c r="Q96" t="s">
        <v>83</v>
      </c>
      <c r="R96" t="s">
        <v>83</v>
      </c>
      <c r="S96" t="s">
        <v>83</v>
      </c>
      <c r="T96" t="s">
        <v>1074</v>
      </c>
    </row>
    <row r="97" spans="1:20" ht="15.75" customHeight="1" x14ac:dyDescent="0.45">
      <c r="A97" s="15">
        <v>54537417</v>
      </c>
      <c r="B97" s="16" t="str">
        <f t="shared" si="0"/>
        <v>5.453.741-7</v>
      </c>
      <c r="C97" s="16" t="s">
        <v>28</v>
      </c>
      <c r="D97" s="16" t="s">
        <v>93</v>
      </c>
      <c r="E97" s="16" t="s">
        <v>94</v>
      </c>
      <c r="F97" s="16" t="s">
        <v>95</v>
      </c>
      <c r="G97" s="17">
        <v>45645</v>
      </c>
      <c r="H97" s="17">
        <v>45660</v>
      </c>
      <c r="I97" s="16" t="s">
        <v>96</v>
      </c>
      <c r="J97" s="16" t="s">
        <v>96</v>
      </c>
      <c r="K97" s="16" t="s">
        <v>17</v>
      </c>
      <c r="L97" s="17">
        <v>45658</v>
      </c>
      <c r="M97" s="18">
        <v>45660</v>
      </c>
      <c r="N97" s="28"/>
      <c r="O97" t="s">
        <v>83</v>
      </c>
      <c r="P97" t="s">
        <v>83</v>
      </c>
      <c r="Q97" t="s">
        <v>83</v>
      </c>
      <c r="R97" t="s">
        <v>83</v>
      </c>
      <c r="S97" t="s">
        <v>83</v>
      </c>
      <c r="T97" t="s">
        <v>1074</v>
      </c>
    </row>
    <row r="98" spans="1:20" ht="15.75" customHeight="1" x14ac:dyDescent="0.45">
      <c r="A98" s="15">
        <v>92791386</v>
      </c>
      <c r="B98" s="16" t="str">
        <f t="shared" si="0"/>
        <v>9.279.138-6</v>
      </c>
      <c r="C98" s="16" t="s">
        <v>28</v>
      </c>
      <c r="D98" s="16" t="s">
        <v>157</v>
      </c>
      <c r="E98" s="16" t="s">
        <v>86</v>
      </c>
      <c r="F98" s="16" t="s">
        <v>102</v>
      </c>
      <c r="G98" s="17">
        <v>45672</v>
      </c>
      <c r="H98" s="17">
        <v>45683</v>
      </c>
      <c r="I98" s="16" t="s">
        <v>60</v>
      </c>
      <c r="J98" s="16" t="s">
        <v>106</v>
      </c>
      <c r="K98" s="16" t="s">
        <v>24</v>
      </c>
      <c r="L98" s="17">
        <v>45672</v>
      </c>
      <c r="M98" s="18">
        <v>45683</v>
      </c>
      <c r="N98" s="28"/>
      <c r="O98" t="s">
        <v>83</v>
      </c>
      <c r="P98" t="s">
        <v>83</v>
      </c>
      <c r="Q98" t="s">
        <v>83</v>
      </c>
      <c r="R98" t="s">
        <v>83</v>
      </c>
      <c r="S98" t="s">
        <v>83</v>
      </c>
      <c r="T98" t="s">
        <v>1074</v>
      </c>
    </row>
    <row r="99" spans="1:20" ht="17.25" customHeight="1" x14ac:dyDescent="0.45">
      <c r="A99" s="15">
        <v>92791386</v>
      </c>
      <c r="B99" s="16" t="str">
        <f t="shared" si="0"/>
        <v>9.279.138-6</v>
      </c>
      <c r="C99" s="16" t="s">
        <v>28</v>
      </c>
      <c r="D99" s="16" t="s">
        <v>157</v>
      </c>
      <c r="E99" s="16" t="s">
        <v>86</v>
      </c>
      <c r="F99" s="16" t="s">
        <v>102</v>
      </c>
      <c r="G99" s="17">
        <v>45672</v>
      </c>
      <c r="H99" s="17">
        <v>45683</v>
      </c>
      <c r="I99" s="16" t="s">
        <v>60</v>
      </c>
      <c r="J99" s="16" t="s">
        <v>106</v>
      </c>
      <c r="K99" s="16" t="s">
        <v>17</v>
      </c>
      <c r="L99" s="17">
        <v>45672</v>
      </c>
      <c r="M99" s="18">
        <v>45683</v>
      </c>
      <c r="N99" s="28"/>
      <c r="O99" t="s">
        <v>951</v>
      </c>
      <c r="P99" t="s">
        <v>958</v>
      </c>
      <c r="Q99" t="s">
        <v>83</v>
      </c>
      <c r="R99" t="s">
        <v>83</v>
      </c>
      <c r="S99" t="s">
        <v>83</v>
      </c>
      <c r="T99" t="s">
        <v>914</v>
      </c>
    </row>
    <row r="100" spans="1:20" ht="15.75" customHeight="1" x14ac:dyDescent="0.45">
      <c r="A100" s="15">
        <v>145747333</v>
      </c>
      <c r="B100" s="16" t="str">
        <f t="shared" si="0"/>
        <v>14.574.733-3</v>
      </c>
      <c r="C100" s="16" t="s">
        <v>28</v>
      </c>
      <c r="D100" s="16" t="s">
        <v>144</v>
      </c>
      <c r="E100" s="16" t="s">
        <v>148</v>
      </c>
      <c r="F100" s="16" t="s">
        <v>166</v>
      </c>
      <c r="G100" s="17">
        <v>45671</v>
      </c>
      <c r="H100" s="17">
        <v>45681</v>
      </c>
      <c r="I100" s="16" t="s">
        <v>14</v>
      </c>
      <c r="J100" s="16" t="s">
        <v>72</v>
      </c>
      <c r="K100" s="16" t="s">
        <v>16</v>
      </c>
      <c r="L100" s="17">
        <v>45671</v>
      </c>
      <c r="M100" s="18">
        <v>45681</v>
      </c>
      <c r="N100" s="28"/>
      <c r="O100" t="s">
        <v>83</v>
      </c>
      <c r="P100" t="s">
        <v>83</v>
      </c>
      <c r="Q100" t="s">
        <v>83</v>
      </c>
      <c r="R100" t="s">
        <v>83</v>
      </c>
      <c r="S100" t="s">
        <v>83</v>
      </c>
      <c r="T100" t="s">
        <v>1074</v>
      </c>
    </row>
    <row r="101" spans="1:20" ht="15.75" customHeight="1" x14ac:dyDescent="0.45">
      <c r="A101" s="15">
        <v>145747333</v>
      </c>
      <c r="B101" s="16" t="str">
        <f t="shared" si="0"/>
        <v>14.574.733-3</v>
      </c>
      <c r="C101" s="16" t="s">
        <v>28</v>
      </c>
      <c r="D101" s="16" t="s">
        <v>144</v>
      </c>
      <c r="E101" s="16" t="s">
        <v>148</v>
      </c>
      <c r="F101" s="16" t="s">
        <v>166</v>
      </c>
      <c r="G101" s="17">
        <v>45671</v>
      </c>
      <c r="H101" s="17">
        <v>45681</v>
      </c>
      <c r="I101" s="16" t="s">
        <v>14</v>
      </c>
      <c r="J101" s="16" t="s">
        <v>72</v>
      </c>
      <c r="K101" s="16" t="s">
        <v>17</v>
      </c>
      <c r="L101" s="17">
        <v>45671</v>
      </c>
      <c r="M101" s="18">
        <v>45681</v>
      </c>
      <c r="N101" s="28"/>
      <c r="O101" t="s">
        <v>83</v>
      </c>
      <c r="P101" t="s">
        <v>83</v>
      </c>
      <c r="Q101" t="s">
        <v>83</v>
      </c>
      <c r="R101" t="s">
        <v>83</v>
      </c>
      <c r="S101" t="s">
        <v>83</v>
      </c>
      <c r="T101" t="s">
        <v>1074</v>
      </c>
    </row>
    <row r="102" spans="1:20" ht="15.75" customHeight="1" x14ac:dyDescent="0.45">
      <c r="A102" s="15">
        <v>71131955</v>
      </c>
      <c r="B102" s="16" t="str">
        <f t="shared" si="0"/>
        <v>7.113.195-5</v>
      </c>
      <c r="C102" s="16" t="s">
        <v>28</v>
      </c>
      <c r="D102" s="16" t="s">
        <v>167</v>
      </c>
      <c r="E102" s="16" t="s">
        <v>168</v>
      </c>
      <c r="F102" s="16" t="s">
        <v>169</v>
      </c>
      <c r="G102" s="17">
        <v>45667</v>
      </c>
      <c r="H102" s="17">
        <v>45684</v>
      </c>
      <c r="I102" s="16" t="s">
        <v>15</v>
      </c>
      <c r="J102" s="16" t="s">
        <v>42</v>
      </c>
      <c r="K102" s="16" t="s">
        <v>17</v>
      </c>
      <c r="L102" s="17">
        <v>45667</v>
      </c>
      <c r="M102" s="24">
        <v>45684</v>
      </c>
      <c r="N102" s="28"/>
      <c r="O102" t="s">
        <v>83</v>
      </c>
      <c r="P102" t="s">
        <v>83</v>
      </c>
      <c r="Q102" t="s">
        <v>83</v>
      </c>
      <c r="R102" t="s">
        <v>83</v>
      </c>
      <c r="S102" t="s">
        <v>83</v>
      </c>
      <c r="T102" t="s">
        <v>1074</v>
      </c>
    </row>
    <row r="103" spans="1:20" ht="15.75" customHeight="1" x14ac:dyDescent="0.45">
      <c r="A103" s="15">
        <v>42968110</v>
      </c>
      <c r="B103" s="16" t="str">
        <f t="shared" si="0"/>
        <v>4.296.811-0</v>
      </c>
      <c r="C103" s="16" t="s">
        <v>28</v>
      </c>
      <c r="D103" s="16" t="s">
        <v>112</v>
      </c>
      <c r="E103" s="16" t="s">
        <v>170</v>
      </c>
      <c r="F103" s="16" t="s">
        <v>171</v>
      </c>
      <c r="G103" s="17">
        <v>45673</v>
      </c>
      <c r="H103" s="17">
        <v>45686</v>
      </c>
      <c r="I103" s="16" t="s">
        <v>74</v>
      </c>
      <c r="J103" s="16" t="s">
        <v>75</v>
      </c>
      <c r="K103" s="16" t="s">
        <v>17</v>
      </c>
      <c r="L103" s="17">
        <v>45668</v>
      </c>
      <c r="M103" s="31">
        <v>45686</v>
      </c>
      <c r="N103" s="28"/>
      <c r="O103" t="s">
        <v>83</v>
      </c>
      <c r="P103" t="s">
        <v>83</v>
      </c>
      <c r="Q103" t="s">
        <v>83</v>
      </c>
      <c r="R103" t="s">
        <v>83</v>
      </c>
      <c r="S103" t="s">
        <v>83</v>
      </c>
      <c r="T103" t="s">
        <v>1074</v>
      </c>
    </row>
    <row r="104" spans="1:20" ht="15.75" customHeight="1" x14ac:dyDescent="0.45">
      <c r="A104" s="15">
        <v>140726311</v>
      </c>
      <c r="B104" s="16" t="str">
        <f t="shared" si="0"/>
        <v>14.072.631-1</v>
      </c>
      <c r="C104" s="16" t="s">
        <v>28</v>
      </c>
      <c r="D104" s="16" t="s">
        <v>159</v>
      </c>
      <c r="E104" s="16" t="s">
        <v>188</v>
      </c>
      <c r="F104" s="16" t="s">
        <v>189</v>
      </c>
      <c r="G104" s="17">
        <v>45679</v>
      </c>
      <c r="H104" s="17"/>
      <c r="I104" s="16" t="s">
        <v>56</v>
      </c>
      <c r="J104" s="16"/>
      <c r="K104" s="16" t="s">
        <v>16</v>
      </c>
      <c r="L104" s="17">
        <v>45669</v>
      </c>
      <c r="M104" s="31">
        <v>45683</v>
      </c>
      <c r="N104" s="28"/>
      <c r="O104" t="s">
        <v>83</v>
      </c>
      <c r="P104" t="s">
        <v>83</v>
      </c>
      <c r="Q104" t="s">
        <v>83</v>
      </c>
      <c r="R104" t="s">
        <v>83</v>
      </c>
      <c r="S104" t="s">
        <v>83</v>
      </c>
      <c r="T104" t="s">
        <v>1074</v>
      </c>
    </row>
    <row r="105" spans="1:20" ht="15.75" customHeight="1" x14ac:dyDescent="0.45">
      <c r="A105" s="15">
        <v>140726311</v>
      </c>
      <c r="B105" s="16" t="str">
        <f t="shared" si="0"/>
        <v>14.072.631-1</v>
      </c>
      <c r="C105" s="16" t="s">
        <v>28</v>
      </c>
      <c r="D105" s="16" t="s">
        <v>159</v>
      </c>
      <c r="E105" s="16" t="s">
        <v>188</v>
      </c>
      <c r="F105" s="16" t="s">
        <v>189</v>
      </c>
      <c r="G105" s="17">
        <v>45679</v>
      </c>
      <c r="H105" s="17"/>
      <c r="I105" s="16" t="s">
        <v>56</v>
      </c>
      <c r="J105" s="16"/>
      <c r="K105" s="16" t="s">
        <v>17</v>
      </c>
      <c r="L105" s="17">
        <v>45670</v>
      </c>
      <c r="M105" s="31">
        <v>45683</v>
      </c>
      <c r="N105" s="28"/>
      <c r="O105" t="s">
        <v>83</v>
      </c>
      <c r="P105" t="s">
        <v>83</v>
      </c>
      <c r="Q105" t="s">
        <v>83</v>
      </c>
      <c r="R105" t="s">
        <v>83</v>
      </c>
      <c r="S105" t="s">
        <v>83</v>
      </c>
      <c r="T105" t="s">
        <v>1074</v>
      </c>
    </row>
    <row r="106" spans="1:20" ht="15.75" customHeight="1" x14ac:dyDescent="0.45">
      <c r="A106" s="15">
        <v>106763658</v>
      </c>
      <c r="B106" s="16" t="str">
        <f t="shared" si="0"/>
        <v>10.676.365-8</v>
      </c>
      <c r="C106" s="16" t="s">
        <v>28</v>
      </c>
      <c r="D106" s="16" t="s">
        <v>172</v>
      </c>
      <c r="E106" s="16" t="s">
        <v>159</v>
      </c>
      <c r="F106" s="16" t="s">
        <v>171</v>
      </c>
      <c r="G106" s="17">
        <v>45680</v>
      </c>
      <c r="H106" s="17"/>
      <c r="I106" s="16" t="s">
        <v>60</v>
      </c>
      <c r="J106" s="16"/>
      <c r="K106" s="16" t="s">
        <v>16</v>
      </c>
      <c r="L106" s="18">
        <v>45680</v>
      </c>
      <c r="M106" s="31">
        <v>45684</v>
      </c>
      <c r="N106" s="28"/>
      <c r="O106" t="s">
        <v>83</v>
      </c>
      <c r="P106" t="s">
        <v>83</v>
      </c>
      <c r="Q106" t="s">
        <v>83</v>
      </c>
      <c r="R106" t="s">
        <v>83</v>
      </c>
      <c r="S106" t="s">
        <v>83</v>
      </c>
      <c r="T106" t="s">
        <v>1074</v>
      </c>
    </row>
    <row r="107" spans="1:20" ht="15.75" customHeight="1" x14ac:dyDescent="0.45">
      <c r="A107" s="15">
        <v>229988867</v>
      </c>
      <c r="B107" s="16" t="str">
        <f t="shared" si="0"/>
        <v>22.998.886-7</v>
      </c>
      <c r="C107" s="16" t="s">
        <v>28</v>
      </c>
      <c r="D107" s="16" t="s">
        <v>190</v>
      </c>
      <c r="E107" s="16" t="s">
        <v>191</v>
      </c>
      <c r="F107" s="16" t="s">
        <v>192</v>
      </c>
      <c r="G107" s="17">
        <v>45680</v>
      </c>
      <c r="H107" s="17">
        <v>45685</v>
      </c>
      <c r="I107" s="16" t="s">
        <v>60</v>
      </c>
      <c r="J107" s="16" t="s">
        <v>165</v>
      </c>
      <c r="K107" s="16" t="s">
        <v>16</v>
      </c>
      <c r="L107" s="18">
        <v>45680</v>
      </c>
      <c r="M107" s="31">
        <v>45685</v>
      </c>
      <c r="N107" s="28"/>
      <c r="O107" t="s">
        <v>83</v>
      </c>
      <c r="P107" t="s">
        <v>83</v>
      </c>
      <c r="Q107" t="s">
        <v>83</v>
      </c>
      <c r="R107" t="s">
        <v>83</v>
      </c>
      <c r="S107" t="s">
        <v>83</v>
      </c>
      <c r="T107" t="s">
        <v>1074</v>
      </c>
    </row>
    <row r="108" spans="1:20" ht="15.75" customHeight="1" x14ac:dyDescent="0.45">
      <c r="A108" s="15">
        <v>89460158</v>
      </c>
      <c r="B108" s="16" t="str">
        <f t="shared" si="0"/>
        <v>8.946.015-8</v>
      </c>
      <c r="C108" s="16" t="s">
        <v>28</v>
      </c>
      <c r="D108" s="16" t="s">
        <v>196</v>
      </c>
      <c r="E108" s="16" t="s">
        <v>197</v>
      </c>
      <c r="F108" s="16" t="s">
        <v>198</v>
      </c>
      <c r="G108" s="17">
        <v>45685</v>
      </c>
      <c r="H108" s="17"/>
      <c r="I108" s="16" t="s">
        <v>72</v>
      </c>
      <c r="J108" s="16" t="s">
        <v>206</v>
      </c>
      <c r="K108" s="16" t="s">
        <v>17</v>
      </c>
      <c r="L108" s="18">
        <v>45685</v>
      </c>
      <c r="M108" s="29">
        <v>45688</v>
      </c>
      <c r="N108" s="28"/>
      <c r="O108" t="s">
        <v>83</v>
      </c>
      <c r="P108" t="s">
        <v>83</v>
      </c>
      <c r="Q108" t="s">
        <v>83</v>
      </c>
      <c r="R108" t="s">
        <v>83</v>
      </c>
      <c r="S108" t="s">
        <v>83</v>
      </c>
      <c r="T108" t="s">
        <v>1074</v>
      </c>
    </row>
    <row r="109" spans="1:20" ht="15.75" customHeight="1" x14ac:dyDescent="0.45">
      <c r="A109" s="19" t="s">
        <v>34</v>
      </c>
      <c r="B109" s="19" t="str">
        <f t="shared" ref="B109:B112" si="4">IF(LEN(A109)=8,MID(A109,1,1)&amp;"."&amp;MID(A109,2,3)&amp;"."&amp;MID(A109,5,3)&amp;"-"&amp;RIGHT(A109,1),IF(LEFT(RIGHT(A109,2),1)="-",MID(A109,1,1)&amp;"."&amp;MID(A109,2,3)&amp;"."&amp;MID(A109,5,3)&amp;"-"&amp;RIGHT(A109,1),MID(A109,1,2)&amp;"."&amp;MID(A109,3,3)&amp;"."&amp;MID(A109,6,3)&amp;"-"&amp;MID(A109,9,1)))</f>
        <v>12.975.768-k</v>
      </c>
      <c r="C109" s="19" t="s">
        <v>32</v>
      </c>
      <c r="D109" s="19" t="s">
        <v>35</v>
      </c>
      <c r="E109" s="19" t="s">
        <v>36</v>
      </c>
      <c r="F109" s="19" t="s">
        <v>37</v>
      </c>
      <c r="G109" s="20">
        <v>45652</v>
      </c>
      <c r="H109" s="20">
        <v>45663</v>
      </c>
      <c r="I109" s="19" t="s">
        <v>15</v>
      </c>
      <c r="J109" s="19" t="s">
        <v>82</v>
      </c>
      <c r="K109" s="19" t="s">
        <v>17</v>
      </c>
      <c r="L109" s="26">
        <v>45658</v>
      </c>
      <c r="M109" s="32">
        <v>45663</v>
      </c>
      <c r="N109" s="26"/>
      <c r="O109" t="s">
        <v>83</v>
      </c>
      <c r="P109" t="s">
        <v>83</v>
      </c>
      <c r="Q109" t="s">
        <v>83</v>
      </c>
      <c r="R109" t="s">
        <v>83</v>
      </c>
      <c r="S109" t="s">
        <v>83</v>
      </c>
      <c r="T109" t="s">
        <v>1074</v>
      </c>
    </row>
    <row r="110" spans="1:20" ht="15.75" customHeight="1" x14ac:dyDescent="0.45">
      <c r="A110" s="19">
        <v>119860709</v>
      </c>
      <c r="B110" s="19" t="str">
        <f t="shared" si="4"/>
        <v>11.986.070-9</v>
      </c>
      <c r="C110" s="19" t="s">
        <v>32</v>
      </c>
      <c r="D110" s="19" t="s">
        <v>97</v>
      </c>
      <c r="E110" s="19" t="s">
        <v>98</v>
      </c>
      <c r="F110" s="19" t="s">
        <v>99</v>
      </c>
      <c r="G110" s="20">
        <v>45662</v>
      </c>
      <c r="H110" s="20">
        <v>45666</v>
      </c>
      <c r="I110" s="19" t="s">
        <v>15</v>
      </c>
      <c r="J110" s="19" t="s">
        <v>72</v>
      </c>
      <c r="K110" s="19" t="s">
        <v>17</v>
      </c>
      <c r="L110" s="27">
        <v>45662</v>
      </c>
      <c r="M110" s="33">
        <v>45666</v>
      </c>
      <c r="N110" s="26"/>
      <c r="O110" t="s">
        <v>83</v>
      </c>
      <c r="P110" t="s">
        <v>83</v>
      </c>
      <c r="Q110" t="s">
        <v>83</v>
      </c>
      <c r="R110" t="s">
        <v>83</v>
      </c>
      <c r="S110" t="s">
        <v>83</v>
      </c>
      <c r="T110" t="s">
        <v>1074</v>
      </c>
    </row>
    <row r="111" spans="1:20" ht="15.75" customHeight="1" x14ac:dyDescent="0.45">
      <c r="A111" s="19">
        <v>50144550</v>
      </c>
      <c r="B111" s="19" t="str">
        <f t="shared" si="4"/>
        <v>5.014.455-0</v>
      </c>
      <c r="C111" s="19" t="s">
        <v>32</v>
      </c>
      <c r="D111" s="19" t="s">
        <v>182</v>
      </c>
      <c r="E111" s="19" t="s">
        <v>86</v>
      </c>
      <c r="F111" s="19" t="s">
        <v>193</v>
      </c>
      <c r="G111" s="20">
        <v>45683</v>
      </c>
      <c r="H111" s="20">
        <v>45685</v>
      </c>
      <c r="I111" s="19" t="s">
        <v>15</v>
      </c>
      <c r="J111" s="19" t="s">
        <v>75</v>
      </c>
      <c r="K111" s="21" t="s">
        <v>17</v>
      </c>
      <c r="L111" s="26">
        <v>45683</v>
      </c>
      <c r="M111" s="32">
        <v>45685</v>
      </c>
      <c r="N111" s="26"/>
      <c r="O111" t="s">
        <v>83</v>
      </c>
      <c r="P111" t="s">
        <v>83</v>
      </c>
      <c r="Q111" t="s">
        <v>83</v>
      </c>
      <c r="R111" t="s">
        <v>83</v>
      </c>
      <c r="S111" t="s">
        <v>83</v>
      </c>
      <c r="T111" t="s">
        <v>1074</v>
      </c>
    </row>
    <row r="112" spans="1:20" ht="15.75" customHeight="1" x14ac:dyDescent="0.45">
      <c r="A112" s="19">
        <v>46281322</v>
      </c>
      <c r="B112" s="19" t="str">
        <f t="shared" si="4"/>
        <v>4.628.132-2</v>
      </c>
      <c r="C112" s="19" t="s">
        <v>32</v>
      </c>
      <c r="D112" s="19" t="s">
        <v>104</v>
      </c>
      <c r="E112" s="19" t="s">
        <v>194</v>
      </c>
      <c r="F112" s="19" t="s">
        <v>195</v>
      </c>
      <c r="G112" s="20">
        <v>45681</v>
      </c>
      <c r="H112" s="20">
        <v>45687</v>
      </c>
      <c r="I112" s="19" t="s">
        <v>15</v>
      </c>
      <c r="J112" s="19" t="s">
        <v>200</v>
      </c>
      <c r="K112" s="19" t="s">
        <v>17</v>
      </c>
      <c r="L112" s="27">
        <v>45681</v>
      </c>
      <c r="M112" s="30">
        <v>45687</v>
      </c>
      <c r="N112" s="26"/>
      <c r="O112" t="s">
        <v>83</v>
      </c>
      <c r="P112" t="s">
        <v>83</v>
      </c>
      <c r="Q112" t="s">
        <v>83</v>
      </c>
      <c r="R112" t="s">
        <v>83</v>
      </c>
      <c r="S112" t="s">
        <v>83</v>
      </c>
      <c r="T112" t="s">
        <v>1074</v>
      </c>
    </row>
    <row r="113" spans="7:20" ht="15.75" customHeight="1" x14ac:dyDescent="0.45">
      <c r="G113" s="4"/>
      <c r="H113" s="4"/>
      <c r="I113" s="23"/>
      <c r="J113" s="23"/>
      <c r="K113" s="23"/>
      <c r="L113" s="4"/>
      <c r="T113">
        <f>COUNTIF(T8:T112,"si")</f>
        <v>4</v>
      </c>
    </row>
    <row r="114" spans="7:20" ht="15.75" customHeight="1" x14ac:dyDescent="0.45">
      <c r="G114" s="4"/>
      <c r="H114" s="4"/>
      <c r="I114" s="23"/>
      <c r="J114" s="23"/>
      <c r="K114" s="23"/>
      <c r="L114" s="4"/>
    </row>
    <row r="115" spans="7:20" ht="15.75" customHeight="1" x14ac:dyDescent="0.45">
      <c r="G115" s="4"/>
      <c r="H115" s="4"/>
      <c r="I115" s="23"/>
      <c r="J115" s="23"/>
      <c r="K115" s="23"/>
      <c r="L115" s="4"/>
    </row>
    <row r="116" spans="7:20" ht="15.75" customHeight="1" x14ac:dyDescent="0.45">
      <c r="G116" s="4"/>
      <c r="H116" s="4"/>
      <c r="I116" s="23"/>
      <c r="J116" s="23"/>
      <c r="K116" s="23"/>
      <c r="L116" s="4"/>
    </row>
    <row r="117" spans="7:20" ht="15.75" customHeight="1" x14ac:dyDescent="0.45">
      <c r="G117" s="4"/>
      <c r="H117" s="4"/>
      <c r="I117" s="23"/>
      <c r="J117" s="23"/>
      <c r="K117" s="23"/>
      <c r="L117" s="4"/>
    </row>
    <row r="118" spans="7:20" ht="15.75" customHeight="1" x14ac:dyDescent="0.45">
      <c r="G118" s="4"/>
      <c r="H118" s="4"/>
      <c r="I118" s="23"/>
      <c r="J118" s="23"/>
      <c r="K118" s="23"/>
      <c r="L118" s="4"/>
    </row>
    <row r="119" spans="7:20" ht="15.75" customHeight="1" x14ac:dyDescent="0.45">
      <c r="G119" s="4"/>
      <c r="H119" s="4"/>
      <c r="I119" s="23"/>
      <c r="J119" s="23"/>
      <c r="K119" s="23"/>
      <c r="L119" s="4"/>
    </row>
    <row r="120" spans="7:20" ht="15.75" customHeight="1" x14ac:dyDescent="0.45">
      <c r="G120" s="4"/>
      <c r="H120" s="4"/>
      <c r="I120" s="23"/>
      <c r="J120" s="23"/>
      <c r="K120" s="23"/>
      <c r="L120" s="4"/>
    </row>
    <row r="121" spans="7:20" ht="15.75" customHeight="1" x14ac:dyDescent="0.45">
      <c r="G121" s="4"/>
      <c r="H121" s="4"/>
      <c r="I121" s="23"/>
      <c r="J121" s="23"/>
      <c r="K121" s="23"/>
      <c r="L121" s="4"/>
    </row>
    <row r="122" spans="7:20" ht="15.75" customHeight="1" x14ac:dyDescent="0.45">
      <c r="G122" s="4"/>
      <c r="H122" s="4"/>
      <c r="I122" s="23"/>
      <c r="J122" s="23"/>
      <c r="K122" s="23"/>
      <c r="L122" s="4"/>
    </row>
    <row r="123" spans="7:20" ht="15.75" customHeight="1" x14ac:dyDescent="0.45">
      <c r="G123" s="4"/>
      <c r="H123" s="4"/>
      <c r="I123" s="23"/>
      <c r="J123" s="23"/>
      <c r="K123" s="23"/>
      <c r="L123" s="4"/>
    </row>
    <row r="124" spans="7:20" ht="15.75" customHeight="1" x14ac:dyDescent="0.45">
      <c r="G124" s="4"/>
      <c r="H124" s="4"/>
      <c r="I124" s="23"/>
      <c r="J124" s="23"/>
      <c r="K124" s="23"/>
      <c r="L124" s="4"/>
    </row>
    <row r="125" spans="7:20" ht="15.75" customHeight="1" x14ac:dyDescent="0.45">
      <c r="G125" s="4"/>
      <c r="H125" s="4"/>
      <c r="I125" s="23"/>
      <c r="J125" s="23"/>
      <c r="K125" s="23"/>
      <c r="L125" s="4"/>
    </row>
    <row r="126" spans="7:20" ht="15.75" customHeight="1" x14ac:dyDescent="0.45">
      <c r="G126" s="4"/>
      <c r="H126" s="4"/>
      <c r="I126" s="23"/>
      <c r="J126" s="23"/>
      <c r="K126" s="23"/>
      <c r="L126" s="4"/>
    </row>
    <row r="127" spans="7:20" ht="15.75" customHeight="1" x14ac:dyDescent="0.45">
      <c r="G127" s="4"/>
      <c r="H127" s="4"/>
      <c r="I127" s="23"/>
      <c r="J127" s="23"/>
      <c r="K127" s="23"/>
      <c r="L127" s="4"/>
    </row>
    <row r="128" spans="7:20" ht="15.75" customHeight="1" x14ac:dyDescent="0.45">
      <c r="G128" s="4"/>
      <c r="H128" s="4"/>
      <c r="I128" s="23"/>
      <c r="J128" s="23"/>
      <c r="K128" s="23"/>
      <c r="L128" s="4"/>
    </row>
    <row r="129" spans="7:12" ht="15.75" customHeight="1" x14ac:dyDescent="0.45">
      <c r="G129" s="4"/>
      <c r="H129" s="4"/>
      <c r="I129" s="23"/>
      <c r="J129" s="23"/>
      <c r="K129" s="23"/>
      <c r="L129" s="4"/>
    </row>
    <row r="130" spans="7:12" ht="15.75" customHeight="1" x14ac:dyDescent="0.45">
      <c r="G130" s="4"/>
      <c r="H130" s="4"/>
      <c r="I130" s="23"/>
      <c r="J130" s="23"/>
      <c r="K130" s="23"/>
      <c r="L130" s="4"/>
    </row>
    <row r="131" spans="7:12" ht="15.75" customHeight="1" x14ac:dyDescent="0.45">
      <c r="G131" s="4"/>
      <c r="H131" s="4"/>
      <c r="I131" s="23"/>
      <c r="J131" s="23"/>
      <c r="K131" s="23"/>
      <c r="L131" s="4"/>
    </row>
    <row r="132" spans="7:12" ht="15.75" customHeight="1" x14ac:dyDescent="0.45">
      <c r="G132" s="4"/>
      <c r="H132" s="4"/>
      <c r="I132" s="23"/>
      <c r="J132" s="23"/>
      <c r="K132" s="23"/>
      <c r="L132" s="4"/>
    </row>
    <row r="133" spans="7:12" ht="15.75" customHeight="1" x14ac:dyDescent="0.45">
      <c r="G133" s="4"/>
      <c r="H133" s="4"/>
      <c r="I133" s="23"/>
      <c r="J133" s="23"/>
      <c r="K133" s="23"/>
      <c r="L133" s="4"/>
    </row>
    <row r="134" spans="7:12" ht="15.75" customHeight="1" x14ac:dyDescent="0.45">
      <c r="G134" s="4"/>
      <c r="H134" s="4"/>
      <c r="I134" s="23"/>
      <c r="J134" s="23"/>
      <c r="K134" s="23"/>
      <c r="L134" s="4"/>
    </row>
    <row r="135" spans="7:12" ht="15.75" customHeight="1" x14ac:dyDescent="0.45">
      <c r="G135" s="4"/>
      <c r="H135" s="4"/>
      <c r="I135" s="23"/>
      <c r="J135" s="23"/>
      <c r="K135" s="23"/>
      <c r="L135" s="4"/>
    </row>
    <row r="136" spans="7:12" ht="15.75" customHeight="1" x14ac:dyDescent="0.45">
      <c r="G136" s="4"/>
      <c r="H136" s="4"/>
      <c r="I136" s="23"/>
      <c r="J136" s="23"/>
      <c r="K136" s="23"/>
      <c r="L136" s="4"/>
    </row>
    <row r="137" spans="7:12" ht="15.75" customHeight="1" x14ac:dyDescent="0.45">
      <c r="G137" s="4"/>
      <c r="H137" s="4"/>
      <c r="I137" s="23"/>
      <c r="J137" s="23"/>
      <c r="K137" s="23"/>
      <c r="L137" s="4"/>
    </row>
    <row r="138" spans="7:12" ht="15.75" customHeight="1" x14ac:dyDescent="0.45">
      <c r="G138" s="4"/>
      <c r="H138" s="4"/>
      <c r="I138" s="23"/>
      <c r="J138" s="23"/>
      <c r="K138" s="23"/>
      <c r="L138" s="4"/>
    </row>
    <row r="139" spans="7:12" ht="15.75" customHeight="1" x14ac:dyDescent="0.45">
      <c r="G139" s="4"/>
      <c r="H139" s="4"/>
      <c r="I139" s="23"/>
      <c r="J139" s="23"/>
      <c r="K139" s="23"/>
      <c r="L139" s="4"/>
    </row>
    <row r="140" spans="7:12" ht="15.75" customHeight="1" x14ac:dyDescent="0.45">
      <c r="G140" s="4"/>
      <c r="H140" s="4"/>
      <c r="I140" s="23"/>
      <c r="J140" s="23"/>
      <c r="K140" s="23"/>
      <c r="L140" s="4"/>
    </row>
    <row r="141" spans="7:12" ht="15.75" customHeight="1" x14ac:dyDescent="0.45">
      <c r="G141" s="4"/>
      <c r="H141" s="4"/>
      <c r="I141" s="23"/>
      <c r="J141" s="23"/>
      <c r="K141" s="23"/>
      <c r="L141" s="4"/>
    </row>
    <row r="142" spans="7:12" ht="15.75" customHeight="1" x14ac:dyDescent="0.45">
      <c r="G142" s="4"/>
      <c r="H142" s="4"/>
      <c r="I142" s="23"/>
      <c r="J142" s="23"/>
      <c r="K142" s="23"/>
      <c r="L142" s="4"/>
    </row>
    <row r="143" spans="7:12" ht="15.75" customHeight="1" x14ac:dyDescent="0.45">
      <c r="G143" s="4"/>
      <c r="H143" s="4"/>
      <c r="I143" s="23"/>
      <c r="J143" s="23"/>
      <c r="K143" s="23"/>
      <c r="L143" s="4"/>
    </row>
    <row r="144" spans="7:12" ht="15.75" customHeight="1" x14ac:dyDescent="0.45">
      <c r="G144" s="4"/>
      <c r="H144" s="4"/>
      <c r="I144" s="23"/>
      <c r="J144" s="23"/>
      <c r="K144" s="23"/>
      <c r="L144" s="4"/>
    </row>
    <row r="145" spans="7:12" ht="15.75" customHeight="1" x14ac:dyDescent="0.45">
      <c r="G145" s="4"/>
      <c r="H145" s="4"/>
      <c r="I145" s="23"/>
      <c r="J145" s="23"/>
      <c r="K145" s="23"/>
      <c r="L145" s="4"/>
    </row>
    <row r="146" spans="7:12" ht="15.75" customHeight="1" x14ac:dyDescent="0.45">
      <c r="G146" s="4"/>
      <c r="H146" s="4"/>
      <c r="I146" s="23"/>
      <c r="J146" s="23"/>
      <c r="K146" s="23"/>
      <c r="L146" s="4"/>
    </row>
    <row r="147" spans="7:12" ht="15.75" customHeight="1" x14ac:dyDescent="0.45">
      <c r="G147" s="4"/>
      <c r="H147" s="4"/>
      <c r="I147" s="23"/>
      <c r="J147" s="23"/>
      <c r="K147" s="23"/>
      <c r="L147" s="4"/>
    </row>
    <row r="148" spans="7:12" ht="15.75" customHeight="1" x14ac:dyDescent="0.45">
      <c r="G148" s="4"/>
      <c r="H148" s="4"/>
      <c r="I148" s="23"/>
      <c r="J148" s="23"/>
      <c r="K148" s="23"/>
      <c r="L148" s="4"/>
    </row>
    <row r="149" spans="7:12" ht="15.75" customHeight="1" x14ac:dyDescent="0.45">
      <c r="G149" s="4"/>
      <c r="H149" s="4"/>
      <c r="I149" s="23"/>
      <c r="J149" s="23"/>
      <c r="K149" s="23"/>
      <c r="L149" s="4"/>
    </row>
    <row r="150" spans="7:12" ht="15.75" customHeight="1" x14ac:dyDescent="0.45">
      <c r="G150" s="4"/>
      <c r="H150" s="4"/>
      <c r="I150" s="23"/>
      <c r="J150" s="23"/>
      <c r="K150" s="23"/>
      <c r="L150" s="4"/>
    </row>
    <row r="151" spans="7:12" ht="15.75" customHeight="1" x14ac:dyDescent="0.45">
      <c r="G151" s="4"/>
      <c r="H151" s="4"/>
      <c r="I151" s="23"/>
      <c r="J151" s="23"/>
      <c r="K151" s="23"/>
      <c r="L151" s="4"/>
    </row>
    <row r="152" spans="7:12" ht="15.75" customHeight="1" x14ac:dyDescent="0.45">
      <c r="G152" s="4"/>
      <c r="H152" s="4"/>
      <c r="I152" s="23"/>
      <c r="J152" s="23"/>
      <c r="K152" s="23"/>
      <c r="L152" s="4"/>
    </row>
    <row r="153" spans="7:12" ht="15.75" customHeight="1" x14ac:dyDescent="0.45">
      <c r="G153" s="4"/>
      <c r="H153" s="4"/>
      <c r="I153" s="23"/>
      <c r="J153" s="23"/>
      <c r="K153" s="23"/>
      <c r="L153" s="4"/>
    </row>
    <row r="154" spans="7:12" ht="15.75" customHeight="1" x14ac:dyDescent="0.45">
      <c r="G154" s="4"/>
      <c r="H154" s="4"/>
      <c r="I154" s="23"/>
      <c r="J154" s="23"/>
      <c r="K154" s="23"/>
      <c r="L154" s="4"/>
    </row>
    <row r="155" spans="7:12" ht="15.75" customHeight="1" x14ac:dyDescent="0.45">
      <c r="G155" s="4"/>
      <c r="H155" s="4"/>
      <c r="I155" s="23"/>
      <c r="J155" s="23"/>
      <c r="K155" s="23"/>
      <c r="L155" s="4"/>
    </row>
    <row r="156" spans="7:12" ht="15.75" customHeight="1" x14ac:dyDescent="0.45">
      <c r="G156" s="4"/>
      <c r="H156" s="4"/>
      <c r="I156" s="23"/>
      <c r="J156" s="23"/>
      <c r="K156" s="23"/>
      <c r="L156" s="4"/>
    </row>
    <row r="157" spans="7:12" ht="15.75" customHeight="1" x14ac:dyDescent="0.45">
      <c r="G157" s="4"/>
      <c r="H157" s="4"/>
      <c r="I157" s="23"/>
      <c r="J157" s="23"/>
      <c r="K157" s="23"/>
      <c r="L157" s="4"/>
    </row>
    <row r="158" spans="7:12" ht="15.75" customHeight="1" x14ac:dyDescent="0.45">
      <c r="G158" s="4"/>
      <c r="H158" s="4"/>
      <c r="I158" s="23"/>
      <c r="J158" s="23"/>
      <c r="K158" s="23"/>
      <c r="L158" s="4"/>
    </row>
    <row r="159" spans="7:12" ht="15.75" customHeight="1" x14ac:dyDescent="0.45">
      <c r="G159" s="4"/>
      <c r="H159" s="4"/>
      <c r="I159" s="23"/>
      <c r="J159" s="23"/>
      <c r="K159" s="23"/>
      <c r="L159" s="4"/>
    </row>
    <row r="160" spans="7:12" ht="15.75" customHeight="1" x14ac:dyDescent="0.45">
      <c r="G160" s="4"/>
      <c r="H160" s="4"/>
      <c r="I160" s="23"/>
      <c r="J160" s="23"/>
      <c r="K160" s="23"/>
      <c r="L160" s="4"/>
    </row>
    <row r="161" spans="7:12" ht="15.75" customHeight="1" x14ac:dyDescent="0.45">
      <c r="G161" s="4"/>
      <c r="H161" s="4"/>
      <c r="I161" s="23"/>
      <c r="J161" s="23"/>
      <c r="K161" s="23"/>
      <c r="L161" s="4"/>
    </row>
    <row r="162" spans="7:12" ht="15.75" customHeight="1" x14ac:dyDescent="0.45">
      <c r="G162" s="4"/>
      <c r="H162" s="4"/>
      <c r="I162" s="23"/>
      <c r="J162" s="23"/>
      <c r="K162" s="23"/>
      <c r="L162" s="4"/>
    </row>
    <row r="163" spans="7:12" ht="15.75" customHeight="1" x14ac:dyDescent="0.45">
      <c r="G163" s="4"/>
      <c r="H163" s="4"/>
      <c r="I163" s="23"/>
      <c r="J163" s="23"/>
      <c r="K163" s="23"/>
      <c r="L163" s="4"/>
    </row>
    <row r="164" spans="7:12" ht="15.75" customHeight="1" x14ac:dyDescent="0.45">
      <c r="G164" s="4"/>
      <c r="H164" s="4"/>
      <c r="I164" s="23"/>
      <c r="J164" s="23"/>
      <c r="K164" s="23"/>
      <c r="L164" s="4"/>
    </row>
    <row r="165" spans="7:12" ht="15.75" customHeight="1" x14ac:dyDescent="0.45">
      <c r="G165" s="4"/>
      <c r="H165" s="4"/>
      <c r="I165" s="23"/>
      <c r="J165" s="23"/>
      <c r="K165" s="23"/>
      <c r="L165" s="4"/>
    </row>
    <row r="166" spans="7:12" ht="15.75" customHeight="1" x14ac:dyDescent="0.45">
      <c r="G166" s="4"/>
      <c r="H166" s="4"/>
      <c r="I166" s="23"/>
      <c r="J166" s="23"/>
      <c r="K166" s="23"/>
      <c r="L166" s="4"/>
    </row>
    <row r="167" spans="7:12" ht="15.75" customHeight="1" x14ac:dyDescent="0.45">
      <c r="G167" s="4"/>
      <c r="H167" s="4"/>
      <c r="I167" s="23"/>
      <c r="J167" s="23"/>
      <c r="K167" s="23"/>
      <c r="L167" s="4"/>
    </row>
    <row r="168" spans="7:12" ht="15.75" customHeight="1" x14ac:dyDescent="0.45">
      <c r="G168" s="4"/>
      <c r="H168" s="4"/>
      <c r="I168" s="23"/>
      <c r="J168" s="23"/>
      <c r="K168" s="23"/>
      <c r="L168" s="4"/>
    </row>
    <row r="169" spans="7:12" ht="15.75" customHeight="1" x14ac:dyDescent="0.45">
      <c r="G169" s="4"/>
      <c r="H169" s="4"/>
      <c r="I169" s="23"/>
      <c r="J169" s="23"/>
      <c r="K169" s="23"/>
      <c r="L169" s="4"/>
    </row>
    <row r="170" spans="7:12" ht="15.75" customHeight="1" x14ac:dyDescent="0.45">
      <c r="G170" s="4"/>
      <c r="H170" s="4"/>
      <c r="I170" s="23"/>
      <c r="J170" s="23"/>
      <c r="K170" s="23"/>
      <c r="L170" s="4"/>
    </row>
    <row r="171" spans="7:12" ht="15.75" customHeight="1" x14ac:dyDescent="0.45">
      <c r="G171" s="4"/>
      <c r="H171" s="4"/>
      <c r="I171" s="23"/>
      <c r="J171" s="23"/>
      <c r="K171" s="23"/>
      <c r="L171" s="4"/>
    </row>
    <row r="172" spans="7:12" ht="15.75" customHeight="1" x14ac:dyDescent="0.45">
      <c r="G172" s="4"/>
      <c r="H172" s="4"/>
      <c r="I172" s="23"/>
      <c r="J172" s="23"/>
      <c r="L172" s="4"/>
    </row>
    <row r="173" spans="7:12" ht="15.75" customHeight="1" x14ac:dyDescent="0.45">
      <c r="G173" s="4"/>
      <c r="H173" s="4"/>
      <c r="I173" s="23"/>
      <c r="J173" s="23"/>
      <c r="L173" s="4"/>
    </row>
    <row r="174" spans="7:12" ht="15.75" customHeight="1" x14ac:dyDescent="0.45">
      <c r="G174" s="4"/>
      <c r="H174" s="4"/>
      <c r="I174" s="23"/>
      <c r="J174" s="23"/>
      <c r="L174" s="4"/>
    </row>
    <row r="175" spans="7:12" ht="15.75" customHeight="1" x14ac:dyDescent="0.45">
      <c r="G175" s="4"/>
      <c r="H175" s="4"/>
      <c r="I175" s="23"/>
      <c r="J175" s="23"/>
      <c r="L175" s="4"/>
    </row>
    <row r="176" spans="7:12" ht="15.75" customHeight="1" x14ac:dyDescent="0.45">
      <c r="G176" s="4"/>
      <c r="H176" s="4"/>
      <c r="I176" s="23"/>
      <c r="J176" s="23"/>
      <c r="L176" s="4"/>
    </row>
    <row r="177" spans="7:12" ht="15.75" customHeight="1" x14ac:dyDescent="0.45">
      <c r="G177" s="4"/>
      <c r="H177" s="4"/>
      <c r="I177" s="23"/>
      <c r="J177" s="23"/>
      <c r="L177" s="4"/>
    </row>
    <row r="178" spans="7:12" ht="15.75" customHeight="1" x14ac:dyDescent="0.45">
      <c r="G178" s="4"/>
      <c r="H178" s="4"/>
      <c r="I178" s="23"/>
      <c r="J178" s="23"/>
      <c r="L178" s="4"/>
    </row>
    <row r="179" spans="7:12" ht="15.75" customHeight="1" x14ac:dyDescent="0.45">
      <c r="G179" s="4"/>
      <c r="H179" s="4"/>
      <c r="I179" s="23"/>
      <c r="J179" s="23"/>
      <c r="L179" s="4"/>
    </row>
    <row r="180" spans="7:12" ht="15.75" customHeight="1" x14ac:dyDescent="0.45">
      <c r="G180" s="4"/>
      <c r="H180" s="4"/>
      <c r="I180" s="23"/>
      <c r="J180" s="23"/>
      <c r="L180" s="4"/>
    </row>
    <row r="181" spans="7:12" ht="15.75" customHeight="1" x14ac:dyDescent="0.45">
      <c r="G181" s="4"/>
      <c r="H181" s="4"/>
      <c r="I181" s="23"/>
      <c r="J181" s="23"/>
      <c r="L181" s="4"/>
    </row>
    <row r="182" spans="7:12" ht="15.75" customHeight="1" x14ac:dyDescent="0.45">
      <c r="G182" s="4"/>
      <c r="H182" s="4"/>
      <c r="I182" s="23"/>
      <c r="J182" s="23"/>
      <c r="L182" s="4"/>
    </row>
    <row r="183" spans="7:12" ht="15.75" customHeight="1" x14ac:dyDescent="0.45">
      <c r="G183" s="4"/>
      <c r="H183" s="4"/>
      <c r="I183" s="23"/>
      <c r="J183" s="23"/>
      <c r="L183" s="4"/>
    </row>
    <row r="184" spans="7:12" ht="15.75" customHeight="1" x14ac:dyDescent="0.45">
      <c r="G184" s="4"/>
      <c r="H184" s="4"/>
      <c r="I184" s="23"/>
      <c r="J184" s="23"/>
      <c r="L184" s="4"/>
    </row>
    <row r="185" spans="7:12" ht="15.75" customHeight="1" x14ac:dyDescent="0.45">
      <c r="G185" s="4"/>
      <c r="H185" s="4"/>
      <c r="I185" s="23"/>
      <c r="J185" s="23"/>
      <c r="L185" s="4"/>
    </row>
    <row r="186" spans="7:12" ht="15.75" customHeight="1" x14ac:dyDescent="0.45">
      <c r="G186" s="4"/>
      <c r="H186" s="4"/>
      <c r="I186" s="23"/>
      <c r="J186" s="23"/>
      <c r="L186" s="4"/>
    </row>
    <row r="187" spans="7:12" ht="15.75" customHeight="1" x14ac:dyDescent="0.45">
      <c r="G187" s="4"/>
      <c r="H187" s="4"/>
      <c r="I187" s="23"/>
      <c r="J187" s="23"/>
      <c r="L187" s="4"/>
    </row>
    <row r="188" spans="7:12" ht="15.75" customHeight="1" x14ac:dyDescent="0.45">
      <c r="G188" s="4"/>
      <c r="H188" s="4"/>
      <c r="I188" s="23"/>
      <c r="J188" s="23"/>
      <c r="L188" s="4"/>
    </row>
    <row r="189" spans="7:12" ht="15.75" customHeight="1" x14ac:dyDescent="0.45">
      <c r="G189" s="4"/>
      <c r="H189" s="4"/>
      <c r="I189" s="23"/>
      <c r="J189" s="23"/>
      <c r="L189" s="4"/>
    </row>
    <row r="190" spans="7:12" ht="15.75" customHeight="1" x14ac:dyDescent="0.45">
      <c r="G190" s="4"/>
      <c r="H190" s="4"/>
      <c r="I190" s="23"/>
      <c r="J190" s="23"/>
      <c r="L190" s="4"/>
    </row>
    <row r="191" spans="7:12" ht="15.75" customHeight="1" x14ac:dyDescent="0.45">
      <c r="G191" s="4"/>
      <c r="H191" s="4"/>
      <c r="I191" s="23"/>
      <c r="J191" s="23"/>
      <c r="L191" s="4"/>
    </row>
    <row r="192" spans="7:12" ht="15.75" customHeight="1" x14ac:dyDescent="0.45">
      <c r="G192" s="4"/>
      <c r="H192" s="4"/>
      <c r="I192" s="23"/>
      <c r="J192" s="23"/>
      <c r="L192" s="4"/>
    </row>
    <row r="193" spans="7:12" ht="15.75" customHeight="1" x14ac:dyDescent="0.45">
      <c r="G193" s="4"/>
      <c r="H193" s="4"/>
      <c r="I193" s="23"/>
      <c r="J193" s="23"/>
      <c r="L193" s="4"/>
    </row>
    <row r="194" spans="7:12" ht="15.75" customHeight="1" x14ac:dyDescent="0.45">
      <c r="G194" s="4"/>
      <c r="H194" s="4"/>
      <c r="I194" s="23"/>
      <c r="J194" s="23"/>
      <c r="L194" s="4"/>
    </row>
    <row r="195" spans="7:12" ht="15.75" customHeight="1" x14ac:dyDescent="0.45">
      <c r="G195" s="4"/>
      <c r="H195" s="4"/>
      <c r="I195" s="23"/>
      <c r="J195" s="23"/>
      <c r="L195" s="4"/>
    </row>
    <row r="196" spans="7:12" ht="15.75" customHeight="1" x14ac:dyDescent="0.45">
      <c r="G196" s="4"/>
      <c r="H196" s="4"/>
      <c r="I196" s="23"/>
      <c r="J196" s="23"/>
      <c r="L196" s="4"/>
    </row>
    <row r="197" spans="7:12" ht="15.75" customHeight="1" x14ac:dyDescent="0.45">
      <c r="G197" s="4"/>
      <c r="H197" s="4"/>
      <c r="I197" s="23"/>
      <c r="J197" s="23"/>
      <c r="L197" s="4"/>
    </row>
    <row r="198" spans="7:12" ht="15.75" customHeight="1" x14ac:dyDescent="0.45">
      <c r="G198" s="4"/>
      <c r="H198" s="4"/>
      <c r="I198" s="23"/>
      <c r="J198" s="23"/>
      <c r="L198" s="4"/>
    </row>
    <row r="199" spans="7:12" ht="15.75" customHeight="1" x14ac:dyDescent="0.45">
      <c r="G199" s="4"/>
      <c r="H199" s="4"/>
      <c r="I199" s="23"/>
      <c r="J199" s="23"/>
      <c r="L199" s="4"/>
    </row>
    <row r="200" spans="7:12" ht="15.75" customHeight="1" x14ac:dyDescent="0.45">
      <c r="G200" s="4"/>
      <c r="H200" s="4"/>
      <c r="I200" s="23"/>
      <c r="J200" s="23"/>
      <c r="L200" s="4"/>
    </row>
    <row r="201" spans="7:12" ht="15.75" customHeight="1" x14ac:dyDescent="0.45">
      <c r="G201" s="4"/>
      <c r="H201" s="4"/>
      <c r="I201" s="23"/>
      <c r="J201" s="23"/>
      <c r="L201" s="4"/>
    </row>
    <row r="202" spans="7:12" ht="15.75" customHeight="1" x14ac:dyDescent="0.45">
      <c r="G202" s="4"/>
      <c r="H202" s="4"/>
      <c r="I202" s="23"/>
      <c r="J202" s="23"/>
      <c r="L202" s="4"/>
    </row>
    <row r="203" spans="7:12" ht="15.75" customHeight="1" x14ac:dyDescent="0.45">
      <c r="G203" s="4"/>
      <c r="H203" s="4"/>
      <c r="I203" s="23"/>
      <c r="J203" s="23"/>
      <c r="L203" s="4"/>
    </row>
    <row r="204" spans="7:12" ht="15.75" customHeight="1" x14ac:dyDescent="0.45">
      <c r="G204" s="4"/>
      <c r="H204" s="4"/>
      <c r="I204" s="23"/>
      <c r="J204" s="23"/>
      <c r="L204" s="4"/>
    </row>
    <row r="205" spans="7:12" ht="15.75" customHeight="1" x14ac:dyDescent="0.45">
      <c r="G205" s="4"/>
      <c r="H205" s="4"/>
      <c r="I205" s="23"/>
      <c r="J205" s="23"/>
      <c r="L205" s="4"/>
    </row>
    <row r="206" spans="7:12" ht="15.75" customHeight="1" x14ac:dyDescent="0.45">
      <c r="G206" s="4"/>
      <c r="H206" s="4"/>
      <c r="I206" s="23"/>
      <c r="J206" s="23"/>
      <c r="L206" s="4"/>
    </row>
    <row r="207" spans="7:12" ht="15.75" customHeight="1" x14ac:dyDescent="0.45">
      <c r="G207" s="4"/>
      <c r="H207" s="4"/>
      <c r="I207" s="23"/>
      <c r="J207" s="23"/>
      <c r="L207" s="4"/>
    </row>
    <row r="208" spans="7:12" ht="15.75" customHeight="1" x14ac:dyDescent="0.45">
      <c r="G208" s="4"/>
      <c r="H208" s="4"/>
      <c r="I208" s="23"/>
      <c r="J208" s="23"/>
      <c r="L208" s="4"/>
    </row>
    <row r="209" spans="7:12" ht="15.75" customHeight="1" x14ac:dyDescent="0.45">
      <c r="G209" s="4"/>
      <c r="H209" s="4"/>
      <c r="I209" s="23"/>
      <c r="J209" s="23"/>
      <c r="L209" s="4"/>
    </row>
    <row r="210" spans="7:12" ht="15.75" customHeight="1" x14ac:dyDescent="0.45">
      <c r="G210" s="4"/>
      <c r="H210" s="4"/>
      <c r="I210" s="23"/>
      <c r="J210" s="23"/>
      <c r="L210" s="4"/>
    </row>
    <row r="211" spans="7:12" ht="15.75" customHeight="1" x14ac:dyDescent="0.45">
      <c r="G211" s="4"/>
      <c r="H211" s="4"/>
      <c r="I211" s="23"/>
      <c r="J211" s="23"/>
      <c r="L211" s="4"/>
    </row>
    <row r="212" spans="7:12" ht="15.75" customHeight="1" x14ac:dyDescent="0.45">
      <c r="G212" s="4"/>
      <c r="H212" s="4"/>
      <c r="I212" s="23"/>
      <c r="J212" s="23"/>
      <c r="L212" s="4"/>
    </row>
    <row r="213" spans="7:12" ht="15.75" customHeight="1" x14ac:dyDescent="0.45">
      <c r="G213" s="4"/>
      <c r="H213" s="4"/>
      <c r="I213" s="23"/>
      <c r="J213" s="23"/>
      <c r="L213" s="4"/>
    </row>
    <row r="214" spans="7:12" ht="15.75" customHeight="1" x14ac:dyDescent="0.45">
      <c r="G214" s="4"/>
      <c r="H214" s="4"/>
      <c r="I214" s="23"/>
      <c r="J214" s="23"/>
      <c r="L214" s="4"/>
    </row>
    <row r="215" spans="7:12" ht="15.75" customHeight="1" x14ac:dyDescent="0.45">
      <c r="G215" s="4"/>
      <c r="H215" s="4"/>
      <c r="I215" s="23"/>
      <c r="J215" s="23"/>
      <c r="L215" s="4"/>
    </row>
    <row r="216" spans="7:12" ht="15.75" customHeight="1" x14ac:dyDescent="0.45">
      <c r="G216" s="4"/>
      <c r="H216" s="4"/>
      <c r="I216" s="23"/>
      <c r="J216" s="23"/>
      <c r="L216" s="4"/>
    </row>
    <row r="217" spans="7:12" ht="15.75" customHeight="1" x14ac:dyDescent="0.45">
      <c r="G217" s="4"/>
      <c r="H217" s="4"/>
      <c r="I217" s="23"/>
      <c r="J217" s="23"/>
      <c r="L217" s="4"/>
    </row>
    <row r="218" spans="7:12" ht="15.75" customHeight="1" x14ac:dyDescent="0.45">
      <c r="G218" s="4"/>
      <c r="H218" s="4"/>
      <c r="I218" s="23"/>
      <c r="J218" s="23"/>
      <c r="L218" s="4"/>
    </row>
    <row r="219" spans="7:12" ht="15.75" customHeight="1" x14ac:dyDescent="0.45">
      <c r="G219" s="4"/>
      <c r="H219" s="4"/>
      <c r="I219" s="23"/>
      <c r="J219" s="23"/>
      <c r="L219" s="4"/>
    </row>
    <row r="220" spans="7:12" ht="15.75" customHeight="1" x14ac:dyDescent="0.45">
      <c r="G220" s="4"/>
      <c r="H220" s="4"/>
      <c r="I220" s="23"/>
      <c r="J220" s="23"/>
      <c r="L220" s="4"/>
    </row>
    <row r="221" spans="7:12" ht="15.75" customHeight="1" x14ac:dyDescent="0.45">
      <c r="G221" s="4"/>
      <c r="H221" s="4"/>
      <c r="I221" s="23"/>
      <c r="J221" s="23"/>
      <c r="L221" s="4"/>
    </row>
    <row r="222" spans="7:12" ht="15.75" customHeight="1" x14ac:dyDescent="0.45">
      <c r="G222" s="4"/>
      <c r="H222" s="4"/>
      <c r="I222" s="23"/>
      <c r="J222" s="23"/>
      <c r="L222" s="4"/>
    </row>
    <row r="223" spans="7:12" ht="15.75" customHeight="1" x14ac:dyDescent="0.45">
      <c r="G223" s="4"/>
      <c r="H223" s="4"/>
      <c r="I223" s="23"/>
      <c r="J223" s="23"/>
      <c r="L223" s="4"/>
    </row>
    <row r="224" spans="7:12" ht="15.75" customHeight="1" x14ac:dyDescent="0.45">
      <c r="G224" s="4"/>
      <c r="H224" s="4"/>
      <c r="I224" s="23"/>
      <c r="J224" s="23"/>
      <c r="L224" s="4"/>
    </row>
    <row r="225" spans="7:12" ht="15.75" customHeight="1" x14ac:dyDescent="0.45">
      <c r="G225" s="4"/>
      <c r="H225" s="4"/>
      <c r="I225" s="23"/>
      <c r="J225" s="23"/>
      <c r="L225" s="4"/>
    </row>
    <row r="226" spans="7:12" ht="15.75" customHeight="1" x14ac:dyDescent="0.45">
      <c r="G226" s="4"/>
      <c r="H226" s="4"/>
      <c r="I226" s="23"/>
      <c r="J226" s="23"/>
      <c r="L226" s="4"/>
    </row>
    <row r="227" spans="7:12" ht="15.75" customHeight="1" x14ac:dyDescent="0.45">
      <c r="G227" s="4"/>
      <c r="H227" s="4"/>
      <c r="I227" s="23"/>
      <c r="J227" s="23"/>
      <c r="L227" s="4"/>
    </row>
    <row r="228" spans="7:12" ht="15.75" customHeight="1" x14ac:dyDescent="0.45">
      <c r="G228" s="4"/>
      <c r="H228" s="4"/>
      <c r="I228" s="23"/>
      <c r="J228" s="23"/>
      <c r="L228" s="4"/>
    </row>
    <row r="229" spans="7:12" ht="15.75" customHeight="1" x14ac:dyDescent="0.45">
      <c r="G229" s="4"/>
      <c r="H229" s="4"/>
      <c r="I229" s="23"/>
      <c r="J229" s="23"/>
      <c r="L229" s="4"/>
    </row>
    <row r="230" spans="7:12" ht="15.75" customHeight="1" x14ac:dyDescent="0.45">
      <c r="G230" s="4"/>
      <c r="H230" s="4"/>
      <c r="I230" s="23"/>
      <c r="J230" s="23"/>
      <c r="L230" s="4"/>
    </row>
    <row r="231" spans="7:12" ht="15.75" customHeight="1" x14ac:dyDescent="0.45">
      <c r="G231" s="4"/>
      <c r="H231" s="4"/>
      <c r="I231" s="23"/>
      <c r="J231" s="23"/>
      <c r="L231" s="4"/>
    </row>
    <row r="232" spans="7:12" ht="15.75" customHeight="1" x14ac:dyDescent="0.45">
      <c r="G232" s="4"/>
      <c r="H232" s="4"/>
      <c r="I232" s="23"/>
      <c r="J232" s="23"/>
      <c r="L232" s="4"/>
    </row>
    <row r="233" spans="7:12" ht="15.75" customHeight="1" x14ac:dyDescent="0.45">
      <c r="G233" s="4"/>
      <c r="H233" s="4"/>
      <c r="I233" s="23"/>
      <c r="J233" s="23"/>
      <c r="L233" s="4"/>
    </row>
    <row r="234" spans="7:12" ht="15.75" customHeight="1" x14ac:dyDescent="0.45">
      <c r="G234" s="4"/>
      <c r="H234" s="4"/>
      <c r="I234" s="23"/>
      <c r="J234" s="23"/>
      <c r="L234" s="4"/>
    </row>
    <row r="235" spans="7:12" ht="15.75" customHeight="1" x14ac:dyDescent="0.45">
      <c r="G235" s="4"/>
      <c r="H235" s="4"/>
      <c r="I235" s="23"/>
      <c r="J235" s="23"/>
      <c r="L235" s="4"/>
    </row>
    <row r="236" spans="7:12" ht="15.75" customHeight="1" x14ac:dyDescent="0.45">
      <c r="G236" s="4"/>
      <c r="H236" s="4"/>
      <c r="I236" s="23"/>
      <c r="J236" s="23"/>
      <c r="L236" s="4"/>
    </row>
    <row r="237" spans="7:12" ht="15.75" customHeight="1" x14ac:dyDescent="0.45">
      <c r="G237" s="4"/>
      <c r="H237" s="4"/>
      <c r="I237" s="23"/>
      <c r="J237" s="23"/>
      <c r="L237" s="4"/>
    </row>
    <row r="238" spans="7:12" ht="15.75" customHeight="1" x14ac:dyDescent="0.45">
      <c r="G238" s="4"/>
      <c r="H238" s="4"/>
      <c r="I238" s="23"/>
      <c r="J238" s="23"/>
      <c r="L238" s="4"/>
    </row>
    <row r="239" spans="7:12" ht="15.75" customHeight="1" x14ac:dyDescent="0.45">
      <c r="G239" s="4"/>
      <c r="H239" s="4"/>
      <c r="I239" s="23"/>
      <c r="J239" s="23"/>
      <c r="L239" s="4"/>
    </row>
    <row r="240" spans="7:12" ht="15.75" customHeight="1" x14ac:dyDescent="0.45">
      <c r="G240" s="4"/>
      <c r="H240" s="4"/>
      <c r="I240" s="23"/>
      <c r="J240" s="23"/>
      <c r="L240" s="4"/>
    </row>
    <row r="241" spans="7:12" ht="15.75" customHeight="1" x14ac:dyDescent="0.45">
      <c r="G241" s="4"/>
      <c r="H241" s="4"/>
      <c r="I241" s="23"/>
      <c r="J241" s="23"/>
      <c r="L241" s="4"/>
    </row>
    <row r="242" spans="7:12" ht="15.75" customHeight="1" x14ac:dyDescent="0.45">
      <c r="G242" s="4"/>
      <c r="H242" s="4"/>
      <c r="I242" s="23"/>
      <c r="J242" s="23"/>
      <c r="L242" s="4"/>
    </row>
    <row r="243" spans="7:12" ht="15.75" customHeight="1" x14ac:dyDescent="0.45">
      <c r="G243" s="4"/>
      <c r="H243" s="4"/>
      <c r="I243" s="23"/>
      <c r="J243" s="23"/>
      <c r="L243" s="4"/>
    </row>
    <row r="244" spans="7:12" ht="15.75" customHeight="1" x14ac:dyDescent="0.45">
      <c r="G244" s="4"/>
      <c r="H244" s="4"/>
      <c r="J244" s="23"/>
      <c r="L244" s="4"/>
    </row>
    <row r="245" spans="7:12" ht="15.75" customHeight="1" x14ac:dyDescent="0.45">
      <c r="G245" s="4"/>
      <c r="H245" s="4"/>
      <c r="L245" s="4"/>
    </row>
    <row r="246" spans="7:12" ht="15.75" customHeight="1" x14ac:dyDescent="0.45">
      <c r="G246" s="4"/>
      <c r="H246" s="4"/>
      <c r="L246" s="4"/>
    </row>
    <row r="247" spans="7:12" ht="15.75" customHeight="1" x14ac:dyDescent="0.45">
      <c r="G247" s="4"/>
      <c r="H247" s="4"/>
      <c r="L247" s="4"/>
    </row>
    <row r="248" spans="7:12" ht="15.75" customHeight="1" x14ac:dyDescent="0.45">
      <c r="G248" s="4"/>
      <c r="H248" s="4"/>
      <c r="L248" s="4"/>
    </row>
    <row r="249" spans="7:12" ht="15.75" customHeight="1" x14ac:dyDescent="0.45">
      <c r="G249" s="4"/>
      <c r="H249" s="4"/>
      <c r="L249" s="4"/>
    </row>
    <row r="250" spans="7:12" ht="15.75" customHeight="1" x14ac:dyDescent="0.45">
      <c r="G250" s="4"/>
      <c r="H250" s="4"/>
      <c r="L250" s="4"/>
    </row>
    <row r="251" spans="7:12" ht="15.75" customHeight="1" x14ac:dyDescent="0.45">
      <c r="G251" s="4"/>
      <c r="H251" s="4"/>
      <c r="L251" s="4"/>
    </row>
    <row r="252" spans="7:12" ht="15.75" customHeight="1" x14ac:dyDescent="0.45">
      <c r="G252" s="4"/>
      <c r="H252" s="4"/>
      <c r="L252" s="4"/>
    </row>
    <row r="253" spans="7:12" ht="15.75" customHeight="1" x14ac:dyDescent="0.45">
      <c r="G253" s="4"/>
      <c r="H253" s="4"/>
      <c r="L253" s="4"/>
    </row>
    <row r="254" spans="7:12" ht="15.75" customHeight="1" x14ac:dyDescent="0.45">
      <c r="G254" s="4"/>
      <c r="H254" s="4"/>
      <c r="L254" s="4"/>
    </row>
    <row r="255" spans="7:12" ht="15.75" customHeight="1" x14ac:dyDescent="0.45">
      <c r="G255" s="4"/>
      <c r="H255" s="4"/>
      <c r="L255" s="4"/>
    </row>
    <row r="256" spans="7:12" ht="15.75" customHeight="1" x14ac:dyDescent="0.45">
      <c r="G256" s="4"/>
      <c r="H256" s="4"/>
      <c r="L256" s="4"/>
    </row>
    <row r="257" spans="7:12" ht="15.75" customHeight="1" x14ac:dyDescent="0.45">
      <c r="G257" s="4"/>
      <c r="H257" s="4"/>
      <c r="L257" s="4"/>
    </row>
    <row r="258" spans="7:12" ht="15.75" customHeight="1" x14ac:dyDescent="0.45">
      <c r="G258" s="4"/>
      <c r="H258" s="4"/>
      <c r="L258" s="4"/>
    </row>
    <row r="259" spans="7:12" ht="15.75" customHeight="1" x14ac:dyDescent="0.45">
      <c r="G259" s="4"/>
      <c r="H259" s="4"/>
      <c r="L259" s="4"/>
    </row>
    <row r="260" spans="7:12" ht="15.75" customHeight="1" x14ac:dyDescent="0.45">
      <c r="G260" s="4"/>
      <c r="H260" s="4"/>
      <c r="L260" s="4"/>
    </row>
    <row r="261" spans="7:12" ht="15.75" customHeight="1" x14ac:dyDescent="0.45">
      <c r="G261" s="4"/>
      <c r="H261" s="4"/>
      <c r="L261" s="4"/>
    </row>
    <row r="262" spans="7:12" ht="15.75" customHeight="1" x14ac:dyDescent="0.45">
      <c r="G262" s="4"/>
      <c r="H262" s="4"/>
      <c r="L262" s="4"/>
    </row>
    <row r="263" spans="7:12" ht="15.75" customHeight="1" x14ac:dyDescent="0.45">
      <c r="G263" s="4"/>
      <c r="H263" s="4"/>
      <c r="L263" s="4"/>
    </row>
    <row r="264" spans="7:12" ht="15.75" customHeight="1" x14ac:dyDescent="0.45">
      <c r="G264" s="4"/>
      <c r="H264" s="4"/>
      <c r="L264" s="4"/>
    </row>
    <row r="265" spans="7:12" ht="15.75" customHeight="1" x14ac:dyDescent="0.45">
      <c r="G265" s="4"/>
      <c r="H265" s="4"/>
      <c r="L265" s="4"/>
    </row>
    <row r="266" spans="7:12" ht="15.75" customHeight="1" x14ac:dyDescent="0.45">
      <c r="G266" s="4"/>
      <c r="H266" s="4"/>
      <c r="L266" s="4"/>
    </row>
    <row r="267" spans="7:12" ht="15.75" customHeight="1" x14ac:dyDescent="0.45">
      <c r="G267" s="4"/>
      <c r="H267" s="4"/>
      <c r="L267" s="4"/>
    </row>
    <row r="268" spans="7:12" ht="15.75" customHeight="1" x14ac:dyDescent="0.45">
      <c r="G268" s="4"/>
      <c r="H268" s="4"/>
      <c r="L268" s="4"/>
    </row>
    <row r="269" spans="7:12" ht="15.75" customHeight="1" x14ac:dyDescent="0.45">
      <c r="G269" s="4"/>
      <c r="H269" s="4"/>
      <c r="L269" s="4"/>
    </row>
    <row r="270" spans="7:12" ht="15.75" customHeight="1" x14ac:dyDescent="0.45">
      <c r="G270" s="4"/>
      <c r="H270" s="4"/>
      <c r="L270" s="4"/>
    </row>
    <row r="271" spans="7:12" ht="15.75" customHeight="1" x14ac:dyDescent="0.45">
      <c r="G271" s="4"/>
      <c r="H271" s="4"/>
      <c r="L271" s="4"/>
    </row>
    <row r="272" spans="7:12" ht="15.75" customHeight="1" x14ac:dyDescent="0.45">
      <c r="G272" s="4"/>
      <c r="H272" s="4"/>
      <c r="L272" s="4"/>
    </row>
    <row r="273" spans="7:12" ht="15.75" customHeight="1" x14ac:dyDescent="0.45">
      <c r="G273" s="4"/>
      <c r="H273" s="4"/>
      <c r="L273" s="4"/>
    </row>
    <row r="274" spans="7:12" ht="15.75" customHeight="1" x14ac:dyDescent="0.45">
      <c r="G274" s="4"/>
      <c r="H274" s="4"/>
      <c r="L274" s="4"/>
    </row>
    <row r="275" spans="7:12" ht="15.75" customHeight="1" x14ac:dyDescent="0.45">
      <c r="G275" s="4"/>
      <c r="H275" s="4"/>
      <c r="L275" s="4"/>
    </row>
    <row r="276" spans="7:12" ht="15.75" customHeight="1" x14ac:dyDescent="0.45">
      <c r="G276" s="4"/>
      <c r="H276" s="4"/>
      <c r="L276" s="4"/>
    </row>
    <row r="277" spans="7:12" ht="15.75" customHeight="1" x14ac:dyDescent="0.45">
      <c r="G277" s="4"/>
      <c r="H277" s="4"/>
      <c r="L277" s="4"/>
    </row>
    <row r="278" spans="7:12" ht="15.75" customHeight="1" x14ac:dyDescent="0.45">
      <c r="G278" s="4"/>
      <c r="H278" s="4"/>
      <c r="L278" s="4"/>
    </row>
    <row r="279" spans="7:12" ht="15.75" customHeight="1" x14ac:dyDescent="0.45">
      <c r="G279" s="4"/>
      <c r="H279" s="4"/>
      <c r="L279" s="4"/>
    </row>
    <row r="280" spans="7:12" ht="15.75" customHeight="1" x14ac:dyDescent="0.45">
      <c r="G280" s="4"/>
      <c r="H280" s="4"/>
      <c r="L280" s="4"/>
    </row>
    <row r="281" spans="7:12" ht="15.75" customHeight="1" x14ac:dyDescent="0.45">
      <c r="G281" s="4"/>
      <c r="H281" s="4"/>
      <c r="L281" s="4"/>
    </row>
    <row r="282" spans="7:12" ht="15.75" customHeight="1" x14ac:dyDescent="0.45">
      <c r="G282" s="4"/>
      <c r="H282" s="4"/>
      <c r="L282" s="4"/>
    </row>
    <row r="283" spans="7:12" ht="15.75" customHeight="1" x14ac:dyDescent="0.45">
      <c r="G283" s="4"/>
      <c r="H283" s="4"/>
      <c r="L283" s="4"/>
    </row>
    <row r="284" spans="7:12" ht="15.75" customHeight="1" x14ac:dyDescent="0.45">
      <c r="G284" s="4"/>
      <c r="H284" s="4"/>
      <c r="L284" s="4"/>
    </row>
    <row r="285" spans="7:12" ht="15.75" customHeight="1" x14ac:dyDescent="0.45">
      <c r="G285" s="4"/>
      <c r="H285" s="4"/>
      <c r="L285" s="4"/>
    </row>
    <row r="286" spans="7:12" ht="15.75" customHeight="1" x14ac:dyDescent="0.45">
      <c r="G286" s="4"/>
      <c r="H286" s="4"/>
      <c r="L286" s="4"/>
    </row>
    <row r="287" spans="7:12" ht="15.75" customHeight="1" x14ac:dyDescent="0.45">
      <c r="G287" s="4"/>
      <c r="H287" s="4"/>
      <c r="L287" s="4"/>
    </row>
    <row r="288" spans="7:12" ht="15.75" customHeight="1" x14ac:dyDescent="0.45">
      <c r="G288" s="4"/>
      <c r="H288" s="4"/>
      <c r="L288" s="4"/>
    </row>
    <row r="289" spans="7:12" ht="15.75" customHeight="1" x14ac:dyDescent="0.45">
      <c r="G289" s="4"/>
      <c r="H289" s="4"/>
      <c r="L289" s="4"/>
    </row>
    <row r="290" spans="7:12" ht="15.75" customHeight="1" x14ac:dyDescent="0.45">
      <c r="G290" s="4"/>
      <c r="H290" s="4"/>
      <c r="L290" s="4"/>
    </row>
    <row r="291" spans="7:12" ht="15.75" customHeight="1" x14ac:dyDescent="0.45">
      <c r="G291" s="4"/>
      <c r="H291" s="4"/>
      <c r="L291" s="4"/>
    </row>
    <row r="292" spans="7:12" ht="15.75" customHeight="1" x14ac:dyDescent="0.45">
      <c r="G292" s="4"/>
      <c r="H292" s="4"/>
      <c r="L292" s="4"/>
    </row>
    <row r="293" spans="7:12" ht="15.75" customHeight="1" x14ac:dyDescent="0.45">
      <c r="G293" s="4"/>
      <c r="H293" s="4"/>
      <c r="L293" s="4"/>
    </row>
    <row r="294" spans="7:12" ht="15.75" customHeight="1" x14ac:dyDescent="0.45">
      <c r="G294" s="4"/>
      <c r="H294" s="4"/>
      <c r="L294" s="4"/>
    </row>
    <row r="295" spans="7:12" ht="15.75" customHeight="1" x14ac:dyDescent="0.45">
      <c r="G295" s="4"/>
      <c r="H295" s="4"/>
      <c r="L295" s="4"/>
    </row>
    <row r="296" spans="7:12" ht="15.75" customHeight="1" x14ac:dyDescent="0.45">
      <c r="G296" s="4"/>
      <c r="H296" s="4"/>
      <c r="L296" s="4"/>
    </row>
    <row r="297" spans="7:12" ht="15.75" customHeight="1" x14ac:dyDescent="0.45">
      <c r="G297" s="4"/>
      <c r="H297" s="4"/>
      <c r="L297" s="4"/>
    </row>
    <row r="298" spans="7:12" ht="15.75" customHeight="1" x14ac:dyDescent="0.45">
      <c r="G298" s="4"/>
      <c r="H298" s="4"/>
      <c r="L298" s="4"/>
    </row>
    <row r="299" spans="7:12" ht="15.75" customHeight="1" x14ac:dyDescent="0.45">
      <c r="G299" s="4"/>
      <c r="H299" s="4"/>
      <c r="L299" s="4"/>
    </row>
    <row r="300" spans="7:12" ht="15.75" customHeight="1" x14ac:dyDescent="0.45">
      <c r="G300" s="4"/>
      <c r="H300" s="4"/>
      <c r="L300" s="4"/>
    </row>
    <row r="301" spans="7:12" ht="15.75" customHeight="1" x14ac:dyDescent="0.45">
      <c r="G301" s="4"/>
      <c r="H301" s="4"/>
      <c r="L301" s="4"/>
    </row>
    <row r="302" spans="7:12" ht="15.75" customHeight="1" x14ac:dyDescent="0.45">
      <c r="G302" s="4"/>
      <c r="H302" s="4"/>
      <c r="L302" s="4"/>
    </row>
    <row r="303" spans="7:12" ht="15.75" customHeight="1" x14ac:dyDescent="0.45">
      <c r="G303" s="4"/>
      <c r="H303" s="4"/>
      <c r="L303" s="4"/>
    </row>
    <row r="304" spans="7:12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/>
    <row r="313" spans="7:12" ht="15.75" customHeight="1" x14ac:dyDescent="0.45"/>
    <row r="314" spans="7:12" ht="15.75" customHeight="1" x14ac:dyDescent="0.45"/>
    <row r="315" spans="7:12" ht="15.75" customHeight="1" x14ac:dyDescent="0.45"/>
    <row r="316" spans="7:12" ht="15.75" customHeight="1" x14ac:dyDescent="0.45"/>
    <row r="317" spans="7:12" ht="15.75" customHeight="1" x14ac:dyDescent="0.45"/>
    <row r="318" spans="7:12" ht="15.75" customHeight="1" x14ac:dyDescent="0.45"/>
    <row r="319" spans="7:12" ht="15.75" customHeight="1" x14ac:dyDescent="0.45"/>
    <row r="320" spans="7:12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</sheetData>
  <mergeCells count="4">
    <mergeCell ref="L18:M18"/>
    <mergeCell ref="A1:N1"/>
    <mergeCell ref="A2:N2"/>
    <mergeCell ref="A5:N5"/>
  </mergeCells>
  <phoneticPr fontId="6" type="noConversion"/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957B20-B521-4B1E-AB28-203F44DB3653}">
          <x14:formula1>
            <xm:f>Criterios!$A$2:$A$128</xm:f>
          </x14:formula1>
          <xm:sqref>O8:S112</xm:sqref>
        </x14:dataValidation>
        <x14:dataValidation type="list" allowBlank="1" showInputMessage="1" showErrorMessage="1" xr:uid="{C2D8710B-4CA6-4DDC-B28D-0668FE199B17}">
          <x14:formula1>
            <xm:f>Hoja1!$G$2:$G$3</xm:f>
          </x14:formula1>
          <xm:sqref>T8:T112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DC50-DAC3-4146-BA4A-B9147C413365}">
  <dimension ref="A1:U954"/>
  <sheetViews>
    <sheetView topLeftCell="K21" zoomScale="80" zoomScaleNormal="80" workbookViewId="0">
      <selection activeCell="S92" sqref="S92"/>
    </sheetView>
  </sheetViews>
  <sheetFormatPr baseColWidth="10" defaultRowHeight="14.25" x14ac:dyDescent="0.45"/>
  <cols>
    <col min="1" max="1" width="10.9296875" customWidth="1"/>
    <col min="2" max="2" width="11.796875" customWidth="1"/>
    <col min="3" max="3" width="10.9296875" customWidth="1"/>
    <col min="4" max="4" width="14.796875" customWidth="1"/>
    <col min="5" max="9" width="10.9296875" customWidth="1"/>
    <col min="10" max="10" width="47.53125" customWidth="1"/>
    <col min="11" max="11" width="21.46484375" customWidth="1"/>
    <col min="12" max="13" width="10.9296875" customWidth="1"/>
    <col min="14" max="14" width="7.796875" customWidth="1"/>
    <col min="15" max="15" width="8.46484375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207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33.75" customHeight="1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217511933</v>
      </c>
      <c r="B8" s="11" t="str">
        <f t="shared" ref="B8:B8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21.751.193-3</v>
      </c>
      <c r="C8" s="11" t="s">
        <v>14</v>
      </c>
      <c r="D8" s="11" t="s">
        <v>112</v>
      </c>
      <c r="E8" s="11" t="s">
        <v>113</v>
      </c>
      <c r="F8" s="11" t="s">
        <v>114</v>
      </c>
      <c r="G8" s="12">
        <v>45660</v>
      </c>
      <c r="H8" s="12">
        <v>45695</v>
      </c>
      <c r="I8" s="11" t="s">
        <v>15</v>
      </c>
      <c r="J8" s="11" t="s">
        <v>60</v>
      </c>
      <c r="K8" s="11" t="s">
        <v>16</v>
      </c>
      <c r="L8" s="12">
        <v>45689</v>
      </c>
      <c r="M8" s="12">
        <v>45695</v>
      </c>
      <c r="N8" s="44">
        <f t="shared" ref="N8:N62" si="1">+M8-L8</f>
        <v>6</v>
      </c>
      <c r="O8" s="45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217511933</v>
      </c>
      <c r="B9" s="11" t="str">
        <f t="shared" si="0"/>
        <v>21.751.193-3</v>
      </c>
      <c r="C9" s="11" t="s">
        <v>14</v>
      </c>
      <c r="D9" s="11" t="s">
        <v>112</v>
      </c>
      <c r="E9" s="11" t="s">
        <v>113</v>
      </c>
      <c r="F9" s="11" t="s">
        <v>114</v>
      </c>
      <c r="G9" s="12">
        <v>45660</v>
      </c>
      <c r="H9" s="12">
        <v>45695</v>
      </c>
      <c r="I9" s="11" t="s">
        <v>15</v>
      </c>
      <c r="J9" s="11" t="s">
        <v>60</v>
      </c>
      <c r="K9" s="11" t="s">
        <v>17</v>
      </c>
      <c r="L9" s="12">
        <v>45689</v>
      </c>
      <c r="M9" s="12">
        <v>45695</v>
      </c>
      <c r="N9" s="44">
        <f t="shared" si="1"/>
        <v>6</v>
      </c>
      <c r="O9" s="45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217511933</v>
      </c>
      <c r="B10" s="11" t="str">
        <f t="shared" si="0"/>
        <v>21.751.193-3</v>
      </c>
      <c r="C10" s="11" t="s">
        <v>14</v>
      </c>
      <c r="D10" s="11" t="s">
        <v>112</v>
      </c>
      <c r="E10" s="11" t="s">
        <v>113</v>
      </c>
      <c r="F10" s="11" t="s">
        <v>114</v>
      </c>
      <c r="G10" s="12">
        <v>45660</v>
      </c>
      <c r="H10" s="12">
        <v>45695</v>
      </c>
      <c r="I10" s="11" t="s">
        <v>15</v>
      </c>
      <c r="J10" s="11" t="s">
        <v>60</v>
      </c>
      <c r="K10" s="11" t="s">
        <v>18</v>
      </c>
      <c r="L10" s="12">
        <v>45689</v>
      </c>
      <c r="M10" s="12">
        <v>45694</v>
      </c>
      <c r="N10" s="44">
        <f t="shared" si="1"/>
        <v>5</v>
      </c>
      <c r="O10" s="45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102959906</v>
      </c>
      <c r="B11" s="11" t="str">
        <f t="shared" si="0"/>
        <v>10.295.990-6</v>
      </c>
      <c r="C11" s="11" t="s">
        <v>14</v>
      </c>
      <c r="D11" s="11" t="s">
        <v>201</v>
      </c>
      <c r="E11" s="11" t="s">
        <v>202</v>
      </c>
      <c r="F11" s="11" t="s">
        <v>171</v>
      </c>
      <c r="G11" s="12">
        <v>45683</v>
      </c>
      <c r="H11" s="12">
        <v>45692</v>
      </c>
      <c r="I11" s="11" t="s">
        <v>72</v>
      </c>
      <c r="J11" s="11" t="s">
        <v>60</v>
      </c>
      <c r="K11" s="11" t="s">
        <v>16</v>
      </c>
      <c r="L11" s="12">
        <v>45689</v>
      </c>
      <c r="M11" s="12">
        <v>45692</v>
      </c>
      <c r="N11" s="44">
        <f t="shared" si="1"/>
        <v>3</v>
      </c>
      <c r="O11" s="45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102959906</v>
      </c>
      <c r="B12" s="11" t="str">
        <f t="shared" si="0"/>
        <v>10.295.990-6</v>
      </c>
      <c r="C12" s="11" t="s">
        <v>14</v>
      </c>
      <c r="D12" s="11" t="s">
        <v>201</v>
      </c>
      <c r="E12" s="11" t="s">
        <v>202</v>
      </c>
      <c r="F12" s="11" t="s">
        <v>171</v>
      </c>
      <c r="G12" s="12">
        <v>45683</v>
      </c>
      <c r="H12" s="12">
        <v>45692</v>
      </c>
      <c r="I12" s="11" t="s">
        <v>72</v>
      </c>
      <c r="J12" s="11" t="s">
        <v>60</v>
      </c>
      <c r="K12" s="11" t="s">
        <v>17</v>
      </c>
      <c r="L12" s="12">
        <v>45689</v>
      </c>
      <c r="M12" s="12">
        <v>45692</v>
      </c>
      <c r="N12" s="44">
        <f t="shared" si="1"/>
        <v>3</v>
      </c>
      <c r="O12" s="45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57359897</v>
      </c>
      <c r="B13" s="11" t="str">
        <f t="shared" si="0"/>
        <v>5.735.989-7</v>
      </c>
      <c r="C13" s="11" t="s">
        <v>14</v>
      </c>
      <c r="D13" s="11" t="s">
        <v>224</v>
      </c>
      <c r="E13" s="11" t="s">
        <v>225</v>
      </c>
      <c r="F13" s="11" t="s">
        <v>223</v>
      </c>
      <c r="G13" s="12">
        <v>45688</v>
      </c>
      <c r="H13" s="12">
        <v>45701</v>
      </c>
      <c r="I13" s="11" t="s">
        <v>72</v>
      </c>
      <c r="J13" s="11" t="s">
        <v>106</v>
      </c>
      <c r="K13" s="11" t="s">
        <v>16</v>
      </c>
      <c r="L13" s="12">
        <v>45690</v>
      </c>
      <c r="M13" s="12">
        <v>45701</v>
      </c>
      <c r="N13" s="44">
        <f t="shared" si="1"/>
        <v>11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57359897</v>
      </c>
      <c r="B14" s="11" t="str">
        <f t="shared" si="0"/>
        <v>5.735.989-7</v>
      </c>
      <c r="C14" s="11" t="s">
        <v>14</v>
      </c>
      <c r="D14" s="11" t="s">
        <v>224</v>
      </c>
      <c r="E14" s="11" t="s">
        <v>225</v>
      </c>
      <c r="F14" s="11" t="s">
        <v>223</v>
      </c>
      <c r="G14" s="12">
        <v>45688</v>
      </c>
      <c r="H14" s="12">
        <v>45701</v>
      </c>
      <c r="I14" s="11" t="s">
        <v>72</v>
      </c>
      <c r="J14" s="11" t="s">
        <v>106</v>
      </c>
      <c r="K14" s="11" t="s">
        <v>17</v>
      </c>
      <c r="L14" s="12">
        <v>45689</v>
      </c>
      <c r="M14" s="12">
        <v>45701</v>
      </c>
      <c r="N14" s="44">
        <f t="shared" si="1"/>
        <v>12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57359897</v>
      </c>
      <c r="B15" s="11" t="str">
        <f t="shared" si="0"/>
        <v>5.735.989-7</v>
      </c>
      <c r="C15" s="11" t="s">
        <v>14</v>
      </c>
      <c r="D15" s="11" t="s">
        <v>224</v>
      </c>
      <c r="E15" s="11" t="s">
        <v>225</v>
      </c>
      <c r="F15" s="11" t="s">
        <v>223</v>
      </c>
      <c r="G15" s="12">
        <v>45688</v>
      </c>
      <c r="H15" s="12">
        <v>45701</v>
      </c>
      <c r="I15" s="11" t="s">
        <v>72</v>
      </c>
      <c r="J15" s="11" t="s">
        <v>106</v>
      </c>
      <c r="K15" s="11" t="s">
        <v>18</v>
      </c>
      <c r="L15" s="12">
        <v>45689</v>
      </c>
      <c r="M15" s="12">
        <v>45701</v>
      </c>
      <c r="N15" s="44">
        <f t="shared" si="1"/>
        <v>12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 t="s">
        <v>226</v>
      </c>
      <c r="B16" s="11" t="str">
        <f t="shared" si="0"/>
        <v>6.120.444-k</v>
      </c>
      <c r="C16" s="11" t="s">
        <v>14</v>
      </c>
      <c r="D16" s="11" t="s">
        <v>157</v>
      </c>
      <c r="E16" s="11" t="s">
        <v>86</v>
      </c>
      <c r="F16" s="11" t="s">
        <v>227</v>
      </c>
      <c r="G16" s="12">
        <v>45686</v>
      </c>
      <c r="H16" s="12">
        <v>45691</v>
      </c>
      <c r="I16" s="11" t="s">
        <v>15</v>
      </c>
      <c r="J16" s="11" t="s">
        <v>60</v>
      </c>
      <c r="K16" s="11" t="s">
        <v>16</v>
      </c>
      <c r="L16" s="12">
        <v>45689</v>
      </c>
      <c r="M16" s="12">
        <v>45691</v>
      </c>
      <c r="N16" s="44">
        <f t="shared" si="1"/>
        <v>2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 t="s">
        <v>226</v>
      </c>
      <c r="B17" s="11" t="str">
        <f t="shared" si="0"/>
        <v>6.120.444-k</v>
      </c>
      <c r="C17" s="11" t="s">
        <v>14</v>
      </c>
      <c r="D17" s="11" t="s">
        <v>157</v>
      </c>
      <c r="E17" s="11" t="s">
        <v>86</v>
      </c>
      <c r="F17" s="11" t="s">
        <v>227</v>
      </c>
      <c r="G17" s="12">
        <v>45686</v>
      </c>
      <c r="H17" s="12">
        <v>45691</v>
      </c>
      <c r="I17" s="11" t="s">
        <v>15</v>
      </c>
      <c r="J17" s="11" t="s">
        <v>60</v>
      </c>
      <c r="K17" s="11" t="s">
        <v>17</v>
      </c>
      <c r="L17" s="12">
        <v>45689</v>
      </c>
      <c r="M17" s="12">
        <v>45691</v>
      </c>
      <c r="N17" s="44">
        <f t="shared" si="1"/>
        <v>2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s="91" customFormat="1" ht="16.5" customHeight="1" x14ac:dyDescent="0.45">
      <c r="A18" s="86">
        <v>102136667</v>
      </c>
      <c r="B18" s="87" t="str">
        <f t="shared" si="0"/>
        <v>10.213.666-7</v>
      </c>
      <c r="C18" s="87" t="s">
        <v>14</v>
      </c>
      <c r="D18" s="87" t="s">
        <v>228</v>
      </c>
      <c r="E18" s="87" t="s">
        <v>229</v>
      </c>
      <c r="F18" s="87" t="s">
        <v>230</v>
      </c>
      <c r="G18" s="88">
        <v>45688</v>
      </c>
      <c r="H18" s="88"/>
      <c r="I18" s="87" t="s">
        <v>72</v>
      </c>
      <c r="J18" s="87"/>
      <c r="K18" s="87" t="s">
        <v>16</v>
      </c>
      <c r="L18" s="88">
        <v>45689</v>
      </c>
      <c r="M18" s="89">
        <v>45712</v>
      </c>
      <c r="N18" s="90">
        <f t="shared" si="1"/>
        <v>23</v>
      </c>
      <c r="O18" s="90"/>
      <c r="P18" s="91" t="s">
        <v>83</v>
      </c>
      <c r="Q18" s="91" t="s">
        <v>83</v>
      </c>
      <c r="R18" s="91" t="s">
        <v>83</v>
      </c>
      <c r="S18" s="91" t="s">
        <v>83</v>
      </c>
      <c r="T18" s="91" t="s">
        <v>83</v>
      </c>
      <c r="U18" t="s">
        <v>1074</v>
      </c>
    </row>
    <row r="19" spans="1:21" s="91" customFormat="1" ht="16.5" customHeight="1" x14ac:dyDescent="0.45">
      <c r="A19" s="86">
        <v>102136667</v>
      </c>
      <c r="B19" s="87" t="str">
        <f t="shared" si="0"/>
        <v>10.213.666-7</v>
      </c>
      <c r="C19" s="87" t="s">
        <v>14</v>
      </c>
      <c r="D19" s="87" t="s">
        <v>228</v>
      </c>
      <c r="E19" s="87" t="s">
        <v>229</v>
      </c>
      <c r="F19" s="87" t="s">
        <v>230</v>
      </c>
      <c r="G19" s="88">
        <v>45688</v>
      </c>
      <c r="H19" s="88"/>
      <c r="I19" s="87" t="s">
        <v>72</v>
      </c>
      <c r="J19" s="87"/>
      <c r="K19" s="87" t="s">
        <v>17</v>
      </c>
      <c r="L19" s="88">
        <v>45689</v>
      </c>
      <c r="M19" s="89">
        <v>45716</v>
      </c>
      <c r="N19" s="90">
        <f t="shared" si="1"/>
        <v>27</v>
      </c>
      <c r="O19" s="90"/>
      <c r="P19" s="91" t="s">
        <v>83</v>
      </c>
      <c r="Q19" s="91" t="s">
        <v>83</v>
      </c>
      <c r="R19" s="91" t="s">
        <v>83</v>
      </c>
      <c r="S19" s="91" t="s">
        <v>83</v>
      </c>
      <c r="T19" s="91" t="s">
        <v>83</v>
      </c>
      <c r="U19" t="s">
        <v>1074</v>
      </c>
    </row>
    <row r="20" spans="1:21" s="91" customFormat="1" ht="16.5" customHeight="1" x14ac:dyDescent="0.45">
      <c r="A20" s="86">
        <v>102136667</v>
      </c>
      <c r="B20" s="87" t="str">
        <f t="shared" si="0"/>
        <v>10.213.666-7</v>
      </c>
      <c r="C20" s="87" t="s">
        <v>14</v>
      </c>
      <c r="D20" s="87" t="s">
        <v>228</v>
      </c>
      <c r="E20" s="87" t="s">
        <v>229</v>
      </c>
      <c r="F20" s="87" t="s">
        <v>230</v>
      </c>
      <c r="G20" s="88">
        <v>45688</v>
      </c>
      <c r="H20" s="88"/>
      <c r="I20" s="87" t="s">
        <v>72</v>
      </c>
      <c r="J20" s="87"/>
      <c r="K20" s="87" t="s">
        <v>18</v>
      </c>
      <c r="L20" s="88">
        <v>45689</v>
      </c>
      <c r="M20" s="89">
        <v>45716</v>
      </c>
      <c r="N20" s="90">
        <f t="shared" si="1"/>
        <v>27</v>
      </c>
      <c r="O20" s="90"/>
      <c r="P20" s="91" t="s">
        <v>999</v>
      </c>
      <c r="Q20" s="91" t="s">
        <v>83</v>
      </c>
      <c r="R20" s="91" t="s">
        <v>83</v>
      </c>
      <c r="S20" s="91" t="s">
        <v>83</v>
      </c>
      <c r="T20" s="91" t="s">
        <v>83</v>
      </c>
      <c r="U20" t="s">
        <v>1074</v>
      </c>
    </row>
    <row r="21" spans="1:21" ht="16.5" customHeight="1" x14ac:dyDescent="0.45">
      <c r="A21" s="10" t="s">
        <v>231</v>
      </c>
      <c r="B21" s="11" t="str">
        <f t="shared" si="0"/>
        <v>19.534.471-K</v>
      </c>
      <c r="C21" s="11" t="s">
        <v>14</v>
      </c>
      <c r="D21" s="11" t="s">
        <v>232</v>
      </c>
      <c r="E21" s="11" t="s">
        <v>233</v>
      </c>
      <c r="F21" s="11" t="s">
        <v>234</v>
      </c>
      <c r="G21" s="12">
        <v>45689</v>
      </c>
      <c r="H21" s="12">
        <v>45706</v>
      </c>
      <c r="I21" s="11" t="s">
        <v>15</v>
      </c>
      <c r="J21" s="11" t="s">
        <v>28</v>
      </c>
      <c r="K21" s="11" t="s">
        <v>16</v>
      </c>
      <c r="L21" s="12">
        <v>45689</v>
      </c>
      <c r="M21" s="14">
        <v>45703</v>
      </c>
      <c r="N21" s="44">
        <f t="shared" si="1"/>
        <v>14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 t="s">
        <v>231</v>
      </c>
      <c r="B22" s="11" t="str">
        <f t="shared" si="0"/>
        <v>19.534.471-K</v>
      </c>
      <c r="C22" s="11" t="s">
        <v>14</v>
      </c>
      <c r="D22" s="11" t="s">
        <v>232</v>
      </c>
      <c r="E22" s="11" t="s">
        <v>233</v>
      </c>
      <c r="F22" s="11" t="s">
        <v>234</v>
      </c>
      <c r="G22" s="12">
        <v>45689</v>
      </c>
      <c r="H22" s="12">
        <v>45706</v>
      </c>
      <c r="I22" s="11" t="s">
        <v>15</v>
      </c>
      <c r="J22" s="11" t="s">
        <v>28</v>
      </c>
      <c r="K22" s="11" t="s">
        <v>17</v>
      </c>
      <c r="L22" s="12">
        <v>45689</v>
      </c>
      <c r="M22" s="14">
        <v>45706</v>
      </c>
      <c r="N22" s="44">
        <f t="shared" si="1"/>
        <v>17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 t="s">
        <v>231</v>
      </c>
      <c r="B23" s="11" t="str">
        <f t="shared" si="0"/>
        <v>19.534.471-K</v>
      </c>
      <c r="C23" s="11" t="s">
        <v>14</v>
      </c>
      <c r="D23" s="11" t="s">
        <v>232</v>
      </c>
      <c r="E23" s="11" t="s">
        <v>233</v>
      </c>
      <c r="F23" s="11" t="s">
        <v>234</v>
      </c>
      <c r="G23" s="12">
        <v>45689</v>
      </c>
      <c r="H23" s="12">
        <v>45706</v>
      </c>
      <c r="I23" s="11" t="s">
        <v>15</v>
      </c>
      <c r="J23" s="11" t="s">
        <v>28</v>
      </c>
      <c r="K23" s="11" t="s">
        <v>18</v>
      </c>
      <c r="L23" s="12">
        <v>45689</v>
      </c>
      <c r="M23" s="14">
        <v>45704</v>
      </c>
      <c r="N23" s="44">
        <f t="shared" si="1"/>
        <v>15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 t="s">
        <v>231</v>
      </c>
      <c r="B24" s="11" t="str">
        <f t="shared" ref="B24" si="2">IF(LEN(A24)=8,MID(A24,1,1)&amp;"."&amp;MID(A24,2,3)&amp;"."&amp;MID(A24,5,3)&amp;"-"&amp;RIGHT(A24,1),IF(LEFT(RIGHT(A24,2),1)="-",MID(A24,1,1)&amp;"."&amp;MID(A24,2,3)&amp;"."&amp;MID(A24,5,3)&amp;"-"&amp;RIGHT(A24,1),MID(A24,1,2)&amp;"."&amp;MID(A24,3,3)&amp;"."&amp;MID(A24,6,3)&amp;"-"&amp;MID(A24,9,1)))</f>
        <v>19.534.471-K</v>
      </c>
      <c r="C24" s="11" t="s">
        <v>14</v>
      </c>
      <c r="D24" s="11" t="s">
        <v>232</v>
      </c>
      <c r="E24" s="11" t="s">
        <v>233</v>
      </c>
      <c r="F24" s="11" t="s">
        <v>234</v>
      </c>
      <c r="G24" s="12">
        <v>45689</v>
      </c>
      <c r="H24" s="12">
        <v>45706</v>
      </c>
      <c r="I24" s="11" t="s">
        <v>15</v>
      </c>
      <c r="J24" s="11" t="s">
        <v>28</v>
      </c>
      <c r="K24" s="11" t="s">
        <v>1076</v>
      </c>
      <c r="L24" s="12">
        <v>45689</v>
      </c>
      <c r="M24" s="14">
        <v>45704</v>
      </c>
      <c r="N24" s="44">
        <f t="shared" si="1"/>
        <v>15</v>
      </c>
      <c r="O24" s="44"/>
      <c r="P24" t="s">
        <v>972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114467294</v>
      </c>
      <c r="B25" s="11" t="str">
        <f t="shared" si="0"/>
        <v>11.446.729-4</v>
      </c>
      <c r="C25" s="11" t="s">
        <v>14</v>
      </c>
      <c r="D25" s="11" t="s">
        <v>235</v>
      </c>
      <c r="E25" s="11" t="s">
        <v>236</v>
      </c>
      <c r="F25" s="11" t="s">
        <v>37</v>
      </c>
      <c r="G25" s="12">
        <v>45688</v>
      </c>
      <c r="H25" s="12">
        <v>45693</v>
      </c>
      <c r="I25" s="11" t="s">
        <v>15</v>
      </c>
      <c r="J25" s="11" t="s">
        <v>60</v>
      </c>
      <c r="K25" s="11" t="s">
        <v>16</v>
      </c>
      <c r="L25" s="12">
        <v>45689</v>
      </c>
      <c r="M25" s="12">
        <v>45693</v>
      </c>
      <c r="N25" s="44">
        <f t="shared" si="1"/>
        <v>4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114467294</v>
      </c>
      <c r="B26" s="11" t="str">
        <f t="shared" si="0"/>
        <v>11.446.729-4</v>
      </c>
      <c r="C26" s="11" t="s">
        <v>14</v>
      </c>
      <c r="D26" s="11" t="s">
        <v>235</v>
      </c>
      <c r="E26" s="11" t="s">
        <v>236</v>
      </c>
      <c r="F26" s="11" t="s">
        <v>37</v>
      </c>
      <c r="G26" s="12">
        <v>45688</v>
      </c>
      <c r="H26" s="12">
        <v>45693</v>
      </c>
      <c r="I26" s="11" t="s">
        <v>15</v>
      </c>
      <c r="J26" s="11" t="s">
        <v>60</v>
      </c>
      <c r="K26" s="11" t="s">
        <v>17</v>
      </c>
      <c r="L26" s="12">
        <v>45689</v>
      </c>
      <c r="M26" s="12">
        <v>45693</v>
      </c>
      <c r="N26" s="44">
        <f t="shared" si="1"/>
        <v>4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114467294</v>
      </c>
      <c r="B27" s="11" t="str">
        <f t="shared" si="0"/>
        <v>11.446.729-4</v>
      </c>
      <c r="C27" s="11" t="s">
        <v>14</v>
      </c>
      <c r="D27" s="11" t="s">
        <v>235</v>
      </c>
      <c r="E27" s="11" t="s">
        <v>236</v>
      </c>
      <c r="F27" s="11" t="s">
        <v>37</v>
      </c>
      <c r="G27" s="12">
        <v>45688</v>
      </c>
      <c r="H27" s="12">
        <v>45693</v>
      </c>
      <c r="I27" s="11" t="s">
        <v>15</v>
      </c>
      <c r="J27" s="11" t="s">
        <v>60</v>
      </c>
      <c r="K27" s="11" t="s">
        <v>18</v>
      </c>
      <c r="L27" s="12">
        <v>45689</v>
      </c>
      <c r="M27" s="12">
        <v>45693</v>
      </c>
      <c r="N27" s="44">
        <f t="shared" si="1"/>
        <v>4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77774653</v>
      </c>
      <c r="B28" s="11" t="str">
        <f t="shared" si="0"/>
        <v>7.777.465-3</v>
      </c>
      <c r="C28" s="11" t="s">
        <v>14</v>
      </c>
      <c r="D28" s="11" t="s">
        <v>237</v>
      </c>
      <c r="E28" s="11" t="s">
        <v>238</v>
      </c>
      <c r="F28" s="11" t="s">
        <v>239</v>
      </c>
      <c r="G28" s="12">
        <v>45692</v>
      </c>
      <c r="H28" s="12">
        <v>45700</v>
      </c>
      <c r="I28" s="11" t="s">
        <v>15</v>
      </c>
      <c r="J28" s="11" t="s">
        <v>60</v>
      </c>
      <c r="K28" s="11" t="s">
        <v>16</v>
      </c>
      <c r="L28" s="12">
        <v>45692</v>
      </c>
      <c r="M28" s="12">
        <v>45700</v>
      </c>
      <c r="N28" s="44">
        <f t="shared" si="1"/>
        <v>8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77774653</v>
      </c>
      <c r="B29" s="11" t="str">
        <f t="shared" si="0"/>
        <v>7.777.465-3</v>
      </c>
      <c r="C29" s="11" t="s">
        <v>14</v>
      </c>
      <c r="D29" s="11" t="s">
        <v>237</v>
      </c>
      <c r="E29" s="11" t="s">
        <v>238</v>
      </c>
      <c r="F29" s="11" t="s">
        <v>239</v>
      </c>
      <c r="G29" s="12">
        <v>45692</v>
      </c>
      <c r="H29" s="12">
        <v>45700</v>
      </c>
      <c r="I29" s="11" t="s">
        <v>15</v>
      </c>
      <c r="J29" s="11" t="s">
        <v>60</v>
      </c>
      <c r="K29" s="11" t="s">
        <v>17</v>
      </c>
      <c r="L29" s="12">
        <v>45692</v>
      </c>
      <c r="M29" s="12">
        <v>45700</v>
      </c>
      <c r="N29" s="44">
        <f t="shared" si="1"/>
        <v>8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 t="s">
        <v>240</v>
      </c>
      <c r="B30" s="11" t="str">
        <f t="shared" si="0"/>
        <v>10.094.488-k</v>
      </c>
      <c r="C30" s="11" t="s">
        <v>14</v>
      </c>
      <c r="D30" s="11" t="s">
        <v>241</v>
      </c>
      <c r="E30" s="11" t="s">
        <v>242</v>
      </c>
      <c r="F30" s="11" t="s">
        <v>243</v>
      </c>
      <c r="G30" s="12">
        <v>45692</v>
      </c>
      <c r="H30" s="12">
        <v>45699</v>
      </c>
      <c r="I30" s="11" t="s">
        <v>72</v>
      </c>
      <c r="J30" s="11" t="s">
        <v>60</v>
      </c>
      <c r="K30" s="11" t="s">
        <v>16</v>
      </c>
      <c r="L30" s="12">
        <v>45692</v>
      </c>
      <c r="M30" s="12">
        <v>45699</v>
      </c>
      <c r="N30" s="44">
        <f t="shared" si="1"/>
        <v>7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 t="s">
        <v>240</v>
      </c>
      <c r="B31" s="11" t="str">
        <f t="shared" si="0"/>
        <v>10.094.488-k</v>
      </c>
      <c r="C31" s="11" t="s">
        <v>14</v>
      </c>
      <c r="D31" s="11" t="s">
        <v>241</v>
      </c>
      <c r="E31" s="11" t="s">
        <v>242</v>
      </c>
      <c r="F31" s="11" t="s">
        <v>243</v>
      </c>
      <c r="G31" s="12">
        <v>45692</v>
      </c>
      <c r="H31" s="12">
        <v>45699</v>
      </c>
      <c r="I31" s="11" t="s">
        <v>72</v>
      </c>
      <c r="J31" s="11" t="s">
        <v>60</v>
      </c>
      <c r="K31" s="11" t="s">
        <v>17</v>
      </c>
      <c r="L31" s="12">
        <v>45692</v>
      </c>
      <c r="M31" s="12">
        <v>45699</v>
      </c>
      <c r="N31" s="44">
        <f t="shared" si="1"/>
        <v>7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56826262</v>
      </c>
      <c r="B32" s="11" t="str">
        <f t="shared" si="0"/>
        <v>5.682.626-2</v>
      </c>
      <c r="C32" s="11" t="s">
        <v>14</v>
      </c>
      <c r="D32" s="11" t="s">
        <v>244</v>
      </c>
      <c r="E32" s="11" t="s">
        <v>245</v>
      </c>
      <c r="F32" s="11" t="s">
        <v>184</v>
      </c>
      <c r="G32" s="12">
        <v>45693</v>
      </c>
      <c r="H32" s="12">
        <v>45701</v>
      </c>
      <c r="I32" s="11" t="s">
        <v>200</v>
      </c>
      <c r="J32" s="11" t="s">
        <v>60</v>
      </c>
      <c r="K32" s="11" t="s">
        <v>16</v>
      </c>
      <c r="L32" s="12">
        <v>45693</v>
      </c>
      <c r="M32" s="12">
        <v>45701</v>
      </c>
      <c r="N32" s="44">
        <f t="shared" si="1"/>
        <v>8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56826262</v>
      </c>
      <c r="B33" s="11" t="str">
        <f t="shared" si="0"/>
        <v>5.682.626-2</v>
      </c>
      <c r="C33" s="11" t="s">
        <v>14</v>
      </c>
      <c r="D33" s="11" t="s">
        <v>244</v>
      </c>
      <c r="E33" s="11" t="s">
        <v>245</v>
      </c>
      <c r="F33" s="11" t="s">
        <v>184</v>
      </c>
      <c r="G33" s="12">
        <v>45693</v>
      </c>
      <c r="H33" s="12">
        <v>45701</v>
      </c>
      <c r="I33" s="11" t="s">
        <v>200</v>
      </c>
      <c r="J33" s="11" t="s">
        <v>60</v>
      </c>
      <c r="K33" s="11" t="s">
        <v>17</v>
      </c>
      <c r="L33" s="12">
        <v>45693</v>
      </c>
      <c r="M33" s="12">
        <v>45701</v>
      </c>
      <c r="N33" s="44">
        <f t="shared" si="1"/>
        <v>8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56826262</v>
      </c>
      <c r="B34" s="11" t="str">
        <f t="shared" si="0"/>
        <v>5.682.626-2</v>
      </c>
      <c r="C34" s="11" t="s">
        <v>14</v>
      </c>
      <c r="D34" s="11" t="s">
        <v>244</v>
      </c>
      <c r="E34" s="11" t="s">
        <v>245</v>
      </c>
      <c r="F34" s="11" t="s">
        <v>184</v>
      </c>
      <c r="G34" s="12">
        <v>45693</v>
      </c>
      <c r="H34" s="12">
        <v>45701</v>
      </c>
      <c r="I34" s="11" t="s">
        <v>200</v>
      </c>
      <c r="J34" s="11"/>
      <c r="K34" s="11" t="s">
        <v>18</v>
      </c>
      <c r="L34" s="12">
        <v>45693</v>
      </c>
      <c r="M34" s="12">
        <v>45699</v>
      </c>
      <c r="N34" s="44">
        <f t="shared" si="1"/>
        <v>6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 t="s">
        <v>246</v>
      </c>
      <c r="B35" s="11" t="str">
        <f t="shared" si="0"/>
        <v>18.685.635-k</v>
      </c>
      <c r="C35" s="11" t="s">
        <v>14</v>
      </c>
      <c r="D35" s="11" t="s">
        <v>247</v>
      </c>
      <c r="E35" s="11" t="s">
        <v>248</v>
      </c>
      <c r="F35" s="11" t="s">
        <v>249</v>
      </c>
      <c r="G35" s="12">
        <v>45698</v>
      </c>
      <c r="H35" s="12">
        <v>45702</v>
      </c>
      <c r="I35" s="11" t="s">
        <v>15</v>
      </c>
      <c r="J35" s="11" t="s">
        <v>307</v>
      </c>
      <c r="K35" s="11" t="s">
        <v>16</v>
      </c>
      <c r="L35" s="12">
        <v>45698</v>
      </c>
      <c r="M35" s="39">
        <v>45702</v>
      </c>
      <c r="N35" s="44">
        <f t="shared" si="1"/>
        <v>4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 t="s">
        <v>246</v>
      </c>
      <c r="B36" s="11" t="str">
        <f t="shared" si="0"/>
        <v>18.685.635-k</v>
      </c>
      <c r="C36" s="11" t="s">
        <v>14</v>
      </c>
      <c r="D36" s="11" t="s">
        <v>247</v>
      </c>
      <c r="E36" s="11" t="s">
        <v>248</v>
      </c>
      <c r="F36" s="11" t="s">
        <v>249</v>
      </c>
      <c r="G36" s="12">
        <v>45698</v>
      </c>
      <c r="H36" s="12">
        <v>45702</v>
      </c>
      <c r="I36" s="11" t="s">
        <v>15</v>
      </c>
      <c r="J36" s="11" t="s">
        <v>307</v>
      </c>
      <c r="K36" s="11" t="s">
        <v>17</v>
      </c>
      <c r="L36" s="12">
        <v>45698</v>
      </c>
      <c r="M36" s="39">
        <v>45702</v>
      </c>
      <c r="N36" s="44">
        <f t="shared" si="1"/>
        <v>4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100379082</v>
      </c>
      <c r="B37" s="11" t="str">
        <f t="shared" si="0"/>
        <v>10.037.908-2</v>
      </c>
      <c r="C37" s="11" t="s">
        <v>14</v>
      </c>
      <c r="D37" s="11" t="s">
        <v>232</v>
      </c>
      <c r="E37" s="11" t="s">
        <v>250</v>
      </c>
      <c r="F37" s="11" t="s">
        <v>216</v>
      </c>
      <c r="G37" s="12">
        <v>45695</v>
      </c>
      <c r="H37" s="12">
        <v>45698</v>
      </c>
      <c r="I37" s="11" t="s">
        <v>72</v>
      </c>
      <c r="J37" s="11" t="s">
        <v>60</v>
      </c>
      <c r="K37" s="11" t="s">
        <v>16</v>
      </c>
      <c r="L37" s="12">
        <v>45695</v>
      </c>
      <c r="M37" s="12">
        <v>45698</v>
      </c>
      <c r="N37" s="44">
        <f t="shared" si="1"/>
        <v>3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92">
        <v>859968</v>
      </c>
      <c r="B38" s="93"/>
      <c r="C38" s="94" t="s">
        <v>14</v>
      </c>
      <c r="D38" s="94" t="s">
        <v>142</v>
      </c>
      <c r="E38" s="94"/>
      <c r="F38" s="94" t="s">
        <v>263</v>
      </c>
      <c r="G38" s="95">
        <v>45705</v>
      </c>
      <c r="H38" s="95">
        <v>45716</v>
      </c>
      <c r="I38" s="94" t="s">
        <v>15</v>
      </c>
      <c r="J38" s="94" t="s">
        <v>291</v>
      </c>
      <c r="K38" s="94" t="s">
        <v>16</v>
      </c>
      <c r="L38" s="96">
        <v>45705</v>
      </c>
      <c r="M38" s="97">
        <v>45716</v>
      </c>
      <c r="N38" s="98">
        <f t="shared" si="1"/>
        <v>11</v>
      </c>
      <c r="O38" s="98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92">
        <v>859968</v>
      </c>
      <c r="B39" s="94"/>
      <c r="C39" s="94" t="s">
        <v>14</v>
      </c>
      <c r="D39" s="94" t="s">
        <v>142</v>
      </c>
      <c r="E39" s="94"/>
      <c r="F39" s="94" t="s">
        <v>263</v>
      </c>
      <c r="G39" s="95">
        <v>45706</v>
      </c>
      <c r="H39" s="95">
        <v>45716</v>
      </c>
      <c r="I39" s="94" t="s">
        <v>15</v>
      </c>
      <c r="J39" s="94" t="s">
        <v>291</v>
      </c>
      <c r="K39" s="94" t="s">
        <v>17</v>
      </c>
      <c r="L39" s="96">
        <v>45705</v>
      </c>
      <c r="M39" s="97">
        <v>45716</v>
      </c>
      <c r="N39" s="98">
        <f t="shared" si="1"/>
        <v>11</v>
      </c>
      <c r="O39" s="98"/>
      <c r="P39" t="s">
        <v>958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92">
        <v>859968</v>
      </c>
      <c r="B40" s="94"/>
      <c r="C40" s="94" t="s">
        <v>14</v>
      </c>
      <c r="D40" s="94" t="s">
        <v>142</v>
      </c>
      <c r="E40" s="94"/>
      <c r="F40" s="94" t="s">
        <v>263</v>
      </c>
      <c r="G40" s="95">
        <v>45707</v>
      </c>
      <c r="H40" s="95">
        <v>45716</v>
      </c>
      <c r="I40" s="94" t="s">
        <v>15</v>
      </c>
      <c r="J40" s="94" t="s">
        <v>291</v>
      </c>
      <c r="K40" s="94" t="s">
        <v>18</v>
      </c>
      <c r="L40" s="96">
        <v>45705</v>
      </c>
      <c r="M40" s="97">
        <v>45716</v>
      </c>
      <c r="N40" s="98">
        <f t="shared" si="1"/>
        <v>11</v>
      </c>
      <c r="O40" s="98"/>
      <c r="P40" t="s">
        <v>984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 t="s">
        <v>264</v>
      </c>
      <c r="B41" s="11" t="str">
        <f t="shared" si="0"/>
        <v>21.592.923-k</v>
      </c>
      <c r="C41" s="11" t="s">
        <v>14</v>
      </c>
      <c r="D41" s="11" t="s">
        <v>265</v>
      </c>
      <c r="E41" s="11" t="s">
        <v>120</v>
      </c>
      <c r="F41" s="11" t="s">
        <v>266</v>
      </c>
      <c r="G41" s="12">
        <v>46004</v>
      </c>
      <c r="H41" s="12">
        <v>45707</v>
      </c>
      <c r="I41" s="11" t="s">
        <v>15</v>
      </c>
      <c r="J41" s="11" t="s">
        <v>60</v>
      </c>
      <c r="K41" s="11" t="s">
        <v>16</v>
      </c>
      <c r="L41" s="38">
        <v>45702</v>
      </c>
      <c r="M41" s="39">
        <v>45707</v>
      </c>
      <c r="N41" s="44">
        <f t="shared" si="1"/>
        <v>5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102503937</v>
      </c>
      <c r="B42" s="11" t="str">
        <f t="shared" si="0"/>
        <v>10.250.393-7</v>
      </c>
      <c r="C42" s="11" t="s">
        <v>14</v>
      </c>
      <c r="D42" s="11" t="s">
        <v>267</v>
      </c>
      <c r="E42" s="11" t="s">
        <v>190</v>
      </c>
      <c r="F42" s="11" t="s">
        <v>223</v>
      </c>
      <c r="G42" s="12">
        <v>45706</v>
      </c>
      <c r="H42" s="12">
        <v>45707</v>
      </c>
      <c r="I42" s="11" t="s">
        <v>15</v>
      </c>
      <c r="J42" s="11" t="s">
        <v>60</v>
      </c>
      <c r="K42" s="11" t="s">
        <v>16</v>
      </c>
      <c r="L42" s="38">
        <v>45706</v>
      </c>
      <c r="M42" s="39">
        <v>45707</v>
      </c>
      <c r="N42" s="44">
        <f t="shared" si="1"/>
        <v>1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 t="s">
        <v>268</v>
      </c>
      <c r="B43" s="11" t="str">
        <f t="shared" si="0"/>
        <v>10.094.488-K</v>
      </c>
      <c r="C43" s="11" t="s">
        <v>14</v>
      </c>
      <c r="D43" s="11" t="s">
        <v>241</v>
      </c>
      <c r="E43" s="11" t="s">
        <v>242</v>
      </c>
      <c r="F43" s="11" t="s">
        <v>243</v>
      </c>
      <c r="G43" s="12">
        <v>45705</v>
      </c>
      <c r="H43" s="12">
        <v>45710</v>
      </c>
      <c r="I43" s="11" t="s">
        <v>72</v>
      </c>
      <c r="J43" s="11" t="s">
        <v>60</v>
      </c>
      <c r="K43" s="11" t="s">
        <v>16</v>
      </c>
      <c r="L43" s="38">
        <v>45705</v>
      </c>
      <c r="M43" s="39">
        <v>45710</v>
      </c>
      <c r="N43" s="44">
        <f t="shared" si="1"/>
        <v>5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 t="s">
        <v>268</v>
      </c>
      <c r="B44" s="11" t="str">
        <f t="shared" ref="B44:B49" si="3">IF(LEN(A44)=8,MID(A44,1,1)&amp;"."&amp;MID(A44,2,3)&amp;"."&amp;MID(A44,5,3)&amp;"-"&amp;RIGHT(A44,1),IF(LEFT(RIGHT(A44,2),1)="-",MID(A44,1,1)&amp;"."&amp;MID(A44,2,3)&amp;"."&amp;MID(A44,5,3)&amp;"-"&amp;RIGHT(A44,1),MID(A44,1,2)&amp;"."&amp;MID(A44,3,3)&amp;"."&amp;MID(A44,6,3)&amp;"-"&amp;MID(A44,9,1)))</f>
        <v>10.094.488-K</v>
      </c>
      <c r="C44" s="11" t="s">
        <v>14</v>
      </c>
      <c r="D44" s="11" t="s">
        <v>241</v>
      </c>
      <c r="E44" s="11" t="s">
        <v>242</v>
      </c>
      <c r="F44" s="11" t="s">
        <v>243</v>
      </c>
      <c r="G44" s="12">
        <v>45705</v>
      </c>
      <c r="H44" s="12">
        <v>45710</v>
      </c>
      <c r="I44" s="11" t="s">
        <v>72</v>
      </c>
      <c r="J44" s="11" t="s">
        <v>60</v>
      </c>
      <c r="K44" s="11" t="s">
        <v>17</v>
      </c>
      <c r="L44" s="38">
        <v>45705</v>
      </c>
      <c r="M44" s="39">
        <v>45710</v>
      </c>
      <c r="N44" s="44">
        <f t="shared" si="1"/>
        <v>5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99">
        <v>227127678</v>
      </c>
      <c r="B45" s="100" t="str">
        <f t="shared" si="3"/>
        <v>22.712.767-8</v>
      </c>
      <c r="C45" s="100" t="s">
        <v>14</v>
      </c>
      <c r="D45" s="100" t="s">
        <v>269</v>
      </c>
      <c r="E45" s="100" t="s">
        <v>148</v>
      </c>
      <c r="F45" s="100" t="s">
        <v>270</v>
      </c>
      <c r="G45" s="101">
        <v>45699</v>
      </c>
      <c r="H45" s="101">
        <v>45707</v>
      </c>
      <c r="I45" s="100" t="s">
        <v>15</v>
      </c>
      <c r="J45" s="100" t="s">
        <v>60</v>
      </c>
      <c r="K45" s="100" t="s">
        <v>16</v>
      </c>
      <c r="L45" s="102">
        <v>45700</v>
      </c>
      <c r="M45" s="103">
        <v>45707</v>
      </c>
      <c r="N45" s="104">
        <f t="shared" si="1"/>
        <v>7</v>
      </c>
      <c r="O45" s="104"/>
      <c r="P45" t="s">
        <v>984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99">
        <v>227127678</v>
      </c>
      <c r="B46" s="100" t="str">
        <f t="shared" si="3"/>
        <v>22.712.767-8</v>
      </c>
      <c r="C46" s="100" t="s">
        <v>14</v>
      </c>
      <c r="D46" s="100" t="s">
        <v>269</v>
      </c>
      <c r="E46" s="100" t="s">
        <v>148</v>
      </c>
      <c r="F46" s="100" t="s">
        <v>270</v>
      </c>
      <c r="G46" s="101">
        <v>45699</v>
      </c>
      <c r="H46" s="101">
        <v>45707</v>
      </c>
      <c r="I46" s="100" t="s">
        <v>15</v>
      </c>
      <c r="J46" s="100" t="s">
        <v>60</v>
      </c>
      <c r="K46" s="100" t="s">
        <v>17</v>
      </c>
      <c r="L46" s="102">
        <v>45705</v>
      </c>
      <c r="M46" s="103">
        <v>45707</v>
      </c>
      <c r="N46" s="104">
        <f t="shared" si="1"/>
        <v>2</v>
      </c>
      <c r="O46" s="10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35399615</v>
      </c>
      <c r="B47" s="11" t="str">
        <f t="shared" si="3"/>
        <v>3.539.961-5</v>
      </c>
      <c r="C47" s="11" t="s">
        <v>14</v>
      </c>
      <c r="D47" s="11" t="s">
        <v>271</v>
      </c>
      <c r="E47" s="11" t="s">
        <v>272</v>
      </c>
      <c r="F47" s="11" t="s">
        <v>273</v>
      </c>
      <c r="G47" s="12">
        <v>45701</v>
      </c>
      <c r="H47" s="12">
        <v>45706</v>
      </c>
      <c r="I47" s="11" t="s">
        <v>15</v>
      </c>
      <c r="J47" s="11" t="s">
        <v>274</v>
      </c>
      <c r="K47" s="11" t="s">
        <v>16</v>
      </c>
      <c r="L47" s="38">
        <v>45701</v>
      </c>
      <c r="M47" s="39">
        <v>45706</v>
      </c>
      <c r="N47" s="44">
        <f t="shared" si="1"/>
        <v>5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35399615</v>
      </c>
      <c r="B48" s="11" t="str">
        <f t="shared" si="3"/>
        <v>3.539.961-5</v>
      </c>
      <c r="C48" s="11" t="s">
        <v>14</v>
      </c>
      <c r="D48" s="11" t="s">
        <v>271</v>
      </c>
      <c r="E48" s="11" t="s">
        <v>272</v>
      </c>
      <c r="F48" s="11" t="s">
        <v>273</v>
      </c>
      <c r="G48" s="12">
        <v>45701</v>
      </c>
      <c r="H48" s="12">
        <v>45706</v>
      </c>
      <c r="I48" s="11" t="s">
        <v>15</v>
      </c>
      <c r="J48" s="11" t="s">
        <v>274</v>
      </c>
      <c r="K48" s="11" t="s">
        <v>17</v>
      </c>
      <c r="L48" s="38">
        <v>45701</v>
      </c>
      <c r="M48" s="39">
        <v>45706</v>
      </c>
      <c r="N48" s="44">
        <f t="shared" si="1"/>
        <v>5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78240393</v>
      </c>
      <c r="B49" s="11" t="str">
        <f t="shared" si="3"/>
        <v>7.824.039-3</v>
      </c>
      <c r="C49" s="11" t="s">
        <v>14</v>
      </c>
      <c r="D49" s="11" t="s">
        <v>162</v>
      </c>
      <c r="E49" s="11" t="s">
        <v>275</v>
      </c>
      <c r="F49" s="11" t="s">
        <v>276</v>
      </c>
      <c r="G49" s="12">
        <v>45702</v>
      </c>
      <c r="H49" s="12"/>
      <c r="I49" s="11" t="s">
        <v>277</v>
      </c>
      <c r="J49" s="11"/>
      <c r="K49" s="11" t="s">
        <v>16</v>
      </c>
      <c r="L49" s="38">
        <v>45702</v>
      </c>
      <c r="M49" s="39">
        <v>45716</v>
      </c>
      <c r="N49" s="44">
        <f t="shared" si="1"/>
        <v>14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78240393</v>
      </c>
      <c r="B50" s="11" t="str">
        <f t="shared" ref="B50:B51" si="4">IF(LEN(A50)=8,MID(A50,1,1)&amp;"."&amp;MID(A50,2,3)&amp;"."&amp;MID(A50,5,3)&amp;"-"&amp;RIGHT(A50,1),IF(LEFT(RIGHT(A50,2),1)="-",MID(A50,1,1)&amp;"."&amp;MID(A50,2,3)&amp;"."&amp;MID(A50,5,3)&amp;"-"&amp;RIGHT(A50,1),MID(A50,1,2)&amp;"."&amp;MID(A50,3,3)&amp;"."&amp;MID(A50,6,3)&amp;"-"&amp;MID(A50,9,1)))</f>
        <v>7.824.039-3</v>
      </c>
      <c r="C50" s="11" t="s">
        <v>14</v>
      </c>
      <c r="D50" s="11" t="s">
        <v>162</v>
      </c>
      <c r="E50" s="11" t="s">
        <v>275</v>
      </c>
      <c r="F50" s="11" t="s">
        <v>276</v>
      </c>
      <c r="G50" s="12">
        <v>45702</v>
      </c>
      <c r="H50" s="12"/>
      <c r="I50" s="11" t="s">
        <v>277</v>
      </c>
      <c r="J50" s="11"/>
      <c r="K50" s="11" t="s">
        <v>17</v>
      </c>
      <c r="L50" s="38">
        <v>45702</v>
      </c>
      <c r="M50" s="39">
        <v>45714</v>
      </c>
      <c r="N50" s="44">
        <f t="shared" si="1"/>
        <v>12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78240393</v>
      </c>
      <c r="B51" s="11" t="str">
        <f t="shared" si="4"/>
        <v>7.824.039-3</v>
      </c>
      <c r="C51" s="11" t="s">
        <v>14</v>
      </c>
      <c r="D51" s="11" t="s">
        <v>162</v>
      </c>
      <c r="E51" s="11" t="s">
        <v>275</v>
      </c>
      <c r="F51" s="11" t="s">
        <v>276</v>
      </c>
      <c r="G51" s="12">
        <v>45702</v>
      </c>
      <c r="H51" s="12"/>
      <c r="I51" s="11" t="s">
        <v>277</v>
      </c>
      <c r="J51" s="11"/>
      <c r="K51" s="11" t="s">
        <v>18</v>
      </c>
      <c r="L51" s="38">
        <v>45702</v>
      </c>
      <c r="M51" s="39">
        <v>45716</v>
      </c>
      <c r="N51" s="44">
        <f t="shared" si="1"/>
        <v>14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112918507</v>
      </c>
      <c r="B52" s="11" t="str">
        <f t="shared" ref="B52:B62" si="5">IF(LEN(A52)=8,MID(A52,1,1)&amp;"."&amp;MID(A52,2,3)&amp;"."&amp;MID(A52,5,3)&amp;"-"&amp;RIGHT(A52,1),IF(LEFT(RIGHT(A52,2),1)="-",MID(A52,1,1)&amp;"."&amp;MID(A52,2,3)&amp;"."&amp;MID(A52,5,3)&amp;"-"&amp;RIGHT(A52,1),MID(A52,1,2)&amp;"."&amp;MID(A52,3,3)&amp;"."&amp;MID(A52,6,3)&amp;"-"&amp;MID(A52,9,1)))</f>
        <v>11.291.850-7</v>
      </c>
      <c r="C52" s="11" t="s">
        <v>14</v>
      </c>
      <c r="D52" s="11" t="s">
        <v>278</v>
      </c>
      <c r="E52" s="11" t="s">
        <v>279</v>
      </c>
      <c r="F52" s="11" t="s">
        <v>280</v>
      </c>
      <c r="G52" s="12">
        <v>45705</v>
      </c>
      <c r="H52" s="12"/>
      <c r="I52" s="11" t="s">
        <v>281</v>
      </c>
      <c r="J52" s="11"/>
      <c r="K52" s="11" t="s">
        <v>16</v>
      </c>
      <c r="L52" s="38">
        <v>45705</v>
      </c>
      <c r="M52" s="39">
        <v>45716</v>
      </c>
      <c r="N52" s="44">
        <f t="shared" si="1"/>
        <v>11</v>
      </c>
      <c r="O52" s="44" t="s">
        <v>306</v>
      </c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112918507</v>
      </c>
      <c r="B53" s="11" t="str">
        <f t="shared" si="5"/>
        <v>11.291.850-7</v>
      </c>
      <c r="C53" s="11" t="s">
        <v>14</v>
      </c>
      <c r="D53" s="11" t="s">
        <v>278</v>
      </c>
      <c r="E53" s="11" t="s">
        <v>279</v>
      </c>
      <c r="F53" s="11" t="s">
        <v>280</v>
      </c>
      <c r="G53" s="12">
        <v>45705</v>
      </c>
      <c r="H53" s="12"/>
      <c r="I53" s="11" t="s">
        <v>281</v>
      </c>
      <c r="J53" s="11"/>
      <c r="K53" s="11" t="s">
        <v>17</v>
      </c>
      <c r="L53" s="38">
        <v>45705</v>
      </c>
      <c r="M53" s="39">
        <v>45716</v>
      </c>
      <c r="N53" s="44">
        <f t="shared" si="1"/>
        <v>11</v>
      </c>
      <c r="O53" s="44" t="s">
        <v>306</v>
      </c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112918507</v>
      </c>
      <c r="B54" s="11" t="str">
        <f t="shared" si="5"/>
        <v>11.291.850-7</v>
      </c>
      <c r="C54" s="11" t="s">
        <v>14</v>
      </c>
      <c r="D54" s="11" t="s">
        <v>278</v>
      </c>
      <c r="E54" s="11" t="s">
        <v>279</v>
      </c>
      <c r="F54" s="11" t="s">
        <v>280</v>
      </c>
      <c r="G54" s="12">
        <v>45705</v>
      </c>
      <c r="H54" s="12"/>
      <c r="I54" s="11" t="s">
        <v>281</v>
      </c>
      <c r="J54" s="11"/>
      <c r="K54" s="11" t="s">
        <v>18</v>
      </c>
      <c r="L54" s="38">
        <v>45705</v>
      </c>
      <c r="M54" s="39">
        <v>45716</v>
      </c>
      <c r="N54" s="44">
        <f t="shared" si="1"/>
        <v>11</v>
      </c>
      <c r="O54" s="44"/>
      <c r="P54" t="s">
        <v>984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129749784</v>
      </c>
      <c r="B55" s="11" t="str">
        <f t="shared" si="5"/>
        <v>12.974.978-4</v>
      </c>
      <c r="C55" s="11" t="s">
        <v>14</v>
      </c>
      <c r="D55" s="11" t="s">
        <v>125</v>
      </c>
      <c r="E55" s="11" t="s">
        <v>144</v>
      </c>
      <c r="F55" s="11" t="s">
        <v>286</v>
      </c>
      <c r="G55" s="12">
        <v>45700</v>
      </c>
      <c r="H55" s="12">
        <v>45710</v>
      </c>
      <c r="I55" s="11" t="s">
        <v>15</v>
      </c>
      <c r="J55" s="11" t="s">
        <v>287</v>
      </c>
      <c r="K55" s="11" t="s">
        <v>16</v>
      </c>
      <c r="L55" s="38">
        <v>45700</v>
      </c>
      <c r="M55" s="39">
        <v>45710</v>
      </c>
      <c r="N55" s="44">
        <f t="shared" si="1"/>
        <v>10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129749784</v>
      </c>
      <c r="B56" s="11" t="str">
        <f t="shared" si="5"/>
        <v>12.974.978-4</v>
      </c>
      <c r="C56" s="11" t="s">
        <v>14</v>
      </c>
      <c r="D56" s="11" t="s">
        <v>125</v>
      </c>
      <c r="E56" s="11" t="s">
        <v>144</v>
      </c>
      <c r="F56" s="11" t="s">
        <v>286</v>
      </c>
      <c r="G56" s="12">
        <v>45700</v>
      </c>
      <c r="H56" s="12">
        <v>45710</v>
      </c>
      <c r="I56" s="11" t="s">
        <v>15</v>
      </c>
      <c r="J56" s="11" t="s">
        <v>287</v>
      </c>
      <c r="K56" s="11" t="s">
        <v>17</v>
      </c>
      <c r="L56" s="38">
        <v>45700</v>
      </c>
      <c r="M56" s="39">
        <v>45710</v>
      </c>
      <c r="N56" s="44">
        <f t="shared" si="1"/>
        <v>10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129749784</v>
      </c>
      <c r="B57" s="11" t="str">
        <f t="shared" si="5"/>
        <v>12.974.978-4</v>
      </c>
      <c r="C57" s="11" t="s">
        <v>14</v>
      </c>
      <c r="D57" s="11" t="s">
        <v>125</v>
      </c>
      <c r="E57" s="11" t="s">
        <v>144</v>
      </c>
      <c r="F57" s="11" t="s">
        <v>286</v>
      </c>
      <c r="G57" s="12">
        <v>45700</v>
      </c>
      <c r="H57" s="12">
        <v>45710</v>
      </c>
      <c r="I57" s="11" t="s">
        <v>15</v>
      </c>
      <c r="J57" s="11" t="s">
        <v>287</v>
      </c>
      <c r="K57" s="11" t="s">
        <v>18</v>
      </c>
      <c r="L57" s="38">
        <v>45700</v>
      </c>
      <c r="M57" s="39">
        <v>45710</v>
      </c>
      <c r="N57" s="44">
        <f t="shared" si="1"/>
        <v>10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152253508</v>
      </c>
      <c r="B58" s="11" t="str">
        <f t="shared" si="5"/>
        <v>15.225.350-8</v>
      </c>
      <c r="C58" s="11" t="s">
        <v>14</v>
      </c>
      <c r="D58" s="11" t="s">
        <v>288</v>
      </c>
      <c r="E58" s="11" t="s">
        <v>289</v>
      </c>
      <c r="F58" s="11" t="s">
        <v>290</v>
      </c>
      <c r="G58" s="12">
        <v>45713</v>
      </c>
      <c r="H58" s="12"/>
      <c r="I58" s="11" t="s">
        <v>15</v>
      </c>
      <c r="J58" s="11"/>
      <c r="K58" s="11" t="s">
        <v>16</v>
      </c>
      <c r="L58" s="38">
        <v>45713</v>
      </c>
      <c r="M58" s="39">
        <v>45716</v>
      </c>
      <c r="N58" s="44">
        <f t="shared" si="1"/>
        <v>3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152253508</v>
      </c>
      <c r="B59" s="11" t="str">
        <f t="shared" si="5"/>
        <v>15.225.350-8</v>
      </c>
      <c r="C59" s="11" t="s">
        <v>14</v>
      </c>
      <c r="D59" s="11" t="s">
        <v>288</v>
      </c>
      <c r="E59" s="11" t="s">
        <v>289</v>
      </c>
      <c r="F59" s="11" t="s">
        <v>290</v>
      </c>
      <c r="G59" s="12">
        <v>45713</v>
      </c>
      <c r="H59" s="12"/>
      <c r="I59" s="11" t="s">
        <v>15</v>
      </c>
      <c r="J59" s="11"/>
      <c r="K59" s="11" t="s">
        <v>17</v>
      </c>
      <c r="L59" s="38">
        <v>45713</v>
      </c>
      <c r="M59" s="39">
        <v>45716</v>
      </c>
      <c r="N59" s="44">
        <f t="shared" si="1"/>
        <v>3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99">
        <v>165248805</v>
      </c>
      <c r="B60" s="100" t="str">
        <f t="shared" ref="B60" si="6">IF(LEN(A60)=8,MID(A60,1,1)&amp;"."&amp;MID(A60,2,3)&amp;"."&amp;MID(A60,5,3)&amp;"-"&amp;RIGHT(A60,1),IF(LEFT(RIGHT(A60,2),1)="-",MID(A60,1,1)&amp;"."&amp;MID(A60,2,3)&amp;"."&amp;MID(A60,5,3)&amp;"-"&amp;RIGHT(A60,1),MID(A60,1,2)&amp;"."&amp;MID(A60,3,3)&amp;"."&amp;MID(A60,6,3)&amp;"-"&amp;MID(A60,9,1)))</f>
        <v>16.524.880-5</v>
      </c>
      <c r="C60" s="100" t="s">
        <v>14</v>
      </c>
      <c r="D60" s="100" t="s">
        <v>254</v>
      </c>
      <c r="E60" s="100" t="s">
        <v>292</v>
      </c>
      <c r="F60" s="100" t="s">
        <v>293</v>
      </c>
      <c r="G60" s="101">
        <v>45712</v>
      </c>
      <c r="H60" s="101"/>
      <c r="I60" s="100" t="s">
        <v>15</v>
      </c>
      <c r="J60" s="100" t="s">
        <v>60</v>
      </c>
      <c r="K60" s="100" t="s">
        <v>16</v>
      </c>
      <c r="L60" s="102">
        <v>45712</v>
      </c>
      <c r="M60" s="103">
        <v>45714</v>
      </c>
      <c r="N60" s="104">
        <f t="shared" si="1"/>
        <v>2</v>
      </c>
      <c r="O60" s="10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99">
        <v>165248805</v>
      </c>
      <c r="B61" s="100" t="str">
        <f t="shared" si="5"/>
        <v>16.524.880-5</v>
      </c>
      <c r="C61" s="100" t="s">
        <v>14</v>
      </c>
      <c r="D61" s="100" t="s">
        <v>254</v>
      </c>
      <c r="E61" s="100" t="s">
        <v>292</v>
      </c>
      <c r="F61" s="100" t="s">
        <v>293</v>
      </c>
      <c r="G61" s="101">
        <v>45712</v>
      </c>
      <c r="H61" s="101"/>
      <c r="I61" s="100" t="s">
        <v>15</v>
      </c>
      <c r="J61" s="100" t="s">
        <v>60</v>
      </c>
      <c r="K61" s="100" t="s">
        <v>17</v>
      </c>
      <c r="L61" s="102">
        <v>45712</v>
      </c>
      <c r="M61" s="103">
        <v>45714</v>
      </c>
      <c r="N61" s="104">
        <f t="shared" si="1"/>
        <v>2</v>
      </c>
      <c r="O61" s="10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 t="s">
        <v>294</v>
      </c>
      <c r="B62" s="11" t="str">
        <f t="shared" si="5"/>
        <v>11.603.249-K</v>
      </c>
      <c r="C62" s="11" t="s">
        <v>14</v>
      </c>
      <c r="D62" s="11" t="s">
        <v>295</v>
      </c>
      <c r="E62" s="11" t="s">
        <v>125</v>
      </c>
      <c r="F62" s="11" t="s">
        <v>296</v>
      </c>
      <c r="G62" s="12">
        <v>45710</v>
      </c>
      <c r="H62" s="12"/>
      <c r="I62" s="11" t="s">
        <v>297</v>
      </c>
      <c r="J62" s="11"/>
      <c r="K62" s="11" t="s">
        <v>16</v>
      </c>
      <c r="L62" s="38">
        <v>45710</v>
      </c>
      <c r="M62" s="39">
        <v>45716</v>
      </c>
      <c r="N62" s="44">
        <f t="shared" si="1"/>
        <v>6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 t="s">
        <v>294</v>
      </c>
      <c r="B63" s="11" t="str">
        <f t="shared" ref="B63:B70" si="7">IF(LEN(A63)=8,MID(A63,1,1)&amp;"."&amp;MID(A63,2,3)&amp;"."&amp;MID(A63,5,3)&amp;"-"&amp;RIGHT(A63,1),IF(LEFT(RIGHT(A63,2),1)="-",MID(A63,1,1)&amp;"."&amp;MID(A63,2,3)&amp;"."&amp;MID(A63,5,3)&amp;"-"&amp;RIGHT(A63,1),MID(A63,1,2)&amp;"."&amp;MID(A63,3,3)&amp;"."&amp;MID(A63,6,3)&amp;"-"&amp;MID(A63,9,1)))</f>
        <v>11.603.249-K</v>
      </c>
      <c r="C63" s="11" t="s">
        <v>14</v>
      </c>
      <c r="D63" s="11" t="s">
        <v>295</v>
      </c>
      <c r="E63" s="11" t="s">
        <v>125</v>
      </c>
      <c r="F63" s="11" t="s">
        <v>296</v>
      </c>
      <c r="G63" s="12">
        <v>45710</v>
      </c>
      <c r="H63" s="12"/>
      <c r="I63" s="11" t="s">
        <v>297</v>
      </c>
      <c r="J63" s="11"/>
      <c r="K63" s="11" t="s">
        <v>17</v>
      </c>
      <c r="L63" s="38">
        <v>45710</v>
      </c>
      <c r="M63" s="39">
        <v>45716</v>
      </c>
      <c r="N63" s="44">
        <f t="shared" ref="N63:N70" si="8">+M63-L63</f>
        <v>6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 t="s">
        <v>294</v>
      </c>
      <c r="B64" s="11" t="str">
        <f t="shared" si="7"/>
        <v>11.603.249-K</v>
      </c>
      <c r="C64" s="11" t="s">
        <v>14</v>
      </c>
      <c r="D64" s="11" t="s">
        <v>295</v>
      </c>
      <c r="E64" s="11" t="s">
        <v>125</v>
      </c>
      <c r="F64" s="11" t="s">
        <v>296</v>
      </c>
      <c r="G64" s="12">
        <v>45710</v>
      </c>
      <c r="H64" s="12"/>
      <c r="I64" s="11" t="s">
        <v>297</v>
      </c>
      <c r="J64" s="11"/>
      <c r="K64" s="11" t="s">
        <v>18</v>
      </c>
      <c r="L64" s="38">
        <v>45710</v>
      </c>
      <c r="M64" s="39">
        <v>45714</v>
      </c>
      <c r="N64" s="44">
        <f t="shared" si="8"/>
        <v>4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 t="s">
        <v>298</v>
      </c>
      <c r="B65" s="11" t="str">
        <f t="shared" si="7"/>
        <v>5.697.292-7</v>
      </c>
      <c r="C65" s="11" t="s">
        <v>14</v>
      </c>
      <c r="D65" s="11" t="s">
        <v>36</v>
      </c>
      <c r="E65" s="11" t="s">
        <v>299</v>
      </c>
      <c r="F65" s="11" t="s">
        <v>300</v>
      </c>
      <c r="G65" s="12">
        <v>45711</v>
      </c>
      <c r="H65" s="12">
        <v>45714</v>
      </c>
      <c r="I65" s="11" t="s">
        <v>200</v>
      </c>
      <c r="J65" s="11" t="s">
        <v>291</v>
      </c>
      <c r="K65" s="11" t="s">
        <v>16</v>
      </c>
      <c r="L65" s="38">
        <v>45712</v>
      </c>
      <c r="M65" s="39">
        <v>45714</v>
      </c>
      <c r="N65" s="44">
        <f t="shared" si="8"/>
        <v>2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 t="s">
        <v>298</v>
      </c>
      <c r="B66" s="11" t="str">
        <f t="shared" si="7"/>
        <v>5.697.292-7</v>
      </c>
      <c r="C66" s="11" t="s">
        <v>14</v>
      </c>
      <c r="D66" s="11" t="s">
        <v>36</v>
      </c>
      <c r="E66" s="11" t="s">
        <v>299</v>
      </c>
      <c r="F66" s="11" t="s">
        <v>300</v>
      </c>
      <c r="G66" s="12">
        <v>45711</v>
      </c>
      <c r="H66" s="12">
        <v>45714</v>
      </c>
      <c r="I66" s="11" t="s">
        <v>200</v>
      </c>
      <c r="J66" s="11" t="s">
        <v>291</v>
      </c>
      <c r="K66" s="11" t="s">
        <v>17</v>
      </c>
      <c r="L66" s="38">
        <v>45711</v>
      </c>
      <c r="M66" s="39">
        <v>45714</v>
      </c>
      <c r="N66" s="44">
        <f t="shared" si="8"/>
        <v>3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 t="s">
        <v>298</v>
      </c>
      <c r="B67" s="11" t="str">
        <f t="shared" si="7"/>
        <v>5.697.292-7</v>
      </c>
      <c r="C67" s="11" t="s">
        <v>14</v>
      </c>
      <c r="D67" s="11" t="s">
        <v>36</v>
      </c>
      <c r="E67" s="11" t="s">
        <v>299</v>
      </c>
      <c r="F67" s="11" t="s">
        <v>300</v>
      </c>
      <c r="G67" s="12">
        <v>45711</v>
      </c>
      <c r="H67" s="12">
        <v>45714</v>
      </c>
      <c r="I67" s="11" t="s">
        <v>200</v>
      </c>
      <c r="J67" s="11" t="s">
        <v>291</v>
      </c>
      <c r="K67" s="11" t="s">
        <v>18</v>
      </c>
      <c r="L67" s="38">
        <v>45712</v>
      </c>
      <c r="M67" s="39">
        <v>45714</v>
      </c>
      <c r="N67" s="44">
        <f t="shared" si="8"/>
        <v>2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121210061</v>
      </c>
      <c r="B68" s="11" t="str">
        <f t="shared" si="7"/>
        <v>12.121.006-1</v>
      </c>
      <c r="C68" s="11" t="s">
        <v>14</v>
      </c>
      <c r="D68" s="11" t="s">
        <v>301</v>
      </c>
      <c r="E68" s="11" t="s">
        <v>302</v>
      </c>
      <c r="F68" s="11" t="s">
        <v>253</v>
      </c>
      <c r="G68" s="12">
        <v>45708</v>
      </c>
      <c r="H68" s="12">
        <v>45716</v>
      </c>
      <c r="I68" s="11" t="s">
        <v>15</v>
      </c>
      <c r="J68" s="11" t="s">
        <v>60</v>
      </c>
      <c r="K68" s="11" t="s">
        <v>16</v>
      </c>
      <c r="L68" s="38">
        <v>45708</v>
      </c>
      <c r="M68" s="39">
        <v>45716</v>
      </c>
      <c r="N68" s="44">
        <f t="shared" si="8"/>
        <v>8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121210061</v>
      </c>
      <c r="B69" s="11" t="str">
        <f t="shared" si="7"/>
        <v>12.121.006-1</v>
      </c>
      <c r="C69" s="11" t="s">
        <v>14</v>
      </c>
      <c r="D69" s="11" t="s">
        <v>301</v>
      </c>
      <c r="E69" s="11" t="s">
        <v>302</v>
      </c>
      <c r="F69" s="11" t="s">
        <v>253</v>
      </c>
      <c r="G69" s="12">
        <v>45708</v>
      </c>
      <c r="H69" s="12">
        <v>45716</v>
      </c>
      <c r="I69" s="11" t="s">
        <v>15</v>
      </c>
      <c r="J69" s="11" t="s">
        <v>60</v>
      </c>
      <c r="K69" s="11" t="s">
        <v>17</v>
      </c>
      <c r="L69" s="38">
        <v>45709</v>
      </c>
      <c r="M69" s="39">
        <v>45716</v>
      </c>
      <c r="N69" s="44">
        <f t="shared" si="8"/>
        <v>7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121210061</v>
      </c>
      <c r="B70" s="11" t="str">
        <f t="shared" si="7"/>
        <v>12.121.006-1</v>
      </c>
      <c r="C70" s="11" t="s">
        <v>14</v>
      </c>
      <c r="D70" s="11" t="s">
        <v>301</v>
      </c>
      <c r="E70" s="11" t="s">
        <v>302</v>
      </c>
      <c r="F70" s="11" t="s">
        <v>253</v>
      </c>
      <c r="G70" s="12">
        <v>45708</v>
      </c>
      <c r="H70" s="12">
        <v>45716</v>
      </c>
      <c r="I70" s="11" t="s">
        <v>15</v>
      </c>
      <c r="J70" s="11" t="s">
        <v>60</v>
      </c>
      <c r="K70" s="11" t="s">
        <v>18</v>
      </c>
      <c r="L70" s="38">
        <v>45708</v>
      </c>
      <c r="M70" s="39">
        <v>45715</v>
      </c>
      <c r="N70" s="44">
        <f t="shared" si="8"/>
        <v>7</v>
      </c>
      <c r="O70" s="44"/>
      <c r="P70" t="s">
        <v>984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100379082</v>
      </c>
      <c r="B71" s="11" t="str">
        <f t="shared" ref="B71:B75" si="9">IF(LEN(A71)=8,MID(A71,1,1)&amp;"."&amp;MID(A71,2,3)&amp;"."&amp;MID(A71,5,3)&amp;"-"&amp;RIGHT(A71,1),IF(LEFT(RIGHT(A71,2),1)="-",MID(A71,1,1)&amp;"."&amp;MID(A71,2,3)&amp;"."&amp;MID(A71,5,3)&amp;"-"&amp;RIGHT(A71,1),MID(A71,1,2)&amp;"."&amp;MID(A71,3,3)&amp;"."&amp;MID(A71,6,3)&amp;"-"&amp;MID(A71,9,1)))</f>
        <v>10.037.908-2</v>
      </c>
      <c r="C71" s="11" t="s">
        <v>14</v>
      </c>
      <c r="D71" s="11" t="s">
        <v>232</v>
      </c>
      <c r="E71" s="11" t="s">
        <v>250</v>
      </c>
      <c r="F71" s="11" t="s">
        <v>216</v>
      </c>
      <c r="G71" s="12">
        <v>45707</v>
      </c>
      <c r="H71" s="12"/>
      <c r="I71" s="11" t="s">
        <v>72</v>
      </c>
      <c r="J71" s="11"/>
      <c r="K71" s="11" t="s">
        <v>16</v>
      </c>
      <c r="L71" s="38">
        <v>45707</v>
      </c>
      <c r="M71" s="39">
        <v>45716</v>
      </c>
      <c r="N71" s="44">
        <f t="shared" ref="N71:N75" si="10">+M71-L71</f>
        <v>9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100379082</v>
      </c>
      <c r="B72" s="11" t="str">
        <f t="shared" si="9"/>
        <v>10.037.908-2</v>
      </c>
      <c r="C72" s="11" t="s">
        <v>14</v>
      </c>
      <c r="D72" s="11" t="s">
        <v>232</v>
      </c>
      <c r="E72" s="11" t="s">
        <v>250</v>
      </c>
      <c r="F72" s="11" t="s">
        <v>216</v>
      </c>
      <c r="G72" s="12">
        <v>45707</v>
      </c>
      <c r="H72" s="12"/>
      <c r="I72" s="11" t="s">
        <v>72</v>
      </c>
      <c r="J72" s="11"/>
      <c r="K72" s="11" t="s">
        <v>17</v>
      </c>
      <c r="L72" s="38">
        <v>45707</v>
      </c>
      <c r="M72" s="39">
        <v>45716</v>
      </c>
      <c r="N72" s="44">
        <f t="shared" si="10"/>
        <v>9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100379082</v>
      </c>
      <c r="B73" s="11" t="str">
        <f t="shared" si="9"/>
        <v>10.037.908-2</v>
      </c>
      <c r="C73" s="11" t="s">
        <v>14</v>
      </c>
      <c r="D73" s="11" t="s">
        <v>232</v>
      </c>
      <c r="E73" s="11" t="s">
        <v>250</v>
      </c>
      <c r="F73" s="11" t="s">
        <v>216</v>
      </c>
      <c r="G73" s="12">
        <v>45707</v>
      </c>
      <c r="H73" s="12"/>
      <c r="I73" s="11" t="s">
        <v>72</v>
      </c>
      <c r="J73" s="11"/>
      <c r="K73" s="11" t="s">
        <v>18</v>
      </c>
      <c r="L73" s="38">
        <v>45707</v>
      </c>
      <c r="M73" s="39">
        <v>45716</v>
      </c>
      <c r="N73" s="44">
        <f t="shared" si="10"/>
        <v>9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102136667</v>
      </c>
      <c r="B74" s="11" t="str">
        <f t="shared" si="9"/>
        <v>10.213.666-7</v>
      </c>
      <c r="C74" s="11" t="s">
        <v>14</v>
      </c>
      <c r="D74" s="11" t="s">
        <v>228</v>
      </c>
      <c r="E74" s="11" t="s">
        <v>229</v>
      </c>
      <c r="F74" s="11" t="s">
        <v>230</v>
      </c>
      <c r="G74" s="12">
        <v>45688</v>
      </c>
      <c r="H74" s="12"/>
      <c r="I74" s="11" t="s">
        <v>72</v>
      </c>
      <c r="J74" s="11"/>
      <c r="K74" s="11" t="s">
        <v>16</v>
      </c>
      <c r="L74" s="38">
        <v>45714</v>
      </c>
      <c r="M74" s="39">
        <v>45716</v>
      </c>
      <c r="N74" s="44">
        <f t="shared" si="10"/>
        <v>2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 t="s">
        <v>303</v>
      </c>
      <c r="B75" s="11" t="str">
        <f t="shared" si="9"/>
        <v>7.644.689-K</v>
      </c>
      <c r="C75" s="11" t="s">
        <v>14</v>
      </c>
      <c r="D75" s="11" t="s">
        <v>304</v>
      </c>
      <c r="E75" s="11" t="s">
        <v>305</v>
      </c>
      <c r="F75" s="11" t="s">
        <v>111</v>
      </c>
      <c r="G75" s="12">
        <v>45712</v>
      </c>
      <c r="H75" s="12">
        <v>45715</v>
      </c>
      <c r="I75" s="11" t="s">
        <v>15</v>
      </c>
      <c r="J75" s="11" t="s">
        <v>60</v>
      </c>
      <c r="K75" s="48" t="s">
        <v>16</v>
      </c>
      <c r="L75" s="35">
        <v>45713</v>
      </c>
      <c r="M75" s="35">
        <v>45715</v>
      </c>
      <c r="N75" s="44">
        <f t="shared" si="10"/>
        <v>2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5.75" customHeight="1" x14ac:dyDescent="0.45">
      <c r="A76" s="15">
        <v>89460158</v>
      </c>
      <c r="B76" s="16" t="str">
        <f t="shared" si="0"/>
        <v>8.946.015-8</v>
      </c>
      <c r="C76" s="16" t="s">
        <v>28</v>
      </c>
      <c r="D76" s="16" t="s">
        <v>196</v>
      </c>
      <c r="E76" s="16" t="s">
        <v>197</v>
      </c>
      <c r="F76" s="16" t="s">
        <v>198</v>
      </c>
      <c r="G76" s="17">
        <v>45685</v>
      </c>
      <c r="H76" s="17">
        <v>45692</v>
      </c>
      <c r="I76" s="16" t="s">
        <v>72</v>
      </c>
      <c r="J76" s="16" t="s">
        <v>75</v>
      </c>
      <c r="K76" s="37" t="s">
        <v>17</v>
      </c>
      <c r="L76" s="28">
        <v>45689</v>
      </c>
      <c r="M76" s="28">
        <v>45692</v>
      </c>
      <c r="N76" s="46">
        <f t="shared" ref="N76:N82" si="11">+M76-L76</f>
        <v>3</v>
      </c>
      <c r="O76" s="31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5.75" customHeight="1" x14ac:dyDescent="0.45">
      <c r="A77" s="15">
        <v>83674288</v>
      </c>
      <c r="B77" s="16" t="str">
        <f t="shared" si="0"/>
        <v>8.367.428-8</v>
      </c>
      <c r="C77" s="16" t="s">
        <v>28</v>
      </c>
      <c r="D77" s="16" t="s">
        <v>97</v>
      </c>
      <c r="E77" s="16" t="s">
        <v>215</v>
      </c>
      <c r="F77" s="16" t="s">
        <v>216</v>
      </c>
      <c r="G77" s="17">
        <v>45685</v>
      </c>
      <c r="H77" s="17">
        <v>45694</v>
      </c>
      <c r="I77" s="16" t="s">
        <v>74</v>
      </c>
      <c r="J77" s="16" t="s">
        <v>48</v>
      </c>
      <c r="K77" s="37" t="s">
        <v>16</v>
      </c>
      <c r="L77" s="28">
        <v>45689</v>
      </c>
      <c r="M77" s="17">
        <v>45694</v>
      </c>
      <c r="N77" s="46">
        <f t="shared" si="11"/>
        <v>5</v>
      </c>
      <c r="O77" s="28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5.75" customHeight="1" x14ac:dyDescent="0.45">
      <c r="A78" s="15">
        <v>83674288</v>
      </c>
      <c r="B78" s="16" t="str">
        <f t="shared" si="0"/>
        <v>8.367.428-8</v>
      </c>
      <c r="C78" s="16" t="s">
        <v>28</v>
      </c>
      <c r="D78" s="16" t="s">
        <v>97</v>
      </c>
      <c r="E78" s="16" t="s">
        <v>215</v>
      </c>
      <c r="F78" s="16" t="s">
        <v>216</v>
      </c>
      <c r="G78" s="17">
        <v>45685</v>
      </c>
      <c r="H78" s="17">
        <v>45694</v>
      </c>
      <c r="I78" s="16" t="s">
        <v>74</v>
      </c>
      <c r="J78" s="16" t="s">
        <v>48</v>
      </c>
      <c r="K78" s="37" t="s">
        <v>17</v>
      </c>
      <c r="L78" s="28">
        <v>45689</v>
      </c>
      <c r="M78" s="17">
        <v>45694</v>
      </c>
      <c r="N78" s="46">
        <f t="shared" si="11"/>
        <v>5</v>
      </c>
      <c r="O78" s="28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5.75" customHeight="1" x14ac:dyDescent="0.45">
      <c r="A79" s="15">
        <v>30772792</v>
      </c>
      <c r="B79" s="16" t="str">
        <f t="shared" si="0"/>
        <v>3.077.279-2</v>
      </c>
      <c r="C79" s="16" t="s">
        <v>28</v>
      </c>
      <c r="D79" s="16" t="s">
        <v>217</v>
      </c>
      <c r="E79" s="16" t="s">
        <v>91</v>
      </c>
      <c r="F79" s="16" t="s">
        <v>184</v>
      </c>
      <c r="G79" s="17">
        <v>45686</v>
      </c>
      <c r="H79" s="17">
        <v>45692</v>
      </c>
      <c r="I79" s="16" t="s">
        <v>15</v>
      </c>
      <c r="J79" s="16" t="s">
        <v>72</v>
      </c>
      <c r="K79" s="37" t="s">
        <v>17</v>
      </c>
      <c r="L79" s="28">
        <v>45689</v>
      </c>
      <c r="M79" s="28">
        <v>45692</v>
      </c>
      <c r="N79" s="46">
        <f>+M79-L79</f>
        <v>3</v>
      </c>
      <c r="O79" s="28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5.75" customHeight="1" x14ac:dyDescent="0.45">
      <c r="A80" s="15">
        <v>178729446</v>
      </c>
      <c r="B80" s="16" t="str">
        <f t="shared" si="0"/>
        <v>17.872.944-6</v>
      </c>
      <c r="C80" s="16" t="s">
        <v>28</v>
      </c>
      <c r="D80" s="16" t="s">
        <v>218</v>
      </c>
      <c r="E80" s="16" t="s">
        <v>219</v>
      </c>
      <c r="F80" s="16" t="s">
        <v>220</v>
      </c>
      <c r="G80" s="17">
        <v>45685</v>
      </c>
      <c r="H80" s="17">
        <v>45693</v>
      </c>
      <c r="I80" s="16" t="s">
        <v>15</v>
      </c>
      <c r="J80" s="16" t="s">
        <v>72</v>
      </c>
      <c r="K80" s="16" t="s">
        <v>17</v>
      </c>
      <c r="L80" s="28">
        <v>45689</v>
      </c>
      <c r="M80" s="41">
        <v>45693</v>
      </c>
      <c r="N80" s="46">
        <f t="shared" si="11"/>
        <v>4</v>
      </c>
      <c r="O80" s="28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5.75" customHeight="1" x14ac:dyDescent="0.45">
      <c r="A81" s="15">
        <v>42317020</v>
      </c>
      <c r="B81" s="16" t="str">
        <f t="shared" si="0"/>
        <v>4.231.702-0</v>
      </c>
      <c r="C81" s="16" t="s">
        <v>28</v>
      </c>
      <c r="D81" s="16" t="s">
        <v>221</v>
      </c>
      <c r="E81" s="16" t="s">
        <v>222</v>
      </c>
      <c r="F81" s="16" t="s">
        <v>223</v>
      </c>
      <c r="G81" s="17">
        <v>45685</v>
      </c>
      <c r="H81" s="17">
        <v>45698</v>
      </c>
      <c r="I81" s="16" t="s">
        <v>15</v>
      </c>
      <c r="J81" s="16" t="s">
        <v>72</v>
      </c>
      <c r="K81" s="16" t="s">
        <v>17</v>
      </c>
      <c r="L81" s="28">
        <v>45689</v>
      </c>
      <c r="M81" s="17">
        <v>45698</v>
      </c>
      <c r="N81" s="46">
        <f t="shared" si="11"/>
        <v>9</v>
      </c>
      <c r="O81" s="28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5.75" customHeight="1" x14ac:dyDescent="0.45">
      <c r="A82" s="15">
        <v>217511933</v>
      </c>
      <c r="B82" s="16" t="str">
        <f t="shared" si="0"/>
        <v>21.751.193-3</v>
      </c>
      <c r="C82" s="16" t="s">
        <v>28</v>
      </c>
      <c r="D82" s="16" t="s">
        <v>112</v>
      </c>
      <c r="E82" s="16" t="s">
        <v>218</v>
      </c>
      <c r="F82" s="16" t="s">
        <v>114</v>
      </c>
      <c r="G82" s="17">
        <v>45702</v>
      </c>
      <c r="H82" s="17">
        <v>45708</v>
      </c>
      <c r="I82" s="16" t="s">
        <v>60</v>
      </c>
      <c r="J82" s="16" t="s">
        <v>262</v>
      </c>
      <c r="K82" s="16" t="s">
        <v>261</v>
      </c>
      <c r="L82" s="40">
        <v>45702</v>
      </c>
      <c r="M82" s="41">
        <v>45708</v>
      </c>
      <c r="N82" s="46">
        <f t="shared" si="11"/>
        <v>6</v>
      </c>
      <c r="O82" s="28" t="s">
        <v>914</v>
      </c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5.75" customHeight="1" x14ac:dyDescent="0.45">
      <c r="A83" s="19">
        <v>37700800</v>
      </c>
      <c r="B83" s="19" t="str">
        <f t="shared" ref="B83:B88" si="12">IF(LEN(A83)=8,MID(A83,1,1)&amp;"."&amp;MID(A83,2,3)&amp;"."&amp;MID(A83,5,3)&amp;"-"&amp;RIGHT(A83,1),IF(LEFT(RIGHT(A83,2),1)="-",MID(A83,1,1)&amp;"."&amp;MID(A83,2,3)&amp;"."&amp;MID(A83,5,3)&amp;"-"&amp;RIGHT(A83,1),MID(A83,1,2)&amp;"."&amp;MID(A83,3,3)&amp;"."&amp;MID(A83,6,3)&amp;"-"&amp;MID(A83,9,1)))</f>
        <v>3.770.080-0</v>
      </c>
      <c r="C83" s="19" t="s">
        <v>32</v>
      </c>
      <c r="D83" s="19" t="s">
        <v>209</v>
      </c>
      <c r="E83" s="19" t="s">
        <v>210</v>
      </c>
      <c r="F83" s="19" t="s">
        <v>211</v>
      </c>
      <c r="G83" s="20">
        <v>45691</v>
      </c>
      <c r="H83" s="20">
        <v>45693</v>
      </c>
      <c r="I83" s="19" t="s">
        <v>15</v>
      </c>
      <c r="J83" s="19" t="s">
        <v>72</v>
      </c>
      <c r="K83" s="19" t="s">
        <v>17</v>
      </c>
      <c r="L83" s="26">
        <v>45691</v>
      </c>
      <c r="M83" s="20">
        <v>45693</v>
      </c>
      <c r="N83" s="47">
        <f t="shared" ref="N83:N88" si="13">+M83-L83</f>
        <v>2</v>
      </c>
      <c r="O83" s="3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5.75" customHeight="1" x14ac:dyDescent="0.45">
      <c r="A84" s="19">
        <v>41608420</v>
      </c>
      <c r="B84" s="19" t="str">
        <f t="shared" si="12"/>
        <v>4.160.842-0</v>
      </c>
      <c r="C84" s="19" t="s">
        <v>32</v>
      </c>
      <c r="D84" s="19" t="s">
        <v>212</v>
      </c>
      <c r="E84" s="19" t="s">
        <v>213</v>
      </c>
      <c r="F84" s="19" t="s">
        <v>214</v>
      </c>
      <c r="G84" s="20">
        <v>45691</v>
      </c>
      <c r="H84" s="20">
        <v>45693</v>
      </c>
      <c r="I84" s="19" t="s">
        <v>15</v>
      </c>
      <c r="J84" s="19" t="s">
        <v>72</v>
      </c>
      <c r="K84" s="19" t="s">
        <v>17</v>
      </c>
      <c r="L84" s="27">
        <v>45691</v>
      </c>
      <c r="M84" s="33">
        <v>45693</v>
      </c>
      <c r="N84" s="47">
        <f t="shared" si="13"/>
        <v>2</v>
      </c>
      <c r="O84" s="3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5.75" customHeight="1" x14ac:dyDescent="0.45">
      <c r="A85" s="19">
        <v>62500484</v>
      </c>
      <c r="B85" s="19" t="str">
        <f t="shared" si="12"/>
        <v>6.250.048-4</v>
      </c>
      <c r="C85" s="19" t="s">
        <v>32</v>
      </c>
      <c r="D85" s="19" t="s">
        <v>251</v>
      </c>
      <c r="E85" s="19" t="s">
        <v>252</v>
      </c>
      <c r="F85" s="19" t="s">
        <v>253</v>
      </c>
      <c r="G85" s="20">
        <v>45696</v>
      </c>
      <c r="H85" s="20">
        <v>45699</v>
      </c>
      <c r="I85" s="19" t="s">
        <v>15</v>
      </c>
      <c r="J85" s="19" t="s">
        <v>72</v>
      </c>
      <c r="K85" s="19" t="s">
        <v>17</v>
      </c>
      <c r="L85" s="20">
        <v>45696</v>
      </c>
      <c r="M85" s="20">
        <v>45699</v>
      </c>
      <c r="N85" s="47">
        <f t="shared" si="13"/>
        <v>3</v>
      </c>
      <c r="O85" s="3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5.75" customHeight="1" x14ac:dyDescent="0.45">
      <c r="A86" s="19">
        <v>80938632</v>
      </c>
      <c r="B86" s="19" t="str">
        <f t="shared" si="12"/>
        <v>8.093.863-2</v>
      </c>
      <c r="C86" s="19" t="s">
        <v>32</v>
      </c>
      <c r="D86" s="19" t="s">
        <v>256</v>
      </c>
      <c r="E86" s="19" t="s">
        <v>254</v>
      </c>
      <c r="F86" s="19" t="s">
        <v>255</v>
      </c>
      <c r="G86" s="20">
        <v>45698</v>
      </c>
      <c r="H86" s="20">
        <v>45698</v>
      </c>
      <c r="I86" s="19" t="s">
        <v>15</v>
      </c>
      <c r="J86" s="19" t="s">
        <v>200</v>
      </c>
      <c r="K86" s="21" t="s">
        <v>257</v>
      </c>
      <c r="L86" s="123" t="s">
        <v>108</v>
      </c>
      <c r="M86" s="124"/>
      <c r="N86" s="47"/>
      <c r="O86" s="3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5.75" customHeight="1" x14ac:dyDescent="0.45">
      <c r="A87" s="19">
        <v>81423830</v>
      </c>
      <c r="B87" s="19" t="str">
        <f t="shared" si="12"/>
        <v>8.142.383-0</v>
      </c>
      <c r="C87" s="19" t="s">
        <v>32</v>
      </c>
      <c r="D87" s="19" t="s">
        <v>258</v>
      </c>
      <c r="E87" s="19" t="s">
        <v>259</v>
      </c>
      <c r="F87" s="19" t="s">
        <v>260</v>
      </c>
      <c r="G87" s="20">
        <v>45706</v>
      </c>
      <c r="H87" s="20">
        <v>45708</v>
      </c>
      <c r="I87" s="19" t="s">
        <v>15</v>
      </c>
      <c r="J87" s="19" t="s">
        <v>285</v>
      </c>
      <c r="K87" s="21" t="s">
        <v>17</v>
      </c>
      <c r="L87" s="26">
        <v>45706</v>
      </c>
      <c r="M87" s="32">
        <v>45708</v>
      </c>
      <c r="N87" s="47">
        <f t="shared" si="13"/>
        <v>2</v>
      </c>
      <c r="O87" s="3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5.75" customHeight="1" x14ac:dyDescent="0.45">
      <c r="A88" s="19">
        <v>71462544</v>
      </c>
      <c r="B88" s="19" t="str">
        <f t="shared" si="12"/>
        <v>7.146.254-4</v>
      </c>
      <c r="C88" s="19" t="s">
        <v>32</v>
      </c>
      <c r="D88" s="19" t="s">
        <v>282</v>
      </c>
      <c r="E88" s="19" t="s">
        <v>283</v>
      </c>
      <c r="F88" s="19" t="s">
        <v>284</v>
      </c>
      <c r="G88" s="20">
        <v>45716</v>
      </c>
      <c r="H88" s="20">
        <v>45716</v>
      </c>
      <c r="I88" s="19" t="s">
        <v>15</v>
      </c>
      <c r="J88" s="19" t="s">
        <v>285</v>
      </c>
      <c r="K88" s="19" t="s">
        <v>17</v>
      </c>
      <c r="L88" s="25">
        <v>45716</v>
      </c>
      <c r="M88" s="30">
        <v>45716</v>
      </c>
      <c r="N88" s="47">
        <f t="shared" si="13"/>
        <v>0</v>
      </c>
      <c r="O88" s="34"/>
      <c r="P88" t="s">
        <v>958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5.75" customHeight="1" x14ac:dyDescent="0.45">
      <c r="G89" s="4"/>
      <c r="H89" s="4"/>
      <c r="I89" s="23"/>
      <c r="J89" s="23"/>
      <c r="K89" s="23"/>
      <c r="L89" s="4"/>
      <c r="N89" s="36"/>
      <c r="U89">
        <f>COUNTIF(U8:U88,"si")</f>
        <v>0</v>
      </c>
    </row>
    <row r="90" spans="1:21" ht="15.75" customHeight="1" x14ac:dyDescent="0.45">
      <c r="G90" s="4"/>
      <c r="H90" s="4"/>
      <c r="I90" s="23"/>
      <c r="J90" s="23"/>
      <c r="K90" s="23"/>
      <c r="L90" s="4"/>
      <c r="N90" s="36"/>
    </row>
    <row r="91" spans="1:21" ht="15.75" customHeight="1" x14ac:dyDescent="0.45">
      <c r="G91" s="4"/>
      <c r="H91" s="4"/>
      <c r="I91" s="23"/>
      <c r="J91" s="23"/>
      <c r="K91" s="23"/>
      <c r="L91" s="4"/>
      <c r="N91" s="36"/>
    </row>
    <row r="92" spans="1:21" ht="15.75" customHeight="1" x14ac:dyDescent="0.45">
      <c r="G92" s="4"/>
      <c r="H92" s="4"/>
      <c r="I92" s="23"/>
      <c r="J92" s="23"/>
      <c r="K92" s="23"/>
      <c r="L92" s="4"/>
      <c r="N92" s="36"/>
    </row>
    <row r="93" spans="1:21" ht="15.75" customHeight="1" x14ac:dyDescent="0.45">
      <c r="G93" s="4"/>
      <c r="H93" s="4"/>
      <c r="I93" s="23"/>
      <c r="J93" s="23"/>
      <c r="K93" s="23"/>
      <c r="L93" s="4"/>
      <c r="N93" s="36"/>
    </row>
    <row r="94" spans="1:21" ht="15.75" customHeight="1" x14ac:dyDescent="0.45">
      <c r="G94" s="4"/>
      <c r="H94" s="4"/>
      <c r="I94" s="23"/>
      <c r="J94" s="23"/>
      <c r="K94" s="23"/>
      <c r="L94" s="4"/>
      <c r="N94" s="36"/>
    </row>
    <row r="95" spans="1:21" ht="15.75" customHeight="1" x14ac:dyDescent="0.45">
      <c r="G95" s="4"/>
      <c r="H95" s="4"/>
      <c r="I95" s="23"/>
      <c r="J95" s="23"/>
      <c r="K95" s="23"/>
      <c r="L95" s="4"/>
      <c r="N95" s="36"/>
    </row>
    <row r="96" spans="1:21" ht="15.75" customHeight="1" x14ac:dyDescent="0.45">
      <c r="G96" s="4"/>
      <c r="H96" s="4"/>
      <c r="I96" s="23"/>
      <c r="J96" s="23"/>
      <c r="K96" s="23"/>
      <c r="L96" s="4"/>
      <c r="N96" s="36"/>
    </row>
    <row r="97" spans="7:14" ht="15.75" customHeight="1" x14ac:dyDescent="0.45">
      <c r="G97" s="4"/>
      <c r="H97" s="4"/>
      <c r="I97" s="23"/>
      <c r="J97" s="23"/>
      <c r="K97" s="23"/>
      <c r="L97" s="4"/>
      <c r="N97" s="36"/>
    </row>
    <row r="98" spans="7:14" ht="15.75" customHeight="1" x14ac:dyDescent="0.45">
      <c r="G98" s="4"/>
      <c r="H98" s="4"/>
      <c r="I98" s="23"/>
      <c r="J98" s="23"/>
      <c r="K98" s="23"/>
      <c r="L98" s="4"/>
      <c r="N98" s="36"/>
    </row>
    <row r="99" spans="7:14" ht="15.75" customHeight="1" x14ac:dyDescent="0.45">
      <c r="G99" s="4"/>
      <c r="H99" s="4"/>
      <c r="I99" s="23"/>
      <c r="J99" s="23"/>
      <c r="K99" s="23"/>
      <c r="L99" s="4"/>
      <c r="N99" s="36"/>
    </row>
    <row r="100" spans="7:14" ht="15.75" customHeight="1" x14ac:dyDescent="0.45">
      <c r="G100" s="4"/>
      <c r="H100" s="4"/>
      <c r="I100" s="23"/>
      <c r="J100" s="23"/>
      <c r="K100" s="23"/>
      <c r="L100" s="4"/>
      <c r="N100" s="36"/>
    </row>
    <row r="101" spans="7:14" ht="15.75" customHeight="1" x14ac:dyDescent="0.45">
      <c r="G101" s="4"/>
      <c r="H101" s="4"/>
      <c r="I101" s="23"/>
      <c r="J101" s="23"/>
      <c r="K101" s="23"/>
      <c r="L101" s="4"/>
      <c r="N101" s="36"/>
    </row>
    <row r="102" spans="7:14" ht="15.75" customHeight="1" x14ac:dyDescent="0.45">
      <c r="G102" s="4"/>
      <c r="H102" s="4"/>
      <c r="I102" s="23"/>
      <c r="J102" s="23"/>
      <c r="K102" s="23"/>
      <c r="L102" s="4"/>
      <c r="N102" s="36"/>
    </row>
    <row r="103" spans="7:14" ht="15.75" customHeight="1" x14ac:dyDescent="0.45">
      <c r="G103" s="4"/>
      <c r="H103" s="4"/>
      <c r="I103" s="23"/>
      <c r="J103" s="23"/>
      <c r="K103" s="23"/>
      <c r="L103" s="4"/>
      <c r="N103" s="36"/>
    </row>
    <row r="104" spans="7:14" ht="15.75" customHeight="1" x14ac:dyDescent="0.45">
      <c r="G104" s="4"/>
      <c r="H104" s="4"/>
      <c r="I104" s="23"/>
      <c r="J104" s="23"/>
      <c r="K104" s="23"/>
      <c r="L104" s="4"/>
      <c r="N104" s="36"/>
    </row>
    <row r="105" spans="7:14" ht="15.75" customHeight="1" x14ac:dyDescent="0.45">
      <c r="G105" s="4"/>
      <c r="H105" s="4"/>
      <c r="I105" s="23"/>
      <c r="J105" s="23"/>
      <c r="K105" s="23"/>
      <c r="L105" s="4"/>
      <c r="N105" s="36"/>
    </row>
    <row r="106" spans="7:14" ht="15.75" customHeight="1" x14ac:dyDescent="0.45">
      <c r="G106" s="4"/>
      <c r="H106" s="4"/>
      <c r="I106" s="23"/>
      <c r="J106" s="23"/>
      <c r="K106" s="23"/>
      <c r="L106" s="4"/>
      <c r="N106" s="36"/>
    </row>
    <row r="107" spans="7:14" ht="15.75" customHeight="1" x14ac:dyDescent="0.45">
      <c r="G107" s="4"/>
      <c r="H107" s="4"/>
      <c r="I107" s="23"/>
      <c r="J107" s="23"/>
      <c r="K107" s="23"/>
      <c r="L107" s="4"/>
      <c r="N107" s="36"/>
    </row>
    <row r="108" spans="7:14" ht="15.75" customHeight="1" x14ac:dyDescent="0.45">
      <c r="G108" s="4"/>
      <c r="H108" s="4"/>
      <c r="I108" s="23"/>
      <c r="J108" s="23"/>
      <c r="K108" s="23"/>
      <c r="L108" s="4"/>
      <c r="N108" s="36"/>
    </row>
    <row r="109" spans="7:14" ht="15.75" customHeight="1" x14ac:dyDescent="0.45">
      <c r="G109" s="4"/>
      <c r="H109" s="4"/>
      <c r="I109" s="23"/>
      <c r="J109" s="23"/>
      <c r="K109" s="23"/>
      <c r="L109" s="4"/>
      <c r="N109" s="36"/>
    </row>
    <row r="110" spans="7:14" ht="15.75" customHeight="1" x14ac:dyDescent="0.45">
      <c r="G110" s="4"/>
      <c r="H110" s="4"/>
      <c r="I110" s="23"/>
      <c r="J110" s="23"/>
      <c r="K110" s="23"/>
      <c r="L110" s="4"/>
      <c r="N110" s="36"/>
    </row>
    <row r="111" spans="7:14" ht="15.75" customHeight="1" x14ac:dyDescent="0.45">
      <c r="G111" s="4"/>
      <c r="H111" s="4"/>
      <c r="I111" s="23"/>
      <c r="J111" s="23"/>
      <c r="K111" s="23"/>
      <c r="L111" s="4"/>
      <c r="N111" s="36"/>
    </row>
    <row r="112" spans="7:14" ht="15.75" customHeight="1" x14ac:dyDescent="0.45">
      <c r="G112" s="4"/>
      <c r="H112" s="4"/>
      <c r="I112" s="23"/>
      <c r="J112" s="23"/>
      <c r="K112" s="23"/>
      <c r="L112" s="4"/>
      <c r="N112" s="36"/>
    </row>
    <row r="113" spans="7:14" ht="15.75" customHeight="1" x14ac:dyDescent="0.45">
      <c r="G113" s="4"/>
      <c r="H113" s="4"/>
      <c r="I113" s="23"/>
      <c r="J113" s="23"/>
      <c r="K113" s="23"/>
      <c r="L113" s="4"/>
      <c r="N113" s="36"/>
    </row>
    <row r="114" spans="7:14" ht="15.75" customHeight="1" x14ac:dyDescent="0.45">
      <c r="G114" s="4"/>
      <c r="H114" s="4"/>
      <c r="I114" s="23"/>
      <c r="J114" s="23"/>
      <c r="K114" s="23"/>
      <c r="L114" s="4"/>
      <c r="N114" s="36"/>
    </row>
    <row r="115" spans="7:14" ht="15.75" customHeight="1" x14ac:dyDescent="0.45">
      <c r="G115" s="4"/>
      <c r="H115" s="4"/>
      <c r="I115" s="23"/>
      <c r="J115" s="23"/>
      <c r="K115" s="23"/>
      <c r="L115" s="4"/>
      <c r="N115" s="36"/>
    </row>
    <row r="116" spans="7:14" ht="15.75" customHeight="1" x14ac:dyDescent="0.45">
      <c r="G116" s="4"/>
      <c r="H116" s="4"/>
      <c r="I116" s="23"/>
      <c r="J116" s="23"/>
      <c r="K116" s="23"/>
      <c r="L116" s="4"/>
      <c r="N116" s="36"/>
    </row>
    <row r="117" spans="7:14" ht="15.75" customHeight="1" x14ac:dyDescent="0.45">
      <c r="G117" s="4"/>
      <c r="H117" s="4"/>
      <c r="I117" s="23"/>
      <c r="J117" s="23"/>
      <c r="K117" s="23"/>
      <c r="L117" s="4"/>
      <c r="N117" s="36"/>
    </row>
    <row r="118" spans="7:14" ht="15.75" customHeight="1" x14ac:dyDescent="0.45">
      <c r="G118" s="4"/>
      <c r="H118" s="4"/>
      <c r="I118" s="23"/>
      <c r="J118" s="23"/>
      <c r="K118" s="23"/>
      <c r="L118" s="4"/>
      <c r="N118" s="36"/>
    </row>
    <row r="119" spans="7:14" ht="15.75" customHeight="1" x14ac:dyDescent="0.45">
      <c r="G119" s="4"/>
      <c r="H119" s="4"/>
      <c r="I119" s="23"/>
      <c r="J119" s="23"/>
      <c r="K119" s="23"/>
      <c r="L119" s="4"/>
      <c r="N119" s="36"/>
    </row>
    <row r="120" spans="7:14" ht="15.75" customHeight="1" x14ac:dyDescent="0.45">
      <c r="G120" s="4"/>
      <c r="H120" s="4"/>
      <c r="I120" s="23"/>
      <c r="J120" s="23"/>
      <c r="K120" s="23"/>
      <c r="L120" s="4"/>
      <c r="N120" s="36"/>
    </row>
    <row r="121" spans="7:14" ht="15.75" customHeight="1" x14ac:dyDescent="0.45">
      <c r="G121" s="4"/>
      <c r="H121" s="4"/>
      <c r="I121" s="23"/>
      <c r="J121" s="23"/>
      <c r="K121" s="23"/>
      <c r="L121" s="4"/>
      <c r="N121" s="36"/>
    </row>
    <row r="122" spans="7:14" ht="15.75" customHeight="1" x14ac:dyDescent="0.45">
      <c r="G122" s="4"/>
      <c r="H122" s="4"/>
      <c r="I122" s="23"/>
      <c r="J122" s="23"/>
      <c r="K122" s="23"/>
      <c r="L122" s="4"/>
      <c r="N122" s="36"/>
    </row>
    <row r="123" spans="7:14" ht="15.75" customHeight="1" x14ac:dyDescent="0.45">
      <c r="G123" s="4"/>
      <c r="H123" s="4"/>
      <c r="I123" s="23"/>
      <c r="J123" s="23"/>
      <c r="K123" s="23"/>
      <c r="L123" s="4"/>
      <c r="N123" s="36"/>
    </row>
    <row r="124" spans="7:14" ht="15.75" customHeight="1" x14ac:dyDescent="0.45">
      <c r="G124" s="4"/>
      <c r="H124" s="4"/>
      <c r="I124" s="23"/>
      <c r="J124" s="23"/>
      <c r="K124" s="23"/>
      <c r="L124" s="4"/>
      <c r="N124" s="36"/>
    </row>
    <row r="125" spans="7:14" ht="15.75" customHeight="1" x14ac:dyDescent="0.45">
      <c r="G125" s="4"/>
      <c r="H125" s="4"/>
      <c r="I125" s="23"/>
      <c r="J125" s="23"/>
      <c r="K125" s="23"/>
      <c r="L125" s="4"/>
      <c r="N125" s="36"/>
    </row>
    <row r="126" spans="7:14" ht="15.75" customHeight="1" x14ac:dyDescent="0.45">
      <c r="G126" s="4"/>
      <c r="H126" s="4"/>
      <c r="I126" s="23"/>
      <c r="J126" s="23"/>
      <c r="K126" s="23"/>
      <c r="L126" s="4"/>
      <c r="N126" s="36"/>
    </row>
    <row r="127" spans="7:14" ht="15.75" customHeight="1" x14ac:dyDescent="0.45">
      <c r="G127" s="4"/>
      <c r="H127" s="4"/>
      <c r="I127" s="23"/>
      <c r="J127" s="23"/>
      <c r="K127" s="23"/>
      <c r="L127" s="4"/>
      <c r="N127" s="36"/>
    </row>
    <row r="128" spans="7:14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L148" s="4"/>
      <c r="N148" s="36"/>
    </row>
    <row r="149" spans="7:14" ht="15.75" customHeight="1" x14ac:dyDescent="0.45">
      <c r="G149" s="4"/>
      <c r="H149" s="4"/>
      <c r="I149" s="23"/>
      <c r="J149" s="23"/>
      <c r="L149" s="4"/>
      <c r="N149" s="36"/>
    </row>
    <row r="150" spans="7:14" ht="15.75" customHeight="1" x14ac:dyDescent="0.45">
      <c r="G150" s="4"/>
      <c r="H150" s="4"/>
      <c r="I150" s="23"/>
      <c r="J150" s="23"/>
      <c r="L150" s="4"/>
      <c r="N150" s="36"/>
    </row>
    <row r="151" spans="7:14" ht="15.75" customHeight="1" x14ac:dyDescent="0.45">
      <c r="G151" s="4"/>
      <c r="H151" s="4"/>
      <c r="I151" s="23"/>
      <c r="J151" s="23"/>
      <c r="L151" s="4"/>
      <c r="N151" s="36"/>
    </row>
    <row r="152" spans="7:14" ht="15.75" customHeight="1" x14ac:dyDescent="0.45">
      <c r="G152" s="4"/>
      <c r="H152" s="4"/>
      <c r="I152" s="23"/>
      <c r="J152" s="23"/>
      <c r="L152" s="4"/>
      <c r="N152" s="36"/>
    </row>
    <row r="153" spans="7:14" ht="15.75" customHeight="1" x14ac:dyDescent="0.45">
      <c r="G153" s="4"/>
      <c r="H153" s="4"/>
      <c r="I153" s="23"/>
      <c r="J153" s="23"/>
      <c r="L153" s="4"/>
      <c r="N153" s="36"/>
    </row>
    <row r="154" spans="7:14" ht="15.75" customHeight="1" x14ac:dyDescent="0.45">
      <c r="G154" s="4"/>
      <c r="H154" s="4"/>
      <c r="I154" s="23"/>
      <c r="J154" s="23"/>
      <c r="L154" s="4"/>
      <c r="N154" s="36"/>
    </row>
    <row r="155" spans="7:14" ht="15.75" customHeight="1" x14ac:dyDescent="0.45">
      <c r="G155" s="4"/>
      <c r="H155" s="4"/>
      <c r="I155" s="23"/>
      <c r="J155" s="23"/>
      <c r="L155" s="4"/>
      <c r="N155" s="36"/>
    </row>
    <row r="156" spans="7:14" ht="15.75" customHeight="1" x14ac:dyDescent="0.45">
      <c r="G156" s="4"/>
      <c r="H156" s="4"/>
      <c r="I156" s="23"/>
      <c r="J156" s="23"/>
      <c r="L156" s="4"/>
      <c r="N156" s="36"/>
    </row>
    <row r="157" spans="7:14" ht="15.75" customHeight="1" x14ac:dyDescent="0.45">
      <c r="G157" s="4"/>
      <c r="H157" s="4"/>
      <c r="I157" s="23"/>
      <c r="J157" s="23"/>
      <c r="L157" s="4"/>
      <c r="N157" s="36"/>
    </row>
    <row r="158" spans="7:14" ht="15.75" customHeight="1" x14ac:dyDescent="0.45">
      <c r="G158" s="4"/>
      <c r="H158" s="4"/>
      <c r="I158" s="23"/>
      <c r="J158" s="23"/>
      <c r="L158" s="4"/>
      <c r="N158" s="36"/>
    </row>
    <row r="159" spans="7:14" ht="15.75" customHeight="1" x14ac:dyDescent="0.45">
      <c r="G159" s="4"/>
      <c r="H159" s="4"/>
      <c r="I159" s="23"/>
      <c r="J159" s="23"/>
      <c r="L159" s="4"/>
      <c r="N159" s="36"/>
    </row>
    <row r="160" spans="7:14" ht="15.75" customHeight="1" x14ac:dyDescent="0.45">
      <c r="G160" s="4"/>
      <c r="H160" s="4"/>
      <c r="I160" s="23"/>
      <c r="J160" s="23"/>
      <c r="L160" s="4"/>
      <c r="N160" s="36"/>
    </row>
    <row r="161" spans="7:14" ht="15.75" customHeight="1" x14ac:dyDescent="0.45">
      <c r="G161" s="4"/>
      <c r="H161" s="4"/>
      <c r="I161" s="23"/>
      <c r="J161" s="23"/>
      <c r="L161" s="4"/>
      <c r="N161" s="36"/>
    </row>
    <row r="162" spans="7:14" ht="15.75" customHeight="1" x14ac:dyDescent="0.45">
      <c r="G162" s="4"/>
      <c r="H162" s="4"/>
      <c r="I162" s="23"/>
      <c r="J162" s="23"/>
      <c r="L162" s="4"/>
      <c r="N162" s="36"/>
    </row>
    <row r="163" spans="7:14" ht="15.75" customHeight="1" x14ac:dyDescent="0.45">
      <c r="G163" s="4"/>
      <c r="H163" s="4"/>
      <c r="I163" s="23"/>
      <c r="J163" s="23"/>
      <c r="L163" s="4"/>
      <c r="N163" s="36"/>
    </row>
    <row r="164" spans="7:14" ht="15.75" customHeight="1" x14ac:dyDescent="0.45">
      <c r="G164" s="4"/>
      <c r="H164" s="4"/>
      <c r="I164" s="23"/>
      <c r="J164" s="23"/>
      <c r="L164" s="4"/>
      <c r="N164" s="36"/>
    </row>
    <row r="165" spans="7:14" ht="15.75" customHeight="1" x14ac:dyDescent="0.45">
      <c r="G165" s="4"/>
      <c r="H165" s="4"/>
      <c r="I165" s="23"/>
      <c r="J165" s="23"/>
      <c r="L165" s="4"/>
      <c r="N165" s="36"/>
    </row>
    <row r="166" spans="7:14" ht="15.75" customHeight="1" x14ac:dyDescent="0.45">
      <c r="G166" s="4"/>
      <c r="H166" s="4"/>
      <c r="I166" s="23"/>
      <c r="J166" s="23"/>
      <c r="L166" s="4"/>
      <c r="N166" s="36"/>
    </row>
    <row r="167" spans="7:14" ht="15.75" customHeight="1" x14ac:dyDescent="0.45">
      <c r="G167" s="4"/>
      <c r="H167" s="4"/>
      <c r="I167" s="23"/>
      <c r="J167" s="23"/>
      <c r="L167" s="4"/>
      <c r="N167" s="36"/>
    </row>
    <row r="168" spans="7:14" ht="15.75" customHeight="1" x14ac:dyDescent="0.45">
      <c r="G168" s="4"/>
      <c r="H168" s="4"/>
      <c r="I168" s="23"/>
      <c r="J168" s="23"/>
      <c r="L168" s="4"/>
      <c r="N168" s="36"/>
    </row>
    <row r="169" spans="7:14" ht="15.75" customHeight="1" x14ac:dyDescent="0.45">
      <c r="G169" s="4"/>
      <c r="H169" s="4"/>
      <c r="I169" s="23"/>
      <c r="J169" s="23"/>
      <c r="L169" s="4"/>
      <c r="N169" s="36"/>
    </row>
    <row r="170" spans="7:14" ht="15.75" customHeight="1" x14ac:dyDescent="0.45">
      <c r="G170" s="4"/>
      <c r="H170" s="4"/>
      <c r="I170" s="23"/>
      <c r="J170" s="23"/>
      <c r="L170" s="4"/>
      <c r="N170" s="36"/>
    </row>
    <row r="171" spans="7:14" ht="15.75" customHeight="1" x14ac:dyDescent="0.45">
      <c r="G171" s="4"/>
      <c r="H171" s="4"/>
      <c r="I171" s="23"/>
      <c r="J171" s="23"/>
      <c r="L171" s="4"/>
      <c r="N171" s="36"/>
    </row>
    <row r="172" spans="7:14" ht="15.75" customHeight="1" x14ac:dyDescent="0.45">
      <c r="G172" s="4"/>
      <c r="H172" s="4"/>
      <c r="I172" s="23"/>
      <c r="J172" s="23"/>
      <c r="L172" s="4"/>
      <c r="N172" s="36"/>
    </row>
    <row r="173" spans="7:14" ht="15.75" customHeight="1" x14ac:dyDescent="0.45">
      <c r="G173" s="4"/>
      <c r="H173" s="4"/>
      <c r="I173" s="23"/>
      <c r="J173" s="23"/>
      <c r="L173" s="4"/>
      <c r="N173" s="36"/>
    </row>
    <row r="174" spans="7:14" ht="15.75" customHeight="1" x14ac:dyDescent="0.45">
      <c r="G174" s="4"/>
      <c r="H174" s="4"/>
      <c r="I174" s="23"/>
      <c r="J174" s="23"/>
      <c r="L174" s="4"/>
      <c r="N174" s="36"/>
    </row>
    <row r="175" spans="7:14" ht="15.75" customHeight="1" x14ac:dyDescent="0.45">
      <c r="G175" s="4"/>
      <c r="H175" s="4"/>
      <c r="I175" s="23"/>
      <c r="J175" s="23"/>
      <c r="L175" s="4"/>
      <c r="N175" s="36"/>
    </row>
    <row r="176" spans="7:14" ht="15.75" customHeight="1" x14ac:dyDescent="0.45">
      <c r="G176" s="4"/>
      <c r="H176" s="4"/>
      <c r="I176" s="23"/>
      <c r="J176" s="23"/>
      <c r="L176" s="4"/>
      <c r="N176" s="36"/>
    </row>
    <row r="177" spans="7:14" ht="15.75" customHeight="1" x14ac:dyDescent="0.45">
      <c r="G177" s="4"/>
      <c r="H177" s="4"/>
      <c r="I177" s="23"/>
      <c r="J177" s="23"/>
      <c r="L177" s="4"/>
      <c r="N177" s="36"/>
    </row>
    <row r="178" spans="7:14" ht="15.75" customHeight="1" x14ac:dyDescent="0.45">
      <c r="G178" s="4"/>
      <c r="H178" s="4"/>
      <c r="I178" s="23"/>
      <c r="J178" s="23"/>
      <c r="L178" s="4"/>
      <c r="N178" s="36"/>
    </row>
    <row r="179" spans="7:14" ht="15.75" customHeight="1" x14ac:dyDescent="0.45">
      <c r="G179" s="4"/>
      <c r="H179" s="4"/>
      <c r="I179" s="23"/>
      <c r="J179" s="23"/>
      <c r="L179" s="4"/>
      <c r="N179" s="36"/>
    </row>
    <row r="180" spans="7:14" ht="15.75" customHeight="1" x14ac:dyDescent="0.45">
      <c r="G180" s="4"/>
      <c r="H180" s="4"/>
      <c r="I180" s="23"/>
      <c r="J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J220" s="23"/>
      <c r="L220" s="4"/>
      <c r="N220" s="36"/>
    </row>
    <row r="221" spans="7:14" ht="15.75" customHeight="1" x14ac:dyDescent="0.45">
      <c r="G221" s="4"/>
      <c r="H221" s="4"/>
      <c r="L221" s="4"/>
      <c r="N221" s="36"/>
    </row>
    <row r="222" spans="7:14" ht="15.75" customHeight="1" x14ac:dyDescent="0.45">
      <c r="G222" s="4"/>
      <c r="H222" s="4"/>
      <c r="L222" s="4"/>
      <c r="N222" s="36"/>
    </row>
    <row r="223" spans="7:14" ht="15.75" customHeight="1" x14ac:dyDescent="0.45">
      <c r="G223" s="4"/>
      <c r="H223" s="4"/>
      <c r="L223" s="4"/>
      <c r="N223" s="36"/>
    </row>
    <row r="224" spans="7:14" ht="15.75" customHeight="1" x14ac:dyDescent="0.45">
      <c r="G224" s="4"/>
      <c r="H224" s="4"/>
      <c r="L224" s="4"/>
      <c r="N224" s="36"/>
    </row>
    <row r="225" spans="7:14" ht="15.75" customHeight="1" x14ac:dyDescent="0.45">
      <c r="G225" s="4"/>
      <c r="H225" s="4"/>
      <c r="L225" s="4"/>
      <c r="N225" s="36"/>
    </row>
    <row r="226" spans="7:14" ht="15.75" customHeight="1" x14ac:dyDescent="0.45">
      <c r="G226" s="4"/>
      <c r="H226" s="4"/>
      <c r="L226" s="4"/>
      <c r="N226" s="36"/>
    </row>
    <row r="227" spans="7:14" ht="15.75" customHeight="1" x14ac:dyDescent="0.45">
      <c r="G227" s="4"/>
      <c r="H227" s="4"/>
      <c r="L227" s="4"/>
      <c r="N227" s="36"/>
    </row>
    <row r="228" spans="7:14" ht="15.75" customHeight="1" x14ac:dyDescent="0.45">
      <c r="G228" s="4"/>
      <c r="H228" s="4"/>
      <c r="L228" s="4"/>
      <c r="N228" s="36"/>
    </row>
    <row r="229" spans="7:14" ht="15.75" customHeight="1" x14ac:dyDescent="0.45">
      <c r="G229" s="4"/>
      <c r="H229" s="4"/>
      <c r="L229" s="4"/>
      <c r="N229" s="36"/>
    </row>
    <row r="230" spans="7:14" ht="15.75" customHeight="1" x14ac:dyDescent="0.45">
      <c r="G230" s="4"/>
      <c r="H230" s="4"/>
      <c r="L230" s="4"/>
      <c r="N230" s="36"/>
    </row>
    <row r="231" spans="7:14" ht="15.75" customHeight="1" x14ac:dyDescent="0.45">
      <c r="G231" s="4"/>
      <c r="H231" s="4"/>
      <c r="L231" s="4"/>
      <c r="N231" s="36"/>
    </row>
    <row r="232" spans="7:14" ht="15.75" customHeight="1" x14ac:dyDescent="0.45">
      <c r="G232" s="4"/>
      <c r="H232" s="4"/>
      <c r="L232" s="4"/>
      <c r="N232" s="36"/>
    </row>
    <row r="233" spans="7:14" ht="15.75" customHeight="1" x14ac:dyDescent="0.45">
      <c r="G233" s="4"/>
      <c r="H233" s="4"/>
      <c r="L233" s="4"/>
      <c r="N233" s="36"/>
    </row>
    <row r="234" spans="7:14" ht="15.75" customHeight="1" x14ac:dyDescent="0.45">
      <c r="G234" s="4"/>
      <c r="H234" s="4"/>
      <c r="L234" s="4"/>
      <c r="N234" s="36"/>
    </row>
    <row r="235" spans="7:14" ht="15.75" customHeight="1" x14ac:dyDescent="0.45">
      <c r="G235" s="4"/>
      <c r="H235" s="4"/>
      <c r="L235" s="4"/>
      <c r="N235" s="36"/>
    </row>
    <row r="236" spans="7:14" ht="15.75" customHeight="1" x14ac:dyDescent="0.45">
      <c r="G236" s="4"/>
      <c r="H236" s="4"/>
      <c r="L236" s="4"/>
      <c r="N236" s="36"/>
    </row>
    <row r="237" spans="7:14" ht="15.75" customHeight="1" x14ac:dyDescent="0.45">
      <c r="G237" s="4"/>
      <c r="H237" s="4"/>
      <c r="L237" s="4"/>
      <c r="N237" s="36"/>
    </row>
    <row r="238" spans="7:14" ht="15.75" customHeight="1" x14ac:dyDescent="0.45">
      <c r="G238" s="4"/>
      <c r="H238" s="4"/>
      <c r="L238" s="4"/>
      <c r="N238" s="36"/>
    </row>
    <row r="239" spans="7:14" ht="15.75" customHeight="1" x14ac:dyDescent="0.45">
      <c r="G239" s="4"/>
      <c r="H239" s="4"/>
      <c r="L239" s="4"/>
      <c r="N239" s="36"/>
    </row>
    <row r="240" spans="7:14" ht="15.75" customHeight="1" x14ac:dyDescent="0.45">
      <c r="G240" s="4"/>
      <c r="H240" s="4"/>
      <c r="L240" s="4"/>
      <c r="N240" s="36"/>
    </row>
    <row r="241" spans="7:14" ht="15.75" customHeight="1" x14ac:dyDescent="0.45">
      <c r="G241" s="4"/>
      <c r="H241" s="4"/>
      <c r="L241" s="4"/>
      <c r="N241" s="36"/>
    </row>
    <row r="242" spans="7:14" ht="15.75" customHeight="1" x14ac:dyDescent="0.45">
      <c r="G242" s="4"/>
      <c r="H242" s="4"/>
      <c r="L242" s="4"/>
      <c r="N242" s="36"/>
    </row>
    <row r="243" spans="7:14" ht="15.75" customHeight="1" x14ac:dyDescent="0.45">
      <c r="G243" s="4"/>
      <c r="H243" s="4"/>
      <c r="L243" s="4"/>
      <c r="N243" s="36"/>
    </row>
    <row r="244" spans="7:14" ht="15.75" customHeight="1" x14ac:dyDescent="0.45">
      <c r="G244" s="4"/>
      <c r="H244" s="4"/>
      <c r="L244" s="4"/>
      <c r="N244" s="36"/>
    </row>
    <row r="245" spans="7:14" ht="15.75" customHeight="1" x14ac:dyDescent="0.45">
      <c r="G245" s="4"/>
      <c r="H245" s="4"/>
      <c r="L245" s="4"/>
      <c r="N245" s="36"/>
    </row>
    <row r="246" spans="7:14" ht="15.75" customHeight="1" x14ac:dyDescent="0.45">
      <c r="G246" s="4"/>
      <c r="H246" s="4"/>
      <c r="L246" s="4"/>
      <c r="N246" s="36"/>
    </row>
    <row r="247" spans="7:14" ht="15.75" customHeight="1" x14ac:dyDescent="0.45">
      <c r="G247" s="4"/>
      <c r="H247" s="4"/>
      <c r="L247" s="4"/>
      <c r="N247" s="36"/>
    </row>
    <row r="248" spans="7:14" ht="15.75" customHeight="1" x14ac:dyDescent="0.45">
      <c r="G248" s="4"/>
      <c r="H248" s="4"/>
      <c r="L248" s="4"/>
      <c r="N248" s="36"/>
    </row>
    <row r="249" spans="7:14" ht="15.75" customHeight="1" x14ac:dyDescent="0.45">
      <c r="G249" s="4"/>
      <c r="H249" s="4"/>
      <c r="L249" s="4"/>
      <c r="N249" s="36"/>
    </row>
    <row r="250" spans="7:14" ht="15.75" customHeight="1" x14ac:dyDescent="0.45">
      <c r="G250" s="4"/>
      <c r="H250" s="4"/>
      <c r="L250" s="4"/>
      <c r="N250" s="36"/>
    </row>
    <row r="251" spans="7:14" ht="15.75" customHeight="1" x14ac:dyDescent="0.45">
      <c r="G251" s="4"/>
      <c r="H251" s="4"/>
      <c r="L251" s="4"/>
      <c r="N251" s="36"/>
    </row>
    <row r="252" spans="7:14" ht="15.75" customHeight="1" x14ac:dyDescent="0.45">
      <c r="G252" s="4"/>
      <c r="H252" s="4"/>
      <c r="L252" s="4"/>
      <c r="N252" s="36"/>
    </row>
    <row r="253" spans="7:14" ht="15.75" customHeight="1" x14ac:dyDescent="0.45">
      <c r="G253" s="4"/>
      <c r="H253" s="4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2" ht="15.75" customHeight="1" x14ac:dyDescent="0.45">
      <c r="G257" s="4"/>
      <c r="H257" s="4"/>
      <c r="L257" s="4"/>
    </row>
    <row r="258" spans="7:12" ht="15.75" customHeight="1" x14ac:dyDescent="0.45">
      <c r="G258" s="4"/>
      <c r="H258" s="4"/>
      <c r="L258" s="4"/>
    </row>
    <row r="259" spans="7:12" ht="15.75" customHeight="1" x14ac:dyDescent="0.45">
      <c r="G259" s="4"/>
      <c r="H259" s="4"/>
      <c r="L259" s="4"/>
    </row>
    <row r="260" spans="7:12" ht="15.75" customHeight="1" x14ac:dyDescent="0.45">
      <c r="G260" s="4"/>
      <c r="H260" s="4"/>
      <c r="L260" s="4"/>
    </row>
    <row r="261" spans="7:12" ht="15.75" customHeight="1" x14ac:dyDescent="0.45">
      <c r="G261" s="4"/>
      <c r="H261" s="4"/>
      <c r="L261" s="4"/>
    </row>
    <row r="262" spans="7:12" ht="15.75" customHeight="1" x14ac:dyDescent="0.45">
      <c r="G262" s="4"/>
      <c r="H262" s="4"/>
      <c r="L262" s="4"/>
    </row>
    <row r="263" spans="7:12" ht="15.75" customHeight="1" x14ac:dyDescent="0.45">
      <c r="G263" s="4"/>
      <c r="H263" s="4"/>
      <c r="L263" s="4"/>
    </row>
    <row r="264" spans="7:12" ht="15.75" customHeight="1" x14ac:dyDescent="0.45">
      <c r="G264" s="4"/>
      <c r="H264" s="4"/>
      <c r="L264" s="4"/>
    </row>
    <row r="265" spans="7:12" ht="15.75" customHeight="1" x14ac:dyDescent="0.45">
      <c r="G265" s="4"/>
      <c r="H265" s="4"/>
      <c r="L265" s="4"/>
    </row>
    <row r="266" spans="7:12" ht="15.75" customHeight="1" x14ac:dyDescent="0.45">
      <c r="G266" s="4"/>
      <c r="H266" s="4"/>
      <c r="L266" s="4"/>
    </row>
    <row r="267" spans="7:12" ht="15.75" customHeight="1" x14ac:dyDescent="0.45">
      <c r="G267" s="4"/>
      <c r="H267" s="4"/>
      <c r="L267" s="4"/>
    </row>
    <row r="268" spans="7:12" ht="15.75" customHeight="1" x14ac:dyDescent="0.45">
      <c r="G268" s="4"/>
      <c r="H268" s="4"/>
      <c r="L268" s="4"/>
    </row>
    <row r="269" spans="7:12" ht="15.75" customHeight="1" x14ac:dyDescent="0.45">
      <c r="G269" s="4"/>
      <c r="H269" s="4"/>
      <c r="L269" s="4"/>
    </row>
    <row r="270" spans="7:12" ht="15.75" customHeight="1" x14ac:dyDescent="0.45">
      <c r="G270" s="4"/>
      <c r="H270" s="4"/>
      <c r="L270" s="4"/>
    </row>
    <row r="271" spans="7:12" ht="15.75" customHeight="1" x14ac:dyDescent="0.45">
      <c r="G271" s="4"/>
      <c r="H271" s="4"/>
      <c r="L271" s="4"/>
    </row>
    <row r="272" spans="7:12" ht="15.75" customHeight="1" x14ac:dyDescent="0.45">
      <c r="G272" s="4"/>
      <c r="H272" s="4"/>
      <c r="L272" s="4"/>
    </row>
    <row r="273" spans="7:12" ht="15.75" customHeight="1" x14ac:dyDescent="0.45">
      <c r="G273" s="4"/>
      <c r="H273" s="4"/>
      <c r="L273" s="4"/>
    </row>
    <row r="274" spans="7:12" ht="15.75" customHeight="1" x14ac:dyDescent="0.45">
      <c r="G274" s="4"/>
      <c r="H274" s="4"/>
      <c r="L274" s="4"/>
    </row>
    <row r="275" spans="7:12" ht="15.75" customHeight="1" x14ac:dyDescent="0.45">
      <c r="G275" s="4"/>
      <c r="H275" s="4"/>
      <c r="L275" s="4"/>
    </row>
    <row r="276" spans="7:12" ht="15.75" customHeight="1" x14ac:dyDescent="0.45">
      <c r="G276" s="4"/>
      <c r="H276" s="4"/>
      <c r="L276" s="4"/>
    </row>
    <row r="277" spans="7:12" ht="15.75" customHeight="1" x14ac:dyDescent="0.45">
      <c r="G277" s="4"/>
      <c r="H277" s="4"/>
      <c r="L277" s="4"/>
    </row>
    <row r="278" spans="7:12" ht="15.75" customHeight="1" x14ac:dyDescent="0.45">
      <c r="G278" s="4"/>
      <c r="H278" s="4"/>
      <c r="L278" s="4"/>
    </row>
    <row r="279" spans="7:12" ht="15.75" customHeight="1" x14ac:dyDescent="0.45">
      <c r="G279" s="4"/>
      <c r="H279" s="4"/>
      <c r="L279" s="4"/>
    </row>
    <row r="280" spans="7:12" ht="15.75" customHeight="1" x14ac:dyDescent="0.45">
      <c r="G280" s="4"/>
      <c r="H280" s="4"/>
      <c r="L280" s="4"/>
    </row>
    <row r="281" spans="7:12" ht="15.75" customHeight="1" x14ac:dyDescent="0.45">
      <c r="G281" s="4"/>
      <c r="H281" s="4"/>
      <c r="L281" s="4"/>
    </row>
    <row r="282" spans="7:12" ht="15.75" customHeight="1" x14ac:dyDescent="0.45">
      <c r="G282" s="4"/>
      <c r="H282" s="4"/>
      <c r="L282" s="4"/>
    </row>
    <row r="283" spans="7:12" ht="15.75" customHeight="1" x14ac:dyDescent="0.45">
      <c r="G283" s="4"/>
      <c r="H283" s="4"/>
      <c r="L283" s="4"/>
    </row>
    <row r="284" spans="7:12" ht="15.75" customHeight="1" x14ac:dyDescent="0.45">
      <c r="G284" s="4"/>
      <c r="H284" s="4"/>
      <c r="L284" s="4"/>
    </row>
    <row r="285" spans="7:12" ht="15.75" customHeight="1" x14ac:dyDescent="0.45">
      <c r="G285" s="4"/>
      <c r="H285" s="4"/>
      <c r="L285" s="4"/>
    </row>
    <row r="286" spans="7:12" ht="15.75" customHeight="1" x14ac:dyDescent="0.45">
      <c r="G286" s="4"/>
      <c r="H286" s="4"/>
      <c r="L286" s="4"/>
    </row>
    <row r="287" spans="7:12" ht="15.75" customHeight="1" x14ac:dyDescent="0.45">
      <c r="G287" s="4"/>
      <c r="H287" s="4"/>
      <c r="L287" s="4"/>
    </row>
    <row r="288" spans="7:12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5" customHeight="1" x14ac:dyDescent="0.45"/>
    <row r="953" ht="15" customHeight="1" x14ac:dyDescent="0.45"/>
    <row r="954" ht="15" customHeight="1" x14ac:dyDescent="0.45"/>
  </sheetData>
  <mergeCells count="4">
    <mergeCell ref="L86:M86"/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21362E-84B6-48B8-8A62-A86AE684C905}">
          <x14:formula1>
            <xm:f>Criterios!$A$2:$A$128</xm:f>
          </x14:formula1>
          <xm:sqref>P8:T88</xm:sqref>
        </x14:dataValidation>
        <x14:dataValidation type="list" allowBlank="1" showInputMessage="1" showErrorMessage="1" xr:uid="{DA798B17-351F-47D1-8B89-28A15A9D1E5F}">
          <x14:formula1>
            <xm:f>Hoja1!$G$2:$G$3</xm:f>
          </x14:formula1>
          <xm:sqref>U8:U88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3D8A-3461-4CFB-8EB3-7797562D95E5}">
  <dimension ref="A1:U994"/>
  <sheetViews>
    <sheetView topLeftCell="K93" zoomScale="80" zoomScaleNormal="80" workbookViewId="0">
      <selection activeCell="T130" sqref="T130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309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33.75" customHeight="1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93435710</v>
      </c>
      <c r="B8" s="11" t="str">
        <f t="shared" ref="B8:B111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9.343.571-0</v>
      </c>
      <c r="C8" s="11" t="s">
        <v>14</v>
      </c>
      <c r="D8" s="11" t="s">
        <v>310</v>
      </c>
      <c r="E8" s="11" t="s">
        <v>311</v>
      </c>
      <c r="F8" s="11" t="s">
        <v>312</v>
      </c>
      <c r="G8" s="12">
        <v>45719</v>
      </c>
      <c r="H8" s="12">
        <v>45729</v>
      </c>
      <c r="I8" s="11" t="s">
        <v>60</v>
      </c>
      <c r="J8" s="11"/>
      <c r="K8" s="11" t="s">
        <v>16</v>
      </c>
      <c r="L8" s="12">
        <v>45719</v>
      </c>
      <c r="M8" s="12">
        <v>45729</v>
      </c>
      <c r="N8" s="44">
        <f t="shared" ref="N8:N81" si="1">+M8-L8</f>
        <v>10</v>
      </c>
      <c r="O8" s="45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93435710</v>
      </c>
      <c r="B9" s="11" t="str">
        <f t="shared" si="0"/>
        <v>9.343.571-0</v>
      </c>
      <c r="C9" s="11" t="s">
        <v>14</v>
      </c>
      <c r="D9" s="11" t="s">
        <v>310</v>
      </c>
      <c r="E9" s="11" t="s">
        <v>311</v>
      </c>
      <c r="F9" s="11" t="s">
        <v>312</v>
      </c>
      <c r="G9" s="12">
        <v>45719</v>
      </c>
      <c r="H9" s="12">
        <v>45729</v>
      </c>
      <c r="I9" s="11" t="s">
        <v>60</v>
      </c>
      <c r="J9" s="11"/>
      <c r="K9" s="11" t="s">
        <v>17</v>
      </c>
      <c r="L9" s="12">
        <v>45719</v>
      </c>
      <c r="M9" s="12">
        <v>45729</v>
      </c>
      <c r="N9" s="44">
        <f t="shared" si="1"/>
        <v>10</v>
      </c>
      <c r="O9" s="45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93435710</v>
      </c>
      <c r="B10" s="11" t="str">
        <f t="shared" si="0"/>
        <v>9.343.571-0</v>
      </c>
      <c r="C10" s="11" t="s">
        <v>14</v>
      </c>
      <c r="D10" s="11" t="s">
        <v>310</v>
      </c>
      <c r="E10" s="11" t="s">
        <v>311</v>
      </c>
      <c r="F10" s="11" t="s">
        <v>312</v>
      </c>
      <c r="G10" s="12">
        <v>45719</v>
      </c>
      <c r="H10" s="12">
        <v>45729</v>
      </c>
      <c r="I10" s="11" t="s">
        <v>60</v>
      </c>
      <c r="J10" s="11"/>
      <c r="K10" s="11" t="s">
        <v>18</v>
      </c>
      <c r="L10" s="12">
        <v>45719</v>
      </c>
      <c r="M10" s="12">
        <v>45728</v>
      </c>
      <c r="N10" s="44">
        <f t="shared" si="1"/>
        <v>9</v>
      </c>
      <c r="O10" s="45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 t="s">
        <v>313</v>
      </c>
      <c r="B11" s="11" t="str">
        <f t="shared" si="0"/>
        <v>9.424.563-k</v>
      </c>
      <c r="C11" s="11" t="s">
        <v>14</v>
      </c>
      <c r="D11" s="11" t="s">
        <v>314</v>
      </c>
      <c r="E11" s="11" t="s">
        <v>97</v>
      </c>
      <c r="F11" s="11" t="s">
        <v>315</v>
      </c>
      <c r="G11" s="12">
        <v>45720</v>
      </c>
      <c r="H11" s="12">
        <v>45723</v>
      </c>
      <c r="I11" s="11" t="s">
        <v>47</v>
      </c>
      <c r="J11" s="11" t="s">
        <v>60</v>
      </c>
      <c r="K11" s="11" t="s">
        <v>16</v>
      </c>
      <c r="L11" s="12">
        <v>45720</v>
      </c>
      <c r="M11" s="12">
        <v>45723</v>
      </c>
      <c r="N11" s="44">
        <f t="shared" si="1"/>
        <v>3</v>
      </c>
      <c r="O11" s="45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 t="s">
        <v>313</v>
      </c>
      <c r="B12" s="11" t="str">
        <f t="shared" si="0"/>
        <v>9.424.563-k</v>
      </c>
      <c r="C12" s="11" t="s">
        <v>14</v>
      </c>
      <c r="D12" s="11" t="s">
        <v>314</v>
      </c>
      <c r="E12" s="11" t="s">
        <v>97</v>
      </c>
      <c r="F12" s="11" t="s">
        <v>315</v>
      </c>
      <c r="G12" s="12">
        <v>45720</v>
      </c>
      <c r="H12" s="12">
        <v>45723</v>
      </c>
      <c r="I12" s="11" t="s">
        <v>47</v>
      </c>
      <c r="J12" s="11" t="s">
        <v>60</v>
      </c>
      <c r="K12" s="11" t="s">
        <v>17</v>
      </c>
      <c r="L12" s="12">
        <v>45720</v>
      </c>
      <c r="M12" s="12">
        <v>45723</v>
      </c>
      <c r="N12" s="44">
        <f t="shared" si="1"/>
        <v>3</v>
      </c>
      <c r="O12" s="45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 t="s">
        <v>313</v>
      </c>
      <c r="B13" s="11" t="str">
        <f t="shared" si="0"/>
        <v>9.424.563-k</v>
      </c>
      <c r="C13" s="11" t="s">
        <v>14</v>
      </c>
      <c r="D13" s="11" t="s">
        <v>314</v>
      </c>
      <c r="E13" s="11" t="s">
        <v>97</v>
      </c>
      <c r="F13" s="11" t="s">
        <v>315</v>
      </c>
      <c r="G13" s="12">
        <v>45720</v>
      </c>
      <c r="H13" s="12">
        <v>45723</v>
      </c>
      <c r="I13" s="11" t="s">
        <v>47</v>
      </c>
      <c r="J13" s="11" t="s">
        <v>60</v>
      </c>
      <c r="K13" s="11" t="s">
        <v>18</v>
      </c>
      <c r="L13" s="12">
        <v>45720</v>
      </c>
      <c r="M13" s="12">
        <v>45721</v>
      </c>
      <c r="N13" s="44">
        <f t="shared" si="1"/>
        <v>1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83793139</v>
      </c>
      <c r="B14" s="11" t="str">
        <f t="shared" si="0"/>
        <v>8.379.313-9</v>
      </c>
      <c r="C14" s="11" t="s">
        <v>14</v>
      </c>
      <c r="D14" s="11" t="s">
        <v>316</v>
      </c>
      <c r="E14" s="11" t="s">
        <v>317</v>
      </c>
      <c r="F14" s="11" t="s">
        <v>318</v>
      </c>
      <c r="G14" s="12">
        <v>45719</v>
      </c>
      <c r="H14" s="12">
        <v>45721</v>
      </c>
      <c r="I14" s="11" t="s">
        <v>75</v>
      </c>
      <c r="J14" s="11" t="s">
        <v>60</v>
      </c>
      <c r="K14" s="11" t="s">
        <v>16</v>
      </c>
      <c r="L14" s="12">
        <v>45719</v>
      </c>
      <c r="M14" s="12">
        <v>45721</v>
      </c>
      <c r="N14" s="44">
        <f t="shared" si="1"/>
        <v>2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83793139</v>
      </c>
      <c r="B15" s="11" t="str">
        <f t="shared" si="0"/>
        <v>8.379.313-9</v>
      </c>
      <c r="C15" s="11" t="s">
        <v>14</v>
      </c>
      <c r="D15" s="11" t="s">
        <v>316</v>
      </c>
      <c r="E15" s="11" t="s">
        <v>317</v>
      </c>
      <c r="F15" s="11" t="s">
        <v>318</v>
      </c>
      <c r="G15" s="12">
        <v>45719</v>
      </c>
      <c r="H15" s="12">
        <v>45721</v>
      </c>
      <c r="I15" s="11" t="s">
        <v>75</v>
      </c>
      <c r="J15" s="11" t="s">
        <v>60</v>
      </c>
      <c r="K15" s="11" t="s">
        <v>17</v>
      </c>
      <c r="L15" s="12">
        <v>45719</v>
      </c>
      <c r="M15" s="12">
        <v>45721</v>
      </c>
      <c r="N15" s="44">
        <f t="shared" si="1"/>
        <v>2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 t="s">
        <v>319</v>
      </c>
      <c r="B16" s="11" t="str">
        <f t="shared" si="0"/>
        <v>11.603.249-k</v>
      </c>
      <c r="C16" s="11" t="s">
        <v>14</v>
      </c>
      <c r="D16" s="11" t="s">
        <v>295</v>
      </c>
      <c r="E16" s="11" t="s">
        <v>125</v>
      </c>
      <c r="F16" s="11" t="s">
        <v>99</v>
      </c>
      <c r="G16" s="12">
        <v>45710</v>
      </c>
      <c r="H16" s="12">
        <v>45727</v>
      </c>
      <c r="I16" s="11" t="s">
        <v>320</v>
      </c>
      <c r="J16" s="11" t="s">
        <v>60</v>
      </c>
      <c r="K16" s="11" t="s">
        <v>16</v>
      </c>
      <c r="L16" s="12">
        <v>45717</v>
      </c>
      <c r="M16" s="12">
        <v>45727</v>
      </c>
      <c r="N16" s="44">
        <f t="shared" si="1"/>
        <v>10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 t="s">
        <v>319</v>
      </c>
      <c r="B17" s="11" t="str">
        <f t="shared" si="0"/>
        <v>11.603.249-k</v>
      </c>
      <c r="C17" s="11" t="s">
        <v>14</v>
      </c>
      <c r="D17" s="11" t="s">
        <v>295</v>
      </c>
      <c r="E17" s="11" t="s">
        <v>125</v>
      </c>
      <c r="F17" s="11" t="s">
        <v>99</v>
      </c>
      <c r="G17" s="12">
        <v>45710</v>
      </c>
      <c r="H17" s="12">
        <v>45727</v>
      </c>
      <c r="I17" s="11" t="s">
        <v>320</v>
      </c>
      <c r="J17" s="11" t="s">
        <v>60</v>
      </c>
      <c r="K17" s="11" t="s">
        <v>18</v>
      </c>
      <c r="L17" s="12">
        <v>45717</v>
      </c>
      <c r="M17" s="12">
        <v>45727</v>
      </c>
      <c r="N17" s="44">
        <f t="shared" si="1"/>
        <v>10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86959968</v>
      </c>
      <c r="B18" s="11" t="str">
        <f t="shared" si="0"/>
        <v>8.695.996-8</v>
      </c>
      <c r="C18" s="11" t="s">
        <v>14</v>
      </c>
      <c r="D18" s="11" t="s">
        <v>120</v>
      </c>
      <c r="E18" s="11" t="s">
        <v>125</v>
      </c>
      <c r="F18" s="11" t="s">
        <v>321</v>
      </c>
      <c r="G18" s="12">
        <v>45717</v>
      </c>
      <c r="H18" s="12">
        <v>45737</v>
      </c>
      <c r="I18" s="11" t="s">
        <v>15</v>
      </c>
      <c r="J18" s="11" t="s">
        <v>60</v>
      </c>
      <c r="K18" s="11" t="s">
        <v>17</v>
      </c>
      <c r="L18" s="12">
        <v>45717</v>
      </c>
      <c r="M18" s="12">
        <v>45737</v>
      </c>
      <c r="N18" s="44">
        <f t="shared" si="1"/>
        <v>20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86959968</v>
      </c>
      <c r="B19" s="11" t="str">
        <f t="shared" si="0"/>
        <v>8.695.996-8</v>
      </c>
      <c r="C19" s="11" t="s">
        <v>14</v>
      </c>
      <c r="D19" s="11" t="s">
        <v>120</v>
      </c>
      <c r="E19" s="11" t="s">
        <v>125</v>
      </c>
      <c r="F19" s="11" t="s">
        <v>321</v>
      </c>
      <c r="G19" s="12">
        <v>45717</v>
      </c>
      <c r="H19" s="12">
        <v>45737</v>
      </c>
      <c r="I19" s="11" t="s">
        <v>15</v>
      </c>
      <c r="J19" s="11" t="s">
        <v>60</v>
      </c>
      <c r="K19" s="11" t="s">
        <v>16</v>
      </c>
      <c r="L19" s="12">
        <v>45717</v>
      </c>
      <c r="M19" s="12">
        <v>45737</v>
      </c>
      <c r="N19" s="44">
        <f t="shared" si="1"/>
        <v>20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86959968</v>
      </c>
      <c r="B20" s="11" t="str">
        <f t="shared" si="0"/>
        <v>8.695.996-8</v>
      </c>
      <c r="C20" s="11" t="s">
        <v>14</v>
      </c>
      <c r="D20" s="11" t="s">
        <v>120</v>
      </c>
      <c r="E20" s="11" t="s">
        <v>125</v>
      </c>
      <c r="F20" s="11" t="s">
        <v>321</v>
      </c>
      <c r="G20" s="12">
        <v>45717</v>
      </c>
      <c r="H20" s="12">
        <v>45737</v>
      </c>
      <c r="I20" s="11" t="s">
        <v>15</v>
      </c>
      <c r="J20" s="11" t="s">
        <v>60</v>
      </c>
      <c r="K20" s="11" t="s">
        <v>18</v>
      </c>
      <c r="L20" s="12">
        <v>45717</v>
      </c>
      <c r="M20" s="12">
        <v>45736</v>
      </c>
      <c r="N20" s="44">
        <f t="shared" si="1"/>
        <v>19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86959968</v>
      </c>
      <c r="B21" s="11" t="str">
        <f t="shared" ref="B21" si="2">IF(LEN(A21)=8,MID(A21,1,1)&amp;"."&amp;MID(A21,2,3)&amp;"."&amp;MID(A21,5,3)&amp;"-"&amp;RIGHT(A21,1),IF(LEFT(RIGHT(A21,2),1)="-",MID(A21,1,1)&amp;"."&amp;MID(A21,2,3)&amp;"."&amp;MID(A21,5,3)&amp;"-"&amp;RIGHT(A21,1),MID(A21,1,2)&amp;"."&amp;MID(A21,3,3)&amp;"."&amp;MID(A21,6,3)&amp;"-"&amp;MID(A21,9,1)))</f>
        <v>8.695.996-8</v>
      </c>
      <c r="C21" s="11" t="s">
        <v>14</v>
      </c>
      <c r="D21" s="11" t="s">
        <v>120</v>
      </c>
      <c r="E21" s="11" t="s">
        <v>125</v>
      </c>
      <c r="F21" s="11" t="s">
        <v>321</v>
      </c>
      <c r="G21" s="12">
        <v>45717</v>
      </c>
      <c r="H21" s="12">
        <v>45737</v>
      </c>
      <c r="I21" s="11" t="s">
        <v>15</v>
      </c>
      <c r="J21" s="11" t="s">
        <v>60</v>
      </c>
      <c r="K21" s="11" t="s">
        <v>1076</v>
      </c>
      <c r="L21" s="12">
        <v>45717</v>
      </c>
      <c r="M21" s="12">
        <v>45736</v>
      </c>
      <c r="N21" s="44">
        <f t="shared" ref="N21" si="3">+M21-L21</f>
        <v>19</v>
      </c>
      <c r="O21" s="44"/>
      <c r="P21" t="s">
        <v>972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108869097</v>
      </c>
      <c r="B22" s="11" t="str">
        <f t="shared" si="0"/>
        <v>10.886.909-7</v>
      </c>
      <c r="C22" s="11" t="s">
        <v>14</v>
      </c>
      <c r="D22" s="11" t="s">
        <v>322</v>
      </c>
      <c r="E22" s="11" t="s">
        <v>323</v>
      </c>
      <c r="F22" s="11" t="s">
        <v>184</v>
      </c>
      <c r="G22" s="12">
        <v>45716</v>
      </c>
      <c r="H22" s="12">
        <v>45733</v>
      </c>
      <c r="I22" s="11" t="s">
        <v>47</v>
      </c>
      <c r="J22" s="11" t="s">
        <v>106</v>
      </c>
      <c r="K22" s="11" t="s">
        <v>17</v>
      </c>
      <c r="L22" s="12">
        <v>45717</v>
      </c>
      <c r="M22" s="12">
        <v>45733</v>
      </c>
      <c r="N22" s="44">
        <f t="shared" si="1"/>
        <v>16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108869097</v>
      </c>
      <c r="B23" s="11" t="str">
        <f t="shared" si="0"/>
        <v>10.886.909-7</v>
      </c>
      <c r="C23" s="11" t="s">
        <v>14</v>
      </c>
      <c r="D23" s="11" t="s">
        <v>322</v>
      </c>
      <c r="E23" s="11" t="s">
        <v>323</v>
      </c>
      <c r="F23" s="11" t="s">
        <v>184</v>
      </c>
      <c r="G23" s="12">
        <v>45716</v>
      </c>
      <c r="H23" s="12">
        <v>45733</v>
      </c>
      <c r="I23" s="11" t="s">
        <v>47</v>
      </c>
      <c r="J23" s="11" t="s">
        <v>106</v>
      </c>
      <c r="K23" s="11" t="s">
        <v>349</v>
      </c>
      <c r="L23" s="12">
        <v>45717</v>
      </c>
      <c r="M23" s="14">
        <v>45731</v>
      </c>
      <c r="N23" s="44">
        <f t="shared" si="1"/>
        <v>14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108869097</v>
      </c>
      <c r="B24" s="11" t="str">
        <f t="shared" si="0"/>
        <v>10.886.909-7</v>
      </c>
      <c r="C24" s="11" t="s">
        <v>14</v>
      </c>
      <c r="D24" s="11" t="s">
        <v>322</v>
      </c>
      <c r="E24" s="11" t="s">
        <v>323</v>
      </c>
      <c r="F24" s="11" t="s">
        <v>184</v>
      </c>
      <c r="G24" s="12">
        <v>45716</v>
      </c>
      <c r="H24" s="12">
        <v>45733</v>
      </c>
      <c r="I24" s="11" t="s">
        <v>47</v>
      </c>
      <c r="J24" s="11" t="s">
        <v>106</v>
      </c>
      <c r="K24" s="11" t="s">
        <v>16</v>
      </c>
      <c r="L24" s="12">
        <v>45731</v>
      </c>
      <c r="M24" s="12">
        <v>45733</v>
      </c>
      <c r="N24" s="44">
        <f t="shared" si="1"/>
        <v>2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108869097</v>
      </c>
      <c r="B25" s="11" t="str">
        <f t="shared" si="0"/>
        <v>10.886.909-7</v>
      </c>
      <c r="C25" s="11" t="s">
        <v>14</v>
      </c>
      <c r="D25" s="11" t="s">
        <v>322</v>
      </c>
      <c r="E25" s="11" t="s">
        <v>323</v>
      </c>
      <c r="F25" s="11" t="s">
        <v>184</v>
      </c>
      <c r="G25" s="12">
        <v>45716</v>
      </c>
      <c r="H25" s="12">
        <v>45733</v>
      </c>
      <c r="I25" s="11" t="s">
        <v>47</v>
      </c>
      <c r="J25" s="11" t="s">
        <v>106</v>
      </c>
      <c r="K25" s="11" t="s">
        <v>18</v>
      </c>
      <c r="L25" s="12">
        <v>45717</v>
      </c>
      <c r="M25" s="12">
        <v>45733</v>
      </c>
      <c r="N25" s="44">
        <f t="shared" si="1"/>
        <v>16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172070574</v>
      </c>
      <c r="B26" s="11" t="str">
        <f t="shared" si="0"/>
        <v>17.207.057-4</v>
      </c>
      <c r="C26" s="11" t="s">
        <v>14</v>
      </c>
      <c r="D26" s="11" t="s">
        <v>324</v>
      </c>
      <c r="E26" s="11" t="s">
        <v>324</v>
      </c>
      <c r="F26" s="11" t="s">
        <v>99</v>
      </c>
      <c r="G26" s="12">
        <v>45719</v>
      </c>
      <c r="H26" s="12">
        <v>45725</v>
      </c>
      <c r="I26" s="11" t="s">
        <v>15</v>
      </c>
      <c r="J26" s="11" t="s">
        <v>60</v>
      </c>
      <c r="K26" s="11" t="s">
        <v>17</v>
      </c>
      <c r="L26" s="12">
        <v>45719</v>
      </c>
      <c r="M26" s="12">
        <v>45725</v>
      </c>
      <c r="N26" s="44">
        <f t="shared" si="1"/>
        <v>6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172070574</v>
      </c>
      <c r="B27" s="11" t="str">
        <f t="shared" si="0"/>
        <v>17.207.057-4</v>
      </c>
      <c r="C27" s="11" t="s">
        <v>14</v>
      </c>
      <c r="D27" s="11" t="s">
        <v>324</v>
      </c>
      <c r="E27" s="11" t="s">
        <v>324</v>
      </c>
      <c r="F27" s="11" t="s">
        <v>99</v>
      </c>
      <c r="G27" s="12">
        <v>45719</v>
      </c>
      <c r="H27" s="12">
        <v>45725</v>
      </c>
      <c r="I27" s="11" t="s">
        <v>15</v>
      </c>
      <c r="J27" s="11" t="s">
        <v>60</v>
      </c>
      <c r="K27" s="11" t="s">
        <v>16</v>
      </c>
      <c r="L27" s="12">
        <v>45719</v>
      </c>
      <c r="M27" s="12">
        <v>45725</v>
      </c>
      <c r="N27" s="44">
        <f t="shared" si="1"/>
        <v>6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172070574</v>
      </c>
      <c r="B28" s="11" t="str">
        <f t="shared" si="0"/>
        <v>17.207.057-4</v>
      </c>
      <c r="C28" s="11" t="s">
        <v>14</v>
      </c>
      <c r="D28" s="11" t="s">
        <v>324</v>
      </c>
      <c r="E28" s="11" t="s">
        <v>324</v>
      </c>
      <c r="F28" s="11" t="s">
        <v>99</v>
      </c>
      <c r="G28" s="12">
        <v>45719</v>
      </c>
      <c r="H28" s="12">
        <v>45725</v>
      </c>
      <c r="I28" s="11" t="s">
        <v>15</v>
      </c>
      <c r="J28" s="11" t="s">
        <v>60</v>
      </c>
      <c r="K28" s="11" t="s">
        <v>18</v>
      </c>
      <c r="L28" s="12">
        <v>45719</v>
      </c>
      <c r="M28" s="12">
        <v>45724</v>
      </c>
      <c r="N28" s="44">
        <f t="shared" si="1"/>
        <v>5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172070574</v>
      </c>
      <c r="B29" s="11" t="str">
        <f t="shared" si="0"/>
        <v>17.207.057-4</v>
      </c>
      <c r="C29" s="11" t="s">
        <v>14</v>
      </c>
      <c r="D29" s="11" t="s">
        <v>324</v>
      </c>
      <c r="E29" s="11" t="s">
        <v>324</v>
      </c>
      <c r="F29" s="11" t="s">
        <v>99</v>
      </c>
      <c r="G29" s="12">
        <v>45741</v>
      </c>
      <c r="H29" s="12"/>
      <c r="I29" s="11" t="s">
        <v>60</v>
      </c>
      <c r="J29" s="11"/>
      <c r="K29" s="11" t="s">
        <v>16</v>
      </c>
      <c r="L29" s="12">
        <v>45741</v>
      </c>
      <c r="M29" s="12">
        <v>45747</v>
      </c>
      <c r="N29" s="44">
        <f t="shared" si="1"/>
        <v>6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172070574</v>
      </c>
      <c r="B30" s="11" t="str">
        <f t="shared" si="0"/>
        <v>17.207.057-4</v>
      </c>
      <c r="C30" s="11" t="s">
        <v>14</v>
      </c>
      <c r="D30" s="11" t="s">
        <v>324</v>
      </c>
      <c r="E30" s="11" t="s">
        <v>324</v>
      </c>
      <c r="F30" s="11" t="s">
        <v>99</v>
      </c>
      <c r="G30" s="12">
        <v>45741</v>
      </c>
      <c r="H30" s="12"/>
      <c r="I30" s="11" t="s">
        <v>60</v>
      </c>
      <c r="J30" s="11"/>
      <c r="K30" s="11" t="s">
        <v>17</v>
      </c>
      <c r="L30" s="12">
        <v>45741</v>
      </c>
      <c r="M30" s="12">
        <v>45747</v>
      </c>
      <c r="N30" s="44">
        <f t="shared" si="1"/>
        <v>6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172070574</v>
      </c>
      <c r="B31" s="11" t="str">
        <f t="shared" si="0"/>
        <v>17.207.057-4</v>
      </c>
      <c r="C31" s="11" t="s">
        <v>14</v>
      </c>
      <c r="D31" s="11" t="s">
        <v>324</v>
      </c>
      <c r="E31" s="11" t="s">
        <v>324</v>
      </c>
      <c r="F31" s="11" t="s">
        <v>99</v>
      </c>
      <c r="G31" s="12">
        <v>45741</v>
      </c>
      <c r="H31" s="12"/>
      <c r="I31" s="11" t="s">
        <v>60</v>
      </c>
      <c r="J31" s="11"/>
      <c r="K31" s="11" t="s">
        <v>18</v>
      </c>
      <c r="L31" s="12">
        <v>45741</v>
      </c>
      <c r="M31" s="12">
        <v>45744</v>
      </c>
      <c r="N31" s="44">
        <f t="shared" si="1"/>
        <v>3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172070575</v>
      </c>
      <c r="B32" s="11" t="str">
        <f t="shared" ref="B32" si="4">IF(LEN(A32)=8,MID(A32,1,1)&amp;"."&amp;MID(A32,2,3)&amp;"."&amp;MID(A32,5,3)&amp;"-"&amp;RIGHT(A32,1),IF(LEFT(RIGHT(A32,2),1)="-",MID(A32,1,1)&amp;"."&amp;MID(A32,2,3)&amp;"."&amp;MID(A32,5,3)&amp;"-"&amp;RIGHT(A32,1),MID(A32,1,2)&amp;"."&amp;MID(A32,3,3)&amp;"."&amp;MID(A32,6,3)&amp;"-"&amp;MID(A32,9,1)))</f>
        <v>17.207.057-5</v>
      </c>
      <c r="C32" s="11" t="s">
        <v>60</v>
      </c>
      <c r="D32" s="11" t="s">
        <v>324</v>
      </c>
      <c r="E32" s="11" t="s">
        <v>324</v>
      </c>
      <c r="F32" s="11" t="s">
        <v>99</v>
      </c>
      <c r="G32" s="12">
        <v>45741</v>
      </c>
      <c r="H32" s="12"/>
      <c r="I32" s="11" t="s">
        <v>60</v>
      </c>
      <c r="J32" s="11"/>
      <c r="K32" s="11" t="s">
        <v>18</v>
      </c>
      <c r="L32" s="12">
        <v>45746</v>
      </c>
      <c r="M32" s="12">
        <v>45747</v>
      </c>
      <c r="N32" s="44">
        <f t="shared" si="1"/>
        <v>1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142729946</v>
      </c>
      <c r="B33" s="11" t="str">
        <f t="shared" si="0"/>
        <v>14.272.994-6</v>
      </c>
      <c r="C33" s="11" t="s">
        <v>14</v>
      </c>
      <c r="D33" s="11" t="s">
        <v>251</v>
      </c>
      <c r="E33" s="11" t="s">
        <v>325</v>
      </c>
      <c r="F33" s="11" t="s">
        <v>133</v>
      </c>
      <c r="G33" s="12">
        <v>45720</v>
      </c>
      <c r="H33" s="12">
        <v>45723</v>
      </c>
      <c r="I33" s="11" t="s">
        <v>200</v>
      </c>
      <c r="J33" s="11" t="s">
        <v>200</v>
      </c>
      <c r="K33" s="11" t="s">
        <v>17</v>
      </c>
      <c r="L33" s="12">
        <v>45720</v>
      </c>
      <c r="M33" s="12">
        <v>45723</v>
      </c>
      <c r="N33" s="44">
        <f t="shared" si="1"/>
        <v>3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142729946</v>
      </c>
      <c r="B34" s="11" t="str">
        <f t="shared" si="0"/>
        <v>14.272.994-6</v>
      </c>
      <c r="C34" s="11" t="s">
        <v>14</v>
      </c>
      <c r="D34" s="11" t="s">
        <v>251</v>
      </c>
      <c r="E34" s="11" t="s">
        <v>325</v>
      </c>
      <c r="F34" s="11" t="s">
        <v>133</v>
      </c>
      <c r="G34" s="12">
        <v>45720</v>
      </c>
      <c r="H34" s="12">
        <v>45723</v>
      </c>
      <c r="I34" s="11" t="s">
        <v>200</v>
      </c>
      <c r="J34" s="11" t="s">
        <v>200</v>
      </c>
      <c r="K34" s="11" t="s">
        <v>16</v>
      </c>
      <c r="L34" s="12">
        <v>45720</v>
      </c>
      <c r="M34" s="12">
        <v>45723</v>
      </c>
      <c r="N34" s="44">
        <f t="shared" si="1"/>
        <v>3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 t="s">
        <v>326</v>
      </c>
      <c r="B35" s="11" t="str">
        <f t="shared" si="0"/>
        <v>4.695.730-k</v>
      </c>
      <c r="C35" s="11" t="s">
        <v>14</v>
      </c>
      <c r="D35" s="11" t="s">
        <v>232</v>
      </c>
      <c r="E35" s="11" t="s">
        <v>327</v>
      </c>
      <c r="F35" s="11" t="s">
        <v>328</v>
      </c>
      <c r="G35" s="12">
        <v>45719</v>
      </c>
      <c r="H35" s="12">
        <v>45723</v>
      </c>
      <c r="I35" s="11" t="s">
        <v>15</v>
      </c>
      <c r="J35" s="11" t="s">
        <v>200</v>
      </c>
      <c r="K35" s="11" t="s">
        <v>17</v>
      </c>
      <c r="L35" s="12">
        <v>45719</v>
      </c>
      <c r="M35" s="12">
        <v>45723</v>
      </c>
      <c r="N35" s="44">
        <f t="shared" si="1"/>
        <v>4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 t="s">
        <v>326</v>
      </c>
      <c r="B36" s="11" t="str">
        <f t="shared" si="0"/>
        <v>4.695.730-k</v>
      </c>
      <c r="C36" s="11" t="s">
        <v>14</v>
      </c>
      <c r="D36" s="11" t="s">
        <v>232</v>
      </c>
      <c r="E36" s="11" t="s">
        <v>327</v>
      </c>
      <c r="F36" s="11" t="s">
        <v>328</v>
      </c>
      <c r="G36" s="12">
        <v>45719</v>
      </c>
      <c r="H36" s="12">
        <v>45723</v>
      </c>
      <c r="I36" s="11" t="s">
        <v>15</v>
      </c>
      <c r="J36" s="11" t="s">
        <v>200</v>
      </c>
      <c r="K36" s="11" t="s">
        <v>16</v>
      </c>
      <c r="L36" s="12">
        <v>45719</v>
      </c>
      <c r="M36" s="12">
        <v>45723</v>
      </c>
      <c r="N36" s="44">
        <f t="shared" si="1"/>
        <v>4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 t="s">
        <v>326</v>
      </c>
      <c r="B37" s="11" t="str">
        <f t="shared" si="0"/>
        <v>4.695.730-k</v>
      </c>
      <c r="C37" s="11" t="s">
        <v>14</v>
      </c>
      <c r="D37" s="11" t="s">
        <v>232</v>
      </c>
      <c r="E37" s="11" t="s">
        <v>327</v>
      </c>
      <c r="F37" s="11" t="s">
        <v>328</v>
      </c>
      <c r="G37" s="12">
        <v>45719</v>
      </c>
      <c r="H37" s="12">
        <v>45723</v>
      </c>
      <c r="I37" s="11" t="s">
        <v>15</v>
      </c>
      <c r="J37" s="11" t="s">
        <v>200</v>
      </c>
      <c r="K37" s="11" t="s">
        <v>18</v>
      </c>
      <c r="L37" s="12">
        <v>45719</v>
      </c>
      <c r="M37" s="12">
        <v>45721</v>
      </c>
      <c r="N37" s="44">
        <f t="shared" si="1"/>
        <v>2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112918507</v>
      </c>
      <c r="B38" s="11" t="str">
        <f t="shared" si="0"/>
        <v>11.291.850-7</v>
      </c>
      <c r="C38" s="11" t="s">
        <v>14</v>
      </c>
      <c r="D38" s="11" t="s">
        <v>278</v>
      </c>
      <c r="E38" s="11" t="s">
        <v>279</v>
      </c>
      <c r="F38" s="11" t="s">
        <v>171</v>
      </c>
      <c r="G38" s="12">
        <v>45705</v>
      </c>
      <c r="H38" s="12">
        <v>45722</v>
      </c>
      <c r="I38" s="11" t="s">
        <v>329</v>
      </c>
      <c r="J38" s="11" t="s">
        <v>60</v>
      </c>
      <c r="K38" s="11" t="s">
        <v>17</v>
      </c>
      <c r="L38" s="12">
        <v>45717</v>
      </c>
      <c r="M38" s="12">
        <v>45722</v>
      </c>
      <c r="N38" s="44">
        <f t="shared" si="1"/>
        <v>5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112918507</v>
      </c>
      <c r="B39" s="11" t="str">
        <f t="shared" si="0"/>
        <v>11.291.850-7</v>
      </c>
      <c r="C39" s="11" t="s">
        <v>14</v>
      </c>
      <c r="D39" s="11" t="s">
        <v>278</v>
      </c>
      <c r="E39" s="11" t="s">
        <v>279</v>
      </c>
      <c r="F39" s="11" t="s">
        <v>171</v>
      </c>
      <c r="G39" s="12">
        <v>45705</v>
      </c>
      <c r="H39" s="12">
        <v>45722</v>
      </c>
      <c r="I39" s="11" t="s">
        <v>329</v>
      </c>
      <c r="J39" s="11" t="s">
        <v>60</v>
      </c>
      <c r="K39" s="11" t="s">
        <v>16</v>
      </c>
      <c r="L39" s="12">
        <v>45717</v>
      </c>
      <c r="M39" s="12">
        <v>45722</v>
      </c>
      <c r="N39" s="44">
        <f t="shared" si="1"/>
        <v>5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112918507</v>
      </c>
      <c r="B40" s="11" t="str">
        <f t="shared" si="0"/>
        <v>11.291.850-7</v>
      </c>
      <c r="C40" s="11" t="s">
        <v>14</v>
      </c>
      <c r="D40" s="11" t="s">
        <v>278</v>
      </c>
      <c r="E40" s="11" t="s">
        <v>279</v>
      </c>
      <c r="F40" s="11" t="s">
        <v>171</v>
      </c>
      <c r="G40" s="12">
        <v>45705</v>
      </c>
      <c r="H40" s="12">
        <v>45722</v>
      </c>
      <c r="I40" s="11" t="s">
        <v>329</v>
      </c>
      <c r="J40" s="11" t="s">
        <v>60</v>
      </c>
      <c r="K40" s="11" t="s">
        <v>18</v>
      </c>
      <c r="L40" s="12">
        <v>45717</v>
      </c>
      <c r="M40" s="12">
        <v>45718</v>
      </c>
      <c r="N40" s="44">
        <f t="shared" si="1"/>
        <v>1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221768418</v>
      </c>
      <c r="B41" s="11" t="str">
        <f t="shared" si="0"/>
        <v>22.176.841-8</v>
      </c>
      <c r="C41" s="11" t="s">
        <v>14</v>
      </c>
      <c r="D41" s="11" t="s">
        <v>310</v>
      </c>
      <c r="E41" s="11" t="s">
        <v>20</v>
      </c>
      <c r="F41" s="11" t="s">
        <v>330</v>
      </c>
      <c r="G41" s="12">
        <v>45720</v>
      </c>
      <c r="H41" s="12">
        <v>45737</v>
      </c>
      <c r="I41" s="11" t="s">
        <v>60</v>
      </c>
      <c r="J41" s="11" t="s">
        <v>60</v>
      </c>
      <c r="K41" s="11" t="s">
        <v>17</v>
      </c>
      <c r="L41" s="12">
        <v>45720</v>
      </c>
      <c r="M41" s="12">
        <v>45737</v>
      </c>
      <c r="N41" s="44">
        <f t="shared" si="1"/>
        <v>17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221768418</v>
      </c>
      <c r="B42" s="11" t="str">
        <f t="shared" si="0"/>
        <v>22.176.841-8</v>
      </c>
      <c r="C42" s="11" t="s">
        <v>14</v>
      </c>
      <c r="D42" s="11" t="s">
        <v>310</v>
      </c>
      <c r="E42" s="11" t="s">
        <v>20</v>
      </c>
      <c r="F42" s="11" t="s">
        <v>330</v>
      </c>
      <c r="G42" s="12">
        <v>45720</v>
      </c>
      <c r="H42" s="12">
        <v>45737</v>
      </c>
      <c r="I42" s="11" t="s">
        <v>60</v>
      </c>
      <c r="J42" s="11" t="s">
        <v>60</v>
      </c>
      <c r="K42" s="11" t="s">
        <v>16</v>
      </c>
      <c r="L42" s="12">
        <v>45720</v>
      </c>
      <c r="M42" s="12">
        <v>45737</v>
      </c>
      <c r="N42" s="44">
        <f t="shared" si="1"/>
        <v>17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221768418</v>
      </c>
      <c r="B43" s="11" t="str">
        <f t="shared" si="0"/>
        <v>22.176.841-8</v>
      </c>
      <c r="C43" s="11" t="s">
        <v>14</v>
      </c>
      <c r="D43" s="11" t="s">
        <v>310</v>
      </c>
      <c r="E43" s="11" t="s">
        <v>20</v>
      </c>
      <c r="F43" s="11" t="s">
        <v>330</v>
      </c>
      <c r="G43" s="12">
        <v>45720</v>
      </c>
      <c r="H43" s="12">
        <v>45737</v>
      </c>
      <c r="I43" s="11" t="s">
        <v>60</v>
      </c>
      <c r="J43" s="11" t="s">
        <v>60</v>
      </c>
      <c r="K43" s="11" t="s">
        <v>18</v>
      </c>
      <c r="L43" s="12">
        <v>45720</v>
      </c>
      <c r="M43" s="39">
        <v>45731</v>
      </c>
      <c r="N43" s="44">
        <f t="shared" si="1"/>
        <v>11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52734177</v>
      </c>
      <c r="B44" s="11" t="str">
        <f t="shared" si="0"/>
        <v>5.273.417-7</v>
      </c>
      <c r="C44" s="11" t="s">
        <v>14</v>
      </c>
      <c r="D44" s="11" t="s">
        <v>339</v>
      </c>
      <c r="E44" s="11" t="s">
        <v>213</v>
      </c>
      <c r="F44" s="11" t="s">
        <v>340</v>
      </c>
      <c r="G44" s="12">
        <v>45723</v>
      </c>
      <c r="H44" s="12">
        <v>45726</v>
      </c>
      <c r="I44" s="11" t="s">
        <v>15</v>
      </c>
      <c r="J44" s="11" t="s">
        <v>60</v>
      </c>
      <c r="K44" s="11" t="s">
        <v>17</v>
      </c>
      <c r="L44" s="12">
        <v>45723</v>
      </c>
      <c r="M44" s="12">
        <v>45726</v>
      </c>
      <c r="N44" s="44">
        <f t="shared" si="1"/>
        <v>3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52734177</v>
      </c>
      <c r="B45" s="11" t="str">
        <f t="shared" si="0"/>
        <v>5.273.417-7</v>
      </c>
      <c r="C45" s="11" t="s">
        <v>14</v>
      </c>
      <c r="D45" s="11" t="s">
        <v>339</v>
      </c>
      <c r="E45" s="11" t="s">
        <v>213</v>
      </c>
      <c r="F45" s="11" t="s">
        <v>340</v>
      </c>
      <c r="G45" s="12">
        <v>45723</v>
      </c>
      <c r="H45" s="12">
        <v>45726</v>
      </c>
      <c r="I45" s="11" t="s">
        <v>15</v>
      </c>
      <c r="J45" s="11" t="s">
        <v>60</v>
      </c>
      <c r="K45" s="11" t="s">
        <v>16</v>
      </c>
      <c r="L45" s="12">
        <v>45723</v>
      </c>
      <c r="M45" s="12">
        <v>45726</v>
      </c>
      <c r="N45" s="44">
        <f t="shared" si="1"/>
        <v>3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151857027</v>
      </c>
      <c r="B46" s="11" t="str">
        <f t="shared" si="0"/>
        <v>15.185.702-7</v>
      </c>
      <c r="C46" s="11" t="s">
        <v>14</v>
      </c>
      <c r="D46" s="11" t="s">
        <v>341</v>
      </c>
      <c r="E46" s="11" t="s">
        <v>36</v>
      </c>
      <c r="F46" s="11" t="s">
        <v>111</v>
      </c>
      <c r="G46" s="12">
        <v>45722</v>
      </c>
      <c r="H46" s="12">
        <v>45724</v>
      </c>
      <c r="I46" s="11" t="s">
        <v>342</v>
      </c>
      <c r="J46" s="11" t="s">
        <v>342</v>
      </c>
      <c r="K46" s="11" t="s">
        <v>17</v>
      </c>
      <c r="L46" s="12">
        <v>45722</v>
      </c>
      <c r="M46" s="12">
        <v>45724</v>
      </c>
      <c r="N46" s="44">
        <f t="shared" si="1"/>
        <v>2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151857027</v>
      </c>
      <c r="B47" s="11" t="str">
        <f t="shared" si="0"/>
        <v>15.185.702-7</v>
      </c>
      <c r="C47" s="11" t="s">
        <v>14</v>
      </c>
      <c r="D47" s="11" t="s">
        <v>341</v>
      </c>
      <c r="E47" s="11" t="s">
        <v>36</v>
      </c>
      <c r="F47" s="11" t="s">
        <v>111</v>
      </c>
      <c r="G47" s="12">
        <v>45722</v>
      </c>
      <c r="H47" s="12">
        <v>45724</v>
      </c>
      <c r="I47" s="11" t="s">
        <v>342</v>
      </c>
      <c r="J47" s="11" t="s">
        <v>342</v>
      </c>
      <c r="K47" s="11" t="s">
        <v>16</v>
      </c>
      <c r="L47" s="12">
        <v>45722</v>
      </c>
      <c r="M47" s="12">
        <v>45724</v>
      </c>
      <c r="N47" s="44">
        <f t="shared" si="1"/>
        <v>2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74488927</v>
      </c>
      <c r="B48" s="11" t="str">
        <f t="shared" si="0"/>
        <v>7.448.892-7</v>
      </c>
      <c r="C48" s="11" t="s">
        <v>14</v>
      </c>
      <c r="D48" s="11" t="s">
        <v>343</v>
      </c>
      <c r="E48" s="11" t="s">
        <v>344</v>
      </c>
      <c r="F48" s="11" t="s">
        <v>345</v>
      </c>
      <c r="G48" s="12">
        <v>45722</v>
      </c>
      <c r="H48" s="12">
        <v>45724</v>
      </c>
      <c r="I48" s="11" t="s">
        <v>74</v>
      </c>
      <c r="J48" s="11" t="s">
        <v>60</v>
      </c>
      <c r="K48" s="11" t="s">
        <v>17</v>
      </c>
      <c r="L48" s="12">
        <v>45722</v>
      </c>
      <c r="M48" s="12">
        <v>45724</v>
      </c>
      <c r="N48" s="44">
        <f t="shared" si="1"/>
        <v>2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74488927</v>
      </c>
      <c r="B49" s="11" t="str">
        <f t="shared" si="0"/>
        <v>7.448.892-7</v>
      </c>
      <c r="C49" s="11" t="s">
        <v>14</v>
      </c>
      <c r="D49" s="11" t="s">
        <v>343</v>
      </c>
      <c r="E49" s="11" t="s">
        <v>344</v>
      </c>
      <c r="F49" s="11" t="s">
        <v>345</v>
      </c>
      <c r="G49" s="12">
        <v>45722</v>
      </c>
      <c r="H49" s="12">
        <v>45724</v>
      </c>
      <c r="I49" s="11" t="s">
        <v>74</v>
      </c>
      <c r="J49" s="11" t="s">
        <v>60</v>
      </c>
      <c r="K49" s="11" t="s">
        <v>16</v>
      </c>
      <c r="L49" s="12">
        <v>45722</v>
      </c>
      <c r="M49" s="12">
        <v>45724</v>
      </c>
      <c r="N49" s="44">
        <f t="shared" si="1"/>
        <v>2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201970423</v>
      </c>
      <c r="B50" s="11" t="str">
        <f t="shared" si="0"/>
        <v>20.197.042-3</v>
      </c>
      <c r="C50" s="11" t="s">
        <v>14</v>
      </c>
      <c r="D50" s="11" t="s">
        <v>178</v>
      </c>
      <c r="E50" s="11" t="s">
        <v>346</v>
      </c>
      <c r="F50" s="11" t="s">
        <v>347</v>
      </c>
      <c r="G50" s="12">
        <v>45725</v>
      </c>
      <c r="H50" s="12">
        <v>45735</v>
      </c>
      <c r="I50" s="11" t="s">
        <v>348</v>
      </c>
      <c r="J50" s="11" t="s">
        <v>60</v>
      </c>
      <c r="K50" s="11" t="s">
        <v>16</v>
      </c>
      <c r="L50" s="12">
        <v>45725</v>
      </c>
      <c r="M50" s="12">
        <v>45735</v>
      </c>
      <c r="N50" s="44">
        <f t="shared" si="1"/>
        <v>10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201970423</v>
      </c>
      <c r="B51" s="11" t="str">
        <f t="shared" si="0"/>
        <v>20.197.042-3</v>
      </c>
      <c r="C51" s="11" t="s">
        <v>14</v>
      </c>
      <c r="D51" s="11" t="s">
        <v>178</v>
      </c>
      <c r="E51" s="11" t="s">
        <v>346</v>
      </c>
      <c r="F51" s="11" t="s">
        <v>347</v>
      </c>
      <c r="G51" s="12">
        <v>45725</v>
      </c>
      <c r="H51" s="12">
        <v>45735</v>
      </c>
      <c r="I51" s="11" t="s">
        <v>348</v>
      </c>
      <c r="J51" s="11" t="s">
        <v>60</v>
      </c>
      <c r="K51" s="11" t="s">
        <v>18</v>
      </c>
      <c r="L51" s="12">
        <v>45725</v>
      </c>
      <c r="M51" s="39">
        <v>45730</v>
      </c>
      <c r="N51" s="44">
        <f t="shared" si="1"/>
        <v>5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201970423</v>
      </c>
      <c r="B52" s="11" t="str">
        <f t="shared" si="0"/>
        <v>20.197.042-3</v>
      </c>
      <c r="C52" s="11" t="s">
        <v>14</v>
      </c>
      <c r="D52" s="11" t="s">
        <v>178</v>
      </c>
      <c r="E52" s="11" t="s">
        <v>346</v>
      </c>
      <c r="F52" s="11" t="s">
        <v>347</v>
      </c>
      <c r="G52" s="12">
        <v>45725</v>
      </c>
      <c r="H52" s="12">
        <v>45735</v>
      </c>
      <c r="I52" s="11" t="s">
        <v>348</v>
      </c>
      <c r="J52" s="11" t="s">
        <v>60</v>
      </c>
      <c r="K52" s="11" t="s">
        <v>17</v>
      </c>
      <c r="L52" s="12">
        <v>45725</v>
      </c>
      <c r="M52" s="12">
        <v>45735</v>
      </c>
      <c r="N52" s="44">
        <f t="shared" si="1"/>
        <v>10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102136667</v>
      </c>
      <c r="B53" s="11" t="str">
        <f t="shared" si="0"/>
        <v>10.213.666-7</v>
      </c>
      <c r="C53" s="11" t="s">
        <v>14</v>
      </c>
      <c r="D53" s="11" t="s">
        <v>228</v>
      </c>
      <c r="E53" s="11" t="s">
        <v>229</v>
      </c>
      <c r="F53" s="11" t="s">
        <v>230</v>
      </c>
      <c r="G53" s="12">
        <v>45725</v>
      </c>
      <c r="H53" s="12">
        <v>45737</v>
      </c>
      <c r="I53" s="11" t="s">
        <v>60</v>
      </c>
      <c r="J53" s="11" t="s">
        <v>60</v>
      </c>
      <c r="K53" s="11" t="s">
        <v>349</v>
      </c>
      <c r="L53" s="12">
        <v>45725</v>
      </c>
      <c r="M53" s="12">
        <v>45737</v>
      </c>
      <c r="N53" s="44">
        <f t="shared" si="1"/>
        <v>12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102136667</v>
      </c>
      <c r="B54" s="11" t="str">
        <f t="shared" si="0"/>
        <v>10.213.666-7</v>
      </c>
      <c r="C54" s="11" t="s">
        <v>14</v>
      </c>
      <c r="D54" s="11" t="s">
        <v>228</v>
      </c>
      <c r="E54" s="11" t="s">
        <v>229</v>
      </c>
      <c r="F54" s="11" t="s">
        <v>230</v>
      </c>
      <c r="G54" s="12">
        <v>45725</v>
      </c>
      <c r="H54" s="12">
        <v>45737</v>
      </c>
      <c r="I54" s="11" t="s">
        <v>60</v>
      </c>
      <c r="J54" s="11" t="s">
        <v>60</v>
      </c>
      <c r="K54" s="11" t="s">
        <v>18</v>
      </c>
      <c r="L54" s="12">
        <v>45725</v>
      </c>
      <c r="M54" s="12">
        <v>45736</v>
      </c>
      <c r="N54" s="44">
        <f t="shared" si="1"/>
        <v>11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102136667</v>
      </c>
      <c r="B55" s="11" t="str">
        <f t="shared" si="0"/>
        <v>10.213.666-7</v>
      </c>
      <c r="C55" s="11" t="s">
        <v>14</v>
      </c>
      <c r="D55" s="11" t="s">
        <v>228</v>
      </c>
      <c r="E55" s="11" t="s">
        <v>229</v>
      </c>
      <c r="F55" s="11" t="s">
        <v>230</v>
      </c>
      <c r="G55" s="12">
        <v>45725</v>
      </c>
      <c r="H55" s="12">
        <v>45737</v>
      </c>
      <c r="I55" s="11" t="s">
        <v>60</v>
      </c>
      <c r="J55" s="11" t="s">
        <v>60</v>
      </c>
      <c r="K55" s="11" t="s">
        <v>17</v>
      </c>
      <c r="L55" s="12">
        <v>45725</v>
      </c>
      <c r="M55" s="12">
        <v>45737</v>
      </c>
      <c r="N55" s="44">
        <f t="shared" si="1"/>
        <v>12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65807815</v>
      </c>
      <c r="B56" s="11" t="str">
        <f t="shared" si="0"/>
        <v>6.580.781-5</v>
      </c>
      <c r="C56" s="11" t="s">
        <v>14</v>
      </c>
      <c r="D56" s="11" t="s">
        <v>350</v>
      </c>
      <c r="E56" s="11" t="s">
        <v>91</v>
      </c>
      <c r="F56" s="11" t="s">
        <v>99</v>
      </c>
      <c r="G56" s="12">
        <v>45725</v>
      </c>
      <c r="H56" s="12">
        <v>45729</v>
      </c>
      <c r="I56" s="11" t="s">
        <v>320</v>
      </c>
      <c r="J56" s="11" t="s">
        <v>320</v>
      </c>
      <c r="K56" s="11" t="s">
        <v>16</v>
      </c>
      <c r="L56" s="12">
        <v>45725</v>
      </c>
      <c r="M56" s="12">
        <v>45729</v>
      </c>
      <c r="N56" s="44">
        <f t="shared" si="1"/>
        <v>4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145807328</v>
      </c>
      <c r="B57" s="11" t="str">
        <f t="shared" si="0"/>
        <v>14.580.732-8</v>
      </c>
      <c r="C57" s="11" t="s">
        <v>14</v>
      </c>
      <c r="D57" s="11" t="s">
        <v>344</v>
      </c>
      <c r="E57" s="11" t="s">
        <v>20</v>
      </c>
      <c r="F57" s="11" t="s">
        <v>361</v>
      </c>
      <c r="G57" s="12">
        <v>45729</v>
      </c>
      <c r="H57" s="12">
        <v>45741</v>
      </c>
      <c r="I57" s="11" t="s">
        <v>75</v>
      </c>
      <c r="J57" s="11" t="s">
        <v>106</v>
      </c>
      <c r="K57" s="11" t="s">
        <v>18</v>
      </c>
      <c r="L57" s="12">
        <v>45729</v>
      </c>
      <c r="M57" s="12">
        <v>45741</v>
      </c>
      <c r="N57" s="44">
        <f t="shared" si="1"/>
        <v>12</v>
      </c>
      <c r="O57" s="44" t="s">
        <v>306</v>
      </c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145807328</v>
      </c>
      <c r="B58" s="11" t="str">
        <f t="shared" si="0"/>
        <v>14.580.732-8</v>
      </c>
      <c r="C58" s="11" t="s">
        <v>14</v>
      </c>
      <c r="D58" s="11" t="s">
        <v>344</v>
      </c>
      <c r="E58" s="11" t="s">
        <v>20</v>
      </c>
      <c r="F58" s="11" t="s">
        <v>361</v>
      </c>
      <c r="G58" s="12">
        <v>45729</v>
      </c>
      <c r="H58" s="12">
        <v>45741</v>
      </c>
      <c r="I58" s="11" t="s">
        <v>75</v>
      </c>
      <c r="J58" s="11" t="s">
        <v>106</v>
      </c>
      <c r="K58" s="11" t="s">
        <v>17</v>
      </c>
      <c r="L58" s="12">
        <v>45729</v>
      </c>
      <c r="M58" s="12">
        <v>45741</v>
      </c>
      <c r="N58" s="44">
        <f t="shared" si="1"/>
        <v>12</v>
      </c>
      <c r="O58" s="44" t="s">
        <v>306</v>
      </c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145807328</v>
      </c>
      <c r="B59" s="11" t="str">
        <f t="shared" si="0"/>
        <v>14.580.732-8</v>
      </c>
      <c r="C59" s="11" t="s">
        <v>14</v>
      </c>
      <c r="D59" s="11" t="s">
        <v>344</v>
      </c>
      <c r="E59" s="11" t="s">
        <v>20</v>
      </c>
      <c r="F59" s="11" t="s">
        <v>361</v>
      </c>
      <c r="G59" s="12">
        <v>45729</v>
      </c>
      <c r="H59" s="12">
        <v>45741</v>
      </c>
      <c r="I59" s="11" t="s">
        <v>75</v>
      </c>
      <c r="J59" s="11" t="s">
        <v>106</v>
      </c>
      <c r="K59" s="11" t="s">
        <v>16</v>
      </c>
      <c r="L59" s="12">
        <v>45729</v>
      </c>
      <c r="M59" s="12">
        <v>45741</v>
      </c>
      <c r="N59" s="44">
        <f t="shared" si="1"/>
        <v>12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76346461</v>
      </c>
      <c r="B60" s="11" t="str">
        <f t="shared" si="0"/>
        <v>7.634.646-1</v>
      </c>
      <c r="C60" s="11" t="s">
        <v>14</v>
      </c>
      <c r="D60" s="11" t="s">
        <v>362</v>
      </c>
      <c r="E60" s="11" t="s">
        <v>31</v>
      </c>
      <c r="F60" s="11" t="s">
        <v>363</v>
      </c>
      <c r="G60" s="12">
        <v>45726</v>
      </c>
      <c r="H60" s="12">
        <v>45730</v>
      </c>
      <c r="I60" s="11" t="s">
        <v>60</v>
      </c>
      <c r="J60" s="11" t="s">
        <v>28</v>
      </c>
      <c r="K60" s="11" t="s">
        <v>16</v>
      </c>
      <c r="L60" s="12">
        <v>45726</v>
      </c>
      <c r="M60" s="12">
        <v>45730</v>
      </c>
      <c r="N60" s="44">
        <f t="shared" si="1"/>
        <v>4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76346461</v>
      </c>
      <c r="B61" s="11" t="str">
        <f t="shared" si="0"/>
        <v>7.634.646-1</v>
      </c>
      <c r="C61" s="11" t="s">
        <v>14</v>
      </c>
      <c r="D61" s="11" t="s">
        <v>362</v>
      </c>
      <c r="E61" s="11" t="s">
        <v>31</v>
      </c>
      <c r="F61" s="11" t="s">
        <v>363</v>
      </c>
      <c r="G61" s="12">
        <v>45726</v>
      </c>
      <c r="H61" s="12">
        <v>45730</v>
      </c>
      <c r="I61" s="11" t="s">
        <v>60</v>
      </c>
      <c r="J61" s="11" t="s">
        <v>28</v>
      </c>
      <c r="K61" s="11" t="s">
        <v>18</v>
      </c>
      <c r="L61" s="12">
        <v>45726</v>
      </c>
      <c r="M61" s="12">
        <v>45728</v>
      </c>
      <c r="N61" s="44">
        <f t="shared" si="1"/>
        <v>2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 t="s">
        <v>364</v>
      </c>
      <c r="B62" s="11" t="str">
        <f t="shared" si="0"/>
        <v>5.369.120-k</v>
      </c>
      <c r="C62" s="11" t="s">
        <v>14</v>
      </c>
      <c r="D62" s="11" t="s">
        <v>365</v>
      </c>
      <c r="E62" s="11" t="s">
        <v>310</v>
      </c>
      <c r="F62" s="11" t="s">
        <v>366</v>
      </c>
      <c r="G62" s="12">
        <v>45732</v>
      </c>
      <c r="H62" s="12">
        <v>45734</v>
      </c>
      <c r="I62" s="11" t="s">
        <v>200</v>
      </c>
      <c r="J62" s="11" t="s">
        <v>60</v>
      </c>
      <c r="K62" s="11" t="s">
        <v>16</v>
      </c>
      <c r="L62" s="12">
        <v>45732</v>
      </c>
      <c r="M62" s="12">
        <v>45734</v>
      </c>
      <c r="N62" s="44">
        <f t="shared" si="1"/>
        <v>2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 t="s">
        <v>364</v>
      </c>
      <c r="B63" s="11" t="str">
        <f t="shared" si="0"/>
        <v>5.369.120-k</v>
      </c>
      <c r="C63" s="11" t="s">
        <v>14</v>
      </c>
      <c r="D63" s="11" t="s">
        <v>365</v>
      </c>
      <c r="E63" s="11" t="s">
        <v>310</v>
      </c>
      <c r="F63" s="11" t="s">
        <v>366</v>
      </c>
      <c r="G63" s="12">
        <v>45732</v>
      </c>
      <c r="H63" s="12">
        <v>45734</v>
      </c>
      <c r="I63" s="11" t="s">
        <v>200</v>
      </c>
      <c r="J63" s="11" t="s">
        <v>60</v>
      </c>
      <c r="K63" s="11" t="s">
        <v>18</v>
      </c>
      <c r="L63" s="12">
        <v>45732</v>
      </c>
      <c r="M63" s="12">
        <v>45734</v>
      </c>
      <c r="N63" s="44">
        <f t="shared" si="1"/>
        <v>2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 t="s">
        <v>364</v>
      </c>
      <c r="B64" s="11" t="str">
        <f t="shared" si="0"/>
        <v>5.369.120-k</v>
      </c>
      <c r="C64" s="11" t="s">
        <v>14</v>
      </c>
      <c r="D64" s="11" t="s">
        <v>365</v>
      </c>
      <c r="E64" s="11" t="s">
        <v>310</v>
      </c>
      <c r="F64" s="11" t="s">
        <v>366</v>
      </c>
      <c r="G64" s="12">
        <v>45732</v>
      </c>
      <c r="H64" s="12">
        <v>45734</v>
      </c>
      <c r="I64" s="11" t="s">
        <v>200</v>
      </c>
      <c r="J64" s="11" t="s">
        <v>60</v>
      </c>
      <c r="K64" s="11" t="s">
        <v>17</v>
      </c>
      <c r="L64" s="12">
        <v>45732</v>
      </c>
      <c r="M64" s="12">
        <v>45733</v>
      </c>
      <c r="N64" s="44">
        <f t="shared" si="1"/>
        <v>1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76420742</v>
      </c>
      <c r="B65" s="11" t="str">
        <f t="shared" si="0"/>
        <v>7.642.074-2</v>
      </c>
      <c r="C65" s="11" t="s">
        <v>14</v>
      </c>
      <c r="D65" s="11" t="s">
        <v>159</v>
      </c>
      <c r="E65" s="11" t="s">
        <v>101</v>
      </c>
      <c r="F65" s="11" t="s">
        <v>367</v>
      </c>
      <c r="G65" s="12">
        <v>45731</v>
      </c>
      <c r="H65" s="12">
        <v>45735</v>
      </c>
      <c r="I65" s="11" t="s">
        <v>15</v>
      </c>
      <c r="J65" s="11"/>
      <c r="K65" s="11" t="s">
        <v>17</v>
      </c>
      <c r="L65" s="12">
        <v>45731</v>
      </c>
      <c r="M65" s="39">
        <v>45734</v>
      </c>
      <c r="N65" s="44">
        <f t="shared" si="1"/>
        <v>3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119851653</v>
      </c>
      <c r="B66" s="11" t="str">
        <f t="shared" si="0"/>
        <v>11.985.165-3</v>
      </c>
      <c r="C66" s="11" t="s">
        <v>14</v>
      </c>
      <c r="D66" s="11" t="s">
        <v>178</v>
      </c>
      <c r="E66" s="11" t="s">
        <v>368</v>
      </c>
      <c r="F66" s="11" t="s">
        <v>369</v>
      </c>
      <c r="G66" s="12">
        <v>45731</v>
      </c>
      <c r="H66" s="12">
        <v>45733</v>
      </c>
      <c r="I66" s="11" t="s">
        <v>15</v>
      </c>
      <c r="J66" s="11" t="s">
        <v>60</v>
      </c>
      <c r="K66" s="11" t="s">
        <v>17</v>
      </c>
      <c r="L66" s="12">
        <v>45731</v>
      </c>
      <c r="M66" s="12">
        <v>45733</v>
      </c>
      <c r="N66" s="44">
        <f t="shared" si="1"/>
        <v>2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115708465</v>
      </c>
      <c r="B67" s="11" t="str">
        <f t="shared" si="0"/>
        <v>11.570.846-5</v>
      </c>
      <c r="C67" s="11" t="s">
        <v>14</v>
      </c>
      <c r="D67" s="11" t="s">
        <v>368</v>
      </c>
      <c r="E67" s="11" t="s">
        <v>373</v>
      </c>
      <c r="F67" s="11" t="s">
        <v>223</v>
      </c>
      <c r="G67" s="12">
        <v>45735</v>
      </c>
      <c r="H67" s="12">
        <v>45737</v>
      </c>
      <c r="I67" s="11" t="s">
        <v>15</v>
      </c>
      <c r="J67" s="11" t="s">
        <v>60</v>
      </c>
      <c r="K67" s="11" t="s">
        <v>17</v>
      </c>
      <c r="L67" s="12">
        <v>45735</v>
      </c>
      <c r="M67" s="12">
        <v>45737</v>
      </c>
      <c r="N67" s="44">
        <f t="shared" si="1"/>
        <v>2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115708465</v>
      </c>
      <c r="B68" s="11" t="str">
        <f t="shared" si="0"/>
        <v>11.570.846-5</v>
      </c>
      <c r="C68" s="11" t="s">
        <v>14</v>
      </c>
      <c r="D68" s="11" t="s">
        <v>368</v>
      </c>
      <c r="E68" s="11" t="s">
        <v>373</v>
      </c>
      <c r="F68" s="11" t="s">
        <v>223</v>
      </c>
      <c r="G68" s="12">
        <v>45735</v>
      </c>
      <c r="H68" s="12">
        <v>45737</v>
      </c>
      <c r="I68" s="11" t="s">
        <v>15</v>
      </c>
      <c r="J68" s="11" t="s">
        <v>60</v>
      </c>
      <c r="K68" s="11" t="s">
        <v>16</v>
      </c>
      <c r="L68" s="12">
        <v>45735</v>
      </c>
      <c r="M68" s="12">
        <v>45737</v>
      </c>
      <c r="N68" s="44">
        <f t="shared" si="1"/>
        <v>2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95307094</v>
      </c>
      <c r="B69" s="11" t="str">
        <f t="shared" si="0"/>
        <v>9.530.709-4</v>
      </c>
      <c r="C69" s="11" t="s">
        <v>14</v>
      </c>
      <c r="D69" s="11" t="s">
        <v>374</v>
      </c>
      <c r="E69" s="11" t="s">
        <v>375</v>
      </c>
      <c r="F69" s="11" t="s">
        <v>158</v>
      </c>
      <c r="G69" s="12">
        <v>45736</v>
      </c>
      <c r="H69" s="12"/>
      <c r="I69" s="11" t="s">
        <v>60</v>
      </c>
      <c r="J69" s="11"/>
      <c r="K69" s="11" t="s">
        <v>18</v>
      </c>
      <c r="L69" s="12">
        <v>45736</v>
      </c>
      <c r="M69" s="39">
        <v>45746</v>
      </c>
      <c r="N69" s="44">
        <f t="shared" si="1"/>
        <v>10</v>
      </c>
      <c r="O69" s="44"/>
      <c r="P69" t="s">
        <v>983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95307094</v>
      </c>
      <c r="B70" s="11" t="str">
        <f t="shared" si="0"/>
        <v>9.530.709-4</v>
      </c>
      <c r="C70" s="11" t="s">
        <v>14</v>
      </c>
      <c r="D70" s="11" t="s">
        <v>374</v>
      </c>
      <c r="E70" s="11" t="s">
        <v>375</v>
      </c>
      <c r="F70" s="11" t="s">
        <v>158</v>
      </c>
      <c r="G70" s="12">
        <v>45736</v>
      </c>
      <c r="H70" s="12"/>
      <c r="I70" s="11" t="s">
        <v>60</v>
      </c>
      <c r="J70" s="11"/>
      <c r="K70" s="11" t="s">
        <v>17</v>
      </c>
      <c r="L70" s="12">
        <v>45736</v>
      </c>
      <c r="M70" s="39">
        <v>45747</v>
      </c>
      <c r="N70" s="44">
        <f t="shared" si="1"/>
        <v>11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95307094</v>
      </c>
      <c r="B71" s="11" t="str">
        <f t="shared" si="0"/>
        <v>9.530.709-4</v>
      </c>
      <c r="C71" s="11" t="s">
        <v>14</v>
      </c>
      <c r="D71" s="11" t="s">
        <v>374</v>
      </c>
      <c r="E71" s="11" t="s">
        <v>375</v>
      </c>
      <c r="F71" s="11" t="s">
        <v>158</v>
      </c>
      <c r="G71" s="12">
        <v>45736</v>
      </c>
      <c r="H71" s="12"/>
      <c r="I71" s="11" t="s">
        <v>60</v>
      </c>
      <c r="J71" s="11"/>
      <c r="K71" s="11" t="s">
        <v>16</v>
      </c>
      <c r="L71" s="12">
        <v>45736</v>
      </c>
      <c r="M71" s="39">
        <v>45747</v>
      </c>
      <c r="N71" s="44">
        <f t="shared" si="1"/>
        <v>11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65249502</v>
      </c>
      <c r="B72" s="11" t="str">
        <f t="shared" si="0"/>
        <v>6.524.950-2</v>
      </c>
      <c r="C72" s="11" t="s">
        <v>14</v>
      </c>
      <c r="D72" s="11" t="s">
        <v>377</v>
      </c>
      <c r="E72" s="11" t="s">
        <v>378</v>
      </c>
      <c r="F72" s="11" t="s">
        <v>379</v>
      </c>
      <c r="G72" s="12">
        <v>45737</v>
      </c>
      <c r="H72" s="12">
        <v>45740</v>
      </c>
      <c r="I72" s="11" t="s">
        <v>15</v>
      </c>
      <c r="J72" s="11" t="s">
        <v>60</v>
      </c>
      <c r="K72" s="11" t="s">
        <v>17</v>
      </c>
      <c r="L72" s="12">
        <v>45737</v>
      </c>
      <c r="M72" s="12">
        <v>45740</v>
      </c>
      <c r="N72" s="44">
        <f t="shared" si="1"/>
        <v>3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65249502</v>
      </c>
      <c r="B73" s="11" t="str">
        <f t="shared" si="0"/>
        <v>6.524.950-2</v>
      </c>
      <c r="C73" s="11" t="s">
        <v>14</v>
      </c>
      <c r="D73" s="11" t="s">
        <v>377</v>
      </c>
      <c r="E73" s="11" t="s">
        <v>378</v>
      </c>
      <c r="F73" s="11" t="s">
        <v>379</v>
      </c>
      <c r="G73" s="12">
        <v>45737</v>
      </c>
      <c r="H73" s="12">
        <v>45740</v>
      </c>
      <c r="I73" s="11" t="s">
        <v>15</v>
      </c>
      <c r="J73" s="11" t="s">
        <v>60</v>
      </c>
      <c r="K73" s="11" t="s">
        <v>16</v>
      </c>
      <c r="L73" s="12">
        <v>45737</v>
      </c>
      <c r="M73" s="12">
        <v>45740</v>
      </c>
      <c r="N73" s="44">
        <f t="shared" si="1"/>
        <v>3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56564640</v>
      </c>
      <c r="B74" s="11" t="str">
        <f t="shared" si="0"/>
        <v>5.656.464-0</v>
      </c>
      <c r="C74" s="11" t="s">
        <v>14</v>
      </c>
      <c r="D74" s="11" t="s">
        <v>235</v>
      </c>
      <c r="E74" s="11" t="s">
        <v>380</v>
      </c>
      <c r="F74" s="11" t="s">
        <v>328</v>
      </c>
      <c r="G74" s="12">
        <v>45734</v>
      </c>
      <c r="H74" s="12"/>
      <c r="I74" s="11" t="s">
        <v>74</v>
      </c>
      <c r="J74" s="11"/>
      <c r="K74" s="11" t="s">
        <v>16</v>
      </c>
      <c r="L74" s="12">
        <v>45734</v>
      </c>
      <c r="M74" s="39">
        <v>45746</v>
      </c>
      <c r="N74" s="44">
        <f t="shared" si="1"/>
        <v>12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56564640</v>
      </c>
      <c r="B75" s="11" t="str">
        <f t="shared" si="0"/>
        <v>5.656.464-0</v>
      </c>
      <c r="C75" s="11" t="s">
        <v>14</v>
      </c>
      <c r="D75" s="11" t="s">
        <v>235</v>
      </c>
      <c r="E75" s="11" t="s">
        <v>380</v>
      </c>
      <c r="F75" s="11" t="s">
        <v>328</v>
      </c>
      <c r="G75" s="12">
        <v>45734</v>
      </c>
      <c r="H75" s="12"/>
      <c r="I75" s="11" t="s">
        <v>74</v>
      </c>
      <c r="J75" s="11"/>
      <c r="K75" s="11" t="s">
        <v>18</v>
      </c>
      <c r="L75" s="12">
        <v>45734</v>
      </c>
      <c r="M75" s="39">
        <v>45747</v>
      </c>
      <c r="N75" s="44">
        <f t="shared" si="1"/>
        <v>13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56564640</v>
      </c>
      <c r="B76" s="11" t="str">
        <f t="shared" si="0"/>
        <v>5.656.464-0</v>
      </c>
      <c r="C76" s="11" t="s">
        <v>14</v>
      </c>
      <c r="D76" s="11" t="s">
        <v>235</v>
      </c>
      <c r="E76" s="11" t="s">
        <v>380</v>
      </c>
      <c r="F76" s="11" t="s">
        <v>328</v>
      </c>
      <c r="G76" s="12">
        <v>45734</v>
      </c>
      <c r="H76" s="12"/>
      <c r="I76" s="11" t="s">
        <v>74</v>
      </c>
      <c r="J76" s="11"/>
      <c r="K76" s="11" t="s">
        <v>17</v>
      </c>
      <c r="L76" s="12">
        <v>45734</v>
      </c>
      <c r="M76" s="39">
        <v>45747</v>
      </c>
      <c r="N76" s="44">
        <f t="shared" si="1"/>
        <v>13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56564641</v>
      </c>
      <c r="B77" s="11" t="str">
        <f t="shared" ref="B77" si="5">IF(LEN(A77)=8,MID(A77,1,1)&amp;"."&amp;MID(A77,2,3)&amp;"."&amp;MID(A77,5,3)&amp;"-"&amp;RIGHT(A77,1),IF(LEFT(RIGHT(A77,2),1)="-",MID(A77,1,1)&amp;"."&amp;MID(A77,2,3)&amp;"."&amp;MID(A77,5,3)&amp;"-"&amp;RIGHT(A77,1),MID(A77,1,2)&amp;"."&amp;MID(A77,3,3)&amp;"."&amp;MID(A77,6,3)&amp;"-"&amp;MID(A77,9,1)))</f>
        <v>5.656.464-1</v>
      </c>
      <c r="C77" s="11" t="s">
        <v>14</v>
      </c>
      <c r="D77" s="11" t="s">
        <v>235</v>
      </c>
      <c r="E77" s="11" t="s">
        <v>380</v>
      </c>
      <c r="F77" s="11" t="s">
        <v>328</v>
      </c>
      <c r="G77" s="12">
        <v>45734</v>
      </c>
      <c r="H77" s="12"/>
      <c r="I77" s="11" t="s">
        <v>74</v>
      </c>
      <c r="J77" s="11"/>
      <c r="K77" s="11" t="s">
        <v>349</v>
      </c>
      <c r="L77" s="12">
        <v>45746</v>
      </c>
      <c r="M77" s="39">
        <v>45747</v>
      </c>
      <c r="N77" s="44">
        <f t="shared" si="1"/>
        <v>1</v>
      </c>
      <c r="O77" s="44"/>
      <c r="P77" t="s">
        <v>942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103513960</v>
      </c>
      <c r="B78" s="11" t="str">
        <f t="shared" si="0"/>
        <v>10.351.396-0</v>
      </c>
      <c r="C78" s="11" t="s">
        <v>14</v>
      </c>
      <c r="D78" s="11" t="s">
        <v>154</v>
      </c>
      <c r="E78" s="11" t="s">
        <v>381</v>
      </c>
      <c r="F78" s="11" t="s">
        <v>135</v>
      </c>
      <c r="G78" s="12">
        <v>45736</v>
      </c>
      <c r="H78" s="12">
        <v>45738</v>
      </c>
      <c r="I78" s="11" t="s">
        <v>15</v>
      </c>
      <c r="J78" s="11" t="s">
        <v>106</v>
      </c>
      <c r="K78" s="11" t="s">
        <v>17</v>
      </c>
      <c r="L78" s="12">
        <v>45736</v>
      </c>
      <c r="M78" s="12">
        <v>45738</v>
      </c>
      <c r="N78" s="44">
        <f t="shared" si="1"/>
        <v>2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103513960</v>
      </c>
      <c r="B79" s="11" t="str">
        <f t="shared" si="0"/>
        <v>10.351.396-0</v>
      </c>
      <c r="C79" s="11" t="s">
        <v>14</v>
      </c>
      <c r="D79" s="11" t="s">
        <v>154</v>
      </c>
      <c r="E79" s="11" t="s">
        <v>381</v>
      </c>
      <c r="F79" s="11" t="s">
        <v>135</v>
      </c>
      <c r="G79" s="12">
        <v>45736</v>
      </c>
      <c r="H79" s="12">
        <v>45738</v>
      </c>
      <c r="I79" s="11" t="s">
        <v>15</v>
      </c>
      <c r="J79" s="11" t="s">
        <v>106</v>
      </c>
      <c r="K79" s="11" t="s">
        <v>16</v>
      </c>
      <c r="L79" s="12">
        <v>45736</v>
      </c>
      <c r="M79" s="12">
        <v>45738</v>
      </c>
      <c r="N79" s="44">
        <f t="shared" si="1"/>
        <v>2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103513960</v>
      </c>
      <c r="B80" s="11" t="str">
        <f t="shared" si="0"/>
        <v>10.351.396-0</v>
      </c>
      <c r="C80" s="11" t="s">
        <v>14</v>
      </c>
      <c r="D80" s="11" t="s">
        <v>154</v>
      </c>
      <c r="E80" s="11" t="s">
        <v>381</v>
      </c>
      <c r="F80" s="11" t="s">
        <v>135</v>
      </c>
      <c r="G80" s="12">
        <v>45736</v>
      </c>
      <c r="H80" s="12">
        <v>45738</v>
      </c>
      <c r="I80" s="11" t="s">
        <v>15</v>
      </c>
      <c r="J80" s="11" t="s">
        <v>106</v>
      </c>
      <c r="K80" s="11" t="s">
        <v>18</v>
      </c>
      <c r="L80" s="12">
        <v>45736</v>
      </c>
      <c r="M80" s="12">
        <v>45738</v>
      </c>
      <c r="N80" s="44">
        <f t="shared" ref="N80:N102" si="6">+M80-L80</f>
        <v>2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99914394</v>
      </c>
      <c r="B81" s="11" t="str">
        <f t="shared" si="0"/>
        <v>9.991.439-4</v>
      </c>
      <c r="C81" s="11" t="s">
        <v>14</v>
      </c>
      <c r="D81" s="11" t="s">
        <v>382</v>
      </c>
      <c r="E81" s="11" t="s">
        <v>383</v>
      </c>
      <c r="F81" s="11" t="s">
        <v>384</v>
      </c>
      <c r="G81" s="12">
        <v>45734</v>
      </c>
      <c r="H81" s="12">
        <v>45739</v>
      </c>
      <c r="I81" s="11" t="s">
        <v>15</v>
      </c>
      <c r="J81" s="11" t="s">
        <v>106</v>
      </c>
      <c r="K81" s="11" t="s">
        <v>17</v>
      </c>
      <c r="L81" s="12">
        <v>45734</v>
      </c>
      <c r="M81" s="12">
        <v>45739</v>
      </c>
      <c r="N81" s="44">
        <f t="shared" si="1"/>
        <v>5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99914394</v>
      </c>
      <c r="B82" s="11" t="str">
        <f t="shared" si="0"/>
        <v>9.991.439-4</v>
      </c>
      <c r="C82" s="11" t="s">
        <v>14</v>
      </c>
      <c r="D82" s="11" t="s">
        <v>382</v>
      </c>
      <c r="E82" s="11" t="s">
        <v>383</v>
      </c>
      <c r="F82" s="11" t="s">
        <v>384</v>
      </c>
      <c r="G82" s="12">
        <v>45734</v>
      </c>
      <c r="H82" s="12">
        <v>45739</v>
      </c>
      <c r="I82" s="11" t="s">
        <v>15</v>
      </c>
      <c r="J82" s="11" t="s">
        <v>106</v>
      </c>
      <c r="K82" s="11" t="s">
        <v>16</v>
      </c>
      <c r="L82" s="12">
        <v>45734</v>
      </c>
      <c r="M82" s="12">
        <v>45739</v>
      </c>
      <c r="N82" s="44">
        <f t="shared" ref="N82:N104" si="7">+M82-L82</f>
        <v>5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99914394</v>
      </c>
      <c r="B83" s="11" t="str">
        <f t="shared" si="0"/>
        <v>9.991.439-4</v>
      </c>
      <c r="C83" s="11" t="s">
        <v>14</v>
      </c>
      <c r="D83" s="11" t="s">
        <v>382</v>
      </c>
      <c r="E83" s="11" t="s">
        <v>383</v>
      </c>
      <c r="F83" s="11" t="s">
        <v>384</v>
      </c>
      <c r="G83" s="12">
        <v>45734</v>
      </c>
      <c r="H83" s="12">
        <v>45739</v>
      </c>
      <c r="I83" s="11" t="s">
        <v>15</v>
      </c>
      <c r="J83" s="11" t="s">
        <v>106</v>
      </c>
      <c r="K83" s="11" t="s">
        <v>18</v>
      </c>
      <c r="L83" s="12">
        <v>45734</v>
      </c>
      <c r="M83" s="12">
        <v>45739</v>
      </c>
      <c r="N83" s="44">
        <f t="shared" si="6"/>
        <v>5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172152902</v>
      </c>
      <c r="B84" s="11" t="str">
        <f t="shared" si="0"/>
        <v>17.215.290-2</v>
      </c>
      <c r="C84" s="11" t="s">
        <v>14</v>
      </c>
      <c r="D84" s="11" t="s">
        <v>390</v>
      </c>
      <c r="E84" s="11" t="s">
        <v>376</v>
      </c>
      <c r="F84" s="11" t="s">
        <v>391</v>
      </c>
      <c r="G84" s="12">
        <v>45737</v>
      </c>
      <c r="H84" s="12">
        <v>45741</v>
      </c>
      <c r="I84" s="11" t="s">
        <v>15</v>
      </c>
      <c r="J84" s="11" t="s">
        <v>60</v>
      </c>
      <c r="K84" s="11" t="s">
        <v>17</v>
      </c>
      <c r="L84" s="12">
        <v>45737</v>
      </c>
      <c r="M84" s="12">
        <v>45741</v>
      </c>
      <c r="N84" s="44">
        <f t="shared" si="6"/>
        <v>4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172152902</v>
      </c>
      <c r="B85" s="11" t="str">
        <f t="shared" si="0"/>
        <v>17.215.290-2</v>
      </c>
      <c r="C85" s="11" t="s">
        <v>14</v>
      </c>
      <c r="D85" s="11" t="s">
        <v>390</v>
      </c>
      <c r="E85" s="11" t="s">
        <v>376</v>
      </c>
      <c r="F85" s="11" t="s">
        <v>391</v>
      </c>
      <c r="G85" s="12">
        <v>45737</v>
      </c>
      <c r="H85" s="12">
        <v>45741</v>
      </c>
      <c r="I85" s="11" t="s">
        <v>15</v>
      </c>
      <c r="J85" s="11" t="s">
        <v>60</v>
      </c>
      <c r="K85" s="11" t="s">
        <v>16</v>
      </c>
      <c r="L85" s="12">
        <v>45737</v>
      </c>
      <c r="M85" s="12">
        <v>45741</v>
      </c>
      <c r="N85" s="44">
        <f t="shared" si="6"/>
        <v>4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 t="s">
        <v>392</v>
      </c>
      <c r="B86" s="11" t="str">
        <f t="shared" si="0"/>
        <v>6.753.400-K</v>
      </c>
      <c r="C86" s="11" t="s">
        <v>14</v>
      </c>
      <c r="D86" s="11" t="s">
        <v>381</v>
      </c>
      <c r="E86" s="11" t="s">
        <v>393</v>
      </c>
      <c r="F86" s="11" t="s">
        <v>394</v>
      </c>
      <c r="G86" s="12">
        <v>45738</v>
      </c>
      <c r="H86" s="12"/>
      <c r="I86" s="11" t="s">
        <v>15</v>
      </c>
      <c r="J86" s="11"/>
      <c r="K86" s="11" t="s">
        <v>17</v>
      </c>
      <c r="L86" s="12">
        <v>45738</v>
      </c>
      <c r="M86" s="39">
        <v>45747</v>
      </c>
      <c r="N86" s="44">
        <f t="shared" si="6"/>
        <v>9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 t="s">
        <v>392</v>
      </c>
      <c r="B87" s="11" t="str">
        <f t="shared" si="0"/>
        <v>6.753.400-K</v>
      </c>
      <c r="C87" s="11" t="s">
        <v>14</v>
      </c>
      <c r="D87" s="11" t="s">
        <v>381</v>
      </c>
      <c r="E87" s="11" t="s">
        <v>393</v>
      </c>
      <c r="F87" s="11" t="s">
        <v>394</v>
      </c>
      <c r="G87" s="12">
        <v>45738</v>
      </c>
      <c r="H87" s="12"/>
      <c r="I87" s="11" t="s">
        <v>15</v>
      </c>
      <c r="J87" s="11"/>
      <c r="K87" s="11" t="s">
        <v>16</v>
      </c>
      <c r="L87" s="12">
        <v>45738</v>
      </c>
      <c r="M87" s="39">
        <v>45747</v>
      </c>
      <c r="N87" s="44">
        <f t="shared" si="7"/>
        <v>9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 t="s">
        <v>392</v>
      </c>
      <c r="B88" s="11" t="str">
        <f t="shared" si="0"/>
        <v>6.753.400-K</v>
      </c>
      <c r="C88" s="11" t="s">
        <v>14</v>
      </c>
      <c r="D88" s="11" t="s">
        <v>381</v>
      </c>
      <c r="E88" s="11" t="s">
        <v>393</v>
      </c>
      <c r="F88" s="11" t="s">
        <v>394</v>
      </c>
      <c r="G88" s="12">
        <v>45738</v>
      </c>
      <c r="H88" s="12"/>
      <c r="I88" s="11" t="s">
        <v>15</v>
      </c>
      <c r="J88" s="11"/>
      <c r="K88" s="11" t="s">
        <v>18</v>
      </c>
      <c r="L88" s="12">
        <v>45738</v>
      </c>
      <c r="M88" s="39">
        <v>45747</v>
      </c>
      <c r="N88" s="44">
        <f t="shared" si="7"/>
        <v>9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97144788</v>
      </c>
      <c r="B89" s="11" t="str">
        <f t="shared" si="0"/>
        <v>9.714.478-8</v>
      </c>
      <c r="C89" s="11" t="s">
        <v>14</v>
      </c>
      <c r="D89" s="11" t="s">
        <v>395</v>
      </c>
      <c r="E89" s="11" t="s">
        <v>154</v>
      </c>
      <c r="F89" s="11" t="s">
        <v>99</v>
      </c>
      <c r="G89" s="12">
        <v>45738</v>
      </c>
      <c r="H89" s="12">
        <v>45743</v>
      </c>
      <c r="I89" s="11" t="s">
        <v>15</v>
      </c>
      <c r="J89" s="11" t="s">
        <v>72</v>
      </c>
      <c r="K89" s="11" t="s">
        <v>17</v>
      </c>
      <c r="L89" s="12">
        <v>45738</v>
      </c>
      <c r="M89" s="12">
        <v>45743</v>
      </c>
      <c r="N89" s="44">
        <f t="shared" si="7"/>
        <v>5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97144788</v>
      </c>
      <c r="B90" s="11" t="str">
        <f t="shared" si="0"/>
        <v>9.714.478-8</v>
      </c>
      <c r="C90" s="11" t="s">
        <v>14</v>
      </c>
      <c r="D90" s="11" t="s">
        <v>395</v>
      </c>
      <c r="E90" s="11" t="s">
        <v>154</v>
      </c>
      <c r="F90" s="11" t="s">
        <v>99</v>
      </c>
      <c r="G90" s="12">
        <v>45738</v>
      </c>
      <c r="H90" s="12">
        <v>45743</v>
      </c>
      <c r="I90" s="11" t="s">
        <v>15</v>
      </c>
      <c r="J90" s="11" t="s">
        <v>47</v>
      </c>
      <c r="K90" s="11" t="s">
        <v>16</v>
      </c>
      <c r="L90" s="12">
        <v>45738</v>
      </c>
      <c r="M90" s="12">
        <v>45743</v>
      </c>
      <c r="N90" s="44">
        <f t="shared" si="6"/>
        <v>5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127861471</v>
      </c>
      <c r="B91" s="11" t="str">
        <f t="shared" si="0"/>
        <v>12.786.147-1</v>
      </c>
      <c r="C91" s="11" t="s">
        <v>14</v>
      </c>
      <c r="D91" s="11" t="s">
        <v>396</v>
      </c>
      <c r="E91" s="11" t="s">
        <v>396</v>
      </c>
      <c r="F91" s="11" t="s">
        <v>397</v>
      </c>
      <c r="G91" s="12">
        <v>45738</v>
      </c>
      <c r="H91" s="12">
        <v>45744</v>
      </c>
      <c r="I91" s="11" t="s">
        <v>15</v>
      </c>
      <c r="J91" s="11" t="s">
        <v>48</v>
      </c>
      <c r="K91" s="11" t="s">
        <v>17</v>
      </c>
      <c r="L91" s="12">
        <v>45738</v>
      </c>
      <c r="M91" s="39">
        <v>45744</v>
      </c>
      <c r="N91" s="44">
        <f t="shared" si="7"/>
        <v>6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127861471</v>
      </c>
      <c r="B92" s="11" t="str">
        <f t="shared" si="0"/>
        <v>12.786.147-1</v>
      </c>
      <c r="C92" s="11" t="s">
        <v>14</v>
      </c>
      <c r="D92" s="11" t="s">
        <v>396</v>
      </c>
      <c r="E92" s="11" t="s">
        <v>396</v>
      </c>
      <c r="F92" s="11" t="s">
        <v>397</v>
      </c>
      <c r="G92" s="12">
        <v>45738</v>
      </c>
      <c r="H92" s="12">
        <v>45744</v>
      </c>
      <c r="I92" s="11" t="s">
        <v>15</v>
      </c>
      <c r="J92" s="11" t="s">
        <v>48</v>
      </c>
      <c r="K92" s="11" t="s">
        <v>16</v>
      </c>
      <c r="L92" s="12">
        <v>45738</v>
      </c>
      <c r="M92" s="39">
        <v>45742</v>
      </c>
      <c r="N92" s="44">
        <f t="shared" si="7"/>
        <v>4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82166076</v>
      </c>
      <c r="B93" s="11" t="str">
        <f t="shared" si="0"/>
        <v>8.216.607-6</v>
      </c>
      <c r="C93" s="11" t="s">
        <v>14</v>
      </c>
      <c r="D93" s="11" t="s">
        <v>398</v>
      </c>
      <c r="E93" s="11" t="s">
        <v>399</v>
      </c>
      <c r="F93" s="11" t="s">
        <v>400</v>
      </c>
      <c r="G93" s="12">
        <v>45739</v>
      </c>
      <c r="H93" s="12">
        <v>45742</v>
      </c>
      <c r="I93" s="11" t="s">
        <v>15</v>
      </c>
      <c r="J93" s="11" t="s">
        <v>60</v>
      </c>
      <c r="K93" s="11" t="s">
        <v>17</v>
      </c>
      <c r="L93" s="12">
        <v>45739</v>
      </c>
      <c r="M93" s="12">
        <v>45742</v>
      </c>
      <c r="N93" s="44">
        <f t="shared" si="6"/>
        <v>3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82166076</v>
      </c>
      <c r="B94" s="11" t="str">
        <f t="shared" si="0"/>
        <v>8.216.607-6</v>
      </c>
      <c r="C94" s="11" t="s">
        <v>14</v>
      </c>
      <c r="D94" s="11" t="s">
        <v>398</v>
      </c>
      <c r="E94" s="11" t="s">
        <v>399</v>
      </c>
      <c r="F94" s="11" t="s">
        <v>400</v>
      </c>
      <c r="G94" s="12">
        <v>45739</v>
      </c>
      <c r="H94" s="12">
        <v>45742</v>
      </c>
      <c r="I94" s="11" t="s">
        <v>15</v>
      </c>
      <c r="J94" s="11" t="s">
        <v>60</v>
      </c>
      <c r="K94" s="11" t="s">
        <v>16</v>
      </c>
      <c r="L94" s="12">
        <v>45739</v>
      </c>
      <c r="M94" s="12">
        <v>45742</v>
      </c>
      <c r="N94" s="44">
        <f t="shared" si="6"/>
        <v>3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 t="s">
        <v>404</v>
      </c>
      <c r="B95" s="11" t="str">
        <f t="shared" si="0"/>
        <v>17.346.049-k</v>
      </c>
      <c r="C95" s="11" t="s">
        <v>14</v>
      </c>
      <c r="D95" s="11" t="s">
        <v>405</v>
      </c>
      <c r="E95" s="11" t="s">
        <v>143</v>
      </c>
      <c r="F95" s="11" t="s">
        <v>400</v>
      </c>
      <c r="G95" s="12">
        <v>45743</v>
      </c>
      <c r="H95" s="12">
        <v>45745</v>
      </c>
      <c r="I95" s="11" t="s">
        <v>15</v>
      </c>
      <c r="J95" s="11" t="s">
        <v>348</v>
      </c>
      <c r="K95" s="11" t="s">
        <v>16</v>
      </c>
      <c r="L95" s="12">
        <v>45743</v>
      </c>
      <c r="M95" s="12">
        <v>45745</v>
      </c>
      <c r="N95" s="44">
        <f t="shared" si="6"/>
        <v>2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 t="s">
        <v>404</v>
      </c>
      <c r="B96" s="11" t="str">
        <f t="shared" si="0"/>
        <v>17.346.049-k</v>
      </c>
      <c r="C96" s="11" t="s">
        <v>14</v>
      </c>
      <c r="D96" s="11" t="s">
        <v>405</v>
      </c>
      <c r="E96" s="11" t="s">
        <v>143</v>
      </c>
      <c r="F96" s="11" t="s">
        <v>400</v>
      </c>
      <c r="G96" s="12">
        <v>45743</v>
      </c>
      <c r="H96" s="12">
        <v>45745</v>
      </c>
      <c r="I96" s="11" t="s">
        <v>15</v>
      </c>
      <c r="J96" s="11" t="s">
        <v>348</v>
      </c>
      <c r="K96" s="11" t="s">
        <v>17</v>
      </c>
      <c r="L96" s="12">
        <v>45743</v>
      </c>
      <c r="M96" s="12">
        <v>45745</v>
      </c>
      <c r="N96" s="44">
        <f t="shared" si="6"/>
        <v>2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218602339</v>
      </c>
      <c r="B97" s="11" t="str">
        <f t="shared" si="0"/>
        <v>21.860.233-9</v>
      </c>
      <c r="C97" s="11" t="s">
        <v>14</v>
      </c>
      <c r="D97" s="11" t="s">
        <v>160</v>
      </c>
      <c r="E97" s="11" t="s">
        <v>159</v>
      </c>
      <c r="F97" s="11" t="s">
        <v>406</v>
      </c>
      <c r="G97" s="12">
        <v>45742</v>
      </c>
      <c r="H97" s="12">
        <v>45746</v>
      </c>
      <c r="I97" s="11" t="s">
        <v>15</v>
      </c>
      <c r="J97" s="11" t="s">
        <v>60</v>
      </c>
      <c r="K97" s="11" t="s">
        <v>16</v>
      </c>
      <c r="L97" s="12">
        <v>45742</v>
      </c>
      <c r="M97" s="12">
        <v>45746</v>
      </c>
      <c r="N97" s="44">
        <f t="shared" si="6"/>
        <v>4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218602339</v>
      </c>
      <c r="B98" s="11" t="str">
        <f t="shared" si="0"/>
        <v>21.860.233-9</v>
      </c>
      <c r="C98" s="11" t="s">
        <v>14</v>
      </c>
      <c r="D98" s="11" t="s">
        <v>160</v>
      </c>
      <c r="E98" s="11" t="s">
        <v>159</v>
      </c>
      <c r="F98" s="11" t="s">
        <v>406</v>
      </c>
      <c r="G98" s="12">
        <v>45742</v>
      </c>
      <c r="H98" s="12">
        <v>45746</v>
      </c>
      <c r="I98" s="11" t="s">
        <v>15</v>
      </c>
      <c r="J98" s="11" t="s">
        <v>60</v>
      </c>
      <c r="K98" s="11" t="s">
        <v>17</v>
      </c>
      <c r="L98" s="12">
        <v>45742</v>
      </c>
      <c r="M98" s="12">
        <v>45746</v>
      </c>
      <c r="N98" s="44">
        <f t="shared" si="6"/>
        <v>4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218602339</v>
      </c>
      <c r="B99" s="11" t="str">
        <f t="shared" si="0"/>
        <v>21.860.233-9</v>
      </c>
      <c r="C99" s="11" t="s">
        <v>14</v>
      </c>
      <c r="D99" s="11" t="s">
        <v>160</v>
      </c>
      <c r="E99" s="11" t="s">
        <v>159</v>
      </c>
      <c r="F99" s="11" t="s">
        <v>406</v>
      </c>
      <c r="G99" s="12">
        <v>45742</v>
      </c>
      <c r="H99" s="12">
        <v>45746</v>
      </c>
      <c r="I99" s="11" t="s">
        <v>15</v>
      </c>
      <c r="J99" s="11" t="s">
        <v>60</v>
      </c>
      <c r="K99" s="11" t="s">
        <v>18</v>
      </c>
      <c r="L99" s="12">
        <v>45742</v>
      </c>
      <c r="M99" s="12">
        <v>45745</v>
      </c>
      <c r="N99" s="44">
        <f t="shared" si="6"/>
        <v>3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49833822</v>
      </c>
      <c r="B100" s="11" t="str">
        <f t="shared" si="0"/>
        <v>4.983.382-2</v>
      </c>
      <c r="C100" s="11" t="s">
        <v>14</v>
      </c>
      <c r="D100" s="11" t="s">
        <v>407</v>
      </c>
      <c r="E100" s="11" t="s">
        <v>310</v>
      </c>
      <c r="F100" s="11" t="s">
        <v>99</v>
      </c>
      <c r="G100" s="12">
        <v>45741</v>
      </c>
      <c r="H100" s="12"/>
      <c r="I100" s="11" t="s">
        <v>15</v>
      </c>
      <c r="J100" s="11"/>
      <c r="K100" s="11" t="s">
        <v>16</v>
      </c>
      <c r="L100" s="12">
        <v>45741</v>
      </c>
      <c r="M100" s="39">
        <v>45747</v>
      </c>
      <c r="N100" s="44">
        <f t="shared" si="6"/>
        <v>6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49833822</v>
      </c>
      <c r="B101" s="11" t="str">
        <f t="shared" si="0"/>
        <v>4.983.382-2</v>
      </c>
      <c r="C101" s="11" t="s">
        <v>14</v>
      </c>
      <c r="D101" s="11" t="s">
        <v>407</v>
      </c>
      <c r="E101" s="11" t="s">
        <v>310</v>
      </c>
      <c r="F101" s="11" t="s">
        <v>99</v>
      </c>
      <c r="G101" s="12">
        <v>45741</v>
      </c>
      <c r="H101" s="12"/>
      <c r="I101" s="11" t="s">
        <v>15</v>
      </c>
      <c r="J101" s="11"/>
      <c r="K101" s="11" t="s">
        <v>17</v>
      </c>
      <c r="L101" s="12">
        <v>45741</v>
      </c>
      <c r="M101" s="39">
        <v>45744</v>
      </c>
      <c r="N101" s="44">
        <f t="shared" si="6"/>
        <v>3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49833822</v>
      </c>
      <c r="B102" s="11" t="str">
        <f t="shared" si="0"/>
        <v>4.983.382-2</v>
      </c>
      <c r="C102" s="11" t="s">
        <v>14</v>
      </c>
      <c r="D102" s="11" t="s">
        <v>407</v>
      </c>
      <c r="E102" s="11" t="s">
        <v>310</v>
      </c>
      <c r="F102" s="11" t="s">
        <v>99</v>
      </c>
      <c r="G102" s="12">
        <v>45741</v>
      </c>
      <c r="H102" s="12"/>
      <c r="I102" s="11" t="s">
        <v>15</v>
      </c>
      <c r="J102" s="11"/>
      <c r="K102" s="11" t="s">
        <v>18</v>
      </c>
      <c r="L102" s="12">
        <v>45741</v>
      </c>
      <c r="M102" s="39">
        <v>45742</v>
      </c>
      <c r="N102" s="44">
        <f t="shared" si="6"/>
        <v>1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6.5" customHeight="1" x14ac:dyDescent="0.45">
      <c r="A103" s="10">
        <v>94482380</v>
      </c>
      <c r="B103" s="11" t="str">
        <f t="shared" si="0"/>
        <v>9.448.238-0</v>
      </c>
      <c r="C103" s="11" t="s">
        <v>14</v>
      </c>
      <c r="D103" s="11" t="s">
        <v>143</v>
      </c>
      <c r="E103" s="11" t="s">
        <v>408</v>
      </c>
      <c r="F103" s="11" t="s">
        <v>409</v>
      </c>
      <c r="G103" s="12">
        <v>45742</v>
      </c>
      <c r="H103" s="12"/>
      <c r="I103" s="11" t="s">
        <v>15</v>
      </c>
      <c r="J103" s="11"/>
      <c r="K103" s="11" t="s">
        <v>16</v>
      </c>
      <c r="L103" s="12">
        <v>45742</v>
      </c>
      <c r="M103" s="39">
        <v>45747</v>
      </c>
      <c r="N103" s="44">
        <f t="shared" si="7"/>
        <v>5</v>
      </c>
      <c r="O103" s="44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6.5" customHeight="1" x14ac:dyDescent="0.45">
      <c r="A104" s="10">
        <v>94482380</v>
      </c>
      <c r="B104" s="11" t="str">
        <f t="shared" si="0"/>
        <v>9.448.238-0</v>
      </c>
      <c r="C104" s="11" t="s">
        <v>14</v>
      </c>
      <c r="D104" s="11" t="s">
        <v>143</v>
      </c>
      <c r="E104" s="11" t="s">
        <v>408</v>
      </c>
      <c r="F104" s="11" t="s">
        <v>409</v>
      </c>
      <c r="G104" s="12">
        <v>45742</v>
      </c>
      <c r="H104" s="12"/>
      <c r="I104" s="11" t="s">
        <v>15</v>
      </c>
      <c r="J104" s="11"/>
      <c r="K104" s="11" t="s">
        <v>17</v>
      </c>
      <c r="L104" s="12">
        <v>45742</v>
      </c>
      <c r="M104" s="39">
        <v>45747</v>
      </c>
      <c r="N104" s="44">
        <f t="shared" si="7"/>
        <v>5</v>
      </c>
      <c r="O104" s="44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5.75" customHeight="1" x14ac:dyDescent="0.45">
      <c r="A105" s="15" t="s">
        <v>335</v>
      </c>
      <c r="B105" s="16" t="str">
        <f t="shared" si="0"/>
        <v>19.534.471-k</v>
      </c>
      <c r="C105" s="16" t="s">
        <v>28</v>
      </c>
      <c r="D105" s="16" t="s">
        <v>232</v>
      </c>
      <c r="E105" s="16" t="s">
        <v>233</v>
      </c>
      <c r="F105" s="16" t="s">
        <v>234</v>
      </c>
      <c r="G105" s="17">
        <v>45706</v>
      </c>
      <c r="H105" s="17">
        <v>45726</v>
      </c>
      <c r="I105" s="16" t="s">
        <v>14</v>
      </c>
      <c r="J105" s="16" t="s">
        <v>348</v>
      </c>
      <c r="K105" s="37" t="s">
        <v>17</v>
      </c>
      <c r="L105" s="28">
        <v>45717</v>
      </c>
      <c r="M105" s="28">
        <v>45726</v>
      </c>
      <c r="N105" s="46">
        <f t="shared" ref="N105:N121" si="8">+M105-L105</f>
        <v>9</v>
      </c>
      <c r="O105" s="31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5.75" customHeight="1" x14ac:dyDescent="0.45">
      <c r="A106" s="15">
        <v>78240393</v>
      </c>
      <c r="B106" s="16" t="str">
        <f t="shared" si="0"/>
        <v>7.824.039-3</v>
      </c>
      <c r="C106" s="16" t="s">
        <v>28</v>
      </c>
      <c r="D106" s="16" t="s">
        <v>162</v>
      </c>
      <c r="E106" s="16" t="s">
        <v>275</v>
      </c>
      <c r="F106" s="16" t="s">
        <v>276</v>
      </c>
      <c r="G106" s="17">
        <v>45719</v>
      </c>
      <c r="H106" s="17">
        <v>45728</v>
      </c>
      <c r="I106" s="16" t="s">
        <v>14</v>
      </c>
      <c r="J106" s="16" t="s">
        <v>165</v>
      </c>
      <c r="K106" s="37" t="s">
        <v>17</v>
      </c>
      <c r="L106" s="17">
        <v>45723</v>
      </c>
      <c r="M106" s="17">
        <v>45724</v>
      </c>
      <c r="N106" s="46">
        <f t="shared" si="8"/>
        <v>1</v>
      </c>
      <c r="O106" s="28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5.75" customHeight="1" x14ac:dyDescent="0.45">
      <c r="A107" s="15" t="s">
        <v>336</v>
      </c>
      <c r="B107" s="16" t="str">
        <f t="shared" si="0"/>
        <v>10.636.754-K</v>
      </c>
      <c r="C107" s="16" t="s">
        <v>28</v>
      </c>
      <c r="D107" s="16" t="s">
        <v>88</v>
      </c>
      <c r="E107" s="16" t="s">
        <v>88</v>
      </c>
      <c r="F107" s="16" t="s">
        <v>89</v>
      </c>
      <c r="G107" s="17">
        <v>45717</v>
      </c>
      <c r="H107" s="17">
        <v>45725</v>
      </c>
      <c r="I107" s="16" t="s">
        <v>75</v>
      </c>
      <c r="J107" s="16" t="s">
        <v>62</v>
      </c>
      <c r="K107" s="37" t="s">
        <v>17</v>
      </c>
      <c r="L107" s="17">
        <v>45717</v>
      </c>
      <c r="M107" s="17">
        <v>45725</v>
      </c>
      <c r="N107" s="46">
        <f>+M107-L107</f>
        <v>8</v>
      </c>
      <c r="O107" s="28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5">
        <v>54691637</v>
      </c>
      <c r="B108" s="16" t="str">
        <f t="shared" si="0"/>
        <v>5.469.163-7</v>
      </c>
      <c r="C108" s="16" t="s">
        <v>28</v>
      </c>
      <c r="D108" s="16" t="s">
        <v>235</v>
      </c>
      <c r="E108" s="16" t="s">
        <v>337</v>
      </c>
      <c r="F108" s="16" t="s">
        <v>338</v>
      </c>
      <c r="G108" s="17">
        <v>45713</v>
      </c>
      <c r="H108" s="17">
        <v>45723</v>
      </c>
      <c r="I108" s="16" t="s">
        <v>72</v>
      </c>
      <c r="J108" s="16" t="s">
        <v>62</v>
      </c>
      <c r="K108" s="16" t="s">
        <v>17</v>
      </c>
      <c r="L108" s="28">
        <v>45717</v>
      </c>
      <c r="M108" s="41">
        <v>45723</v>
      </c>
      <c r="N108" s="46">
        <f t="shared" si="8"/>
        <v>6</v>
      </c>
      <c r="O108" s="28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160373296</v>
      </c>
      <c r="B109" s="16" t="str">
        <f t="shared" si="0"/>
        <v>16.037.329-6</v>
      </c>
      <c r="C109" s="16" t="s">
        <v>28</v>
      </c>
      <c r="D109" s="16" t="s">
        <v>242</v>
      </c>
      <c r="E109" s="16" t="s">
        <v>356</v>
      </c>
      <c r="F109" s="16" t="s">
        <v>357</v>
      </c>
      <c r="G109" s="17">
        <v>45725</v>
      </c>
      <c r="H109" s="17"/>
      <c r="I109" s="16" t="s">
        <v>56</v>
      </c>
      <c r="J109" s="16"/>
      <c r="K109" s="37" t="s">
        <v>16</v>
      </c>
      <c r="L109" s="17">
        <v>45725</v>
      </c>
      <c r="M109" s="17">
        <v>45747</v>
      </c>
      <c r="N109" s="46">
        <f t="shared" si="8"/>
        <v>22</v>
      </c>
      <c r="O109" s="28"/>
      <c r="P109" t="s">
        <v>942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160373296</v>
      </c>
      <c r="B110" s="16" t="str">
        <f t="shared" si="0"/>
        <v>16.037.329-6</v>
      </c>
      <c r="C110" s="16" t="s">
        <v>28</v>
      </c>
      <c r="D110" s="16" t="s">
        <v>242</v>
      </c>
      <c r="E110" s="16" t="s">
        <v>356</v>
      </c>
      <c r="F110" s="16" t="s">
        <v>357</v>
      </c>
      <c r="G110" s="17">
        <v>45725</v>
      </c>
      <c r="H110" s="17"/>
      <c r="I110" s="16" t="s">
        <v>56</v>
      </c>
      <c r="J110" s="16"/>
      <c r="K110" s="37" t="s">
        <v>17</v>
      </c>
      <c r="L110" s="17">
        <v>45725</v>
      </c>
      <c r="M110" s="41">
        <v>45747</v>
      </c>
      <c r="N110" s="46">
        <f t="shared" si="8"/>
        <v>22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53069495</v>
      </c>
      <c r="B111" s="16" t="str">
        <f t="shared" si="0"/>
        <v>5.306.949-5</v>
      </c>
      <c r="C111" s="16" t="s">
        <v>28</v>
      </c>
      <c r="D111" s="16" t="s">
        <v>358</v>
      </c>
      <c r="E111" s="16" t="s">
        <v>178</v>
      </c>
      <c r="F111" s="16" t="s">
        <v>359</v>
      </c>
      <c r="G111" s="17">
        <v>45721</v>
      </c>
      <c r="H111" s="17">
        <v>45737</v>
      </c>
      <c r="I111" s="16" t="s">
        <v>360</v>
      </c>
      <c r="J111" s="16" t="s">
        <v>72</v>
      </c>
      <c r="K111" s="16" t="s">
        <v>17</v>
      </c>
      <c r="L111" s="17">
        <v>45721</v>
      </c>
      <c r="M111" s="41">
        <v>45737</v>
      </c>
      <c r="N111" s="46">
        <f t="shared" si="8"/>
        <v>16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28.15" customHeight="1" x14ac:dyDescent="0.45">
      <c r="A112" s="15">
        <v>55910510</v>
      </c>
      <c r="B112" s="16" t="str">
        <f t="shared" ref="B112:B121" si="9">IF(LEN(A112)=8,MID(A112,1,1)&amp;"."&amp;MID(A112,2,3)&amp;"."&amp;MID(A112,5,3)&amp;"-"&amp;RIGHT(A112,1),IF(LEFT(RIGHT(A112,2),1)="-",MID(A112,1,1)&amp;"."&amp;MID(A112,2,3)&amp;"."&amp;MID(A112,5,3)&amp;"-"&amp;RIGHT(A112,1),MID(A112,1,2)&amp;"."&amp;MID(A112,3,3)&amp;"."&amp;MID(A112,6,3)&amp;"-"&amp;MID(A112,9,1)))</f>
        <v>5.591.051-0</v>
      </c>
      <c r="C112" s="16" t="s">
        <v>28</v>
      </c>
      <c r="D112" s="16" t="s">
        <v>160</v>
      </c>
      <c r="E112" s="16" t="s">
        <v>154</v>
      </c>
      <c r="F112" s="16" t="s">
        <v>99</v>
      </c>
      <c r="G112" s="17">
        <v>45721</v>
      </c>
      <c r="H112" s="17">
        <v>45729</v>
      </c>
      <c r="I112" s="16" t="s">
        <v>14</v>
      </c>
      <c r="J112" s="16" t="s">
        <v>75</v>
      </c>
      <c r="K112" s="16" t="s">
        <v>16</v>
      </c>
      <c r="L112" s="18">
        <v>45721</v>
      </c>
      <c r="M112" s="41">
        <v>45729</v>
      </c>
      <c r="N112" s="46">
        <f t="shared" si="8"/>
        <v>8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55910510</v>
      </c>
      <c r="B113" s="16" t="str">
        <f t="shared" ref="B113" si="10">IF(LEN(A113)=8,MID(A113,1,1)&amp;"."&amp;MID(A113,2,3)&amp;"."&amp;MID(A113,5,3)&amp;"-"&amp;RIGHT(A113,1),IF(LEFT(RIGHT(A113,2),1)="-",MID(A113,1,1)&amp;"."&amp;MID(A113,2,3)&amp;"."&amp;MID(A113,5,3)&amp;"-"&amp;RIGHT(A113,1),MID(A113,1,2)&amp;"."&amp;MID(A113,3,3)&amp;"."&amp;MID(A113,6,3)&amp;"-"&amp;MID(A113,9,1)))</f>
        <v>5.591.051-0</v>
      </c>
      <c r="C113" s="16" t="s">
        <v>28</v>
      </c>
      <c r="D113" s="16" t="s">
        <v>160</v>
      </c>
      <c r="E113" s="16" t="s">
        <v>154</v>
      </c>
      <c r="F113" s="16" t="s">
        <v>99</v>
      </c>
      <c r="G113" s="17">
        <v>45721</v>
      </c>
      <c r="H113" s="17">
        <v>45729</v>
      </c>
      <c r="I113" s="16" t="s">
        <v>14</v>
      </c>
      <c r="J113" s="16" t="s">
        <v>75</v>
      </c>
      <c r="K113" s="16" t="s">
        <v>1072</v>
      </c>
      <c r="L113" s="18"/>
      <c r="M113" s="41"/>
      <c r="N113" s="46"/>
      <c r="O113" s="28"/>
      <c r="P113" t="s">
        <v>972</v>
      </c>
      <c r="Q113" t="s">
        <v>974</v>
      </c>
      <c r="R113" t="s">
        <v>83</v>
      </c>
      <c r="S113" t="s">
        <v>83</v>
      </c>
      <c r="T113" t="s">
        <v>83</v>
      </c>
      <c r="U113" t="s">
        <v>914</v>
      </c>
    </row>
    <row r="114" spans="1:21" ht="15.75" customHeight="1" x14ac:dyDescent="0.45">
      <c r="A114" s="15">
        <v>41661836</v>
      </c>
      <c r="B114" s="16" t="str">
        <f t="shared" si="9"/>
        <v>4.166.183-6</v>
      </c>
      <c r="C114" s="16" t="s">
        <v>28</v>
      </c>
      <c r="D114" s="16" t="s">
        <v>385</v>
      </c>
      <c r="E114" s="16" t="s">
        <v>229</v>
      </c>
      <c r="F114" s="16" t="s">
        <v>223</v>
      </c>
      <c r="G114" s="17">
        <v>45737</v>
      </c>
      <c r="H114" s="17">
        <v>45741</v>
      </c>
      <c r="I114" s="16" t="s">
        <v>360</v>
      </c>
      <c r="J114" s="16" t="s">
        <v>388</v>
      </c>
      <c r="K114" s="16" t="s">
        <v>17</v>
      </c>
      <c r="L114" s="18">
        <v>45737</v>
      </c>
      <c r="M114" s="41">
        <v>45741</v>
      </c>
      <c r="N114" s="46">
        <f t="shared" si="8"/>
        <v>4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62152451</v>
      </c>
      <c r="B115" s="16" t="str">
        <f t="shared" si="9"/>
        <v>6.215.245-1</v>
      </c>
      <c r="C115" s="16" t="s">
        <v>28</v>
      </c>
      <c r="D115" s="16" t="s">
        <v>126</v>
      </c>
      <c r="E115" s="16" t="s">
        <v>125</v>
      </c>
      <c r="F115" s="16" t="s">
        <v>386</v>
      </c>
      <c r="G115" s="17">
        <v>45736</v>
      </c>
      <c r="H115" s="17">
        <v>45739</v>
      </c>
      <c r="I115" s="16" t="s">
        <v>360</v>
      </c>
      <c r="J115" s="16" t="s">
        <v>106</v>
      </c>
      <c r="K115" s="16" t="s">
        <v>16</v>
      </c>
      <c r="L115" s="17">
        <v>45736</v>
      </c>
      <c r="M115" s="17">
        <v>45739</v>
      </c>
      <c r="N115" s="46">
        <f t="shared" si="8"/>
        <v>3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48439527</v>
      </c>
      <c r="B116" s="16" t="str">
        <f t="shared" si="9"/>
        <v>4.843.952-7</v>
      </c>
      <c r="C116" s="16" t="s">
        <v>28</v>
      </c>
      <c r="D116" s="16" t="s">
        <v>31</v>
      </c>
      <c r="E116" s="16" t="s">
        <v>236</v>
      </c>
      <c r="F116" s="16" t="s">
        <v>387</v>
      </c>
      <c r="G116" s="17">
        <v>45736</v>
      </c>
      <c r="H116" s="17">
        <v>45740</v>
      </c>
      <c r="I116" s="16" t="s">
        <v>360</v>
      </c>
      <c r="J116" s="16" t="s">
        <v>388</v>
      </c>
      <c r="K116" s="16" t="s">
        <v>17</v>
      </c>
      <c r="L116" s="17">
        <v>45736</v>
      </c>
      <c r="M116" s="17">
        <v>45738</v>
      </c>
      <c r="N116" s="46">
        <f t="shared" si="8"/>
        <v>2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5">
        <v>67604601</v>
      </c>
      <c r="B117" s="16" t="str">
        <f t="shared" si="9"/>
        <v>6.760.460-1</v>
      </c>
      <c r="C117" s="16" t="s">
        <v>28</v>
      </c>
      <c r="D117" s="16" t="s">
        <v>389</v>
      </c>
      <c r="E117" s="16" t="s">
        <v>145</v>
      </c>
      <c r="F117" s="16" t="s">
        <v>223</v>
      </c>
      <c r="G117" s="17">
        <v>45736</v>
      </c>
      <c r="H117" s="17"/>
      <c r="I117" s="16" t="s">
        <v>360</v>
      </c>
      <c r="J117" s="16"/>
      <c r="K117" s="16" t="s">
        <v>17</v>
      </c>
      <c r="L117" s="17">
        <v>45736</v>
      </c>
      <c r="M117" s="41">
        <v>45747</v>
      </c>
      <c r="N117" s="46">
        <f t="shared" si="8"/>
        <v>11</v>
      </c>
      <c r="O117" s="28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>
        <v>86959968</v>
      </c>
      <c r="B118" s="16" t="str">
        <f t="shared" si="9"/>
        <v>8.695.996-8</v>
      </c>
      <c r="C118" s="16" t="s">
        <v>28</v>
      </c>
      <c r="D118" s="16" t="s">
        <v>120</v>
      </c>
      <c r="E118" s="16" t="s">
        <v>125</v>
      </c>
      <c r="F118" s="16" t="s">
        <v>321</v>
      </c>
      <c r="G118" s="17">
        <v>45741</v>
      </c>
      <c r="H118" s="17"/>
      <c r="I118" s="16" t="s">
        <v>60</v>
      </c>
      <c r="J118" s="16"/>
      <c r="K118" s="16" t="s">
        <v>349</v>
      </c>
      <c r="L118" s="17">
        <v>45741</v>
      </c>
      <c r="M118" s="41">
        <v>45747</v>
      </c>
      <c r="N118" s="46">
        <f t="shared" si="8"/>
        <v>6</v>
      </c>
      <c r="O118" s="28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5">
        <v>86959968</v>
      </c>
      <c r="B119" s="16" t="str">
        <f t="shared" si="9"/>
        <v>8.695.996-8</v>
      </c>
      <c r="C119" s="16" t="s">
        <v>28</v>
      </c>
      <c r="D119" s="16" t="s">
        <v>120</v>
      </c>
      <c r="E119" s="16" t="s">
        <v>125</v>
      </c>
      <c r="F119" s="16" t="s">
        <v>321</v>
      </c>
      <c r="G119" s="17">
        <v>45741</v>
      </c>
      <c r="H119" s="17"/>
      <c r="I119" s="16" t="s">
        <v>60</v>
      </c>
      <c r="J119" s="16"/>
      <c r="K119" s="16" t="s">
        <v>17</v>
      </c>
      <c r="L119" s="17">
        <v>45741</v>
      </c>
      <c r="M119" s="41">
        <v>45747</v>
      </c>
      <c r="N119" s="46">
        <f t="shared" si="8"/>
        <v>6</v>
      </c>
      <c r="O119" s="28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5">
        <v>50397289</v>
      </c>
      <c r="B120" s="16" t="str">
        <f t="shared" si="9"/>
        <v>5.039.728-9</v>
      </c>
      <c r="C120" s="16" t="s">
        <v>28</v>
      </c>
      <c r="D120" s="16" t="s">
        <v>410</v>
      </c>
      <c r="E120" s="16" t="s">
        <v>411</v>
      </c>
      <c r="F120" s="16" t="s">
        <v>330</v>
      </c>
      <c r="G120" s="17">
        <v>45739</v>
      </c>
      <c r="H120" s="17"/>
      <c r="I120" s="16" t="s">
        <v>360</v>
      </c>
      <c r="J120" s="16"/>
      <c r="K120" s="16" t="s">
        <v>17</v>
      </c>
      <c r="L120" s="24">
        <v>45739</v>
      </c>
      <c r="M120" s="41">
        <v>45747</v>
      </c>
      <c r="N120" s="46">
        <f t="shared" si="8"/>
        <v>8</v>
      </c>
      <c r="O120" s="28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5">
        <v>54167865</v>
      </c>
      <c r="B121" s="16" t="str">
        <f t="shared" si="9"/>
        <v>5.416.786-5</v>
      </c>
      <c r="C121" s="16" t="s">
        <v>28</v>
      </c>
      <c r="D121" s="16" t="s">
        <v>197</v>
      </c>
      <c r="E121" s="16" t="s">
        <v>177</v>
      </c>
      <c r="F121" s="16" t="s">
        <v>412</v>
      </c>
      <c r="G121" s="17">
        <v>45738</v>
      </c>
      <c r="H121" s="17"/>
      <c r="I121" s="16" t="s">
        <v>360</v>
      </c>
      <c r="J121" s="16"/>
      <c r="K121" s="16" t="s">
        <v>17</v>
      </c>
      <c r="L121" s="24">
        <v>45743</v>
      </c>
      <c r="M121" s="41">
        <v>45747</v>
      </c>
      <c r="N121" s="46">
        <f t="shared" si="8"/>
        <v>4</v>
      </c>
      <c r="O121" s="28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9">
        <v>68463521</v>
      </c>
      <c r="B122" s="19" t="str">
        <f t="shared" ref="B122:B128" si="11">IF(LEN(A122)=8,MID(A122,1,1)&amp;"."&amp;MID(A122,2,3)&amp;"."&amp;MID(A122,5,3)&amp;"-"&amp;RIGHT(A122,1),IF(LEFT(RIGHT(A122,2),1)="-",MID(A122,1,1)&amp;"."&amp;MID(A122,2,3)&amp;"."&amp;MID(A122,5,3)&amp;"-"&amp;RIGHT(A122,1),MID(A122,1,2)&amp;"."&amp;MID(A122,3,3)&amp;"."&amp;MID(A122,6,3)&amp;"-"&amp;MID(A122,9,1)))</f>
        <v>6.846.352-1</v>
      </c>
      <c r="C122" s="19" t="s">
        <v>32</v>
      </c>
      <c r="D122" s="19" t="s">
        <v>251</v>
      </c>
      <c r="E122" s="19" t="s">
        <v>331</v>
      </c>
      <c r="F122" s="19" t="s">
        <v>332</v>
      </c>
      <c r="G122" s="20">
        <v>45717</v>
      </c>
      <c r="H122" s="20">
        <v>45722</v>
      </c>
      <c r="I122" s="19" t="s">
        <v>15</v>
      </c>
      <c r="J122" s="19" t="s">
        <v>75</v>
      </c>
      <c r="K122" s="19" t="s">
        <v>17</v>
      </c>
      <c r="L122" s="25">
        <v>45717</v>
      </c>
      <c r="M122" s="25">
        <v>45722</v>
      </c>
      <c r="N122" s="47">
        <f t="shared" ref="N122:N127" si="12">+M122-L122</f>
        <v>5</v>
      </c>
      <c r="O122" s="34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A123" s="19">
        <v>82989234</v>
      </c>
      <c r="B123" s="19" t="str">
        <f t="shared" si="11"/>
        <v>8.298.923-4</v>
      </c>
      <c r="C123" s="19" t="s">
        <v>32</v>
      </c>
      <c r="D123" s="19" t="s">
        <v>333</v>
      </c>
      <c r="E123" s="19" t="s">
        <v>178</v>
      </c>
      <c r="F123" s="19" t="s">
        <v>334</v>
      </c>
      <c r="G123" s="20">
        <v>45720</v>
      </c>
      <c r="H123" s="20">
        <v>45722</v>
      </c>
      <c r="I123" s="19" t="s">
        <v>15</v>
      </c>
      <c r="J123" s="19" t="s">
        <v>72</v>
      </c>
      <c r="K123" s="19" t="s">
        <v>17</v>
      </c>
      <c r="L123" s="20">
        <v>45720</v>
      </c>
      <c r="M123" s="20">
        <v>45722</v>
      </c>
      <c r="N123" s="47">
        <f t="shared" si="12"/>
        <v>2</v>
      </c>
      <c r="O123" s="34"/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1074</v>
      </c>
    </row>
    <row r="124" spans="1:21" ht="37.15" customHeight="1" x14ac:dyDescent="0.45">
      <c r="A124" s="19">
        <v>107011994</v>
      </c>
      <c r="B124" s="19" t="str">
        <f t="shared" si="11"/>
        <v>10.701.199-4</v>
      </c>
      <c r="C124" s="19" t="s">
        <v>32</v>
      </c>
      <c r="D124" s="19" t="s">
        <v>30</v>
      </c>
      <c r="E124" s="19" t="s">
        <v>351</v>
      </c>
      <c r="F124" s="19" t="s">
        <v>315</v>
      </c>
      <c r="G124" s="20">
        <v>45725</v>
      </c>
      <c r="H124" s="20">
        <v>45727</v>
      </c>
      <c r="I124" s="19" t="s">
        <v>15</v>
      </c>
      <c r="J124" s="19" t="s">
        <v>72</v>
      </c>
      <c r="K124" s="19" t="s">
        <v>352</v>
      </c>
      <c r="L124" s="20"/>
      <c r="M124" s="20"/>
      <c r="N124" s="47">
        <f t="shared" si="12"/>
        <v>0</v>
      </c>
      <c r="O124" s="34"/>
      <c r="P124" t="s">
        <v>947</v>
      </c>
      <c r="Q124" t="s">
        <v>83</v>
      </c>
      <c r="R124" t="s">
        <v>83</v>
      </c>
      <c r="S124" t="s">
        <v>83</v>
      </c>
      <c r="T124" t="s">
        <v>83</v>
      </c>
      <c r="U124" t="s">
        <v>1074</v>
      </c>
    </row>
    <row r="125" spans="1:21" ht="15.75" customHeight="1" x14ac:dyDescent="0.45">
      <c r="A125" s="19">
        <v>9321779</v>
      </c>
      <c r="B125" s="19" t="str">
        <f t="shared" si="11"/>
        <v>93.217.79-</v>
      </c>
      <c r="C125" s="19" t="s">
        <v>32</v>
      </c>
      <c r="D125" s="19" t="s">
        <v>353</v>
      </c>
      <c r="E125" s="19" t="s">
        <v>354</v>
      </c>
      <c r="F125" s="19" t="s">
        <v>355</v>
      </c>
      <c r="G125" s="20">
        <v>45724</v>
      </c>
      <c r="H125" s="20">
        <v>45726</v>
      </c>
      <c r="I125" s="19" t="s">
        <v>15</v>
      </c>
      <c r="J125" s="19" t="s">
        <v>62</v>
      </c>
      <c r="K125" s="21" t="s">
        <v>17</v>
      </c>
      <c r="L125" s="20">
        <v>45724</v>
      </c>
      <c r="M125" s="20">
        <v>45726</v>
      </c>
      <c r="N125" s="47">
        <f t="shared" si="12"/>
        <v>2</v>
      </c>
      <c r="O125" s="34"/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1074</v>
      </c>
    </row>
    <row r="126" spans="1:21" ht="15.75" customHeight="1" x14ac:dyDescent="0.45">
      <c r="A126" s="19">
        <v>65014920</v>
      </c>
      <c r="B126" s="19" t="str">
        <f t="shared" si="11"/>
        <v>6.501.492-0</v>
      </c>
      <c r="C126" s="19" t="s">
        <v>32</v>
      </c>
      <c r="D126" s="19" t="s">
        <v>370</v>
      </c>
      <c r="E126" s="19" t="s">
        <v>371</v>
      </c>
      <c r="F126" s="19" t="s">
        <v>372</v>
      </c>
      <c r="G126" s="20">
        <v>45730</v>
      </c>
      <c r="H126" s="20">
        <v>45733</v>
      </c>
      <c r="I126" s="19" t="s">
        <v>15</v>
      </c>
      <c r="J126" s="19" t="s">
        <v>72</v>
      </c>
      <c r="K126" s="21" t="s">
        <v>17</v>
      </c>
      <c r="L126" s="20">
        <v>45730</v>
      </c>
      <c r="M126" s="20">
        <v>45733</v>
      </c>
      <c r="N126" s="47">
        <f t="shared" si="12"/>
        <v>3</v>
      </c>
      <c r="O126" s="34"/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1074</v>
      </c>
    </row>
    <row r="127" spans="1:21" ht="15.75" customHeight="1" x14ac:dyDescent="0.45">
      <c r="A127" s="19">
        <v>55154082</v>
      </c>
      <c r="B127" s="19" t="str">
        <f t="shared" si="11"/>
        <v>5.515.408-2</v>
      </c>
      <c r="C127" s="19" t="s">
        <v>32</v>
      </c>
      <c r="D127" s="19" t="s">
        <v>289</v>
      </c>
      <c r="E127" s="19" t="s">
        <v>401</v>
      </c>
      <c r="F127" s="19" t="s">
        <v>223</v>
      </c>
      <c r="G127" s="20">
        <v>45738</v>
      </c>
      <c r="H127" s="20">
        <v>45740</v>
      </c>
      <c r="I127" s="19" t="s">
        <v>15</v>
      </c>
      <c r="J127" s="19" t="s">
        <v>42</v>
      </c>
      <c r="K127" s="19" t="s">
        <v>17</v>
      </c>
      <c r="L127" s="20">
        <v>45738</v>
      </c>
      <c r="M127" s="20">
        <v>45740</v>
      </c>
      <c r="N127" s="47">
        <f t="shared" si="12"/>
        <v>2</v>
      </c>
      <c r="O127" s="34"/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1074</v>
      </c>
    </row>
    <row r="128" spans="1:21" ht="15.75" customHeight="1" x14ac:dyDescent="0.45">
      <c r="A128" s="19">
        <v>38863967</v>
      </c>
      <c r="B128" s="19" t="str">
        <f t="shared" si="11"/>
        <v>3.886.396-7</v>
      </c>
      <c r="C128" s="19" t="s">
        <v>32</v>
      </c>
      <c r="D128" s="19" t="s">
        <v>31</v>
      </c>
      <c r="E128" s="19" t="s">
        <v>402</v>
      </c>
      <c r="F128" s="19" t="s">
        <v>403</v>
      </c>
      <c r="G128" s="20">
        <v>45738</v>
      </c>
      <c r="H128" s="20">
        <v>45741</v>
      </c>
      <c r="I128" s="19" t="s">
        <v>15</v>
      </c>
      <c r="J128" s="19" t="s">
        <v>72</v>
      </c>
      <c r="K128" s="19" t="s">
        <v>17</v>
      </c>
      <c r="L128" s="20">
        <v>45738</v>
      </c>
      <c r="M128" s="22">
        <v>45741</v>
      </c>
      <c r="N128" s="47">
        <f t="shared" ref="N128" si="13">+M128-L128</f>
        <v>3</v>
      </c>
      <c r="O128" s="34"/>
      <c r="P128" t="s">
        <v>83</v>
      </c>
      <c r="Q128" t="s">
        <v>83</v>
      </c>
      <c r="R128" t="s">
        <v>83</v>
      </c>
      <c r="S128" t="s">
        <v>83</v>
      </c>
      <c r="T128" t="s">
        <v>83</v>
      </c>
      <c r="U128" t="s">
        <v>1074</v>
      </c>
    </row>
    <row r="129" spans="7:21" ht="15.75" customHeight="1" x14ac:dyDescent="0.45">
      <c r="G129" s="4"/>
      <c r="H129" s="4"/>
      <c r="I129" s="23"/>
      <c r="J129" s="23"/>
      <c r="K129" s="23"/>
      <c r="L129" s="4"/>
      <c r="N129" s="36"/>
      <c r="U129">
        <f>COUNTIF(U8:U128,"si")</f>
        <v>1</v>
      </c>
    </row>
    <row r="130" spans="7:21" ht="15.75" customHeight="1" x14ac:dyDescent="0.45">
      <c r="G130" s="4"/>
      <c r="H130" s="4"/>
      <c r="I130" s="23"/>
      <c r="J130" s="23"/>
      <c r="K130" s="23"/>
      <c r="L130" s="4"/>
      <c r="N130" s="36"/>
    </row>
    <row r="131" spans="7:21" ht="15.75" customHeight="1" x14ac:dyDescent="0.45">
      <c r="G131" s="4"/>
      <c r="H131" s="4"/>
      <c r="I131" s="23"/>
      <c r="J131" s="23"/>
      <c r="K131" s="23"/>
      <c r="L131" s="4"/>
      <c r="N131" s="36"/>
    </row>
    <row r="132" spans="7:21" ht="15.75" customHeight="1" x14ac:dyDescent="0.45">
      <c r="G132" s="4"/>
      <c r="H132" s="4"/>
      <c r="I132" s="23"/>
      <c r="J132" s="23"/>
      <c r="K132" s="23"/>
      <c r="L132" s="4"/>
      <c r="N132" s="36"/>
    </row>
    <row r="133" spans="7:21" ht="15.75" customHeight="1" x14ac:dyDescent="0.45">
      <c r="G133" s="4"/>
      <c r="H133" s="4"/>
      <c r="I133" s="23"/>
      <c r="J133" s="23"/>
      <c r="K133" s="23"/>
      <c r="L133" s="4"/>
      <c r="N133" s="36"/>
    </row>
    <row r="134" spans="7:21" ht="15.75" customHeight="1" x14ac:dyDescent="0.45">
      <c r="G134" s="4"/>
      <c r="H134" s="4"/>
      <c r="I134" s="23"/>
      <c r="J134" s="23"/>
      <c r="K134" s="23"/>
      <c r="L134" s="4"/>
      <c r="N134" s="36"/>
    </row>
    <row r="135" spans="7:21" ht="15.75" customHeight="1" x14ac:dyDescent="0.45">
      <c r="G135" s="4"/>
      <c r="H135" s="4"/>
      <c r="I135" s="23"/>
      <c r="J135" s="23"/>
      <c r="K135" s="23"/>
      <c r="L135" s="4"/>
      <c r="N135" s="36"/>
    </row>
    <row r="136" spans="7:21" ht="15.75" customHeight="1" x14ac:dyDescent="0.45">
      <c r="G136" s="4"/>
      <c r="H136" s="4"/>
      <c r="I136" s="23"/>
      <c r="J136" s="23"/>
      <c r="K136" s="23"/>
      <c r="L136" s="4"/>
      <c r="N136" s="36"/>
    </row>
    <row r="137" spans="7:21" ht="15.75" customHeight="1" x14ac:dyDescent="0.45">
      <c r="G137" s="4"/>
      <c r="H137" s="4"/>
      <c r="I137" s="23"/>
      <c r="J137" s="23"/>
      <c r="K137" s="23"/>
      <c r="L137" s="4"/>
      <c r="N137" s="36"/>
    </row>
    <row r="138" spans="7:21" ht="15.75" customHeight="1" x14ac:dyDescent="0.45">
      <c r="G138" s="4"/>
      <c r="H138" s="4"/>
      <c r="I138" s="23"/>
      <c r="J138" s="23"/>
      <c r="K138" s="23"/>
      <c r="L138" s="4"/>
      <c r="N138" s="36"/>
    </row>
    <row r="139" spans="7:21" ht="15.75" customHeight="1" x14ac:dyDescent="0.45">
      <c r="G139" s="4"/>
      <c r="H139" s="4"/>
      <c r="I139" s="23"/>
      <c r="J139" s="23"/>
      <c r="K139" s="23"/>
      <c r="L139" s="4"/>
      <c r="N139" s="36"/>
    </row>
    <row r="140" spans="7:21" ht="15.75" customHeight="1" x14ac:dyDescent="0.45">
      <c r="G140" s="4"/>
      <c r="H140" s="4"/>
      <c r="I140" s="23"/>
      <c r="J140" s="23"/>
      <c r="K140" s="23"/>
      <c r="L140" s="4"/>
      <c r="N140" s="36"/>
    </row>
    <row r="141" spans="7:21" ht="15.75" customHeight="1" x14ac:dyDescent="0.45">
      <c r="G141" s="4"/>
      <c r="H141" s="4"/>
      <c r="I141" s="23"/>
      <c r="J141" s="23"/>
      <c r="K141" s="23"/>
      <c r="L141" s="4"/>
      <c r="N141" s="36"/>
    </row>
    <row r="142" spans="7:21" ht="15.75" customHeight="1" x14ac:dyDescent="0.45">
      <c r="G142" s="4"/>
      <c r="H142" s="4"/>
      <c r="I142" s="23"/>
      <c r="J142" s="23"/>
      <c r="K142" s="23"/>
      <c r="L142" s="4"/>
      <c r="N142" s="36"/>
    </row>
    <row r="143" spans="7:21" ht="15.75" customHeight="1" x14ac:dyDescent="0.45">
      <c r="G143" s="4"/>
      <c r="H143" s="4"/>
      <c r="I143" s="23"/>
      <c r="J143" s="23"/>
      <c r="K143" s="23"/>
      <c r="L143" s="4"/>
      <c r="N143" s="36"/>
    </row>
    <row r="144" spans="7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J260" s="23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  <row r="994" ht="15" customHeight="1" x14ac:dyDescent="0.45"/>
  </sheetData>
  <mergeCells count="3"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51F881A-BA1E-4F34-8869-98C4055BDF36}">
          <x14:formula1>
            <xm:f>Criterios!$A$2:$A$128</xm:f>
          </x14:formula1>
          <xm:sqref>P8:T128</xm:sqref>
        </x14:dataValidation>
        <x14:dataValidation type="list" allowBlank="1" showInputMessage="1" showErrorMessage="1" xr:uid="{DADBBDB9-840A-461E-B478-4B29BE713D64}">
          <x14:formula1>
            <xm:f>Hoja1!$G$2:$G$3</xm:f>
          </x14:formula1>
          <xm:sqref>U8:U128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0E6F-34F6-4949-BA27-C6C0D4A6F675}">
  <dimension ref="A1:U987"/>
  <sheetViews>
    <sheetView topLeftCell="K83" zoomScale="80" zoomScaleNormal="80" zoomScaleSheetLayoutView="40" workbookViewId="0">
      <selection activeCell="U100" sqref="U100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413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33.75" customHeight="1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09" t="s">
        <v>13</v>
      </c>
      <c r="N7" s="113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172070574</v>
      </c>
      <c r="B8" s="11" t="str">
        <f t="shared" ref="B8:B116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17.207.057-4</v>
      </c>
      <c r="C8" s="11" t="s">
        <v>14</v>
      </c>
      <c r="D8" s="11" t="s">
        <v>324</v>
      </c>
      <c r="E8" s="11" t="s">
        <v>324</v>
      </c>
      <c r="F8" s="11" t="s">
        <v>99</v>
      </c>
      <c r="G8" s="12">
        <v>45741</v>
      </c>
      <c r="H8" s="12">
        <v>45765</v>
      </c>
      <c r="I8" s="11" t="s">
        <v>60</v>
      </c>
      <c r="J8" s="11" t="s">
        <v>106</v>
      </c>
      <c r="K8" s="11" t="s">
        <v>16</v>
      </c>
      <c r="L8" s="12">
        <v>45748</v>
      </c>
      <c r="M8" s="12">
        <v>45758</v>
      </c>
      <c r="N8" s="44">
        <f t="shared" ref="N8:N15" si="1">+M8-L8</f>
        <v>10</v>
      </c>
      <c r="O8" s="44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172070574</v>
      </c>
      <c r="B9" s="11" t="str">
        <f t="shared" si="0"/>
        <v>17.207.057-4</v>
      </c>
      <c r="C9" s="11" t="s">
        <v>14</v>
      </c>
      <c r="D9" s="11" t="s">
        <v>324</v>
      </c>
      <c r="E9" s="11" t="s">
        <v>324</v>
      </c>
      <c r="F9" s="11" t="s">
        <v>99</v>
      </c>
      <c r="G9" s="12">
        <v>45741</v>
      </c>
      <c r="H9" s="12">
        <v>45765</v>
      </c>
      <c r="I9" s="11" t="s">
        <v>60</v>
      </c>
      <c r="J9" s="11" t="s">
        <v>106</v>
      </c>
      <c r="K9" s="11" t="s">
        <v>17</v>
      </c>
      <c r="L9" s="12">
        <v>45748</v>
      </c>
      <c r="M9" s="12">
        <v>45765</v>
      </c>
      <c r="N9" s="44">
        <f t="shared" si="1"/>
        <v>17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172070574</v>
      </c>
      <c r="B10" s="11" t="str">
        <f t="shared" si="0"/>
        <v>17.207.057-4</v>
      </c>
      <c r="C10" s="11" t="s">
        <v>14</v>
      </c>
      <c r="D10" s="11" t="s">
        <v>324</v>
      </c>
      <c r="E10" s="11" t="s">
        <v>324</v>
      </c>
      <c r="F10" s="11" t="s">
        <v>99</v>
      </c>
      <c r="G10" s="12">
        <v>45741</v>
      </c>
      <c r="H10" s="12">
        <v>45765</v>
      </c>
      <c r="I10" s="11" t="s">
        <v>60</v>
      </c>
      <c r="J10" s="11" t="s">
        <v>106</v>
      </c>
      <c r="K10" s="11" t="s">
        <v>18</v>
      </c>
      <c r="L10" s="12">
        <v>45748</v>
      </c>
      <c r="M10" s="12">
        <v>45759</v>
      </c>
      <c r="N10" s="44">
        <f t="shared" si="1"/>
        <v>11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95307094</v>
      </c>
      <c r="B11" s="11" t="str">
        <f t="shared" si="0"/>
        <v>9.530.709-4</v>
      </c>
      <c r="C11" s="11" t="s">
        <v>14</v>
      </c>
      <c r="D11" s="11" t="s">
        <v>374</v>
      </c>
      <c r="E11" s="11" t="s">
        <v>375</v>
      </c>
      <c r="F11" s="11" t="s">
        <v>158</v>
      </c>
      <c r="G11" s="12">
        <v>45736</v>
      </c>
      <c r="H11" s="12">
        <v>45749</v>
      </c>
      <c r="I11" s="11" t="s">
        <v>60</v>
      </c>
      <c r="J11" s="11" t="s">
        <v>60</v>
      </c>
      <c r="K11" s="11" t="s">
        <v>17</v>
      </c>
      <c r="L11" s="12">
        <v>45748</v>
      </c>
      <c r="M11" s="12">
        <v>45749</v>
      </c>
      <c r="N11" s="44">
        <f t="shared" si="1"/>
        <v>1</v>
      </c>
      <c r="O11" s="44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95307094</v>
      </c>
      <c r="B12" s="11" t="str">
        <f t="shared" si="0"/>
        <v>9.530.709-4</v>
      </c>
      <c r="C12" s="11" t="s">
        <v>14</v>
      </c>
      <c r="D12" s="11" t="s">
        <v>374</v>
      </c>
      <c r="E12" s="11" t="s">
        <v>375</v>
      </c>
      <c r="F12" s="11" t="s">
        <v>158</v>
      </c>
      <c r="G12" s="12">
        <v>45736</v>
      </c>
      <c r="H12" s="12">
        <v>45749</v>
      </c>
      <c r="I12" s="11" t="s">
        <v>60</v>
      </c>
      <c r="J12" s="11" t="s">
        <v>60</v>
      </c>
      <c r="K12" s="11" t="s">
        <v>16</v>
      </c>
      <c r="L12" s="12">
        <v>45748</v>
      </c>
      <c r="M12" s="12">
        <v>45749</v>
      </c>
      <c r="N12" s="44">
        <f t="shared" si="1"/>
        <v>1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56564640</v>
      </c>
      <c r="B13" s="11" t="str">
        <f t="shared" si="0"/>
        <v>5.656.464-0</v>
      </c>
      <c r="C13" s="11" t="s">
        <v>14</v>
      </c>
      <c r="D13" s="11" t="s">
        <v>235</v>
      </c>
      <c r="E13" s="11" t="s">
        <v>380</v>
      </c>
      <c r="F13" s="11" t="s">
        <v>328</v>
      </c>
      <c r="G13" s="12">
        <v>45734</v>
      </c>
      <c r="H13" s="12">
        <v>45749</v>
      </c>
      <c r="I13" s="11" t="s">
        <v>74</v>
      </c>
      <c r="J13" s="11" t="s">
        <v>60</v>
      </c>
      <c r="K13" s="11" t="s">
        <v>18</v>
      </c>
      <c r="L13" s="12">
        <v>45748</v>
      </c>
      <c r="M13" s="12">
        <v>45749</v>
      </c>
      <c r="N13" s="44">
        <f t="shared" si="1"/>
        <v>1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56564640</v>
      </c>
      <c r="B14" s="11" t="str">
        <f t="shared" si="0"/>
        <v>5.656.464-0</v>
      </c>
      <c r="C14" s="11" t="s">
        <v>14</v>
      </c>
      <c r="D14" s="11" t="s">
        <v>235</v>
      </c>
      <c r="E14" s="11" t="s">
        <v>380</v>
      </c>
      <c r="F14" s="11" t="s">
        <v>328</v>
      </c>
      <c r="G14" s="12">
        <v>45734</v>
      </c>
      <c r="H14" s="12">
        <v>45749</v>
      </c>
      <c r="I14" s="11" t="s">
        <v>74</v>
      </c>
      <c r="J14" s="11" t="s">
        <v>60</v>
      </c>
      <c r="K14" s="11" t="s">
        <v>17</v>
      </c>
      <c r="L14" s="12">
        <v>45748</v>
      </c>
      <c r="M14" s="12">
        <v>45749</v>
      </c>
      <c r="N14" s="44">
        <f t="shared" si="1"/>
        <v>1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56564641</v>
      </c>
      <c r="B15" s="11" t="str">
        <f t="shared" si="0"/>
        <v>5.656.464-1</v>
      </c>
      <c r="C15" s="11" t="s">
        <v>14</v>
      </c>
      <c r="D15" s="11" t="s">
        <v>235</v>
      </c>
      <c r="E15" s="11" t="s">
        <v>380</v>
      </c>
      <c r="F15" s="11" t="s">
        <v>328</v>
      </c>
      <c r="G15" s="12">
        <v>45734</v>
      </c>
      <c r="H15" s="12">
        <v>45749</v>
      </c>
      <c r="I15" s="11" t="s">
        <v>74</v>
      </c>
      <c r="J15" s="11" t="s">
        <v>60</v>
      </c>
      <c r="K15" s="11" t="s">
        <v>349</v>
      </c>
      <c r="L15" s="12">
        <v>45748</v>
      </c>
      <c r="M15" s="12">
        <v>45749</v>
      </c>
      <c r="N15" s="44">
        <f t="shared" si="1"/>
        <v>1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 t="s">
        <v>392</v>
      </c>
      <c r="B16" s="11" t="str">
        <f t="shared" si="0"/>
        <v>6.753.400-K</v>
      </c>
      <c r="C16" s="11" t="s">
        <v>14</v>
      </c>
      <c r="D16" s="11" t="s">
        <v>381</v>
      </c>
      <c r="E16" s="11" t="s">
        <v>393</v>
      </c>
      <c r="F16" s="11" t="s">
        <v>394</v>
      </c>
      <c r="G16" s="12">
        <v>45738</v>
      </c>
      <c r="H16" s="12">
        <v>45759</v>
      </c>
      <c r="I16" s="11" t="s">
        <v>15</v>
      </c>
      <c r="J16" s="11" t="s">
        <v>60</v>
      </c>
      <c r="K16" s="11" t="s">
        <v>17</v>
      </c>
      <c r="L16" s="12">
        <v>45748</v>
      </c>
      <c r="M16" s="12">
        <v>45759</v>
      </c>
      <c r="N16" s="44">
        <f t="shared" ref="N16:N105" si="2">+M16-L16</f>
        <v>11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 t="s">
        <v>392</v>
      </c>
      <c r="B17" s="11" t="str">
        <f t="shared" si="0"/>
        <v>6.753.400-K</v>
      </c>
      <c r="C17" s="11" t="s">
        <v>14</v>
      </c>
      <c r="D17" s="11" t="s">
        <v>381</v>
      </c>
      <c r="E17" s="11" t="s">
        <v>393</v>
      </c>
      <c r="F17" s="11" t="s">
        <v>394</v>
      </c>
      <c r="G17" s="12">
        <v>45738</v>
      </c>
      <c r="H17" s="12">
        <v>45759</v>
      </c>
      <c r="I17" s="11" t="s">
        <v>15</v>
      </c>
      <c r="J17" s="11" t="s">
        <v>60</v>
      </c>
      <c r="K17" s="11" t="s">
        <v>16</v>
      </c>
      <c r="L17" s="12">
        <v>45748</v>
      </c>
      <c r="M17" s="12">
        <v>45759</v>
      </c>
      <c r="N17" s="44">
        <f t="shared" si="2"/>
        <v>11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 t="s">
        <v>392</v>
      </c>
      <c r="B18" s="11" t="str">
        <f t="shared" si="0"/>
        <v>6.753.400-K</v>
      </c>
      <c r="C18" s="11" t="s">
        <v>14</v>
      </c>
      <c r="D18" s="11" t="s">
        <v>381</v>
      </c>
      <c r="E18" s="11" t="s">
        <v>393</v>
      </c>
      <c r="F18" s="11" t="s">
        <v>394</v>
      </c>
      <c r="G18" s="12">
        <v>45738</v>
      </c>
      <c r="H18" s="12">
        <v>45759</v>
      </c>
      <c r="I18" s="11" t="s">
        <v>15</v>
      </c>
      <c r="J18" s="11" t="s">
        <v>60</v>
      </c>
      <c r="K18" s="11" t="s">
        <v>18</v>
      </c>
      <c r="L18" s="12">
        <v>45748</v>
      </c>
      <c r="M18" s="39">
        <v>45753</v>
      </c>
      <c r="N18" s="44">
        <f t="shared" si="2"/>
        <v>5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94482380</v>
      </c>
      <c r="B19" s="11" t="str">
        <f t="shared" si="0"/>
        <v>9.448.238-0</v>
      </c>
      <c r="C19" s="11" t="s">
        <v>14</v>
      </c>
      <c r="D19" s="11" t="s">
        <v>143</v>
      </c>
      <c r="E19" s="11" t="s">
        <v>408</v>
      </c>
      <c r="F19" s="11" t="s">
        <v>409</v>
      </c>
      <c r="G19" s="12">
        <v>45742</v>
      </c>
      <c r="H19" s="12">
        <v>45752</v>
      </c>
      <c r="I19" s="11" t="s">
        <v>15</v>
      </c>
      <c r="J19" s="11" t="s">
        <v>60</v>
      </c>
      <c r="K19" s="11" t="s">
        <v>16</v>
      </c>
      <c r="L19" s="12">
        <v>45748</v>
      </c>
      <c r="M19" s="12">
        <v>45752</v>
      </c>
      <c r="N19" s="44">
        <f t="shared" si="2"/>
        <v>4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94482380</v>
      </c>
      <c r="B20" s="11" t="str">
        <f t="shared" si="0"/>
        <v>9.448.238-0</v>
      </c>
      <c r="C20" s="11" t="s">
        <v>14</v>
      </c>
      <c r="D20" s="11" t="s">
        <v>143</v>
      </c>
      <c r="E20" s="11" t="s">
        <v>408</v>
      </c>
      <c r="F20" s="11" t="s">
        <v>409</v>
      </c>
      <c r="G20" s="12">
        <v>45742</v>
      </c>
      <c r="H20" s="12">
        <v>45752</v>
      </c>
      <c r="I20" s="11" t="s">
        <v>15</v>
      </c>
      <c r="J20" s="11" t="s">
        <v>60</v>
      </c>
      <c r="K20" s="11" t="s">
        <v>17</v>
      </c>
      <c r="L20" s="12">
        <v>45748</v>
      </c>
      <c r="M20" s="12">
        <v>45752</v>
      </c>
      <c r="N20" s="44">
        <f t="shared" si="2"/>
        <v>4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81644748</v>
      </c>
      <c r="B21" s="11" t="str">
        <f t="shared" si="0"/>
        <v>8.164.474-8</v>
      </c>
      <c r="C21" s="11" t="s">
        <v>14</v>
      </c>
      <c r="D21" s="11" t="s">
        <v>134</v>
      </c>
      <c r="E21" s="11" t="s">
        <v>310</v>
      </c>
      <c r="F21" s="11" t="s">
        <v>414</v>
      </c>
      <c r="G21" s="12">
        <v>45748</v>
      </c>
      <c r="H21" s="12">
        <v>45750</v>
      </c>
      <c r="I21" s="11" t="s">
        <v>15</v>
      </c>
      <c r="J21" s="11" t="s">
        <v>416</v>
      </c>
      <c r="K21" s="11" t="s">
        <v>18</v>
      </c>
      <c r="L21" s="12">
        <v>45748</v>
      </c>
      <c r="M21" s="12">
        <v>45750</v>
      </c>
      <c r="N21" s="44">
        <f t="shared" si="2"/>
        <v>2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81644748</v>
      </c>
      <c r="B22" s="11" t="str">
        <f t="shared" si="0"/>
        <v>8.164.474-8</v>
      </c>
      <c r="C22" s="11" t="s">
        <v>14</v>
      </c>
      <c r="D22" s="11" t="s">
        <v>134</v>
      </c>
      <c r="E22" s="11" t="s">
        <v>310</v>
      </c>
      <c r="F22" s="11" t="s">
        <v>414</v>
      </c>
      <c r="G22" s="12">
        <v>45748</v>
      </c>
      <c r="H22" s="12">
        <v>45750</v>
      </c>
      <c r="I22" s="11" t="s">
        <v>15</v>
      </c>
      <c r="J22" s="11" t="s">
        <v>416</v>
      </c>
      <c r="K22" s="11" t="s">
        <v>16</v>
      </c>
      <c r="L22" s="12">
        <v>45748</v>
      </c>
      <c r="M22" s="12">
        <v>45750</v>
      </c>
      <c r="N22" s="44">
        <f t="shared" si="2"/>
        <v>2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81644748</v>
      </c>
      <c r="B23" s="11" t="str">
        <f t="shared" si="0"/>
        <v>8.164.474-8</v>
      </c>
      <c r="C23" s="11" t="s">
        <v>14</v>
      </c>
      <c r="D23" s="11" t="s">
        <v>134</v>
      </c>
      <c r="E23" s="11" t="s">
        <v>310</v>
      </c>
      <c r="F23" s="11" t="s">
        <v>414</v>
      </c>
      <c r="G23" s="12">
        <v>45748</v>
      </c>
      <c r="H23" s="12">
        <v>45750</v>
      </c>
      <c r="I23" s="11" t="s">
        <v>15</v>
      </c>
      <c r="J23" s="11" t="s">
        <v>416</v>
      </c>
      <c r="K23" s="11" t="s">
        <v>17</v>
      </c>
      <c r="L23" s="12">
        <v>45748</v>
      </c>
      <c r="M23" s="12">
        <v>45750</v>
      </c>
      <c r="N23" s="44">
        <f t="shared" si="2"/>
        <v>2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81644748</v>
      </c>
      <c r="B24" s="11" t="str">
        <f t="shared" si="0"/>
        <v>8.164.474-8</v>
      </c>
      <c r="C24" s="11" t="s">
        <v>14</v>
      </c>
      <c r="D24" s="11" t="s">
        <v>134</v>
      </c>
      <c r="E24" s="11" t="s">
        <v>310</v>
      </c>
      <c r="F24" s="11" t="s">
        <v>414</v>
      </c>
      <c r="G24" s="12">
        <v>45748</v>
      </c>
      <c r="H24" s="12">
        <v>45750</v>
      </c>
      <c r="I24" s="11" t="s">
        <v>15</v>
      </c>
      <c r="J24" s="11" t="s">
        <v>416</v>
      </c>
      <c r="K24" s="11" t="s">
        <v>415</v>
      </c>
      <c r="L24" s="12">
        <v>45748</v>
      </c>
      <c r="M24" s="12">
        <v>45750</v>
      </c>
      <c r="N24" s="44">
        <f t="shared" si="2"/>
        <v>2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 t="s">
        <v>417</v>
      </c>
      <c r="B25" s="11" t="str">
        <f t="shared" si="0"/>
        <v>8.284.502-k</v>
      </c>
      <c r="C25" s="11" t="s">
        <v>14</v>
      </c>
      <c r="D25" s="11" t="s">
        <v>418</v>
      </c>
      <c r="E25" s="11" t="s">
        <v>419</v>
      </c>
      <c r="F25" s="11" t="s">
        <v>127</v>
      </c>
      <c r="G25" s="12">
        <v>45747</v>
      </c>
      <c r="H25" s="12">
        <v>45757</v>
      </c>
      <c r="I25" s="11" t="s">
        <v>47</v>
      </c>
      <c r="J25" s="11" t="s">
        <v>75</v>
      </c>
      <c r="K25" s="11" t="s">
        <v>349</v>
      </c>
      <c r="L25" s="12">
        <v>45748</v>
      </c>
      <c r="M25" s="12">
        <v>45757</v>
      </c>
      <c r="N25" s="44">
        <f t="shared" si="2"/>
        <v>9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 t="s">
        <v>417</v>
      </c>
      <c r="B26" s="11" t="str">
        <f t="shared" si="0"/>
        <v>8.284.502-k</v>
      </c>
      <c r="C26" s="11" t="s">
        <v>14</v>
      </c>
      <c r="D26" s="11" t="s">
        <v>418</v>
      </c>
      <c r="E26" s="11" t="s">
        <v>419</v>
      </c>
      <c r="F26" s="11" t="s">
        <v>127</v>
      </c>
      <c r="G26" s="12">
        <v>45747</v>
      </c>
      <c r="H26" s="12">
        <v>45757</v>
      </c>
      <c r="I26" s="11" t="s">
        <v>47</v>
      </c>
      <c r="J26" s="11" t="s">
        <v>75</v>
      </c>
      <c r="K26" s="11" t="s">
        <v>17</v>
      </c>
      <c r="L26" s="12">
        <v>45748</v>
      </c>
      <c r="M26" s="12">
        <v>45757</v>
      </c>
      <c r="N26" s="44">
        <f t="shared" si="2"/>
        <v>9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58725072</v>
      </c>
      <c r="B27" s="11" t="str">
        <f t="shared" si="0"/>
        <v>5.872.507-2</v>
      </c>
      <c r="C27" s="11" t="s">
        <v>14</v>
      </c>
      <c r="D27" s="11" t="s">
        <v>420</v>
      </c>
      <c r="E27" s="11" t="s">
        <v>420</v>
      </c>
      <c r="F27" s="11" t="s">
        <v>223</v>
      </c>
      <c r="G27" s="12">
        <v>45748</v>
      </c>
      <c r="H27" s="12">
        <v>45750</v>
      </c>
      <c r="I27" s="11" t="s">
        <v>15</v>
      </c>
      <c r="J27" s="11" t="s">
        <v>200</v>
      </c>
      <c r="K27" s="11" t="s">
        <v>16</v>
      </c>
      <c r="L27" s="12">
        <v>45748</v>
      </c>
      <c r="M27" s="12">
        <v>45750</v>
      </c>
      <c r="N27" s="44">
        <f t="shared" si="2"/>
        <v>2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58725072</v>
      </c>
      <c r="B28" s="11" t="str">
        <f t="shared" si="0"/>
        <v>5.872.507-2</v>
      </c>
      <c r="C28" s="11" t="s">
        <v>14</v>
      </c>
      <c r="D28" s="11" t="s">
        <v>420</v>
      </c>
      <c r="E28" s="11" t="s">
        <v>420</v>
      </c>
      <c r="F28" s="11" t="s">
        <v>223</v>
      </c>
      <c r="G28" s="12">
        <v>45748</v>
      </c>
      <c r="H28" s="12">
        <v>45750</v>
      </c>
      <c r="I28" s="11" t="s">
        <v>15</v>
      </c>
      <c r="J28" s="11" t="s">
        <v>200</v>
      </c>
      <c r="K28" s="11" t="s">
        <v>17</v>
      </c>
      <c r="L28" s="12">
        <v>45748</v>
      </c>
      <c r="M28" s="12">
        <v>45750</v>
      </c>
      <c r="N28" s="44">
        <f t="shared" si="2"/>
        <v>2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79522015</v>
      </c>
      <c r="B29" s="11" t="str">
        <f t="shared" si="0"/>
        <v>7.952.201-5</v>
      </c>
      <c r="C29" s="11" t="s">
        <v>14</v>
      </c>
      <c r="D29" s="11" t="s">
        <v>421</v>
      </c>
      <c r="E29" s="11" t="s">
        <v>376</v>
      </c>
      <c r="F29" s="11" t="s">
        <v>223</v>
      </c>
      <c r="G29" s="12">
        <v>45749</v>
      </c>
      <c r="H29" s="12">
        <v>45751</v>
      </c>
      <c r="I29" s="11" t="s">
        <v>74</v>
      </c>
      <c r="J29" s="11" t="s">
        <v>200</v>
      </c>
      <c r="K29" s="11" t="s">
        <v>16</v>
      </c>
      <c r="L29" s="12">
        <v>45749</v>
      </c>
      <c r="M29" s="12">
        <v>45751</v>
      </c>
      <c r="N29" s="44">
        <f t="shared" si="2"/>
        <v>2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78681217</v>
      </c>
      <c r="B30" s="11" t="str">
        <f t="shared" si="0"/>
        <v>7.868.121-7</v>
      </c>
      <c r="C30" s="11" t="s">
        <v>14</v>
      </c>
      <c r="D30" s="11" t="s">
        <v>120</v>
      </c>
      <c r="E30" s="11" t="s">
        <v>422</v>
      </c>
      <c r="F30" s="11" t="s">
        <v>423</v>
      </c>
      <c r="G30" s="12">
        <v>45749</v>
      </c>
      <c r="H30" s="12">
        <v>45753</v>
      </c>
      <c r="I30" s="11" t="s">
        <v>15</v>
      </c>
      <c r="J30" s="11" t="s">
        <v>200</v>
      </c>
      <c r="K30" s="11" t="s">
        <v>17</v>
      </c>
      <c r="L30" s="12">
        <v>45749</v>
      </c>
      <c r="M30" s="12">
        <v>45753</v>
      </c>
      <c r="N30" s="44">
        <f t="shared" si="2"/>
        <v>4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78681217</v>
      </c>
      <c r="B31" s="11" t="str">
        <f t="shared" si="0"/>
        <v>7.868.121-7</v>
      </c>
      <c r="C31" s="11" t="s">
        <v>14</v>
      </c>
      <c r="D31" s="11" t="s">
        <v>120</v>
      </c>
      <c r="E31" s="11" t="s">
        <v>422</v>
      </c>
      <c r="F31" s="11" t="s">
        <v>423</v>
      </c>
      <c r="G31" s="12">
        <v>45749</v>
      </c>
      <c r="H31" s="12">
        <v>45753</v>
      </c>
      <c r="I31" s="11" t="s">
        <v>15</v>
      </c>
      <c r="J31" s="11" t="s">
        <v>200</v>
      </c>
      <c r="K31" s="11" t="s">
        <v>16</v>
      </c>
      <c r="L31" s="12">
        <v>45749</v>
      </c>
      <c r="M31" s="12">
        <v>45753</v>
      </c>
      <c r="N31" s="44">
        <f t="shared" si="2"/>
        <v>4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101495280</v>
      </c>
      <c r="B32" s="11" t="str">
        <f t="shared" si="0"/>
        <v>10.149.528-0</v>
      </c>
      <c r="C32" s="11" t="s">
        <v>14</v>
      </c>
      <c r="D32" s="11" t="s">
        <v>101</v>
      </c>
      <c r="E32" s="11" t="s">
        <v>177</v>
      </c>
      <c r="F32" s="11" t="s">
        <v>334</v>
      </c>
      <c r="G32" s="12">
        <v>45755</v>
      </c>
      <c r="H32" s="12">
        <v>45759</v>
      </c>
      <c r="I32" s="11" t="s">
        <v>15</v>
      </c>
      <c r="J32" s="11" t="s">
        <v>60</v>
      </c>
      <c r="K32" s="11" t="s">
        <v>17</v>
      </c>
      <c r="L32" s="12">
        <v>45755</v>
      </c>
      <c r="M32" s="12">
        <v>45759</v>
      </c>
      <c r="N32" s="44">
        <f t="shared" si="2"/>
        <v>4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 t="s">
        <v>424</v>
      </c>
      <c r="B33" s="11" t="str">
        <f t="shared" si="0"/>
        <v>17.510.271-K</v>
      </c>
      <c r="C33" s="11" t="s">
        <v>14</v>
      </c>
      <c r="D33" s="11" t="s">
        <v>425</v>
      </c>
      <c r="E33" s="11" t="s">
        <v>396</v>
      </c>
      <c r="F33" s="11" t="s">
        <v>400</v>
      </c>
      <c r="G33" s="12">
        <v>45753</v>
      </c>
      <c r="H33" s="12">
        <v>45756</v>
      </c>
      <c r="I33" s="11" t="s">
        <v>15</v>
      </c>
      <c r="J33" s="11" t="s">
        <v>28</v>
      </c>
      <c r="K33" s="11" t="s">
        <v>16</v>
      </c>
      <c r="L33" s="12">
        <v>45753</v>
      </c>
      <c r="M33" s="12">
        <v>45756</v>
      </c>
      <c r="N33" s="44">
        <f t="shared" si="2"/>
        <v>3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 t="s">
        <v>424</v>
      </c>
      <c r="B34" s="11" t="str">
        <f t="shared" si="0"/>
        <v>17.510.271-K</v>
      </c>
      <c r="C34" s="11" t="s">
        <v>14</v>
      </c>
      <c r="D34" s="11" t="s">
        <v>425</v>
      </c>
      <c r="E34" s="11" t="s">
        <v>396</v>
      </c>
      <c r="F34" s="11" t="s">
        <v>400</v>
      </c>
      <c r="G34" s="12">
        <v>45753</v>
      </c>
      <c r="H34" s="12">
        <v>45756</v>
      </c>
      <c r="I34" s="11" t="s">
        <v>15</v>
      </c>
      <c r="J34" s="11" t="s">
        <v>28</v>
      </c>
      <c r="K34" s="11" t="s">
        <v>17</v>
      </c>
      <c r="L34" s="12">
        <v>45753</v>
      </c>
      <c r="M34" s="12">
        <v>45756</v>
      </c>
      <c r="N34" s="44">
        <f t="shared" si="2"/>
        <v>3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 t="s">
        <v>424</v>
      </c>
      <c r="B35" s="11" t="str">
        <f t="shared" si="0"/>
        <v>17.510.271-K</v>
      </c>
      <c r="C35" s="11" t="s">
        <v>14</v>
      </c>
      <c r="D35" s="11" t="s">
        <v>425</v>
      </c>
      <c r="E35" s="11" t="s">
        <v>396</v>
      </c>
      <c r="F35" s="11" t="s">
        <v>400</v>
      </c>
      <c r="G35" s="12">
        <v>45753</v>
      </c>
      <c r="H35" s="12">
        <v>45756</v>
      </c>
      <c r="I35" s="11" t="s">
        <v>15</v>
      </c>
      <c r="J35" s="11" t="s">
        <v>28</v>
      </c>
      <c r="K35" s="11" t="s">
        <v>18</v>
      </c>
      <c r="L35" s="12">
        <v>45753</v>
      </c>
      <c r="M35" s="12">
        <v>45754</v>
      </c>
      <c r="N35" s="44">
        <f t="shared" si="2"/>
        <v>1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219953224</v>
      </c>
      <c r="B36" s="11" t="str">
        <f t="shared" si="0"/>
        <v>21.995.322-4</v>
      </c>
      <c r="C36" s="11" t="s">
        <v>14</v>
      </c>
      <c r="D36" s="11" t="s">
        <v>426</v>
      </c>
      <c r="E36" s="11" t="s">
        <v>427</v>
      </c>
      <c r="F36" s="11" t="s">
        <v>428</v>
      </c>
      <c r="G36" s="12">
        <v>45753</v>
      </c>
      <c r="H36" s="12">
        <v>45761</v>
      </c>
      <c r="I36" s="11" t="s">
        <v>15</v>
      </c>
      <c r="J36" s="11" t="s">
        <v>348</v>
      </c>
      <c r="K36" s="11" t="s">
        <v>16</v>
      </c>
      <c r="L36" s="12">
        <v>45753</v>
      </c>
      <c r="M36" s="39">
        <v>45758</v>
      </c>
      <c r="N36" s="44">
        <f t="shared" si="2"/>
        <v>5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219953224</v>
      </c>
      <c r="B37" s="11" t="str">
        <f t="shared" si="0"/>
        <v>21.995.322-4</v>
      </c>
      <c r="C37" s="11" t="s">
        <v>14</v>
      </c>
      <c r="D37" s="11" t="s">
        <v>426</v>
      </c>
      <c r="E37" s="11" t="s">
        <v>427</v>
      </c>
      <c r="F37" s="11" t="s">
        <v>428</v>
      </c>
      <c r="G37" s="12">
        <v>45753</v>
      </c>
      <c r="H37" s="12">
        <v>45761</v>
      </c>
      <c r="I37" s="11" t="s">
        <v>15</v>
      </c>
      <c r="J37" s="11" t="s">
        <v>348</v>
      </c>
      <c r="K37" s="11" t="s">
        <v>17</v>
      </c>
      <c r="L37" s="12">
        <v>45753</v>
      </c>
      <c r="M37" s="39">
        <v>45758</v>
      </c>
      <c r="N37" s="44">
        <f t="shared" si="2"/>
        <v>5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219953224</v>
      </c>
      <c r="B38" s="11" t="str">
        <f t="shared" si="0"/>
        <v>21.995.322-4</v>
      </c>
      <c r="C38" s="11" t="s">
        <v>14</v>
      </c>
      <c r="D38" s="11" t="s">
        <v>426</v>
      </c>
      <c r="E38" s="11" t="s">
        <v>427</v>
      </c>
      <c r="F38" s="11" t="s">
        <v>428</v>
      </c>
      <c r="G38" s="12">
        <v>45753</v>
      </c>
      <c r="H38" s="12">
        <v>45761</v>
      </c>
      <c r="I38" s="11" t="s">
        <v>15</v>
      </c>
      <c r="J38" s="11" t="s">
        <v>348</v>
      </c>
      <c r="K38" s="11" t="s">
        <v>18</v>
      </c>
      <c r="L38" s="12">
        <v>45753</v>
      </c>
      <c r="M38" s="39">
        <v>45758</v>
      </c>
      <c r="N38" s="44">
        <f t="shared" si="2"/>
        <v>5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171701775</v>
      </c>
      <c r="B39" s="11" t="str">
        <f t="shared" si="0"/>
        <v>17.170.177-5</v>
      </c>
      <c r="C39" s="11" t="s">
        <v>14</v>
      </c>
      <c r="D39" s="11" t="s">
        <v>203</v>
      </c>
      <c r="E39" s="11" t="s">
        <v>203</v>
      </c>
      <c r="F39" s="11" t="s">
        <v>192</v>
      </c>
      <c r="G39" s="12">
        <v>45754</v>
      </c>
      <c r="H39" s="12">
        <v>45766</v>
      </c>
      <c r="I39" s="11" t="s">
        <v>15</v>
      </c>
      <c r="J39" s="11" t="s">
        <v>342</v>
      </c>
      <c r="K39" s="11" t="s">
        <v>16</v>
      </c>
      <c r="L39" s="12">
        <v>45754</v>
      </c>
      <c r="M39" s="39">
        <v>45764</v>
      </c>
      <c r="N39" s="44">
        <f t="shared" si="2"/>
        <v>10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171701775</v>
      </c>
      <c r="B40" s="11" t="str">
        <f t="shared" si="0"/>
        <v>17.170.177-5</v>
      </c>
      <c r="C40" s="11" t="s">
        <v>14</v>
      </c>
      <c r="D40" s="11" t="s">
        <v>203</v>
      </c>
      <c r="E40" s="11" t="s">
        <v>203</v>
      </c>
      <c r="F40" s="11" t="s">
        <v>192</v>
      </c>
      <c r="G40" s="12">
        <v>45754</v>
      </c>
      <c r="H40" s="12">
        <v>45766</v>
      </c>
      <c r="I40" s="11" t="s">
        <v>15</v>
      </c>
      <c r="J40" s="11" t="s">
        <v>342</v>
      </c>
      <c r="K40" s="11" t="s">
        <v>17</v>
      </c>
      <c r="L40" s="12">
        <v>45754</v>
      </c>
      <c r="M40" s="39">
        <v>45766</v>
      </c>
      <c r="N40" s="44">
        <f t="shared" si="2"/>
        <v>12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171701775</v>
      </c>
      <c r="B41" s="11" t="str">
        <f t="shared" si="0"/>
        <v>17.170.177-5</v>
      </c>
      <c r="C41" s="11" t="s">
        <v>14</v>
      </c>
      <c r="D41" s="11" t="s">
        <v>203</v>
      </c>
      <c r="E41" s="11" t="s">
        <v>203</v>
      </c>
      <c r="F41" s="11" t="s">
        <v>192</v>
      </c>
      <c r="G41" s="12">
        <v>45754</v>
      </c>
      <c r="H41" s="12">
        <v>45766</v>
      </c>
      <c r="I41" s="11" t="s">
        <v>15</v>
      </c>
      <c r="J41" s="11" t="s">
        <v>342</v>
      </c>
      <c r="K41" s="11" t="s">
        <v>18</v>
      </c>
      <c r="L41" s="12">
        <v>45754</v>
      </c>
      <c r="M41" s="39">
        <v>45764</v>
      </c>
      <c r="N41" s="44">
        <f t="shared" si="2"/>
        <v>10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160384409</v>
      </c>
      <c r="B42" s="11" t="str">
        <f t="shared" si="0"/>
        <v>16.038.440-9</v>
      </c>
      <c r="C42" s="11" t="s">
        <v>14</v>
      </c>
      <c r="D42" s="11" t="s">
        <v>365</v>
      </c>
      <c r="E42" s="11" t="s">
        <v>381</v>
      </c>
      <c r="F42" s="11" t="s">
        <v>429</v>
      </c>
      <c r="G42" s="12">
        <v>45754</v>
      </c>
      <c r="H42" s="12">
        <v>45757</v>
      </c>
      <c r="I42" s="11" t="s">
        <v>47</v>
      </c>
      <c r="J42" s="11" t="s">
        <v>60</v>
      </c>
      <c r="K42" s="11" t="s">
        <v>16</v>
      </c>
      <c r="L42" s="12">
        <v>45754</v>
      </c>
      <c r="M42" s="12">
        <v>45757</v>
      </c>
      <c r="N42" s="44">
        <f t="shared" si="2"/>
        <v>3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160384409</v>
      </c>
      <c r="B43" s="11" t="str">
        <f t="shared" si="0"/>
        <v>16.038.440-9</v>
      </c>
      <c r="C43" s="11" t="s">
        <v>14</v>
      </c>
      <c r="D43" s="11" t="s">
        <v>365</v>
      </c>
      <c r="E43" s="11" t="s">
        <v>381</v>
      </c>
      <c r="F43" s="11" t="s">
        <v>429</v>
      </c>
      <c r="G43" s="12">
        <v>45754</v>
      </c>
      <c r="H43" s="12">
        <v>45757</v>
      </c>
      <c r="I43" s="11" t="s">
        <v>47</v>
      </c>
      <c r="J43" s="11" t="s">
        <v>60</v>
      </c>
      <c r="K43" s="11" t="s">
        <v>17</v>
      </c>
      <c r="L43" s="12">
        <v>45754</v>
      </c>
      <c r="M43" s="12">
        <v>45757</v>
      </c>
      <c r="N43" s="44">
        <f t="shared" si="2"/>
        <v>3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227127678</v>
      </c>
      <c r="B44" s="11" t="str">
        <f t="shared" si="0"/>
        <v>22.712.767-8</v>
      </c>
      <c r="C44" s="11" t="s">
        <v>14</v>
      </c>
      <c r="D44" s="11" t="s">
        <v>269</v>
      </c>
      <c r="E44" s="11" t="s">
        <v>148</v>
      </c>
      <c r="F44" s="11" t="s">
        <v>192</v>
      </c>
      <c r="G44" s="12">
        <v>45751</v>
      </c>
      <c r="H44" s="12">
        <v>45756</v>
      </c>
      <c r="I44" s="11" t="s">
        <v>47</v>
      </c>
      <c r="J44" s="11" t="s">
        <v>60</v>
      </c>
      <c r="K44" s="11" t="s">
        <v>16</v>
      </c>
      <c r="L44" s="12">
        <v>45751</v>
      </c>
      <c r="M44" s="12">
        <v>45756</v>
      </c>
      <c r="N44" s="44">
        <f t="shared" si="2"/>
        <v>5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136056506</v>
      </c>
      <c r="B45" s="11" t="str">
        <f t="shared" si="0"/>
        <v>13.605.650-6</v>
      </c>
      <c r="C45" s="11" t="s">
        <v>14</v>
      </c>
      <c r="D45" s="11" t="s">
        <v>283</v>
      </c>
      <c r="E45" s="11" t="s">
        <v>430</v>
      </c>
      <c r="F45" s="11" t="s">
        <v>431</v>
      </c>
      <c r="G45" s="12">
        <v>45752</v>
      </c>
      <c r="H45" s="12">
        <v>45755</v>
      </c>
      <c r="I45" s="11" t="s">
        <v>15</v>
      </c>
      <c r="J45" s="11" t="s">
        <v>60</v>
      </c>
      <c r="K45" s="11" t="s">
        <v>16</v>
      </c>
      <c r="L45" s="12">
        <v>45752</v>
      </c>
      <c r="M45" s="12">
        <v>45755</v>
      </c>
      <c r="N45" s="44">
        <f t="shared" si="2"/>
        <v>3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136056506</v>
      </c>
      <c r="B46" s="11" t="str">
        <f t="shared" si="0"/>
        <v>13.605.650-6</v>
      </c>
      <c r="C46" s="11" t="s">
        <v>14</v>
      </c>
      <c r="D46" s="11" t="s">
        <v>283</v>
      </c>
      <c r="E46" s="11" t="s">
        <v>430</v>
      </c>
      <c r="F46" s="11" t="s">
        <v>431</v>
      </c>
      <c r="G46" s="12">
        <v>45752</v>
      </c>
      <c r="H46" s="12">
        <v>45755</v>
      </c>
      <c r="I46" s="11" t="s">
        <v>15</v>
      </c>
      <c r="J46" s="11" t="s">
        <v>60</v>
      </c>
      <c r="K46" s="11" t="s">
        <v>17</v>
      </c>
      <c r="L46" s="12">
        <v>45752</v>
      </c>
      <c r="M46" s="12">
        <v>45755</v>
      </c>
      <c r="N46" s="44">
        <f t="shared" si="2"/>
        <v>3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113514906</v>
      </c>
      <c r="B47" s="11" t="str">
        <f t="shared" si="0"/>
        <v>11.351.490-6</v>
      </c>
      <c r="C47" s="11" t="s">
        <v>14</v>
      </c>
      <c r="D47" s="11" t="s">
        <v>129</v>
      </c>
      <c r="E47" s="11" t="s">
        <v>432</v>
      </c>
      <c r="F47" s="11" t="s">
        <v>171</v>
      </c>
      <c r="G47" s="12">
        <v>45751</v>
      </c>
      <c r="H47" s="12">
        <v>45771</v>
      </c>
      <c r="I47" s="11" t="s">
        <v>15</v>
      </c>
      <c r="J47" s="11" t="s">
        <v>60</v>
      </c>
      <c r="K47" s="11" t="s">
        <v>16</v>
      </c>
      <c r="L47" s="12">
        <v>45751</v>
      </c>
      <c r="M47" s="39">
        <v>45771</v>
      </c>
      <c r="N47" s="44">
        <f t="shared" si="2"/>
        <v>20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113514906</v>
      </c>
      <c r="B48" s="11" t="str">
        <f t="shared" si="0"/>
        <v>11.351.490-6</v>
      </c>
      <c r="C48" s="11" t="s">
        <v>14</v>
      </c>
      <c r="D48" s="11" t="s">
        <v>129</v>
      </c>
      <c r="E48" s="11" t="s">
        <v>432</v>
      </c>
      <c r="F48" s="11" t="s">
        <v>171</v>
      </c>
      <c r="G48" s="12">
        <v>45751</v>
      </c>
      <c r="H48" s="12">
        <v>45771</v>
      </c>
      <c r="I48" s="11" t="s">
        <v>15</v>
      </c>
      <c r="J48" s="11" t="s">
        <v>60</v>
      </c>
      <c r="K48" s="11" t="s">
        <v>18</v>
      </c>
      <c r="L48" s="12">
        <v>45751</v>
      </c>
      <c r="M48" s="39">
        <v>45754</v>
      </c>
      <c r="N48" s="44">
        <f t="shared" si="2"/>
        <v>3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113514906</v>
      </c>
      <c r="B49" s="11" t="str">
        <f t="shared" si="0"/>
        <v>11.351.490-6</v>
      </c>
      <c r="C49" s="11" t="s">
        <v>14</v>
      </c>
      <c r="D49" s="11" t="s">
        <v>129</v>
      </c>
      <c r="E49" s="11" t="s">
        <v>432</v>
      </c>
      <c r="F49" s="11" t="s">
        <v>171</v>
      </c>
      <c r="G49" s="12">
        <v>45751</v>
      </c>
      <c r="H49" s="12">
        <v>45771</v>
      </c>
      <c r="I49" s="11" t="s">
        <v>15</v>
      </c>
      <c r="J49" s="11" t="s">
        <v>60</v>
      </c>
      <c r="K49" s="11" t="s">
        <v>18</v>
      </c>
      <c r="L49" s="12">
        <v>45755</v>
      </c>
      <c r="M49" s="39">
        <v>45769</v>
      </c>
      <c r="N49" s="44">
        <f t="shared" si="2"/>
        <v>14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 t="s">
        <v>436</v>
      </c>
      <c r="B50" s="11" t="str">
        <f t="shared" si="0"/>
        <v>15.186.340-k</v>
      </c>
      <c r="C50" s="11" t="s">
        <v>14</v>
      </c>
      <c r="D50" s="11" t="s">
        <v>104</v>
      </c>
      <c r="E50" s="11" t="s">
        <v>437</v>
      </c>
      <c r="F50" s="11" t="s">
        <v>438</v>
      </c>
      <c r="G50" s="12">
        <v>45755</v>
      </c>
      <c r="H50" s="12">
        <v>45759</v>
      </c>
      <c r="I50" s="11" t="s">
        <v>15</v>
      </c>
      <c r="J50" s="11" t="s">
        <v>60</v>
      </c>
      <c r="K50" s="11" t="s">
        <v>16</v>
      </c>
      <c r="L50" s="12">
        <v>45755</v>
      </c>
      <c r="M50" s="12">
        <v>45759</v>
      </c>
      <c r="N50" s="44">
        <f t="shared" si="2"/>
        <v>4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144040171</v>
      </c>
      <c r="B51" s="11" t="str">
        <f t="shared" si="0"/>
        <v>14.404.017-1</v>
      </c>
      <c r="C51" s="11" t="s">
        <v>14</v>
      </c>
      <c r="D51" s="11" t="s">
        <v>202</v>
      </c>
      <c r="E51" s="11" t="s">
        <v>439</v>
      </c>
      <c r="F51" s="11" t="s">
        <v>149</v>
      </c>
      <c r="G51" s="12">
        <v>45756</v>
      </c>
      <c r="H51" s="12">
        <v>45763</v>
      </c>
      <c r="I51" s="11" t="s">
        <v>15</v>
      </c>
      <c r="J51" s="11" t="s">
        <v>60</v>
      </c>
      <c r="K51" s="11" t="s">
        <v>16</v>
      </c>
      <c r="L51" s="12">
        <v>45756</v>
      </c>
      <c r="M51" s="12">
        <v>45763</v>
      </c>
      <c r="N51" s="44">
        <f t="shared" si="2"/>
        <v>7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144040171</v>
      </c>
      <c r="B52" s="11" t="str">
        <f t="shared" si="0"/>
        <v>14.404.017-1</v>
      </c>
      <c r="C52" s="11" t="s">
        <v>14</v>
      </c>
      <c r="D52" s="11" t="s">
        <v>202</v>
      </c>
      <c r="E52" s="11" t="s">
        <v>439</v>
      </c>
      <c r="F52" s="11" t="s">
        <v>149</v>
      </c>
      <c r="G52" s="12">
        <v>45756</v>
      </c>
      <c r="H52" s="12">
        <v>45763</v>
      </c>
      <c r="I52" s="11" t="s">
        <v>15</v>
      </c>
      <c r="J52" s="11" t="s">
        <v>60</v>
      </c>
      <c r="K52" s="11" t="s">
        <v>17</v>
      </c>
      <c r="L52" s="12">
        <v>45756</v>
      </c>
      <c r="M52" s="12">
        <v>45763</v>
      </c>
      <c r="N52" s="44">
        <f t="shared" si="2"/>
        <v>7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30" customHeight="1" x14ac:dyDescent="0.45">
      <c r="A53" s="10">
        <v>100823314</v>
      </c>
      <c r="B53" s="11" t="str">
        <f t="shared" si="0"/>
        <v>10.082.331-4</v>
      </c>
      <c r="C53" s="11" t="s">
        <v>14</v>
      </c>
      <c r="D53" s="11" t="s">
        <v>137</v>
      </c>
      <c r="E53" s="11" t="s">
        <v>440</v>
      </c>
      <c r="F53" s="11" t="s">
        <v>441</v>
      </c>
      <c r="G53" s="12">
        <v>45755</v>
      </c>
      <c r="H53" s="12">
        <v>45883</v>
      </c>
      <c r="I53" s="11" t="s">
        <v>15</v>
      </c>
      <c r="J53" s="11" t="s">
        <v>47</v>
      </c>
      <c r="K53" s="11" t="s">
        <v>16</v>
      </c>
      <c r="L53" s="12">
        <v>45755</v>
      </c>
      <c r="M53" s="12">
        <v>45761</v>
      </c>
      <c r="N53" s="44">
        <f t="shared" si="2"/>
        <v>6</v>
      </c>
      <c r="O53" s="44"/>
      <c r="P53" t="s">
        <v>942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173656572</v>
      </c>
      <c r="B54" s="11" t="str">
        <f t="shared" si="0"/>
        <v>17.365.657-2</v>
      </c>
      <c r="C54" s="11" t="s">
        <v>14</v>
      </c>
      <c r="D54" s="11" t="s">
        <v>154</v>
      </c>
      <c r="E54" s="11" t="s">
        <v>167</v>
      </c>
      <c r="F54" s="11" t="s">
        <v>442</v>
      </c>
      <c r="G54" s="12">
        <v>45760</v>
      </c>
      <c r="H54" s="12">
        <v>45765</v>
      </c>
      <c r="I54" s="11" t="s">
        <v>443</v>
      </c>
      <c r="J54" s="11" t="s">
        <v>444</v>
      </c>
      <c r="K54" s="11" t="s">
        <v>16</v>
      </c>
      <c r="L54" s="12">
        <v>45760</v>
      </c>
      <c r="M54" s="12">
        <v>45765</v>
      </c>
      <c r="N54" s="44">
        <f t="shared" si="2"/>
        <v>5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173656572</v>
      </c>
      <c r="B55" s="11" t="str">
        <f t="shared" si="0"/>
        <v>17.365.657-2</v>
      </c>
      <c r="C55" s="11" t="s">
        <v>14</v>
      </c>
      <c r="D55" s="11" t="s">
        <v>154</v>
      </c>
      <c r="E55" s="11" t="s">
        <v>167</v>
      </c>
      <c r="F55" s="11" t="s">
        <v>442</v>
      </c>
      <c r="G55" s="12">
        <v>45760</v>
      </c>
      <c r="H55" s="12">
        <v>45765</v>
      </c>
      <c r="I55" s="11" t="s">
        <v>443</v>
      </c>
      <c r="J55" s="11" t="s">
        <v>444</v>
      </c>
      <c r="K55" s="11" t="s">
        <v>17</v>
      </c>
      <c r="L55" s="12">
        <v>45760</v>
      </c>
      <c r="M55" s="12">
        <v>45765</v>
      </c>
      <c r="N55" s="44">
        <f t="shared" si="2"/>
        <v>5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70679930</v>
      </c>
      <c r="B56" s="11" t="str">
        <f t="shared" si="0"/>
        <v>7.067.993-0</v>
      </c>
      <c r="C56" s="11" t="s">
        <v>14</v>
      </c>
      <c r="D56" s="11" t="s">
        <v>445</v>
      </c>
      <c r="E56" s="11" t="s">
        <v>405</v>
      </c>
      <c r="F56" s="11" t="s">
        <v>446</v>
      </c>
      <c r="G56" s="12">
        <v>45760</v>
      </c>
      <c r="H56" s="12">
        <v>45762</v>
      </c>
      <c r="I56" s="11" t="s">
        <v>15</v>
      </c>
      <c r="J56" s="11" t="s">
        <v>106</v>
      </c>
      <c r="K56" s="11" t="s">
        <v>16</v>
      </c>
      <c r="L56" s="12">
        <v>45760</v>
      </c>
      <c r="M56" s="12">
        <v>45762</v>
      </c>
      <c r="N56" s="44">
        <f t="shared" si="2"/>
        <v>2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70679930</v>
      </c>
      <c r="B57" s="11" t="str">
        <f t="shared" si="0"/>
        <v>7.067.993-0</v>
      </c>
      <c r="C57" s="11" t="s">
        <v>14</v>
      </c>
      <c r="D57" s="11" t="s">
        <v>445</v>
      </c>
      <c r="E57" s="11" t="s">
        <v>405</v>
      </c>
      <c r="F57" s="11" t="s">
        <v>446</v>
      </c>
      <c r="G57" s="12">
        <v>45760</v>
      </c>
      <c r="H57" s="12">
        <v>45762</v>
      </c>
      <c r="I57" s="11" t="s">
        <v>15</v>
      </c>
      <c r="J57" s="11" t="s">
        <v>106</v>
      </c>
      <c r="K57" s="11" t="s">
        <v>17</v>
      </c>
      <c r="L57" s="12">
        <v>45760</v>
      </c>
      <c r="M57" s="12">
        <v>45762</v>
      </c>
      <c r="N57" s="44">
        <f t="shared" si="2"/>
        <v>2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70679930</v>
      </c>
      <c r="B58" s="11" t="str">
        <f t="shared" si="0"/>
        <v>7.067.993-0</v>
      </c>
      <c r="C58" s="11" t="s">
        <v>14</v>
      </c>
      <c r="D58" s="11" t="s">
        <v>445</v>
      </c>
      <c r="E58" s="11" t="s">
        <v>405</v>
      </c>
      <c r="F58" s="11" t="s">
        <v>446</v>
      </c>
      <c r="G58" s="12">
        <v>45760</v>
      </c>
      <c r="H58" s="12">
        <v>45762</v>
      </c>
      <c r="I58" s="11" t="s">
        <v>15</v>
      </c>
      <c r="J58" s="11" t="s">
        <v>106</v>
      </c>
      <c r="K58" s="11" t="s">
        <v>18</v>
      </c>
      <c r="L58" s="12">
        <v>45760</v>
      </c>
      <c r="M58" s="12">
        <v>45762</v>
      </c>
      <c r="N58" s="44">
        <f t="shared" si="2"/>
        <v>2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81924082</v>
      </c>
      <c r="B59" s="11" t="str">
        <f t="shared" si="0"/>
        <v>8.192.408-2</v>
      </c>
      <c r="C59" s="11" t="s">
        <v>14</v>
      </c>
      <c r="D59" s="11" t="s">
        <v>447</v>
      </c>
      <c r="E59" s="11" t="s">
        <v>385</v>
      </c>
      <c r="F59" s="11" t="s">
        <v>448</v>
      </c>
      <c r="G59" s="12">
        <v>45758</v>
      </c>
      <c r="H59" s="12">
        <v>45770</v>
      </c>
      <c r="I59" s="11" t="s">
        <v>15</v>
      </c>
      <c r="J59" s="11" t="s">
        <v>60</v>
      </c>
      <c r="K59" s="11" t="s">
        <v>16</v>
      </c>
      <c r="L59" s="12">
        <v>45758</v>
      </c>
      <c r="M59" s="12">
        <v>45770</v>
      </c>
      <c r="N59" s="44">
        <f t="shared" si="2"/>
        <v>12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81924082</v>
      </c>
      <c r="B60" s="11" t="str">
        <f t="shared" si="0"/>
        <v>8.192.408-2</v>
      </c>
      <c r="C60" s="11" t="s">
        <v>14</v>
      </c>
      <c r="D60" s="11" t="s">
        <v>447</v>
      </c>
      <c r="E60" s="11" t="s">
        <v>385</v>
      </c>
      <c r="F60" s="11" t="s">
        <v>448</v>
      </c>
      <c r="G60" s="12">
        <v>45758</v>
      </c>
      <c r="H60" s="12">
        <v>45770</v>
      </c>
      <c r="I60" s="11" t="s">
        <v>15</v>
      </c>
      <c r="J60" s="11" t="s">
        <v>60</v>
      </c>
      <c r="K60" s="11" t="s">
        <v>17</v>
      </c>
      <c r="L60" s="12">
        <v>45758</v>
      </c>
      <c r="M60" s="12">
        <v>45770</v>
      </c>
      <c r="N60" s="44">
        <f t="shared" si="2"/>
        <v>12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81924082</v>
      </c>
      <c r="B61" s="11" t="str">
        <f t="shared" si="0"/>
        <v>8.192.408-2</v>
      </c>
      <c r="C61" s="11" t="s">
        <v>14</v>
      </c>
      <c r="D61" s="11" t="s">
        <v>447</v>
      </c>
      <c r="E61" s="11" t="s">
        <v>385</v>
      </c>
      <c r="F61" s="11" t="s">
        <v>448</v>
      </c>
      <c r="G61" s="12">
        <v>45758</v>
      </c>
      <c r="H61" s="12">
        <v>45770</v>
      </c>
      <c r="I61" s="11" t="s">
        <v>15</v>
      </c>
      <c r="J61" s="11" t="s">
        <v>60</v>
      </c>
      <c r="K61" s="11" t="s">
        <v>18</v>
      </c>
      <c r="L61" s="12">
        <v>45758</v>
      </c>
      <c r="M61" s="39">
        <v>45764</v>
      </c>
      <c r="N61" s="44">
        <f t="shared" si="2"/>
        <v>6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193328563</v>
      </c>
      <c r="B62" s="11" t="str">
        <f t="shared" si="0"/>
        <v>19.332.856-3</v>
      </c>
      <c r="C62" s="11" t="s">
        <v>14</v>
      </c>
      <c r="D62" s="11" t="s">
        <v>451</v>
      </c>
      <c r="E62" s="11" t="s">
        <v>452</v>
      </c>
      <c r="F62" s="11" t="s">
        <v>328</v>
      </c>
      <c r="G62" s="12">
        <v>45762</v>
      </c>
      <c r="H62" s="12">
        <v>45764</v>
      </c>
      <c r="I62" s="11" t="s">
        <v>15</v>
      </c>
      <c r="J62" s="11" t="s">
        <v>75</v>
      </c>
      <c r="K62" s="11" t="s">
        <v>16</v>
      </c>
      <c r="L62" s="12">
        <v>45762</v>
      </c>
      <c r="M62" s="12">
        <v>45764</v>
      </c>
      <c r="N62" s="44">
        <f t="shared" si="2"/>
        <v>2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193328563</v>
      </c>
      <c r="B63" s="11" t="str">
        <f t="shared" si="0"/>
        <v>19.332.856-3</v>
      </c>
      <c r="C63" s="11" t="s">
        <v>14</v>
      </c>
      <c r="D63" s="11" t="s">
        <v>451</v>
      </c>
      <c r="E63" s="11" t="s">
        <v>452</v>
      </c>
      <c r="F63" s="11" t="s">
        <v>328</v>
      </c>
      <c r="G63" s="12">
        <v>45762</v>
      </c>
      <c r="H63" s="12">
        <v>45764</v>
      </c>
      <c r="I63" s="11" t="s">
        <v>15</v>
      </c>
      <c r="J63" s="11" t="s">
        <v>75</v>
      </c>
      <c r="K63" s="11" t="s">
        <v>17</v>
      </c>
      <c r="L63" s="12">
        <v>45762</v>
      </c>
      <c r="M63" s="12">
        <v>45764</v>
      </c>
      <c r="N63" s="44">
        <f t="shared" si="2"/>
        <v>2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64276514</v>
      </c>
      <c r="B64" s="11" t="str">
        <f t="shared" si="0"/>
        <v>6.427.651-4</v>
      </c>
      <c r="C64" s="11" t="s">
        <v>14</v>
      </c>
      <c r="D64" s="11" t="s">
        <v>451</v>
      </c>
      <c r="E64" s="11" t="s">
        <v>453</v>
      </c>
      <c r="F64" s="11" t="s">
        <v>454</v>
      </c>
      <c r="G64" s="12">
        <v>45762</v>
      </c>
      <c r="H64" s="12">
        <v>45764</v>
      </c>
      <c r="I64" s="11" t="s">
        <v>15</v>
      </c>
      <c r="J64" s="11" t="s">
        <v>200</v>
      </c>
      <c r="K64" s="11" t="s">
        <v>16</v>
      </c>
      <c r="L64" s="12">
        <v>45762</v>
      </c>
      <c r="M64" s="12">
        <v>45764</v>
      </c>
      <c r="N64" s="44">
        <f t="shared" si="2"/>
        <v>2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64276514</v>
      </c>
      <c r="B65" s="11" t="str">
        <f t="shared" si="0"/>
        <v>6.427.651-4</v>
      </c>
      <c r="C65" s="11" t="s">
        <v>14</v>
      </c>
      <c r="D65" s="11" t="s">
        <v>451</v>
      </c>
      <c r="E65" s="11" t="s">
        <v>453</v>
      </c>
      <c r="F65" s="11" t="s">
        <v>454</v>
      </c>
      <c r="G65" s="12">
        <v>45762</v>
      </c>
      <c r="H65" s="12">
        <v>45764</v>
      </c>
      <c r="I65" s="11" t="s">
        <v>15</v>
      </c>
      <c r="J65" s="11" t="s">
        <v>200</v>
      </c>
      <c r="K65" s="11" t="s">
        <v>17</v>
      </c>
      <c r="L65" s="12">
        <v>45762</v>
      </c>
      <c r="M65" s="12">
        <v>45764</v>
      </c>
      <c r="N65" s="44">
        <f t="shared" si="2"/>
        <v>2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117896722</v>
      </c>
      <c r="B66" s="11" t="str">
        <f t="shared" si="0"/>
        <v>11.789.672-2</v>
      </c>
      <c r="C66" s="11" t="s">
        <v>14</v>
      </c>
      <c r="D66" s="11" t="s">
        <v>447</v>
      </c>
      <c r="E66" s="11" t="s">
        <v>455</v>
      </c>
      <c r="F66" s="11" t="s">
        <v>456</v>
      </c>
      <c r="G66" s="12">
        <v>45763</v>
      </c>
      <c r="H66" s="12"/>
      <c r="I66" s="11" t="s">
        <v>15</v>
      </c>
      <c r="J66" s="11"/>
      <c r="K66" s="11" t="s">
        <v>16</v>
      </c>
      <c r="L66" s="12">
        <v>45763</v>
      </c>
      <c r="M66" s="39">
        <v>45777</v>
      </c>
      <c r="N66" s="44">
        <f t="shared" si="2"/>
        <v>14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117896722</v>
      </c>
      <c r="B67" s="11" t="str">
        <f t="shared" si="0"/>
        <v>11.789.672-2</v>
      </c>
      <c r="C67" s="11" t="s">
        <v>14</v>
      </c>
      <c r="D67" s="11" t="s">
        <v>447</v>
      </c>
      <c r="E67" s="11" t="s">
        <v>455</v>
      </c>
      <c r="F67" s="11" t="s">
        <v>456</v>
      </c>
      <c r="G67" s="12">
        <v>45763</v>
      </c>
      <c r="H67" s="12"/>
      <c r="I67" s="11" t="s">
        <v>15</v>
      </c>
      <c r="J67" s="11"/>
      <c r="K67" s="11" t="s">
        <v>17</v>
      </c>
      <c r="L67" s="12">
        <v>45763</v>
      </c>
      <c r="M67" s="39">
        <v>45777</v>
      </c>
      <c r="N67" s="44">
        <f t="shared" si="2"/>
        <v>14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11789672</v>
      </c>
      <c r="B68" s="11" t="str">
        <f t="shared" si="0"/>
        <v>1.178.967-2</v>
      </c>
      <c r="C68" s="11" t="s">
        <v>14</v>
      </c>
      <c r="D68" s="11" t="s">
        <v>447</v>
      </c>
      <c r="E68" s="11" t="s">
        <v>455</v>
      </c>
      <c r="F68" s="11" t="s">
        <v>456</v>
      </c>
      <c r="G68" s="12">
        <v>45763</v>
      </c>
      <c r="H68" s="12"/>
      <c r="I68" s="11" t="s">
        <v>15</v>
      </c>
      <c r="J68" s="11"/>
      <c r="K68" s="11" t="s">
        <v>18</v>
      </c>
      <c r="L68" s="12">
        <v>45763</v>
      </c>
      <c r="M68" s="39">
        <v>45775</v>
      </c>
      <c r="N68" s="44">
        <f t="shared" si="2"/>
        <v>12</v>
      </c>
      <c r="O68" s="44"/>
      <c r="P68" t="s">
        <v>981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63975591</v>
      </c>
      <c r="B69" s="11" t="str">
        <f t="shared" si="0"/>
        <v>6.397.559-1</v>
      </c>
      <c r="C69" s="11" t="s">
        <v>14</v>
      </c>
      <c r="D69" s="11" t="s">
        <v>103</v>
      </c>
      <c r="E69" s="11" t="s">
        <v>346</v>
      </c>
      <c r="F69" s="11" t="s">
        <v>99</v>
      </c>
      <c r="G69" s="12">
        <v>45763</v>
      </c>
      <c r="H69" s="12"/>
      <c r="I69" s="11" t="s">
        <v>15</v>
      </c>
      <c r="J69" s="11"/>
      <c r="K69" s="11" t="s">
        <v>16</v>
      </c>
      <c r="L69" s="12">
        <v>45763</v>
      </c>
      <c r="M69" s="39">
        <v>45777</v>
      </c>
      <c r="N69" s="44">
        <f t="shared" si="2"/>
        <v>14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63975591</v>
      </c>
      <c r="B70" s="11" t="str">
        <f t="shared" si="0"/>
        <v>6.397.559-1</v>
      </c>
      <c r="C70" s="11" t="s">
        <v>14</v>
      </c>
      <c r="D70" s="11" t="s">
        <v>103</v>
      </c>
      <c r="E70" s="11" t="s">
        <v>346</v>
      </c>
      <c r="F70" s="11" t="s">
        <v>99</v>
      </c>
      <c r="G70" s="12">
        <v>45763</v>
      </c>
      <c r="H70" s="12"/>
      <c r="I70" s="11" t="s">
        <v>15</v>
      </c>
      <c r="J70" s="11"/>
      <c r="K70" s="11" t="s">
        <v>17</v>
      </c>
      <c r="L70" s="12">
        <v>45763</v>
      </c>
      <c r="M70" s="39">
        <v>45777</v>
      </c>
      <c r="N70" s="44">
        <f t="shared" si="2"/>
        <v>14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63975591</v>
      </c>
      <c r="B71" s="11" t="str">
        <f t="shared" ref="B71" si="3">IF(LEN(A71)=8,MID(A71,1,1)&amp;"."&amp;MID(A71,2,3)&amp;"."&amp;MID(A71,5,3)&amp;"-"&amp;RIGHT(A71,1),IF(LEFT(RIGHT(A71,2),1)="-",MID(A71,1,1)&amp;"."&amp;MID(A71,2,3)&amp;"."&amp;MID(A71,5,3)&amp;"-"&amp;RIGHT(A71,1),MID(A71,1,2)&amp;"."&amp;MID(A71,3,3)&amp;"."&amp;MID(A71,6,3)&amp;"-"&amp;MID(A71,9,1)))</f>
        <v>6.397.559-1</v>
      </c>
      <c r="C71" s="11" t="s">
        <v>14</v>
      </c>
      <c r="D71" s="11" t="s">
        <v>103</v>
      </c>
      <c r="E71" s="11" t="s">
        <v>346</v>
      </c>
      <c r="F71" s="11" t="s">
        <v>99</v>
      </c>
      <c r="G71" s="12">
        <v>45763</v>
      </c>
      <c r="H71" s="12"/>
      <c r="I71" s="11" t="s">
        <v>15</v>
      </c>
      <c r="J71" s="11"/>
      <c r="K71" s="11" t="s">
        <v>18</v>
      </c>
      <c r="L71" s="12">
        <v>45767</v>
      </c>
      <c r="M71" s="39">
        <v>45777</v>
      </c>
      <c r="N71" s="44">
        <f t="shared" si="2"/>
        <v>10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94484847</v>
      </c>
      <c r="B72" s="11" t="str">
        <f t="shared" si="0"/>
        <v>9.448.484-7</v>
      </c>
      <c r="C72" s="11" t="s">
        <v>14</v>
      </c>
      <c r="D72" s="11" t="s">
        <v>459</v>
      </c>
      <c r="E72" s="11" t="s">
        <v>137</v>
      </c>
      <c r="F72" s="11" t="s">
        <v>460</v>
      </c>
      <c r="G72" s="12">
        <v>45767</v>
      </c>
      <c r="H72" s="12">
        <v>45770</v>
      </c>
      <c r="I72" s="11" t="s">
        <v>15</v>
      </c>
      <c r="J72" s="11" t="s">
        <v>388</v>
      </c>
      <c r="K72" s="11" t="s">
        <v>349</v>
      </c>
      <c r="L72" s="12">
        <v>45767</v>
      </c>
      <c r="M72" s="39">
        <v>45769</v>
      </c>
      <c r="N72" s="44">
        <f t="shared" si="2"/>
        <v>2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94484847</v>
      </c>
      <c r="B73" s="11" t="str">
        <f t="shared" si="0"/>
        <v>9.448.484-7</v>
      </c>
      <c r="C73" s="11" t="s">
        <v>14</v>
      </c>
      <c r="D73" s="11" t="s">
        <v>459</v>
      </c>
      <c r="E73" s="11" t="s">
        <v>137</v>
      </c>
      <c r="F73" s="11" t="s">
        <v>460</v>
      </c>
      <c r="G73" s="12">
        <v>45767</v>
      </c>
      <c r="H73" s="12">
        <v>45770</v>
      </c>
      <c r="I73" s="11" t="s">
        <v>15</v>
      </c>
      <c r="J73" s="11" t="s">
        <v>388</v>
      </c>
      <c r="K73" s="11" t="s">
        <v>17</v>
      </c>
      <c r="L73" s="12">
        <v>45767</v>
      </c>
      <c r="M73" s="39">
        <v>45769</v>
      </c>
      <c r="N73" s="44">
        <f t="shared" si="2"/>
        <v>2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77271945</v>
      </c>
      <c r="B74" s="11" t="str">
        <f t="shared" si="0"/>
        <v>7.727.194-5</v>
      </c>
      <c r="C74" s="11" t="s">
        <v>14</v>
      </c>
      <c r="D74" s="11" t="s">
        <v>461</v>
      </c>
      <c r="E74" s="11" t="s">
        <v>462</v>
      </c>
      <c r="F74" s="11" t="s">
        <v>105</v>
      </c>
      <c r="G74" s="12">
        <v>45766</v>
      </c>
      <c r="H74" s="12">
        <v>45768</v>
      </c>
      <c r="I74" s="11" t="s">
        <v>15</v>
      </c>
      <c r="J74" s="11" t="s">
        <v>75</v>
      </c>
      <c r="K74" s="11" t="s">
        <v>349</v>
      </c>
      <c r="L74" s="12">
        <v>45766</v>
      </c>
      <c r="M74" s="12">
        <v>45768</v>
      </c>
      <c r="N74" s="44">
        <f t="shared" si="2"/>
        <v>2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77271945</v>
      </c>
      <c r="B75" s="11" t="str">
        <f t="shared" si="0"/>
        <v>7.727.194-5</v>
      </c>
      <c r="C75" s="11" t="s">
        <v>14</v>
      </c>
      <c r="D75" s="11" t="s">
        <v>461</v>
      </c>
      <c r="E75" s="11" t="s">
        <v>462</v>
      </c>
      <c r="F75" s="11" t="s">
        <v>105</v>
      </c>
      <c r="G75" s="12">
        <v>45766</v>
      </c>
      <c r="H75" s="12">
        <v>45768</v>
      </c>
      <c r="I75" s="11" t="s">
        <v>15</v>
      </c>
      <c r="J75" s="11" t="s">
        <v>75</v>
      </c>
      <c r="K75" s="11" t="s">
        <v>17</v>
      </c>
      <c r="L75" s="12">
        <v>45766</v>
      </c>
      <c r="M75" s="12">
        <v>45768</v>
      </c>
      <c r="N75" s="44">
        <f t="shared" si="2"/>
        <v>2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127632073</v>
      </c>
      <c r="B76" s="11" t="str">
        <f t="shared" si="0"/>
        <v>12.763.207-3</v>
      </c>
      <c r="C76" s="11" t="s">
        <v>14</v>
      </c>
      <c r="D76" s="11" t="s">
        <v>463</v>
      </c>
      <c r="E76" s="11" t="s">
        <v>233</v>
      </c>
      <c r="F76" s="11" t="s">
        <v>384</v>
      </c>
      <c r="G76" s="12">
        <v>45767</v>
      </c>
      <c r="H76" s="12">
        <v>45770</v>
      </c>
      <c r="I76" s="11" t="s">
        <v>15</v>
      </c>
      <c r="J76" s="11" t="s">
        <v>60</v>
      </c>
      <c r="K76" s="11" t="s">
        <v>16</v>
      </c>
      <c r="L76" s="12">
        <v>45767</v>
      </c>
      <c r="M76" s="12">
        <v>45770</v>
      </c>
      <c r="N76" s="44">
        <f t="shared" si="2"/>
        <v>3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127632073</v>
      </c>
      <c r="B77" s="11" t="str">
        <f t="shared" si="0"/>
        <v>12.763.207-3</v>
      </c>
      <c r="C77" s="11" t="s">
        <v>14</v>
      </c>
      <c r="D77" s="11" t="s">
        <v>463</v>
      </c>
      <c r="E77" s="11" t="s">
        <v>233</v>
      </c>
      <c r="F77" s="11" t="s">
        <v>384</v>
      </c>
      <c r="G77" s="12">
        <v>45767</v>
      </c>
      <c r="H77" s="12">
        <v>45770</v>
      </c>
      <c r="I77" s="11" t="s">
        <v>15</v>
      </c>
      <c r="J77" s="11" t="s">
        <v>60</v>
      </c>
      <c r="K77" s="11" t="s">
        <v>17</v>
      </c>
      <c r="L77" s="12">
        <v>45767</v>
      </c>
      <c r="M77" s="12">
        <v>45770</v>
      </c>
      <c r="N77" s="44">
        <f t="shared" si="2"/>
        <v>3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198345474</v>
      </c>
      <c r="B78" s="11" t="str">
        <f t="shared" si="0"/>
        <v>19.834.547-4</v>
      </c>
      <c r="C78" s="11" t="s">
        <v>14</v>
      </c>
      <c r="D78" s="11" t="s">
        <v>464</v>
      </c>
      <c r="E78" s="11" t="s">
        <v>465</v>
      </c>
      <c r="F78" s="11" t="s">
        <v>466</v>
      </c>
      <c r="G78" s="12">
        <v>45766</v>
      </c>
      <c r="H78" s="12">
        <v>45772</v>
      </c>
      <c r="I78" s="11" t="s">
        <v>15</v>
      </c>
      <c r="J78" s="11" t="s">
        <v>42</v>
      </c>
      <c r="K78" s="11" t="s">
        <v>16</v>
      </c>
      <c r="L78" s="12">
        <v>45766</v>
      </c>
      <c r="M78" s="39">
        <v>45771</v>
      </c>
      <c r="N78" s="44">
        <f t="shared" si="2"/>
        <v>5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198345474</v>
      </c>
      <c r="B79" s="11" t="str">
        <f t="shared" si="0"/>
        <v>19.834.547-4</v>
      </c>
      <c r="C79" s="11" t="s">
        <v>14</v>
      </c>
      <c r="D79" s="11" t="s">
        <v>464</v>
      </c>
      <c r="E79" s="11" t="s">
        <v>465</v>
      </c>
      <c r="F79" s="11" t="s">
        <v>466</v>
      </c>
      <c r="G79" s="12">
        <v>45766</v>
      </c>
      <c r="H79" s="12">
        <v>45772</v>
      </c>
      <c r="I79" s="11" t="s">
        <v>15</v>
      </c>
      <c r="J79" s="11" t="s">
        <v>42</v>
      </c>
      <c r="K79" s="11" t="s">
        <v>17</v>
      </c>
      <c r="L79" s="12">
        <v>45766</v>
      </c>
      <c r="M79" s="39">
        <v>45771</v>
      </c>
      <c r="N79" s="44">
        <f t="shared" si="2"/>
        <v>5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198345474</v>
      </c>
      <c r="B80" s="11" t="str">
        <f t="shared" si="0"/>
        <v>19.834.547-4</v>
      </c>
      <c r="C80" s="11" t="s">
        <v>14</v>
      </c>
      <c r="D80" s="11" t="s">
        <v>464</v>
      </c>
      <c r="E80" s="11" t="s">
        <v>465</v>
      </c>
      <c r="F80" s="11" t="s">
        <v>466</v>
      </c>
      <c r="G80" s="12">
        <v>45766</v>
      </c>
      <c r="H80" s="12">
        <v>45772</v>
      </c>
      <c r="I80" s="11" t="s">
        <v>15</v>
      </c>
      <c r="J80" s="11" t="s">
        <v>42</v>
      </c>
      <c r="K80" s="11" t="s">
        <v>18</v>
      </c>
      <c r="L80" s="12">
        <v>45766</v>
      </c>
      <c r="M80" s="39">
        <v>45769</v>
      </c>
      <c r="N80" s="44">
        <f t="shared" si="2"/>
        <v>3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100781115</v>
      </c>
      <c r="B81" s="11" t="str">
        <f t="shared" si="0"/>
        <v>10.078.111-5</v>
      </c>
      <c r="C81" s="11" t="s">
        <v>14</v>
      </c>
      <c r="D81" s="11" t="s">
        <v>451</v>
      </c>
      <c r="E81" s="11" t="s">
        <v>86</v>
      </c>
      <c r="F81" s="11" t="s">
        <v>467</v>
      </c>
      <c r="G81" s="12">
        <v>45765</v>
      </c>
      <c r="H81" s="12">
        <v>45768</v>
      </c>
      <c r="I81" s="11" t="s">
        <v>15</v>
      </c>
      <c r="J81" s="11" t="s">
        <v>60</v>
      </c>
      <c r="K81" s="11" t="s">
        <v>16</v>
      </c>
      <c r="L81" s="12">
        <v>45765</v>
      </c>
      <c r="M81" s="12">
        <v>45768</v>
      </c>
      <c r="N81" s="44">
        <f t="shared" si="2"/>
        <v>3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117821684</v>
      </c>
      <c r="B82" s="11" t="str">
        <f t="shared" si="0"/>
        <v>11.782.168-4</v>
      </c>
      <c r="C82" s="11" t="s">
        <v>14</v>
      </c>
      <c r="D82" s="11" t="s">
        <v>143</v>
      </c>
      <c r="E82" s="11" t="s">
        <v>468</v>
      </c>
      <c r="F82" s="11" t="s">
        <v>469</v>
      </c>
      <c r="G82" s="12">
        <v>45771</v>
      </c>
      <c r="H82" s="12">
        <v>45773</v>
      </c>
      <c r="I82" s="11" t="s">
        <v>74</v>
      </c>
      <c r="J82" s="11" t="s">
        <v>60</v>
      </c>
      <c r="K82" s="11" t="s">
        <v>16</v>
      </c>
      <c r="L82" s="12">
        <v>45771</v>
      </c>
      <c r="M82" s="12">
        <v>45773</v>
      </c>
      <c r="N82" s="44">
        <f t="shared" si="2"/>
        <v>2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57637358</v>
      </c>
      <c r="B83" s="11" t="str">
        <f t="shared" si="0"/>
        <v>5.763.735-8</v>
      </c>
      <c r="C83" s="11" t="s">
        <v>14</v>
      </c>
      <c r="D83" s="11" t="s">
        <v>333</v>
      </c>
      <c r="E83" s="11" t="s">
        <v>470</v>
      </c>
      <c r="F83" s="11" t="s">
        <v>105</v>
      </c>
      <c r="G83" s="12">
        <v>45772</v>
      </c>
      <c r="H83" s="12"/>
      <c r="I83" s="11" t="s">
        <v>15</v>
      </c>
      <c r="J83" s="11"/>
      <c r="K83" s="11" t="s">
        <v>16</v>
      </c>
      <c r="L83" s="12">
        <v>45772</v>
      </c>
      <c r="M83" s="39">
        <v>45777</v>
      </c>
      <c r="N83" s="44">
        <f t="shared" si="2"/>
        <v>5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57637358</v>
      </c>
      <c r="B84" s="11" t="str">
        <f t="shared" si="0"/>
        <v>5.763.735-8</v>
      </c>
      <c r="C84" s="11" t="s">
        <v>14</v>
      </c>
      <c r="D84" s="11" t="s">
        <v>333</v>
      </c>
      <c r="E84" s="11" t="s">
        <v>470</v>
      </c>
      <c r="F84" s="11" t="s">
        <v>105</v>
      </c>
      <c r="G84" s="12">
        <v>45772</v>
      </c>
      <c r="H84" s="12"/>
      <c r="I84" s="11" t="s">
        <v>15</v>
      </c>
      <c r="J84" s="11"/>
      <c r="K84" s="11" t="s">
        <v>17</v>
      </c>
      <c r="L84" s="12">
        <v>45772</v>
      </c>
      <c r="M84" s="39">
        <v>45777</v>
      </c>
      <c r="N84" s="44">
        <f t="shared" si="2"/>
        <v>5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57637358</v>
      </c>
      <c r="B85" s="11" t="str">
        <f t="shared" si="0"/>
        <v>5.763.735-8</v>
      </c>
      <c r="C85" s="11" t="s">
        <v>14</v>
      </c>
      <c r="D85" s="11" t="s">
        <v>333</v>
      </c>
      <c r="E85" s="11" t="s">
        <v>470</v>
      </c>
      <c r="F85" s="11" t="s">
        <v>105</v>
      </c>
      <c r="G85" s="12">
        <v>45772</v>
      </c>
      <c r="H85" s="12"/>
      <c r="I85" s="11" t="s">
        <v>15</v>
      </c>
      <c r="J85" s="11"/>
      <c r="K85" s="11" t="s">
        <v>18</v>
      </c>
      <c r="L85" s="12">
        <v>45772</v>
      </c>
      <c r="M85" s="39">
        <v>45777</v>
      </c>
      <c r="N85" s="44">
        <f t="shared" si="2"/>
        <v>5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108384727</v>
      </c>
      <c r="B86" s="11" t="str">
        <f t="shared" si="0"/>
        <v>10.838.472-7</v>
      </c>
      <c r="C86" s="11" t="s">
        <v>14</v>
      </c>
      <c r="D86" s="11" t="s">
        <v>178</v>
      </c>
      <c r="E86" s="11" t="s">
        <v>471</v>
      </c>
      <c r="F86" s="11" t="s">
        <v>105</v>
      </c>
      <c r="G86" s="12">
        <v>45768</v>
      </c>
      <c r="H86" s="12">
        <v>45774</v>
      </c>
      <c r="I86" s="11" t="s">
        <v>15</v>
      </c>
      <c r="J86" s="11" t="s">
        <v>106</v>
      </c>
      <c r="K86" s="11" t="s">
        <v>16</v>
      </c>
      <c r="L86" s="12">
        <v>45768</v>
      </c>
      <c r="M86" s="12">
        <v>45774</v>
      </c>
      <c r="N86" s="44">
        <f t="shared" si="2"/>
        <v>6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108384727</v>
      </c>
      <c r="B87" s="11" t="str">
        <f t="shared" si="0"/>
        <v>10.838.472-7</v>
      </c>
      <c r="C87" s="11" t="s">
        <v>14</v>
      </c>
      <c r="D87" s="11" t="s">
        <v>178</v>
      </c>
      <c r="E87" s="11" t="s">
        <v>471</v>
      </c>
      <c r="F87" s="11" t="s">
        <v>105</v>
      </c>
      <c r="G87" s="12">
        <v>45768</v>
      </c>
      <c r="H87" s="12">
        <v>45774</v>
      </c>
      <c r="I87" s="11" t="s">
        <v>15</v>
      </c>
      <c r="J87" s="11" t="s">
        <v>106</v>
      </c>
      <c r="K87" s="11" t="s">
        <v>17</v>
      </c>
      <c r="L87" s="12">
        <v>45768</v>
      </c>
      <c r="M87" s="12">
        <v>45774</v>
      </c>
      <c r="N87" s="44">
        <f t="shared" si="2"/>
        <v>6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108384727</v>
      </c>
      <c r="B88" s="11" t="str">
        <f t="shared" si="0"/>
        <v>10.838.472-7</v>
      </c>
      <c r="C88" s="11" t="s">
        <v>14</v>
      </c>
      <c r="D88" s="11" t="s">
        <v>178</v>
      </c>
      <c r="E88" s="11" t="s">
        <v>471</v>
      </c>
      <c r="F88" s="11" t="s">
        <v>105</v>
      </c>
      <c r="G88" s="12">
        <v>45768</v>
      </c>
      <c r="H88" s="12">
        <v>45774</v>
      </c>
      <c r="I88" s="11" t="s">
        <v>15</v>
      </c>
      <c r="J88" s="11" t="s">
        <v>106</v>
      </c>
      <c r="K88" s="11" t="s">
        <v>18</v>
      </c>
      <c r="L88" s="12">
        <v>45768</v>
      </c>
      <c r="M88" s="12">
        <v>45774</v>
      </c>
      <c r="N88" s="44">
        <f t="shared" si="2"/>
        <v>6</v>
      </c>
      <c r="O88" s="44"/>
      <c r="P88" t="s">
        <v>981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42149616</v>
      </c>
      <c r="B89" s="11" t="str">
        <f t="shared" si="0"/>
        <v>4.214.961-6</v>
      </c>
      <c r="C89" s="11" t="s">
        <v>14</v>
      </c>
      <c r="D89" s="11" t="s">
        <v>410</v>
      </c>
      <c r="E89" s="11" t="s">
        <v>145</v>
      </c>
      <c r="F89" s="11" t="s">
        <v>472</v>
      </c>
      <c r="G89" s="12">
        <v>45769</v>
      </c>
      <c r="H89" s="12">
        <v>45772</v>
      </c>
      <c r="I89" s="11" t="s">
        <v>15</v>
      </c>
      <c r="J89" s="11" t="s">
        <v>473</v>
      </c>
      <c r="K89" s="11" t="s">
        <v>17</v>
      </c>
      <c r="L89" s="12">
        <v>45769</v>
      </c>
      <c r="M89" s="12">
        <v>45772</v>
      </c>
      <c r="N89" s="44">
        <f t="shared" si="2"/>
        <v>3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47978319</v>
      </c>
      <c r="B90" s="11" t="str">
        <f t="shared" si="0"/>
        <v>4.797.831-9</v>
      </c>
      <c r="C90" s="11" t="s">
        <v>14</v>
      </c>
      <c r="D90" s="11" t="s">
        <v>474</v>
      </c>
      <c r="E90" s="11" t="s">
        <v>475</v>
      </c>
      <c r="F90" s="11" t="s">
        <v>171</v>
      </c>
      <c r="G90" s="12">
        <v>45771</v>
      </c>
      <c r="H90" s="12">
        <v>45408</v>
      </c>
      <c r="I90" s="11" t="s">
        <v>15</v>
      </c>
      <c r="J90" s="11" t="s">
        <v>342</v>
      </c>
      <c r="K90" s="11" t="s">
        <v>16</v>
      </c>
      <c r="L90" s="12">
        <v>45771</v>
      </c>
      <c r="M90" s="12">
        <v>45773</v>
      </c>
      <c r="N90" s="44">
        <f t="shared" si="2"/>
        <v>2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47978319</v>
      </c>
      <c r="B91" s="11" t="str">
        <f t="shared" si="0"/>
        <v>4.797.831-9</v>
      </c>
      <c r="C91" s="11" t="s">
        <v>14</v>
      </c>
      <c r="D91" s="11" t="s">
        <v>474</v>
      </c>
      <c r="E91" s="11" t="s">
        <v>475</v>
      </c>
      <c r="F91" s="11" t="s">
        <v>171</v>
      </c>
      <c r="G91" s="12">
        <v>45771</v>
      </c>
      <c r="H91" s="12">
        <v>45408</v>
      </c>
      <c r="I91" s="11" t="s">
        <v>15</v>
      </c>
      <c r="J91" s="11" t="s">
        <v>342</v>
      </c>
      <c r="K91" s="11" t="s">
        <v>17</v>
      </c>
      <c r="L91" s="12">
        <v>45771</v>
      </c>
      <c r="M91" s="12">
        <v>45773</v>
      </c>
      <c r="N91" s="44">
        <f t="shared" si="2"/>
        <v>2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80997728</v>
      </c>
      <c r="B92" s="11" t="str">
        <f t="shared" si="0"/>
        <v>8.099.772-8</v>
      </c>
      <c r="C92" s="11" t="s">
        <v>14</v>
      </c>
      <c r="D92" s="11" t="s">
        <v>476</v>
      </c>
      <c r="E92" s="11" t="s">
        <v>477</v>
      </c>
      <c r="F92" s="11" t="s">
        <v>171</v>
      </c>
      <c r="G92" s="12">
        <v>45773</v>
      </c>
      <c r="H92" s="12"/>
      <c r="I92" s="11" t="s">
        <v>15</v>
      </c>
      <c r="J92" s="11"/>
      <c r="K92" s="11" t="s">
        <v>16</v>
      </c>
      <c r="L92" s="12">
        <v>45773</v>
      </c>
      <c r="M92" s="39">
        <v>45777</v>
      </c>
      <c r="N92" s="44">
        <f t="shared" si="2"/>
        <v>4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80997728</v>
      </c>
      <c r="B93" s="11" t="str">
        <f t="shared" si="0"/>
        <v>8.099.772-8</v>
      </c>
      <c r="C93" s="11" t="s">
        <v>14</v>
      </c>
      <c r="D93" s="11" t="s">
        <v>476</v>
      </c>
      <c r="E93" s="11" t="s">
        <v>477</v>
      </c>
      <c r="F93" s="11" t="s">
        <v>171</v>
      </c>
      <c r="G93" s="12">
        <v>45773</v>
      </c>
      <c r="H93" s="12"/>
      <c r="I93" s="11" t="s">
        <v>15</v>
      </c>
      <c r="J93" s="11"/>
      <c r="K93" s="11" t="s">
        <v>17</v>
      </c>
      <c r="L93" s="12">
        <v>45773</v>
      </c>
      <c r="M93" s="39">
        <v>45777</v>
      </c>
      <c r="N93" s="44">
        <f t="shared" si="2"/>
        <v>4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80997728</v>
      </c>
      <c r="B94" s="11" t="str">
        <f t="shared" si="0"/>
        <v>8.099.772-8</v>
      </c>
      <c r="C94" s="11" t="s">
        <v>14</v>
      </c>
      <c r="D94" s="11" t="s">
        <v>476</v>
      </c>
      <c r="E94" s="11" t="s">
        <v>477</v>
      </c>
      <c r="F94" s="11" t="s">
        <v>171</v>
      </c>
      <c r="G94" s="12">
        <v>45773</v>
      </c>
      <c r="H94" s="12"/>
      <c r="I94" s="11" t="s">
        <v>15</v>
      </c>
      <c r="J94" s="11"/>
      <c r="K94" s="11" t="s">
        <v>18</v>
      </c>
      <c r="L94" s="12">
        <v>45773</v>
      </c>
      <c r="M94" s="39">
        <v>45777</v>
      </c>
      <c r="N94" s="44">
        <f t="shared" si="2"/>
        <v>4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65336634</v>
      </c>
      <c r="B95" s="11" t="str">
        <f t="shared" si="0"/>
        <v>6.533.663-4</v>
      </c>
      <c r="C95" s="11" t="s">
        <v>14</v>
      </c>
      <c r="D95" s="11" t="s">
        <v>120</v>
      </c>
      <c r="E95" s="11" t="s">
        <v>101</v>
      </c>
      <c r="F95" s="11" t="s">
        <v>300</v>
      </c>
      <c r="G95" s="12">
        <v>45772</v>
      </c>
      <c r="H95" s="12"/>
      <c r="I95" s="11" t="s">
        <v>47</v>
      </c>
      <c r="J95" s="11"/>
      <c r="K95" s="11" t="s">
        <v>16</v>
      </c>
      <c r="L95" s="12">
        <v>45772</v>
      </c>
      <c r="M95" s="39">
        <v>45777</v>
      </c>
      <c r="N95" s="44">
        <f t="shared" si="2"/>
        <v>5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>
        <v>65336634</v>
      </c>
      <c r="B96" s="11" t="str">
        <f t="shared" si="0"/>
        <v>6.533.663-4</v>
      </c>
      <c r="C96" s="11" t="s">
        <v>14</v>
      </c>
      <c r="D96" s="11" t="s">
        <v>120</v>
      </c>
      <c r="E96" s="11" t="s">
        <v>101</v>
      </c>
      <c r="F96" s="11" t="s">
        <v>300</v>
      </c>
      <c r="G96" s="12">
        <v>45772</v>
      </c>
      <c r="H96" s="12"/>
      <c r="I96" s="11" t="s">
        <v>47</v>
      </c>
      <c r="J96" s="11"/>
      <c r="K96" s="11" t="s">
        <v>17</v>
      </c>
      <c r="L96" s="12">
        <v>45772</v>
      </c>
      <c r="M96" s="39">
        <v>45777</v>
      </c>
      <c r="N96" s="44">
        <f t="shared" si="2"/>
        <v>5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65336634</v>
      </c>
      <c r="B97" s="11" t="str">
        <f t="shared" si="0"/>
        <v>6.533.663-4</v>
      </c>
      <c r="C97" s="11" t="s">
        <v>14</v>
      </c>
      <c r="D97" s="11" t="s">
        <v>120</v>
      </c>
      <c r="E97" s="11" t="s">
        <v>101</v>
      </c>
      <c r="F97" s="11" t="s">
        <v>300</v>
      </c>
      <c r="G97" s="12">
        <v>45772</v>
      </c>
      <c r="H97" s="12"/>
      <c r="I97" s="11" t="s">
        <v>47</v>
      </c>
      <c r="J97" s="11"/>
      <c r="K97" s="11" t="s">
        <v>18</v>
      </c>
      <c r="L97" s="12">
        <v>45772</v>
      </c>
      <c r="M97" s="39">
        <v>45776</v>
      </c>
      <c r="N97" s="44">
        <f t="shared" si="2"/>
        <v>4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78612673</v>
      </c>
      <c r="B98" s="11" t="str">
        <f t="shared" si="0"/>
        <v>7.861.267-3</v>
      </c>
      <c r="C98" s="11" t="s">
        <v>14</v>
      </c>
      <c r="D98" s="11" t="s">
        <v>478</v>
      </c>
      <c r="E98" s="11" t="s">
        <v>479</v>
      </c>
      <c r="F98" s="11" t="s">
        <v>171</v>
      </c>
      <c r="G98" s="12">
        <v>45772</v>
      </c>
      <c r="H98" s="12"/>
      <c r="I98" s="11" t="s">
        <v>360</v>
      </c>
      <c r="J98" s="11"/>
      <c r="K98" s="11" t="s">
        <v>16</v>
      </c>
      <c r="L98" s="12">
        <v>45772</v>
      </c>
      <c r="M98" s="39">
        <v>45777</v>
      </c>
      <c r="N98" s="44">
        <f t="shared" si="2"/>
        <v>5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78612673</v>
      </c>
      <c r="B99" s="11" t="str">
        <f t="shared" si="0"/>
        <v>7.861.267-3</v>
      </c>
      <c r="C99" s="11" t="s">
        <v>14</v>
      </c>
      <c r="D99" s="11" t="s">
        <v>478</v>
      </c>
      <c r="E99" s="11" t="s">
        <v>479</v>
      </c>
      <c r="F99" s="11" t="s">
        <v>171</v>
      </c>
      <c r="G99" s="12">
        <v>45772</v>
      </c>
      <c r="H99" s="12"/>
      <c r="I99" s="11" t="s">
        <v>360</v>
      </c>
      <c r="J99" s="11"/>
      <c r="K99" s="11" t="s">
        <v>17</v>
      </c>
      <c r="L99" s="12">
        <v>45772</v>
      </c>
      <c r="M99" s="39">
        <v>45777</v>
      </c>
      <c r="N99" s="44">
        <f t="shared" si="2"/>
        <v>5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57588861</v>
      </c>
      <c r="B100" s="11" t="str">
        <f t="shared" si="0"/>
        <v>5.758.886-1</v>
      </c>
      <c r="C100" s="11" t="s">
        <v>14</v>
      </c>
      <c r="D100" s="11" t="s">
        <v>480</v>
      </c>
      <c r="E100" s="11" t="s">
        <v>112</v>
      </c>
      <c r="F100" s="11" t="s">
        <v>328</v>
      </c>
      <c r="G100" s="12">
        <v>45773</v>
      </c>
      <c r="H100" s="12">
        <v>45775</v>
      </c>
      <c r="I100" s="11" t="s">
        <v>360</v>
      </c>
      <c r="J100" s="11" t="s">
        <v>200</v>
      </c>
      <c r="K100" s="11" t="s">
        <v>16</v>
      </c>
      <c r="L100" s="12">
        <v>45773</v>
      </c>
      <c r="M100" s="12">
        <v>45775</v>
      </c>
      <c r="N100" s="44">
        <f t="shared" si="2"/>
        <v>2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57588861</v>
      </c>
      <c r="B101" s="11" t="str">
        <f t="shared" si="0"/>
        <v>5.758.886-1</v>
      </c>
      <c r="C101" s="11" t="s">
        <v>14</v>
      </c>
      <c r="D101" s="11" t="s">
        <v>480</v>
      </c>
      <c r="E101" s="11" t="s">
        <v>112</v>
      </c>
      <c r="F101" s="11" t="s">
        <v>328</v>
      </c>
      <c r="G101" s="12">
        <v>45773</v>
      </c>
      <c r="H101" s="12">
        <v>45775</v>
      </c>
      <c r="I101" s="11" t="s">
        <v>360</v>
      </c>
      <c r="J101" s="11" t="s">
        <v>200</v>
      </c>
      <c r="K101" s="11" t="s">
        <v>17</v>
      </c>
      <c r="L101" s="12">
        <v>45773</v>
      </c>
      <c r="M101" s="12">
        <v>45775</v>
      </c>
      <c r="N101" s="44">
        <f t="shared" si="2"/>
        <v>2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57588861</v>
      </c>
      <c r="B102" s="11" t="str">
        <f t="shared" si="0"/>
        <v>5.758.886-1</v>
      </c>
      <c r="C102" s="11" t="s">
        <v>14</v>
      </c>
      <c r="D102" s="11" t="s">
        <v>480</v>
      </c>
      <c r="E102" s="11" t="s">
        <v>112</v>
      </c>
      <c r="F102" s="11" t="s">
        <v>328</v>
      </c>
      <c r="G102" s="12">
        <v>45773</v>
      </c>
      <c r="H102" s="12">
        <v>45775</v>
      </c>
      <c r="I102" s="11" t="s">
        <v>360</v>
      </c>
      <c r="J102" s="11" t="s">
        <v>200</v>
      </c>
      <c r="K102" s="11" t="s">
        <v>18</v>
      </c>
      <c r="L102" s="12">
        <v>45773</v>
      </c>
      <c r="M102" s="12">
        <v>45774</v>
      </c>
      <c r="N102" s="44">
        <f t="shared" si="2"/>
        <v>1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6.5" customHeight="1" x14ac:dyDescent="0.45">
      <c r="A103" s="10">
        <v>75235801</v>
      </c>
      <c r="B103" s="11" t="str">
        <f t="shared" si="0"/>
        <v>7.523.580-1</v>
      </c>
      <c r="C103" s="11" t="s">
        <v>14</v>
      </c>
      <c r="D103" s="11" t="s">
        <v>242</v>
      </c>
      <c r="E103" s="11" t="s">
        <v>137</v>
      </c>
      <c r="F103" s="11" t="s">
        <v>133</v>
      </c>
      <c r="G103" s="12">
        <v>45772</v>
      </c>
      <c r="H103" s="12">
        <v>45776</v>
      </c>
      <c r="I103" s="11" t="s">
        <v>360</v>
      </c>
      <c r="J103" s="11"/>
      <c r="K103" s="11" t="s">
        <v>16</v>
      </c>
      <c r="L103" s="12">
        <v>45772</v>
      </c>
      <c r="M103" s="12">
        <v>45776</v>
      </c>
      <c r="N103" s="44">
        <f t="shared" si="2"/>
        <v>4</v>
      </c>
      <c r="O103" s="44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6.5" customHeight="1" x14ac:dyDescent="0.45">
      <c r="A104" s="10">
        <v>75235801</v>
      </c>
      <c r="B104" s="11" t="str">
        <f t="shared" si="0"/>
        <v>7.523.580-1</v>
      </c>
      <c r="C104" s="11" t="s">
        <v>14</v>
      </c>
      <c r="D104" s="11" t="s">
        <v>242</v>
      </c>
      <c r="E104" s="11" t="s">
        <v>137</v>
      </c>
      <c r="F104" s="11" t="s">
        <v>133</v>
      </c>
      <c r="G104" s="12">
        <v>45772</v>
      </c>
      <c r="H104" s="12">
        <v>45776</v>
      </c>
      <c r="I104" s="11" t="s">
        <v>360</v>
      </c>
      <c r="J104" s="11"/>
      <c r="K104" s="11" t="s">
        <v>17</v>
      </c>
      <c r="L104" s="12">
        <v>45772</v>
      </c>
      <c r="M104" s="12">
        <v>45776</v>
      </c>
      <c r="N104" s="44">
        <f t="shared" si="2"/>
        <v>4</v>
      </c>
      <c r="O104" s="44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6.5" customHeight="1" x14ac:dyDescent="0.45">
      <c r="A105" s="10">
        <v>75235801</v>
      </c>
      <c r="B105" s="11" t="str">
        <f t="shared" si="0"/>
        <v>7.523.580-1</v>
      </c>
      <c r="C105" s="11" t="s">
        <v>14</v>
      </c>
      <c r="D105" s="11" t="s">
        <v>242</v>
      </c>
      <c r="E105" s="11" t="s">
        <v>137</v>
      </c>
      <c r="F105" s="11" t="s">
        <v>133</v>
      </c>
      <c r="G105" s="12">
        <v>45772</v>
      </c>
      <c r="H105" s="12">
        <v>45776</v>
      </c>
      <c r="I105" s="11" t="s">
        <v>360</v>
      </c>
      <c r="J105" s="11"/>
      <c r="K105" s="11" t="s">
        <v>18</v>
      </c>
      <c r="L105" s="12">
        <v>45772</v>
      </c>
      <c r="M105" s="39">
        <v>45774</v>
      </c>
      <c r="N105" s="44">
        <f t="shared" si="2"/>
        <v>2</v>
      </c>
      <c r="O105" s="44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5.75" customHeight="1" x14ac:dyDescent="0.45">
      <c r="A106" s="15">
        <v>160373296</v>
      </c>
      <c r="B106" s="16" t="str">
        <f t="shared" si="0"/>
        <v>16.037.329-6</v>
      </c>
      <c r="C106" s="16" t="s">
        <v>28</v>
      </c>
      <c r="D106" s="16" t="s">
        <v>242</v>
      </c>
      <c r="E106" s="16" t="s">
        <v>356</v>
      </c>
      <c r="F106" s="16" t="s">
        <v>357</v>
      </c>
      <c r="G106" s="17">
        <v>45725</v>
      </c>
      <c r="H106" s="17">
        <v>45756</v>
      </c>
      <c r="I106" s="16" t="s">
        <v>56</v>
      </c>
      <c r="J106" s="16" t="s">
        <v>62</v>
      </c>
      <c r="K106" s="37" t="s">
        <v>16</v>
      </c>
      <c r="L106" s="17">
        <v>45748</v>
      </c>
      <c r="M106" s="17">
        <v>45756</v>
      </c>
      <c r="N106" s="46">
        <f t="shared" ref="N106:N116" si="4">+M106-L106</f>
        <v>8</v>
      </c>
      <c r="O106" s="28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5.75" customHeight="1" x14ac:dyDescent="0.45">
      <c r="A107" s="15">
        <v>160373296</v>
      </c>
      <c r="B107" s="16" t="str">
        <f t="shared" si="0"/>
        <v>16.037.329-6</v>
      </c>
      <c r="C107" s="16" t="s">
        <v>28</v>
      </c>
      <c r="D107" s="16" t="s">
        <v>242</v>
      </c>
      <c r="E107" s="16" t="s">
        <v>356</v>
      </c>
      <c r="F107" s="16" t="s">
        <v>357</v>
      </c>
      <c r="G107" s="17">
        <v>45725</v>
      </c>
      <c r="H107" s="17">
        <v>45756</v>
      </c>
      <c r="I107" s="16" t="s">
        <v>56</v>
      </c>
      <c r="J107" s="16" t="s">
        <v>62</v>
      </c>
      <c r="K107" s="37" t="s">
        <v>17</v>
      </c>
      <c r="L107" s="17">
        <v>45748</v>
      </c>
      <c r="M107" s="17">
        <v>45756</v>
      </c>
      <c r="N107" s="46">
        <f t="shared" si="4"/>
        <v>8</v>
      </c>
      <c r="O107" s="28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5">
        <v>67604601</v>
      </c>
      <c r="B108" s="16" t="str">
        <f t="shared" si="0"/>
        <v>6.760.460-1</v>
      </c>
      <c r="C108" s="16" t="s">
        <v>28</v>
      </c>
      <c r="D108" s="16" t="s">
        <v>389</v>
      </c>
      <c r="E108" s="16" t="s">
        <v>145</v>
      </c>
      <c r="F108" s="16" t="s">
        <v>223</v>
      </c>
      <c r="G108" s="17">
        <v>45736</v>
      </c>
      <c r="H108" s="17">
        <v>45758</v>
      </c>
      <c r="I108" s="16" t="s">
        <v>360</v>
      </c>
      <c r="J108" s="16" t="s">
        <v>62</v>
      </c>
      <c r="K108" s="16" t="s">
        <v>17</v>
      </c>
      <c r="L108" s="17">
        <v>45748</v>
      </c>
      <c r="M108" s="41">
        <v>45758</v>
      </c>
      <c r="N108" s="46">
        <f t="shared" si="4"/>
        <v>10</v>
      </c>
      <c r="O108" s="28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86959968</v>
      </c>
      <c r="B109" s="16" t="str">
        <f t="shared" si="0"/>
        <v>8.695.996-8</v>
      </c>
      <c r="C109" s="16" t="s">
        <v>28</v>
      </c>
      <c r="D109" s="16" t="s">
        <v>120</v>
      </c>
      <c r="E109" s="16" t="s">
        <v>125</v>
      </c>
      <c r="F109" s="16" t="s">
        <v>321</v>
      </c>
      <c r="G109" s="17">
        <v>45741</v>
      </c>
      <c r="H109" s="17"/>
      <c r="I109" s="16" t="s">
        <v>60</v>
      </c>
      <c r="J109" s="16"/>
      <c r="K109" s="16" t="s">
        <v>349</v>
      </c>
      <c r="L109" s="17">
        <v>45748</v>
      </c>
      <c r="M109" s="41">
        <v>45777</v>
      </c>
      <c r="N109" s="46">
        <f t="shared" si="4"/>
        <v>29</v>
      </c>
      <c r="O109" s="28"/>
      <c r="P109" t="s">
        <v>942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86959968</v>
      </c>
      <c r="B110" s="16" t="str">
        <f t="shared" si="0"/>
        <v>8.695.996-8</v>
      </c>
      <c r="C110" s="16" t="s">
        <v>28</v>
      </c>
      <c r="D110" s="16" t="s">
        <v>120</v>
      </c>
      <c r="E110" s="16" t="s">
        <v>125</v>
      </c>
      <c r="F110" s="16" t="s">
        <v>321</v>
      </c>
      <c r="G110" s="17">
        <v>45741</v>
      </c>
      <c r="H110" s="17"/>
      <c r="I110" s="16" t="s">
        <v>60</v>
      </c>
      <c r="J110" s="16"/>
      <c r="K110" s="16" t="s">
        <v>17</v>
      </c>
      <c r="L110" s="17">
        <v>45748</v>
      </c>
      <c r="M110" s="41">
        <v>45777</v>
      </c>
      <c r="N110" s="46">
        <f t="shared" si="4"/>
        <v>29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50397289</v>
      </c>
      <c r="B111" s="16" t="str">
        <f t="shared" si="0"/>
        <v>5.039.728-9</v>
      </c>
      <c r="C111" s="16" t="s">
        <v>28</v>
      </c>
      <c r="D111" s="16" t="s">
        <v>410</v>
      </c>
      <c r="E111" s="16" t="s">
        <v>411</v>
      </c>
      <c r="F111" s="16" t="s">
        <v>330</v>
      </c>
      <c r="G111" s="17">
        <v>45739</v>
      </c>
      <c r="H111" s="17">
        <v>45748</v>
      </c>
      <c r="I111" s="16" t="s">
        <v>360</v>
      </c>
      <c r="J111" s="16" t="s">
        <v>342</v>
      </c>
      <c r="K111" s="16" t="s">
        <v>17</v>
      </c>
      <c r="L111" s="17">
        <v>45748</v>
      </c>
      <c r="M111" s="41">
        <v>45748</v>
      </c>
      <c r="N111" s="46">
        <f t="shared" si="4"/>
        <v>0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>
        <v>54167865</v>
      </c>
      <c r="B112" s="16" t="str">
        <f t="shared" si="0"/>
        <v>5.416.786-5</v>
      </c>
      <c r="C112" s="16" t="s">
        <v>28</v>
      </c>
      <c r="D112" s="16" t="s">
        <v>197</v>
      </c>
      <c r="E112" s="16" t="s">
        <v>177</v>
      </c>
      <c r="F112" s="16" t="s">
        <v>412</v>
      </c>
      <c r="G112" s="17">
        <v>45738</v>
      </c>
      <c r="H112" s="17">
        <v>45749</v>
      </c>
      <c r="I112" s="16" t="s">
        <v>360</v>
      </c>
      <c r="J112" s="16" t="s">
        <v>106</v>
      </c>
      <c r="K112" s="16" t="s">
        <v>17</v>
      </c>
      <c r="L112" s="17">
        <v>45748</v>
      </c>
      <c r="M112" s="41">
        <v>45749</v>
      </c>
      <c r="N112" s="46">
        <f t="shared" si="4"/>
        <v>1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64772953</v>
      </c>
      <c r="B113" s="16" t="str">
        <f t="shared" si="0"/>
        <v>6.477.295-3</v>
      </c>
      <c r="C113" s="16" t="s">
        <v>28</v>
      </c>
      <c r="D113" s="16" t="s">
        <v>433</v>
      </c>
      <c r="E113" s="16" t="s">
        <v>229</v>
      </c>
      <c r="F113" s="16" t="s">
        <v>434</v>
      </c>
      <c r="G113" s="17">
        <v>45752</v>
      </c>
      <c r="H113" s="17">
        <v>45764</v>
      </c>
      <c r="I113" s="16" t="s">
        <v>360</v>
      </c>
      <c r="J113" s="16" t="s">
        <v>200</v>
      </c>
      <c r="K113" s="16" t="s">
        <v>17</v>
      </c>
      <c r="L113" s="24">
        <v>45752</v>
      </c>
      <c r="M113" s="17">
        <v>45764</v>
      </c>
      <c r="N113" s="46">
        <f t="shared" si="4"/>
        <v>12</v>
      </c>
      <c r="O113" s="28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5">
        <v>151699316</v>
      </c>
      <c r="B114" s="16" t="str">
        <f t="shared" si="0"/>
        <v>15.169.931-6</v>
      </c>
      <c r="C114" s="16" t="s">
        <v>28</v>
      </c>
      <c r="D114" s="16" t="s">
        <v>104</v>
      </c>
      <c r="E114" s="16" t="s">
        <v>435</v>
      </c>
      <c r="F114" s="16" t="s">
        <v>111</v>
      </c>
      <c r="G114" s="17">
        <v>45756</v>
      </c>
      <c r="H114" s="17">
        <v>45760</v>
      </c>
      <c r="I114" s="16" t="s">
        <v>360</v>
      </c>
      <c r="J114" s="16" t="s">
        <v>106</v>
      </c>
      <c r="K114" s="16" t="s">
        <v>17</v>
      </c>
      <c r="L114" s="17">
        <v>45756</v>
      </c>
      <c r="M114" s="51">
        <v>45760</v>
      </c>
      <c r="N114" s="46">
        <f t="shared" si="4"/>
        <v>4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162397850</v>
      </c>
      <c r="B115" s="16" t="str">
        <f t="shared" si="0"/>
        <v>16.239.785-0</v>
      </c>
      <c r="C115" s="16" t="s">
        <v>28</v>
      </c>
      <c r="D115" s="16" t="s">
        <v>289</v>
      </c>
      <c r="E115" s="16" t="s">
        <v>493</v>
      </c>
      <c r="F115" s="16" t="s">
        <v>496</v>
      </c>
      <c r="G115" s="17">
        <v>45769</v>
      </c>
      <c r="H115" s="17"/>
      <c r="I115" s="16" t="s">
        <v>14</v>
      </c>
      <c r="J115" s="16"/>
      <c r="K115" s="16" t="s">
        <v>349</v>
      </c>
      <c r="L115" s="24">
        <v>45769</v>
      </c>
      <c r="M115" s="28">
        <v>45777</v>
      </c>
      <c r="N115" s="46">
        <f t="shared" si="4"/>
        <v>8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75909608</v>
      </c>
      <c r="B116" s="16" t="str">
        <f t="shared" si="0"/>
        <v>7.590.960-8</v>
      </c>
      <c r="C116" s="16" t="s">
        <v>28</v>
      </c>
      <c r="D116" s="16" t="s">
        <v>125</v>
      </c>
      <c r="E116" s="16" t="s">
        <v>497</v>
      </c>
      <c r="F116" s="16" t="s">
        <v>498</v>
      </c>
      <c r="G116" s="17">
        <v>45776</v>
      </c>
      <c r="H116" s="17"/>
      <c r="I116" s="16" t="s">
        <v>360</v>
      </c>
      <c r="J116" s="16"/>
      <c r="K116" s="16" t="s">
        <v>16</v>
      </c>
      <c r="L116" s="24">
        <v>45776</v>
      </c>
      <c r="M116" s="28">
        <v>45777</v>
      </c>
      <c r="N116" s="46">
        <f t="shared" si="4"/>
        <v>1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9">
        <v>46125940</v>
      </c>
      <c r="B117" s="19" t="str">
        <f t="shared" ref="B117:B121" si="5">IF(LEN(A117)=8,MID(A117,1,1)&amp;"."&amp;MID(A117,2,3)&amp;"."&amp;MID(A117,5,3)&amp;"-"&amp;RIGHT(A117,1),IF(LEFT(RIGHT(A117,2),1)="-",MID(A117,1,1)&amp;"."&amp;MID(A117,2,3)&amp;"."&amp;MID(A117,5,3)&amp;"-"&amp;RIGHT(A117,1),MID(A117,1,2)&amp;"."&amp;MID(A117,3,3)&amp;"."&amp;MID(A117,6,3)&amp;"-"&amp;MID(A117,9,1)))</f>
        <v>4.612.594-0</v>
      </c>
      <c r="C117" s="19" t="s">
        <v>32</v>
      </c>
      <c r="D117" s="19" t="s">
        <v>449</v>
      </c>
      <c r="E117" s="19" t="s">
        <v>450</v>
      </c>
      <c r="F117" s="19" t="s">
        <v>300</v>
      </c>
      <c r="G117" s="20">
        <v>45758</v>
      </c>
      <c r="H117" s="20">
        <v>45761</v>
      </c>
      <c r="I117" s="19" t="s">
        <v>360</v>
      </c>
      <c r="J117" s="19" t="s">
        <v>200</v>
      </c>
      <c r="K117" s="19" t="s">
        <v>17</v>
      </c>
      <c r="L117" s="20">
        <v>45758</v>
      </c>
      <c r="M117" s="20">
        <v>45761</v>
      </c>
      <c r="N117" s="47">
        <f t="shared" ref="N117:N121" si="6">+M117-L117</f>
        <v>3</v>
      </c>
      <c r="O117" s="34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9" t="s">
        <v>457</v>
      </c>
      <c r="B118" s="19" t="str">
        <f t="shared" si="5"/>
        <v>4.521.611-k</v>
      </c>
      <c r="C118" s="19" t="s">
        <v>32</v>
      </c>
      <c r="D118" s="19" t="s">
        <v>451</v>
      </c>
      <c r="E118" s="19" t="s">
        <v>458</v>
      </c>
      <c r="F118" s="19" t="s">
        <v>239</v>
      </c>
      <c r="G118" s="20">
        <v>45764</v>
      </c>
      <c r="H118" s="20">
        <v>45768</v>
      </c>
      <c r="I118" s="19" t="s">
        <v>360</v>
      </c>
      <c r="J118" s="19" t="s">
        <v>47</v>
      </c>
      <c r="K118" s="19" t="s">
        <v>17</v>
      </c>
      <c r="L118" s="20">
        <v>45764</v>
      </c>
      <c r="M118" s="20">
        <v>45768</v>
      </c>
      <c r="N118" s="47">
        <f t="shared" si="6"/>
        <v>4</v>
      </c>
      <c r="O118" s="34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9">
        <v>120402161</v>
      </c>
      <c r="B119" s="19" t="str">
        <f t="shared" si="5"/>
        <v>12.040.216-1</v>
      </c>
      <c r="C119" s="19" t="s">
        <v>32</v>
      </c>
      <c r="D119" s="19" t="s">
        <v>481</v>
      </c>
      <c r="E119" s="19" t="s">
        <v>120</v>
      </c>
      <c r="F119" s="19" t="s">
        <v>84</v>
      </c>
      <c r="G119" s="20">
        <v>45773</v>
      </c>
      <c r="H119" s="20">
        <v>45775</v>
      </c>
      <c r="I119" s="19" t="s">
        <v>360</v>
      </c>
      <c r="J119" s="19" t="s">
        <v>106</v>
      </c>
      <c r="K119" s="19" t="s">
        <v>17</v>
      </c>
      <c r="L119" s="20">
        <v>45773</v>
      </c>
      <c r="M119" s="20">
        <v>45775</v>
      </c>
      <c r="N119" s="47">
        <f t="shared" si="6"/>
        <v>2</v>
      </c>
      <c r="O119" s="34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9">
        <v>57649569</v>
      </c>
      <c r="B120" s="19" t="str">
        <f t="shared" si="5"/>
        <v>5.764.956-9</v>
      </c>
      <c r="C120" s="19" t="s">
        <v>32</v>
      </c>
      <c r="D120" s="19" t="s">
        <v>145</v>
      </c>
      <c r="E120" s="19" t="s">
        <v>410</v>
      </c>
      <c r="F120" s="19" t="s">
        <v>328</v>
      </c>
      <c r="G120" s="20">
        <v>45407</v>
      </c>
      <c r="H120" s="20">
        <v>45775</v>
      </c>
      <c r="I120" s="19" t="s">
        <v>360</v>
      </c>
      <c r="J120" s="19" t="s">
        <v>47</v>
      </c>
      <c r="K120" s="21" t="s">
        <v>17</v>
      </c>
      <c r="L120" s="20">
        <v>45772</v>
      </c>
      <c r="M120" s="20">
        <v>45775</v>
      </c>
      <c r="N120" s="47">
        <f t="shared" si="6"/>
        <v>3</v>
      </c>
      <c r="O120" s="34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9">
        <v>38618334</v>
      </c>
      <c r="B121" s="19" t="str">
        <f t="shared" si="5"/>
        <v>3.861.833-4</v>
      </c>
      <c r="C121" s="19" t="s">
        <v>32</v>
      </c>
      <c r="D121" s="19" t="s">
        <v>482</v>
      </c>
      <c r="E121" s="19" t="s">
        <v>183</v>
      </c>
      <c r="F121" s="19" t="s">
        <v>29</v>
      </c>
      <c r="G121" s="20">
        <v>45774</v>
      </c>
      <c r="H121" s="20">
        <v>45776</v>
      </c>
      <c r="I121" s="19" t="s">
        <v>360</v>
      </c>
      <c r="J121" s="19" t="s">
        <v>62</v>
      </c>
      <c r="K121" s="21" t="s">
        <v>17</v>
      </c>
      <c r="L121" s="20">
        <v>45774</v>
      </c>
      <c r="M121" s="20">
        <v>45776</v>
      </c>
      <c r="N121" s="47">
        <f t="shared" si="6"/>
        <v>2</v>
      </c>
      <c r="O121" s="34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G122" s="4"/>
      <c r="H122" s="4"/>
      <c r="I122" s="23"/>
      <c r="J122" s="23"/>
      <c r="K122" s="23"/>
      <c r="L122" s="4"/>
      <c r="N122" s="36"/>
      <c r="U122">
        <f>COUNTIF(U8:U121,"si")</f>
        <v>0</v>
      </c>
    </row>
    <row r="123" spans="1:21" ht="15.75" customHeight="1" x14ac:dyDescent="0.45">
      <c r="G123" s="4"/>
      <c r="H123" s="4"/>
      <c r="I123" s="23"/>
      <c r="J123" s="23"/>
      <c r="K123" s="23"/>
      <c r="L123" s="4"/>
      <c r="N123" s="36"/>
    </row>
    <row r="124" spans="1:21" ht="15.75" customHeight="1" x14ac:dyDescent="0.45">
      <c r="G124" s="4"/>
      <c r="H124" s="4"/>
      <c r="I124" s="23"/>
      <c r="J124" s="23"/>
      <c r="K124" s="23"/>
      <c r="L124" s="4"/>
      <c r="N124" s="36"/>
    </row>
    <row r="125" spans="1:21" ht="15.75" customHeight="1" x14ac:dyDescent="0.45">
      <c r="G125" s="4"/>
      <c r="H125" s="4"/>
      <c r="I125" s="23"/>
      <c r="J125" s="23"/>
      <c r="K125" s="23"/>
      <c r="L125" s="4"/>
      <c r="N125" s="36"/>
    </row>
    <row r="126" spans="1:21" ht="15.75" customHeight="1" x14ac:dyDescent="0.45">
      <c r="G126" s="4"/>
      <c r="H126" s="4"/>
      <c r="I126" s="23"/>
      <c r="J126" s="23"/>
      <c r="K126" s="23"/>
      <c r="L126" s="4"/>
      <c r="N126" s="36"/>
    </row>
    <row r="127" spans="1:21" ht="15.75" customHeight="1" x14ac:dyDescent="0.45">
      <c r="G127" s="4"/>
      <c r="H127" s="4"/>
      <c r="I127" s="23"/>
      <c r="J127" s="23"/>
      <c r="K127" s="23"/>
      <c r="L127" s="4"/>
      <c r="N127" s="36"/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J253" s="23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</row>
    <row r="291" spans="7:14" ht="15.75" customHeight="1" x14ac:dyDescent="0.45">
      <c r="G291" s="4"/>
      <c r="H291" s="4"/>
      <c r="L291" s="4"/>
    </row>
    <row r="292" spans="7:14" ht="15.75" customHeight="1" x14ac:dyDescent="0.45">
      <c r="G292" s="4"/>
      <c r="H292" s="4"/>
      <c r="L292" s="4"/>
    </row>
    <row r="293" spans="7:14" ht="15.75" customHeight="1" x14ac:dyDescent="0.45">
      <c r="G293" s="4"/>
      <c r="H293" s="4"/>
      <c r="L293" s="4"/>
    </row>
    <row r="294" spans="7:14" ht="15.75" customHeight="1" x14ac:dyDescent="0.45">
      <c r="G294" s="4"/>
      <c r="H294" s="4"/>
      <c r="L294" s="4"/>
    </row>
    <row r="295" spans="7:14" ht="15.75" customHeight="1" x14ac:dyDescent="0.45">
      <c r="G295" s="4"/>
      <c r="H295" s="4"/>
      <c r="L295" s="4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</sheetData>
  <mergeCells count="3">
    <mergeCell ref="A1:O1"/>
    <mergeCell ref="A2:O2"/>
    <mergeCell ref="A5:O5"/>
  </mergeCells>
  <phoneticPr fontId="6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6DDB26-6871-46DB-827D-22C2DFA79EDF}">
          <x14:formula1>
            <xm:f>Criterios!$A$2:$A$128</xm:f>
          </x14:formula1>
          <xm:sqref>P8:T121</xm:sqref>
        </x14:dataValidation>
        <x14:dataValidation type="list" allowBlank="1" showInputMessage="1" showErrorMessage="1" xr:uid="{1CC37177-DBBA-4877-BC2A-91C6BF19F767}">
          <x14:formula1>
            <xm:f>Hoja1!$G$2:$G$3</xm:f>
          </x14:formula1>
          <xm:sqref>U8:U121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ACE7-288E-4160-91F2-0506AAA4BA02}">
  <dimension ref="A1:U1008"/>
  <sheetViews>
    <sheetView topLeftCell="K101" zoomScale="80" zoomScaleNormal="80" workbookViewId="0">
      <selection activeCell="U135" sqref="U135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483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33.75" customHeight="1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57637358</v>
      </c>
      <c r="B8" s="11" t="str">
        <f t="shared" ref="B8:B140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5.763.735-8</v>
      </c>
      <c r="C8" s="11" t="s">
        <v>14</v>
      </c>
      <c r="D8" s="11" t="s">
        <v>333</v>
      </c>
      <c r="E8" s="11" t="s">
        <v>470</v>
      </c>
      <c r="F8" s="11" t="s">
        <v>105</v>
      </c>
      <c r="G8" s="12">
        <v>45772</v>
      </c>
      <c r="H8" s="12">
        <v>45783</v>
      </c>
      <c r="I8" s="11" t="s">
        <v>15</v>
      </c>
      <c r="J8" s="11" t="s">
        <v>60</v>
      </c>
      <c r="K8" s="11" t="s">
        <v>16</v>
      </c>
      <c r="L8" s="12">
        <v>45778</v>
      </c>
      <c r="M8" s="12">
        <v>45783</v>
      </c>
      <c r="N8" s="44">
        <f t="shared" ref="N8:N142" si="1">+M8-L8</f>
        <v>5</v>
      </c>
      <c r="O8" s="44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57637358</v>
      </c>
      <c r="B9" s="11" t="str">
        <f t="shared" si="0"/>
        <v>5.763.735-8</v>
      </c>
      <c r="C9" s="11" t="s">
        <v>14</v>
      </c>
      <c r="D9" s="11" t="s">
        <v>333</v>
      </c>
      <c r="E9" s="11" t="s">
        <v>470</v>
      </c>
      <c r="F9" s="11" t="s">
        <v>105</v>
      </c>
      <c r="G9" s="12">
        <v>45772</v>
      </c>
      <c r="H9" s="12">
        <v>45783</v>
      </c>
      <c r="I9" s="11" t="s">
        <v>15</v>
      </c>
      <c r="J9" s="11" t="s">
        <v>60</v>
      </c>
      <c r="K9" s="11" t="s">
        <v>17</v>
      </c>
      <c r="L9" s="12">
        <v>45778</v>
      </c>
      <c r="M9" s="12">
        <v>45783</v>
      </c>
      <c r="N9" s="44">
        <f t="shared" si="1"/>
        <v>5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57637358</v>
      </c>
      <c r="B10" s="11" t="str">
        <f t="shared" si="0"/>
        <v>5.763.735-8</v>
      </c>
      <c r="C10" s="11" t="s">
        <v>14</v>
      </c>
      <c r="D10" s="11" t="s">
        <v>333</v>
      </c>
      <c r="E10" s="11" t="s">
        <v>470</v>
      </c>
      <c r="F10" s="11" t="s">
        <v>105</v>
      </c>
      <c r="G10" s="12">
        <v>45772</v>
      </c>
      <c r="H10" s="12">
        <v>45783</v>
      </c>
      <c r="I10" s="11" t="s">
        <v>15</v>
      </c>
      <c r="J10" s="11" t="s">
        <v>60</v>
      </c>
      <c r="K10" s="11" t="s">
        <v>18</v>
      </c>
      <c r="L10" s="12">
        <v>45778</v>
      </c>
      <c r="M10" s="39">
        <v>45781</v>
      </c>
      <c r="N10" s="44">
        <f t="shared" si="1"/>
        <v>3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80997728</v>
      </c>
      <c r="B11" s="11" t="str">
        <f t="shared" si="0"/>
        <v>8.099.772-8</v>
      </c>
      <c r="C11" s="11" t="s">
        <v>14</v>
      </c>
      <c r="D11" s="11" t="s">
        <v>476</v>
      </c>
      <c r="E11" s="11" t="s">
        <v>477</v>
      </c>
      <c r="F11" s="11" t="s">
        <v>171</v>
      </c>
      <c r="G11" s="12">
        <v>45773</v>
      </c>
      <c r="H11" s="12">
        <v>45785</v>
      </c>
      <c r="I11" s="11" t="s">
        <v>15</v>
      </c>
      <c r="J11" s="11" t="s">
        <v>60</v>
      </c>
      <c r="K11" s="11" t="s">
        <v>16</v>
      </c>
      <c r="L11" s="12">
        <v>45778</v>
      </c>
      <c r="M11" s="12">
        <v>45785</v>
      </c>
      <c r="N11" s="44">
        <f t="shared" si="1"/>
        <v>7</v>
      </c>
      <c r="O11" s="44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80997728</v>
      </c>
      <c r="B12" s="11" t="str">
        <f t="shared" si="0"/>
        <v>8.099.772-8</v>
      </c>
      <c r="C12" s="11" t="s">
        <v>14</v>
      </c>
      <c r="D12" s="11" t="s">
        <v>476</v>
      </c>
      <c r="E12" s="11" t="s">
        <v>477</v>
      </c>
      <c r="F12" s="11" t="s">
        <v>171</v>
      </c>
      <c r="G12" s="12">
        <v>45773</v>
      </c>
      <c r="H12" s="12">
        <v>45785</v>
      </c>
      <c r="I12" s="11" t="s">
        <v>15</v>
      </c>
      <c r="J12" s="11" t="s">
        <v>60</v>
      </c>
      <c r="K12" s="11" t="s">
        <v>17</v>
      </c>
      <c r="L12" s="12">
        <v>45778</v>
      </c>
      <c r="M12" s="12">
        <v>45785</v>
      </c>
      <c r="N12" s="44">
        <f t="shared" si="1"/>
        <v>7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80997728</v>
      </c>
      <c r="B13" s="11" t="str">
        <f t="shared" si="0"/>
        <v>8.099.772-8</v>
      </c>
      <c r="C13" s="11" t="s">
        <v>14</v>
      </c>
      <c r="D13" s="11" t="s">
        <v>476</v>
      </c>
      <c r="E13" s="11" t="s">
        <v>477</v>
      </c>
      <c r="F13" s="11" t="s">
        <v>171</v>
      </c>
      <c r="G13" s="12">
        <v>45773</v>
      </c>
      <c r="H13" s="12">
        <v>45785</v>
      </c>
      <c r="I13" s="11" t="s">
        <v>15</v>
      </c>
      <c r="J13" s="11" t="s">
        <v>60</v>
      </c>
      <c r="K13" s="11" t="s">
        <v>18</v>
      </c>
      <c r="L13" s="12">
        <v>45778</v>
      </c>
      <c r="M13" s="12">
        <v>45781</v>
      </c>
      <c r="N13" s="44">
        <f t="shared" si="1"/>
        <v>3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78612673</v>
      </c>
      <c r="B14" s="11" t="str">
        <f t="shared" si="0"/>
        <v>7.861.267-3</v>
      </c>
      <c r="C14" s="11" t="s">
        <v>14</v>
      </c>
      <c r="D14" s="11" t="s">
        <v>478</v>
      </c>
      <c r="E14" s="11" t="s">
        <v>479</v>
      </c>
      <c r="F14" s="11" t="s">
        <v>171</v>
      </c>
      <c r="G14" s="12">
        <v>45772</v>
      </c>
      <c r="H14" s="12">
        <v>45781</v>
      </c>
      <c r="I14" s="11" t="s">
        <v>360</v>
      </c>
      <c r="J14" s="11" t="s">
        <v>495</v>
      </c>
      <c r="K14" s="11" t="s">
        <v>16</v>
      </c>
      <c r="L14" s="12">
        <v>45778</v>
      </c>
      <c r="M14" s="12">
        <v>45781</v>
      </c>
      <c r="N14" s="44">
        <f t="shared" si="1"/>
        <v>3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78612673</v>
      </c>
      <c r="B15" s="11" t="str">
        <f t="shared" si="0"/>
        <v>7.861.267-3</v>
      </c>
      <c r="C15" s="11" t="s">
        <v>14</v>
      </c>
      <c r="D15" s="11" t="s">
        <v>478</v>
      </c>
      <c r="E15" s="11" t="s">
        <v>479</v>
      </c>
      <c r="F15" s="11" t="s">
        <v>171</v>
      </c>
      <c r="G15" s="12">
        <v>45772</v>
      </c>
      <c r="H15" s="12">
        <v>45781</v>
      </c>
      <c r="I15" s="11" t="s">
        <v>360</v>
      </c>
      <c r="J15" s="11" t="s">
        <v>495</v>
      </c>
      <c r="K15" s="11" t="s">
        <v>17</v>
      </c>
      <c r="L15" s="12">
        <v>45778</v>
      </c>
      <c r="M15" s="12">
        <v>45781</v>
      </c>
      <c r="N15" s="44">
        <f t="shared" si="1"/>
        <v>3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>
        <v>75067569</v>
      </c>
      <c r="B16" s="11" t="str">
        <f t="shared" si="0"/>
        <v>7.506.756-9</v>
      </c>
      <c r="C16" s="11" t="s">
        <v>14</v>
      </c>
      <c r="D16" s="11" t="s">
        <v>484</v>
      </c>
      <c r="E16" s="11" t="s">
        <v>485</v>
      </c>
      <c r="F16" s="11" t="s">
        <v>486</v>
      </c>
      <c r="G16" s="12">
        <v>45779</v>
      </c>
      <c r="H16" s="12">
        <v>45783</v>
      </c>
      <c r="I16" s="11" t="s">
        <v>360</v>
      </c>
      <c r="J16" s="11" t="s">
        <v>60</v>
      </c>
      <c r="K16" s="11" t="s">
        <v>16</v>
      </c>
      <c r="L16" s="12">
        <v>45779</v>
      </c>
      <c r="M16" s="12">
        <v>45783</v>
      </c>
      <c r="N16" s="44">
        <f t="shared" si="1"/>
        <v>4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>
        <v>75067569</v>
      </c>
      <c r="B17" s="11" t="str">
        <f t="shared" si="0"/>
        <v>7.506.756-9</v>
      </c>
      <c r="C17" s="11" t="s">
        <v>14</v>
      </c>
      <c r="D17" s="11" t="s">
        <v>484</v>
      </c>
      <c r="E17" s="11" t="s">
        <v>485</v>
      </c>
      <c r="F17" s="11" t="s">
        <v>486</v>
      </c>
      <c r="G17" s="12">
        <v>45779</v>
      </c>
      <c r="H17" s="12">
        <v>45783</v>
      </c>
      <c r="I17" s="11" t="s">
        <v>360</v>
      </c>
      <c r="J17" s="11" t="s">
        <v>60</v>
      </c>
      <c r="K17" s="11" t="s">
        <v>17</v>
      </c>
      <c r="L17" s="12">
        <v>45779</v>
      </c>
      <c r="M17" s="12">
        <v>45783</v>
      </c>
      <c r="N17" s="44">
        <f t="shared" si="1"/>
        <v>4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75067569</v>
      </c>
      <c r="B18" s="11" t="str">
        <f t="shared" si="0"/>
        <v>7.506.756-9</v>
      </c>
      <c r="C18" s="11" t="s">
        <v>14</v>
      </c>
      <c r="D18" s="11" t="s">
        <v>484</v>
      </c>
      <c r="E18" s="11" t="s">
        <v>485</v>
      </c>
      <c r="F18" s="11" t="s">
        <v>486</v>
      </c>
      <c r="G18" s="12">
        <v>45779</v>
      </c>
      <c r="H18" s="12">
        <v>45783</v>
      </c>
      <c r="I18" s="11" t="s">
        <v>360</v>
      </c>
      <c r="J18" s="11" t="s">
        <v>60</v>
      </c>
      <c r="K18" s="11" t="s">
        <v>18</v>
      </c>
      <c r="L18" s="12">
        <v>45779</v>
      </c>
      <c r="M18" s="12">
        <v>45782</v>
      </c>
      <c r="N18" s="44">
        <f t="shared" si="1"/>
        <v>3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75919190</v>
      </c>
      <c r="B19" s="11" t="str">
        <f t="shared" si="0"/>
        <v>7.591.919-0</v>
      </c>
      <c r="C19" s="11" t="s">
        <v>14</v>
      </c>
      <c r="D19" s="11" t="s">
        <v>487</v>
      </c>
      <c r="E19" s="11" t="s">
        <v>376</v>
      </c>
      <c r="F19" s="11" t="s">
        <v>488</v>
      </c>
      <c r="G19" s="12">
        <v>45781</v>
      </c>
      <c r="H19" s="12">
        <v>45784</v>
      </c>
      <c r="I19" s="11" t="s">
        <v>360</v>
      </c>
      <c r="J19" s="11" t="s">
        <v>28</v>
      </c>
      <c r="K19" s="11" t="s">
        <v>16</v>
      </c>
      <c r="L19" s="12">
        <v>45781</v>
      </c>
      <c r="M19" s="12">
        <v>45784</v>
      </c>
      <c r="N19" s="44">
        <f t="shared" si="1"/>
        <v>3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75919190</v>
      </c>
      <c r="B20" s="11" t="str">
        <f t="shared" si="0"/>
        <v>7.591.919-0</v>
      </c>
      <c r="C20" s="11" t="s">
        <v>14</v>
      </c>
      <c r="D20" s="11" t="s">
        <v>487</v>
      </c>
      <c r="E20" s="11" t="s">
        <v>376</v>
      </c>
      <c r="F20" s="11" t="s">
        <v>488</v>
      </c>
      <c r="G20" s="12">
        <v>45781</v>
      </c>
      <c r="H20" s="12">
        <v>45784</v>
      </c>
      <c r="I20" s="11" t="s">
        <v>360</v>
      </c>
      <c r="J20" s="11" t="s">
        <v>28</v>
      </c>
      <c r="K20" s="11" t="s">
        <v>17</v>
      </c>
      <c r="L20" s="12">
        <v>45781</v>
      </c>
      <c r="M20" s="12">
        <v>45784</v>
      </c>
      <c r="N20" s="44">
        <f t="shared" si="1"/>
        <v>3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75919190</v>
      </c>
      <c r="B21" s="11" t="str">
        <f t="shared" si="0"/>
        <v>7.591.919-0</v>
      </c>
      <c r="C21" s="11" t="s">
        <v>14</v>
      </c>
      <c r="D21" s="11" t="s">
        <v>487</v>
      </c>
      <c r="E21" s="11" t="s">
        <v>376</v>
      </c>
      <c r="F21" s="11" t="s">
        <v>488</v>
      </c>
      <c r="G21" s="12">
        <v>45781</v>
      </c>
      <c r="H21" s="12">
        <v>45784</v>
      </c>
      <c r="I21" s="11" t="s">
        <v>360</v>
      </c>
      <c r="J21" s="11" t="s">
        <v>28</v>
      </c>
      <c r="K21" s="11" t="s">
        <v>18</v>
      </c>
      <c r="L21" s="12">
        <v>45781</v>
      </c>
      <c r="M21" s="12">
        <v>45783</v>
      </c>
      <c r="N21" s="44">
        <f t="shared" si="1"/>
        <v>2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105975295</v>
      </c>
      <c r="B22" s="11" t="str">
        <f t="shared" si="0"/>
        <v>10.597.529-5</v>
      </c>
      <c r="C22" s="11" t="s">
        <v>14</v>
      </c>
      <c r="D22" s="11" t="s">
        <v>159</v>
      </c>
      <c r="E22" s="11" t="s">
        <v>447</v>
      </c>
      <c r="F22" s="11" t="s">
        <v>489</v>
      </c>
      <c r="G22" s="12">
        <v>45779</v>
      </c>
      <c r="H22" s="12"/>
      <c r="I22" s="11" t="s">
        <v>360</v>
      </c>
      <c r="J22" s="11" t="s">
        <v>565</v>
      </c>
      <c r="K22" s="11" t="s">
        <v>16</v>
      </c>
      <c r="L22" s="12">
        <v>45779</v>
      </c>
      <c r="M22" s="39">
        <v>45808</v>
      </c>
      <c r="N22" s="44">
        <f t="shared" si="1"/>
        <v>29</v>
      </c>
      <c r="O22" s="125" t="s">
        <v>914</v>
      </c>
      <c r="P22" t="s">
        <v>942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105975295</v>
      </c>
      <c r="B23" s="11" t="str">
        <f t="shared" si="0"/>
        <v>10.597.529-5</v>
      </c>
      <c r="C23" s="11" t="s">
        <v>14</v>
      </c>
      <c r="D23" s="11" t="s">
        <v>159</v>
      </c>
      <c r="E23" s="11" t="s">
        <v>447</v>
      </c>
      <c r="F23" s="11" t="s">
        <v>489</v>
      </c>
      <c r="G23" s="12">
        <v>45779</v>
      </c>
      <c r="H23" s="12"/>
      <c r="I23" s="11" t="s">
        <v>360</v>
      </c>
      <c r="J23" s="11" t="s">
        <v>565</v>
      </c>
      <c r="K23" s="11" t="s">
        <v>17</v>
      </c>
      <c r="L23" s="12">
        <v>45779</v>
      </c>
      <c r="M23" s="39">
        <v>45808</v>
      </c>
      <c r="N23" s="44">
        <f t="shared" si="1"/>
        <v>29</v>
      </c>
      <c r="O23" s="126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105975295</v>
      </c>
      <c r="B24" s="11" t="str">
        <f t="shared" si="0"/>
        <v>10.597.529-5</v>
      </c>
      <c r="C24" s="11" t="s">
        <v>14</v>
      </c>
      <c r="D24" s="11" t="s">
        <v>159</v>
      </c>
      <c r="E24" s="11" t="s">
        <v>447</v>
      </c>
      <c r="F24" s="11" t="s">
        <v>489</v>
      </c>
      <c r="G24" s="12">
        <v>45779</v>
      </c>
      <c r="H24" s="12"/>
      <c r="I24" s="11" t="s">
        <v>360</v>
      </c>
      <c r="J24" s="11" t="s">
        <v>565</v>
      </c>
      <c r="K24" s="11" t="s">
        <v>18</v>
      </c>
      <c r="L24" s="12">
        <v>45779</v>
      </c>
      <c r="M24" s="39">
        <v>45808</v>
      </c>
      <c r="N24" s="44">
        <f t="shared" si="1"/>
        <v>29</v>
      </c>
      <c r="O24" s="127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413692121</v>
      </c>
      <c r="B25" s="11" t="str">
        <f t="shared" si="0"/>
        <v>41.369.212-1</v>
      </c>
      <c r="C25" s="11" t="s">
        <v>14</v>
      </c>
      <c r="D25" s="11" t="s">
        <v>490</v>
      </c>
      <c r="E25" s="11" t="s">
        <v>491</v>
      </c>
      <c r="F25" s="11" t="s">
        <v>492</v>
      </c>
      <c r="G25" s="12">
        <v>45772</v>
      </c>
      <c r="H25" s="12">
        <v>45800</v>
      </c>
      <c r="I25" s="11" t="s">
        <v>360</v>
      </c>
      <c r="J25" s="11" t="s">
        <v>48</v>
      </c>
      <c r="K25" s="11" t="s">
        <v>16</v>
      </c>
      <c r="L25" s="38">
        <v>45778</v>
      </c>
      <c r="M25" s="12">
        <v>45800</v>
      </c>
      <c r="N25" s="44">
        <f t="shared" si="1"/>
        <v>22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413692121</v>
      </c>
      <c r="B26" s="11" t="str">
        <f t="shared" si="0"/>
        <v>41.369.212-1</v>
      </c>
      <c r="C26" s="11" t="s">
        <v>14</v>
      </c>
      <c r="D26" s="11" t="s">
        <v>490</v>
      </c>
      <c r="E26" s="11" t="s">
        <v>491</v>
      </c>
      <c r="F26" s="11" t="s">
        <v>492</v>
      </c>
      <c r="G26" s="12">
        <v>45772</v>
      </c>
      <c r="H26" s="12">
        <v>45800</v>
      </c>
      <c r="I26" s="11" t="s">
        <v>360</v>
      </c>
      <c r="J26" s="11" t="s">
        <v>48</v>
      </c>
      <c r="K26" s="11" t="s">
        <v>17</v>
      </c>
      <c r="L26" s="38">
        <v>45778</v>
      </c>
      <c r="M26" s="12">
        <v>45800</v>
      </c>
      <c r="N26" s="44">
        <f t="shared" si="1"/>
        <v>22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413692121</v>
      </c>
      <c r="B27" s="11" t="str">
        <f t="shared" si="0"/>
        <v>41.369.212-1</v>
      </c>
      <c r="C27" s="11" t="s">
        <v>14</v>
      </c>
      <c r="D27" s="11" t="s">
        <v>490</v>
      </c>
      <c r="E27" s="11" t="s">
        <v>491</v>
      </c>
      <c r="F27" s="11" t="s">
        <v>492</v>
      </c>
      <c r="G27" s="12">
        <v>45772</v>
      </c>
      <c r="H27" s="12">
        <v>45800</v>
      </c>
      <c r="I27" s="11" t="s">
        <v>360</v>
      </c>
      <c r="J27" s="11" t="s">
        <v>48</v>
      </c>
      <c r="K27" s="11" t="s">
        <v>18</v>
      </c>
      <c r="L27" s="38">
        <v>45778</v>
      </c>
      <c r="M27" s="12">
        <v>45800</v>
      </c>
      <c r="N27" s="44">
        <f t="shared" si="1"/>
        <v>22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86069547</v>
      </c>
      <c r="B28" s="11" t="str">
        <f t="shared" si="0"/>
        <v>8.606.954-7</v>
      </c>
      <c r="C28" s="11" t="s">
        <v>14</v>
      </c>
      <c r="D28" s="11" t="s">
        <v>322</v>
      </c>
      <c r="E28" s="11" t="s">
        <v>121</v>
      </c>
      <c r="F28" s="11" t="s">
        <v>334</v>
      </c>
      <c r="G28" s="12">
        <v>45780</v>
      </c>
      <c r="H28" s="12">
        <v>45785</v>
      </c>
      <c r="I28" s="11" t="s">
        <v>360</v>
      </c>
      <c r="J28" s="11" t="s">
        <v>47</v>
      </c>
      <c r="K28" s="11" t="s">
        <v>16</v>
      </c>
      <c r="L28" s="12">
        <v>45780</v>
      </c>
      <c r="M28" s="12">
        <v>45785</v>
      </c>
      <c r="N28" s="44">
        <f t="shared" si="1"/>
        <v>5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86069547</v>
      </c>
      <c r="B29" s="11" t="str">
        <f t="shared" si="0"/>
        <v>8.606.954-7</v>
      </c>
      <c r="C29" s="11" t="s">
        <v>14</v>
      </c>
      <c r="D29" s="11" t="s">
        <v>322</v>
      </c>
      <c r="E29" s="11" t="s">
        <v>121</v>
      </c>
      <c r="F29" s="11" t="s">
        <v>334</v>
      </c>
      <c r="G29" s="12">
        <v>45780</v>
      </c>
      <c r="H29" s="12">
        <v>45785</v>
      </c>
      <c r="I29" s="11" t="s">
        <v>360</v>
      </c>
      <c r="J29" s="11" t="s">
        <v>47</v>
      </c>
      <c r="K29" s="11" t="s">
        <v>17</v>
      </c>
      <c r="L29" s="12">
        <v>45780</v>
      </c>
      <c r="M29" s="12">
        <v>45783</v>
      </c>
      <c r="N29" s="44">
        <f t="shared" si="1"/>
        <v>3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86069547</v>
      </c>
      <c r="B30" s="11" t="str">
        <f t="shared" si="0"/>
        <v>8.606.954-7</v>
      </c>
      <c r="C30" s="11" t="s">
        <v>14</v>
      </c>
      <c r="D30" s="11" t="s">
        <v>322</v>
      </c>
      <c r="E30" s="11" t="s">
        <v>121</v>
      </c>
      <c r="F30" s="11" t="s">
        <v>334</v>
      </c>
      <c r="G30" s="12">
        <v>45780</v>
      </c>
      <c r="H30" s="12">
        <v>45785</v>
      </c>
      <c r="I30" s="11" t="s">
        <v>360</v>
      </c>
      <c r="J30" s="11" t="s">
        <v>47</v>
      </c>
      <c r="K30" s="11" t="s">
        <v>18</v>
      </c>
      <c r="L30" s="12">
        <v>45780</v>
      </c>
      <c r="M30" s="12">
        <v>45782</v>
      </c>
      <c r="N30" s="44">
        <f t="shared" si="1"/>
        <v>2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115709518</v>
      </c>
      <c r="B31" s="11" t="str">
        <f t="shared" si="0"/>
        <v>11.570.951-8</v>
      </c>
      <c r="C31" s="11" t="s">
        <v>14</v>
      </c>
      <c r="D31" s="11" t="s">
        <v>494</v>
      </c>
      <c r="E31" s="11" t="s">
        <v>493</v>
      </c>
      <c r="F31" s="11" t="s">
        <v>223</v>
      </c>
      <c r="G31" s="12">
        <v>45776</v>
      </c>
      <c r="H31" s="12">
        <v>45786</v>
      </c>
      <c r="I31" s="11" t="s">
        <v>74</v>
      </c>
      <c r="J31" s="11" t="s">
        <v>60</v>
      </c>
      <c r="K31" s="11" t="s">
        <v>16</v>
      </c>
      <c r="L31" s="38">
        <v>45778</v>
      </c>
      <c r="M31" s="12">
        <v>45786</v>
      </c>
      <c r="N31" s="44">
        <f t="shared" si="1"/>
        <v>8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115709518</v>
      </c>
      <c r="B32" s="11" t="str">
        <f t="shared" si="0"/>
        <v>11.570.951-8</v>
      </c>
      <c r="C32" s="11" t="s">
        <v>14</v>
      </c>
      <c r="D32" s="11" t="s">
        <v>494</v>
      </c>
      <c r="E32" s="11" t="s">
        <v>493</v>
      </c>
      <c r="F32" s="11" t="s">
        <v>223</v>
      </c>
      <c r="G32" s="12">
        <v>45776</v>
      </c>
      <c r="H32" s="12">
        <v>45786</v>
      </c>
      <c r="I32" s="11" t="s">
        <v>74</v>
      </c>
      <c r="J32" s="11" t="s">
        <v>60</v>
      </c>
      <c r="K32" s="11" t="s">
        <v>17</v>
      </c>
      <c r="L32" s="38">
        <v>45778</v>
      </c>
      <c r="M32" s="12">
        <v>45786</v>
      </c>
      <c r="N32" s="44">
        <f t="shared" si="1"/>
        <v>8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115709518</v>
      </c>
      <c r="B33" s="11" t="str">
        <f t="shared" si="0"/>
        <v>11.570.951-8</v>
      </c>
      <c r="C33" s="11" t="s">
        <v>14</v>
      </c>
      <c r="D33" s="11" t="s">
        <v>494</v>
      </c>
      <c r="E33" s="11" t="s">
        <v>493</v>
      </c>
      <c r="F33" s="11" t="s">
        <v>223</v>
      </c>
      <c r="G33" s="12">
        <v>45776</v>
      </c>
      <c r="H33" s="12">
        <v>45786</v>
      </c>
      <c r="I33" s="11" t="s">
        <v>74</v>
      </c>
      <c r="J33" s="11" t="s">
        <v>60</v>
      </c>
      <c r="K33" s="11" t="s">
        <v>18</v>
      </c>
      <c r="L33" s="38">
        <v>45778</v>
      </c>
      <c r="M33" s="39">
        <v>45779</v>
      </c>
      <c r="N33" s="44">
        <f t="shared" si="1"/>
        <v>1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72112105</v>
      </c>
      <c r="B34" s="11" t="str">
        <f t="shared" si="0"/>
        <v>7.211.210-5</v>
      </c>
      <c r="C34" s="11" t="s">
        <v>14</v>
      </c>
      <c r="D34" s="11" t="s">
        <v>235</v>
      </c>
      <c r="E34" s="11" t="s">
        <v>144</v>
      </c>
      <c r="F34" s="11" t="s">
        <v>330</v>
      </c>
      <c r="G34" s="12">
        <v>45777</v>
      </c>
      <c r="H34" s="12">
        <v>45784</v>
      </c>
      <c r="I34" s="11" t="s">
        <v>360</v>
      </c>
      <c r="J34" s="11" t="s">
        <v>60</v>
      </c>
      <c r="K34" s="11" t="s">
        <v>16</v>
      </c>
      <c r="L34" s="38">
        <v>45778</v>
      </c>
      <c r="M34" s="12">
        <v>45784</v>
      </c>
      <c r="N34" s="44">
        <f t="shared" si="1"/>
        <v>6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72112105</v>
      </c>
      <c r="B35" s="11" t="str">
        <f t="shared" si="0"/>
        <v>7.211.210-5</v>
      </c>
      <c r="C35" s="11" t="s">
        <v>14</v>
      </c>
      <c r="D35" s="11" t="s">
        <v>235</v>
      </c>
      <c r="E35" s="11" t="s">
        <v>144</v>
      </c>
      <c r="F35" s="11" t="s">
        <v>330</v>
      </c>
      <c r="G35" s="12">
        <v>45777</v>
      </c>
      <c r="H35" s="12">
        <v>45784</v>
      </c>
      <c r="I35" s="11" t="s">
        <v>360</v>
      </c>
      <c r="J35" s="11" t="s">
        <v>60</v>
      </c>
      <c r="K35" s="11" t="s">
        <v>17</v>
      </c>
      <c r="L35" s="38">
        <v>45778</v>
      </c>
      <c r="M35" s="12">
        <v>45784</v>
      </c>
      <c r="N35" s="44">
        <f t="shared" si="1"/>
        <v>6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72112105</v>
      </c>
      <c r="B36" s="11" t="str">
        <f t="shared" si="0"/>
        <v>7.211.210-5</v>
      </c>
      <c r="C36" s="11" t="s">
        <v>14</v>
      </c>
      <c r="D36" s="11" t="s">
        <v>235</v>
      </c>
      <c r="E36" s="11" t="s">
        <v>144</v>
      </c>
      <c r="F36" s="11" t="s">
        <v>330</v>
      </c>
      <c r="G36" s="12">
        <v>45777</v>
      </c>
      <c r="H36" s="12">
        <v>45784</v>
      </c>
      <c r="I36" s="11" t="s">
        <v>360</v>
      </c>
      <c r="J36" s="11" t="s">
        <v>60</v>
      </c>
      <c r="K36" s="11" t="s">
        <v>18</v>
      </c>
      <c r="L36" s="38">
        <v>45778</v>
      </c>
      <c r="M36" s="12">
        <v>45783</v>
      </c>
      <c r="N36" s="44">
        <f t="shared" si="1"/>
        <v>5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143558606</v>
      </c>
      <c r="B37" s="11" t="str">
        <f t="shared" si="0"/>
        <v>14.355.860-6</v>
      </c>
      <c r="C37" s="11" t="s">
        <v>14</v>
      </c>
      <c r="D37" s="11" t="s">
        <v>531</v>
      </c>
      <c r="E37" s="11" t="s">
        <v>103</v>
      </c>
      <c r="F37" s="11" t="s">
        <v>532</v>
      </c>
      <c r="G37" s="12">
        <v>45783</v>
      </c>
      <c r="H37" s="12">
        <v>45795</v>
      </c>
      <c r="I37" s="11" t="s">
        <v>360</v>
      </c>
      <c r="J37" s="11" t="s">
        <v>60</v>
      </c>
      <c r="K37" s="11" t="s">
        <v>16</v>
      </c>
      <c r="L37" s="12">
        <v>45783</v>
      </c>
      <c r="M37" s="12">
        <v>45795</v>
      </c>
      <c r="N37" s="44">
        <f t="shared" si="1"/>
        <v>12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143558606</v>
      </c>
      <c r="B38" s="11" t="str">
        <f t="shared" si="0"/>
        <v>14.355.860-6</v>
      </c>
      <c r="C38" s="11" t="s">
        <v>14</v>
      </c>
      <c r="D38" s="11" t="s">
        <v>531</v>
      </c>
      <c r="E38" s="11" t="s">
        <v>103</v>
      </c>
      <c r="F38" s="11" t="s">
        <v>532</v>
      </c>
      <c r="G38" s="12">
        <v>45783</v>
      </c>
      <c r="H38" s="12">
        <v>45795</v>
      </c>
      <c r="I38" s="11" t="s">
        <v>360</v>
      </c>
      <c r="J38" s="11" t="s">
        <v>60</v>
      </c>
      <c r="K38" s="11" t="s">
        <v>17</v>
      </c>
      <c r="L38" s="12">
        <v>45783</v>
      </c>
      <c r="M38" s="12">
        <v>45795</v>
      </c>
      <c r="N38" s="44">
        <f t="shared" si="1"/>
        <v>12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143558606</v>
      </c>
      <c r="B39" s="11" t="str">
        <f t="shared" si="0"/>
        <v>14.355.860-6</v>
      </c>
      <c r="C39" s="11" t="s">
        <v>14</v>
      </c>
      <c r="D39" s="11" t="s">
        <v>531</v>
      </c>
      <c r="E39" s="11" t="s">
        <v>103</v>
      </c>
      <c r="F39" s="11" t="s">
        <v>532</v>
      </c>
      <c r="G39" s="12">
        <v>45783</v>
      </c>
      <c r="H39" s="12">
        <v>45795</v>
      </c>
      <c r="I39" s="11" t="s">
        <v>360</v>
      </c>
      <c r="J39" s="11" t="s">
        <v>60</v>
      </c>
      <c r="K39" s="11" t="s">
        <v>18</v>
      </c>
      <c r="L39" s="12">
        <v>45783</v>
      </c>
      <c r="M39" s="12">
        <v>45794</v>
      </c>
      <c r="N39" s="44">
        <f t="shared" si="1"/>
        <v>11</v>
      </c>
      <c r="O39" s="44"/>
      <c r="P39" t="s">
        <v>981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115708465</v>
      </c>
      <c r="B40" s="11" t="str">
        <f t="shared" si="0"/>
        <v>11.570.846-5</v>
      </c>
      <c r="C40" s="11" t="s">
        <v>14</v>
      </c>
      <c r="D40" s="11" t="s">
        <v>368</v>
      </c>
      <c r="E40" s="11" t="s">
        <v>373</v>
      </c>
      <c r="F40" s="11" t="s">
        <v>223</v>
      </c>
      <c r="G40" s="12">
        <v>45784</v>
      </c>
      <c r="H40" s="12">
        <v>45786</v>
      </c>
      <c r="I40" s="11" t="s">
        <v>360</v>
      </c>
      <c r="J40" s="11" t="s">
        <v>200</v>
      </c>
      <c r="K40" s="11" t="s">
        <v>16</v>
      </c>
      <c r="L40" s="12">
        <v>45784</v>
      </c>
      <c r="M40" s="12">
        <v>45786</v>
      </c>
      <c r="N40" s="44">
        <f t="shared" si="1"/>
        <v>2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115708465</v>
      </c>
      <c r="B41" s="11" t="str">
        <f t="shared" si="0"/>
        <v>11.570.846-5</v>
      </c>
      <c r="C41" s="11" t="s">
        <v>14</v>
      </c>
      <c r="D41" s="11" t="s">
        <v>368</v>
      </c>
      <c r="E41" s="11" t="s">
        <v>373</v>
      </c>
      <c r="F41" s="11" t="s">
        <v>223</v>
      </c>
      <c r="G41" s="12">
        <v>45784</v>
      </c>
      <c r="H41" s="12">
        <v>45786</v>
      </c>
      <c r="I41" s="11" t="s">
        <v>360</v>
      </c>
      <c r="J41" s="11" t="s">
        <v>200</v>
      </c>
      <c r="K41" s="11" t="s">
        <v>17</v>
      </c>
      <c r="L41" s="12">
        <v>45784</v>
      </c>
      <c r="M41" s="12">
        <v>45786</v>
      </c>
      <c r="N41" s="44">
        <f t="shared" si="1"/>
        <v>2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95236227</v>
      </c>
      <c r="B42" s="11" t="str">
        <f t="shared" si="0"/>
        <v>9.523.622-7</v>
      </c>
      <c r="C42" s="11" t="s">
        <v>14</v>
      </c>
      <c r="D42" s="11" t="s">
        <v>509</v>
      </c>
      <c r="E42" s="11" t="s">
        <v>125</v>
      </c>
      <c r="F42" s="11" t="s">
        <v>105</v>
      </c>
      <c r="G42" s="12">
        <v>45783</v>
      </c>
      <c r="H42" s="12">
        <v>45806</v>
      </c>
      <c r="I42" s="11" t="s">
        <v>360</v>
      </c>
      <c r="J42" s="11" t="s">
        <v>60</v>
      </c>
      <c r="K42" s="11" t="s">
        <v>16</v>
      </c>
      <c r="L42" s="12">
        <v>45783</v>
      </c>
      <c r="M42" s="12">
        <v>45806</v>
      </c>
      <c r="N42" s="44">
        <f t="shared" si="1"/>
        <v>23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95236227</v>
      </c>
      <c r="B43" s="11" t="str">
        <f t="shared" si="0"/>
        <v>9.523.622-7</v>
      </c>
      <c r="C43" s="11" t="s">
        <v>14</v>
      </c>
      <c r="D43" s="11" t="s">
        <v>509</v>
      </c>
      <c r="E43" s="11" t="s">
        <v>125</v>
      </c>
      <c r="F43" s="11" t="s">
        <v>105</v>
      </c>
      <c r="G43" s="12">
        <v>45783</v>
      </c>
      <c r="H43" s="12">
        <v>45806</v>
      </c>
      <c r="I43" s="11" t="s">
        <v>360</v>
      </c>
      <c r="J43" s="11" t="s">
        <v>60</v>
      </c>
      <c r="K43" s="11" t="s">
        <v>17</v>
      </c>
      <c r="L43" s="12">
        <v>45783</v>
      </c>
      <c r="M43" s="12">
        <v>45806</v>
      </c>
      <c r="N43" s="44">
        <f t="shared" si="1"/>
        <v>23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95236227</v>
      </c>
      <c r="B44" s="11" t="str">
        <f t="shared" si="0"/>
        <v>9.523.622-7</v>
      </c>
      <c r="C44" s="11" t="s">
        <v>14</v>
      </c>
      <c r="D44" s="11" t="s">
        <v>509</v>
      </c>
      <c r="E44" s="11" t="s">
        <v>125</v>
      </c>
      <c r="F44" s="11" t="s">
        <v>105</v>
      </c>
      <c r="G44" s="12">
        <v>45783</v>
      </c>
      <c r="H44" s="12">
        <v>45806</v>
      </c>
      <c r="I44" s="11" t="s">
        <v>360</v>
      </c>
      <c r="J44" s="11" t="s">
        <v>60</v>
      </c>
      <c r="K44" s="11" t="s">
        <v>18</v>
      </c>
      <c r="L44" s="12">
        <v>45783</v>
      </c>
      <c r="M44" s="39">
        <v>45798</v>
      </c>
      <c r="N44" s="44">
        <f t="shared" si="1"/>
        <v>15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107515372</v>
      </c>
      <c r="B45" s="11" t="str">
        <f t="shared" si="0"/>
        <v>10.751.537-2</v>
      </c>
      <c r="C45" s="11" t="s">
        <v>14</v>
      </c>
      <c r="D45" s="11" t="s">
        <v>451</v>
      </c>
      <c r="E45" s="11" t="s">
        <v>487</v>
      </c>
      <c r="F45" s="11" t="s">
        <v>510</v>
      </c>
      <c r="G45" s="12">
        <v>45783</v>
      </c>
      <c r="H45" s="12">
        <v>45786</v>
      </c>
      <c r="I45" s="11" t="s">
        <v>360</v>
      </c>
      <c r="J45" s="11" t="s">
        <v>47</v>
      </c>
      <c r="K45" s="11" t="s">
        <v>16</v>
      </c>
      <c r="L45" s="12">
        <v>45783</v>
      </c>
      <c r="M45" s="12">
        <v>45786</v>
      </c>
      <c r="N45" s="44">
        <f t="shared" si="1"/>
        <v>3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107515372</v>
      </c>
      <c r="B46" s="11" t="str">
        <f t="shared" si="0"/>
        <v>10.751.537-2</v>
      </c>
      <c r="C46" s="11" t="s">
        <v>14</v>
      </c>
      <c r="D46" s="11" t="s">
        <v>451</v>
      </c>
      <c r="E46" s="11" t="s">
        <v>487</v>
      </c>
      <c r="F46" s="11" t="s">
        <v>510</v>
      </c>
      <c r="G46" s="12">
        <v>45783</v>
      </c>
      <c r="H46" s="12">
        <v>45786</v>
      </c>
      <c r="I46" s="11" t="s">
        <v>360</v>
      </c>
      <c r="J46" s="11" t="s">
        <v>47</v>
      </c>
      <c r="K46" s="11" t="s">
        <v>17</v>
      </c>
      <c r="L46" s="12">
        <v>45783</v>
      </c>
      <c r="M46" s="12">
        <v>45786</v>
      </c>
      <c r="N46" s="44">
        <f t="shared" si="1"/>
        <v>3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107515372</v>
      </c>
      <c r="B47" s="11" t="str">
        <f t="shared" si="0"/>
        <v>10.751.537-2</v>
      </c>
      <c r="C47" s="11" t="s">
        <v>14</v>
      </c>
      <c r="D47" s="11" t="s">
        <v>451</v>
      </c>
      <c r="E47" s="11" t="s">
        <v>487</v>
      </c>
      <c r="F47" s="11" t="s">
        <v>510</v>
      </c>
      <c r="G47" s="12">
        <v>45783</v>
      </c>
      <c r="H47" s="12">
        <v>45786</v>
      </c>
      <c r="I47" s="11" t="s">
        <v>360</v>
      </c>
      <c r="J47" s="11" t="s">
        <v>47</v>
      </c>
      <c r="K47" s="11" t="s">
        <v>18</v>
      </c>
      <c r="L47" s="12">
        <v>45783</v>
      </c>
      <c r="M47" s="12">
        <v>45784</v>
      </c>
      <c r="N47" s="44">
        <f t="shared" si="1"/>
        <v>1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 t="s">
        <v>511</v>
      </c>
      <c r="B48" s="11" t="str">
        <f t="shared" si="0"/>
        <v>4.269.648-k</v>
      </c>
      <c r="C48" s="11" t="s">
        <v>14</v>
      </c>
      <c r="D48" s="11" t="s">
        <v>512</v>
      </c>
      <c r="E48" s="11" t="s">
        <v>513</v>
      </c>
      <c r="F48" s="11" t="s">
        <v>514</v>
      </c>
      <c r="G48" s="12">
        <v>45784</v>
      </c>
      <c r="H48" s="12">
        <v>45788</v>
      </c>
      <c r="I48" s="11" t="s">
        <v>360</v>
      </c>
      <c r="J48" s="11" t="s">
        <v>60</v>
      </c>
      <c r="K48" s="11" t="s">
        <v>16</v>
      </c>
      <c r="L48" s="12">
        <v>45784</v>
      </c>
      <c r="M48" s="12">
        <v>45788</v>
      </c>
      <c r="N48" s="44">
        <f t="shared" si="1"/>
        <v>4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 t="s">
        <v>511</v>
      </c>
      <c r="B49" s="11" t="str">
        <f t="shared" si="0"/>
        <v>4.269.648-k</v>
      </c>
      <c r="C49" s="11" t="s">
        <v>14</v>
      </c>
      <c r="D49" s="11" t="s">
        <v>512</v>
      </c>
      <c r="E49" s="11" t="s">
        <v>513</v>
      </c>
      <c r="F49" s="11" t="s">
        <v>514</v>
      </c>
      <c r="G49" s="12">
        <v>45784</v>
      </c>
      <c r="H49" s="12">
        <v>45788</v>
      </c>
      <c r="I49" s="11" t="s">
        <v>360</v>
      </c>
      <c r="J49" s="11" t="s">
        <v>60</v>
      </c>
      <c r="K49" s="11" t="s">
        <v>17</v>
      </c>
      <c r="L49" s="12">
        <v>45784</v>
      </c>
      <c r="M49" s="12">
        <v>45788</v>
      </c>
      <c r="N49" s="44">
        <f t="shared" si="1"/>
        <v>4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 t="s">
        <v>511</v>
      </c>
      <c r="B50" s="11" t="str">
        <f t="shared" si="0"/>
        <v>4.269.648-k</v>
      </c>
      <c r="C50" s="11" t="s">
        <v>14</v>
      </c>
      <c r="D50" s="11" t="s">
        <v>512</v>
      </c>
      <c r="E50" s="11" t="s">
        <v>513</v>
      </c>
      <c r="F50" s="11" t="s">
        <v>514</v>
      </c>
      <c r="G50" s="12">
        <v>45784</v>
      </c>
      <c r="H50" s="12">
        <v>45788</v>
      </c>
      <c r="I50" s="11" t="s">
        <v>360</v>
      </c>
      <c r="J50" s="11" t="s">
        <v>60</v>
      </c>
      <c r="K50" s="11" t="s">
        <v>18</v>
      </c>
      <c r="L50" s="12">
        <v>45784</v>
      </c>
      <c r="M50" s="12">
        <v>45787</v>
      </c>
      <c r="N50" s="44">
        <f t="shared" si="1"/>
        <v>3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101941450</v>
      </c>
      <c r="B51" s="11" t="str">
        <f t="shared" si="0"/>
        <v>10.194.145-0</v>
      </c>
      <c r="C51" s="11" t="s">
        <v>14</v>
      </c>
      <c r="D51" s="11" t="s">
        <v>144</v>
      </c>
      <c r="E51" s="11" t="s">
        <v>515</v>
      </c>
      <c r="F51" s="11" t="s">
        <v>516</v>
      </c>
      <c r="G51" s="12">
        <v>45783</v>
      </c>
      <c r="H51" s="12">
        <v>45785</v>
      </c>
      <c r="I51" s="11" t="s">
        <v>72</v>
      </c>
      <c r="J51" s="11" t="s">
        <v>72</v>
      </c>
      <c r="K51" s="11" t="s">
        <v>16</v>
      </c>
      <c r="L51" s="12">
        <v>45783</v>
      </c>
      <c r="M51" s="12">
        <v>45785</v>
      </c>
      <c r="N51" s="44">
        <f t="shared" si="1"/>
        <v>2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101941450</v>
      </c>
      <c r="B52" s="11" t="str">
        <f t="shared" si="0"/>
        <v>10.194.145-0</v>
      </c>
      <c r="C52" s="11" t="s">
        <v>14</v>
      </c>
      <c r="D52" s="11" t="s">
        <v>144</v>
      </c>
      <c r="E52" s="11" t="s">
        <v>515</v>
      </c>
      <c r="F52" s="11" t="s">
        <v>516</v>
      </c>
      <c r="G52" s="12">
        <v>45783</v>
      </c>
      <c r="H52" s="12">
        <v>45785</v>
      </c>
      <c r="I52" s="11" t="s">
        <v>72</v>
      </c>
      <c r="J52" s="11" t="s">
        <v>72</v>
      </c>
      <c r="K52" s="11" t="s">
        <v>17</v>
      </c>
      <c r="L52" s="12">
        <v>45783</v>
      </c>
      <c r="M52" s="12">
        <v>45785</v>
      </c>
      <c r="N52" s="44">
        <f t="shared" si="1"/>
        <v>2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101941450</v>
      </c>
      <c r="B53" s="11" t="str">
        <f t="shared" si="0"/>
        <v>10.194.145-0</v>
      </c>
      <c r="C53" s="11" t="s">
        <v>14</v>
      </c>
      <c r="D53" s="11" t="s">
        <v>144</v>
      </c>
      <c r="E53" s="11" t="s">
        <v>515</v>
      </c>
      <c r="F53" s="11" t="s">
        <v>516</v>
      </c>
      <c r="G53" s="12">
        <v>45783</v>
      </c>
      <c r="H53" s="12">
        <v>45785</v>
      </c>
      <c r="I53" s="11" t="s">
        <v>72</v>
      </c>
      <c r="J53" s="11" t="s">
        <v>72</v>
      </c>
      <c r="K53" s="11" t="s">
        <v>18</v>
      </c>
      <c r="L53" s="12">
        <v>45783</v>
      </c>
      <c r="M53" s="12">
        <v>45784</v>
      </c>
      <c r="N53" s="44">
        <f t="shared" si="1"/>
        <v>1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 t="s">
        <v>517</v>
      </c>
      <c r="B54" s="11" t="str">
        <f t="shared" si="0"/>
        <v>5.312.335-k</v>
      </c>
      <c r="C54" s="11" t="s">
        <v>14</v>
      </c>
      <c r="D54" s="11" t="s">
        <v>115</v>
      </c>
      <c r="E54" s="11" t="s">
        <v>458</v>
      </c>
      <c r="F54" s="11" t="s">
        <v>518</v>
      </c>
      <c r="G54" s="12">
        <v>45789</v>
      </c>
      <c r="H54" s="12">
        <v>45791</v>
      </c>
      <c r="I54" s="11" t="s">
        <v>360</v>
      </c>
      <c r="J54" s="11" t="s">
        <v>72</v>
      </c>
      <c r="K54" s="11" t="s">
        <v>16</v>
      </c>
      <c r="L54" s="12">
        <v>45789</v>
      </c>
      <c r="M54" s="12">
        <v>45791</v>
      </c>
      <c r="N54" s="44">
        <f t="shared" si="1"/>
        <v>2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 t="s">
        <v>517</v>
      </c>
      <c r="B55" s="11" t="str">
        <f t="shared" si="0"/>
        <v>5.312.335-k</v>
      </c>
      <c r="C55" s="11" t="s">
        <v>14</v>
      </c>
      <c r="D55" s="11" t="s">
        <v>115</v>
      </c>
      <c r="E55" s="11" t="s">
        <v>458</v>
      </c>
      <c r="F55" s="11" t="s">
        <v>518</v>
      </c>
      <c r="G55" s="12">
        <v>45789</v>
      </c>
      <c r="H55" s="12">
        <v>45791</v>
      </c>
      <c r="I55" s="11" t="s">
        <v>360</v>
      </c>
      <c r="J55" s="11" t="s">
        <v>72</v>
      </c>
      <c r="K55" s="11" t="s">
        <v>17</v>
      </c>
      <c r="L55" s="12">
        <v>45789</v>
      </c>
      <c r="M55" s="12">
        <v>45791</v>
      </c>
      <c r="N55" s="44">
        <f t="shared" si="1"/>
        <v>2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129751770</v>
      </c>
      <c r="B56" s="11" t="str">
        <f t="shared" si="0"/>
        <v>12.975.177-0</v>
      </c>
      <c r="C56" s="11" t="s">
        <v>14</v>
      </c>
      <c r="D56" s="11" t="s">
        <v>134</v>
      </c>
      <c r="E56" s="11" t="s">
        <v>418</v>
      </c>
      <c r="F56" s="11" t="s">
        <v>519</v>
      </c>
      <c r="G56" s="12">
        <v>45789</v>
      </c>
      <c r="H56" s="12">
        <v>45791</v>
      </c>
      <c r="I56" s="11" t="s">
        <v>360</v>
      </c>
      <c r="J56" s="11" t="s">
        <v>72</v>
      </c>
      <c r="K56" s="11" t="s">
        <v>16</v>
      </c>
      <c r="L56" s="12">
        <v>45789</v>
      </c>
      <c r="M56" s="12">
        <v>45791</v>
      </c>
      <c r="N56" s="44">
        <f t="shared" si="1"/>
        <v>2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129751770</v>
      </c>
      <c r="B57" s="11" t="str">
        <f t="shared" si="0"/>
        <v>12.975.177-0</v>
      </c>
      <c r="C57" s="11" t="s">
        <v>14</v>
      </c>
      <c r="D57" s="11" t="s">
        <v>134</v>
      </c>
      <c r="E57" s="11" t="s">
        <v>418</v>
      </c>
      <c r="F57" s="11" t="s">
        <v>519</v>
      </c>
      <c r="G57" s="12">
        <v>45789</v>
      </c>
      <c r="H57" s="12">
        <v>45791</v>
      </c>
      <c r="I57" s="11" t="s">
        <v>360</v>
      </c>
      <c r="J57" s="11" t="s">
        <v>72</v>
      </c>
      <c r="K57" s="11" t="s">
        <v>17</v>
      </c>
      <c r="L57" s="12">
        <v>45789</v>
      </c>
      <c r="M57" s="12">
        <v>45791</v>
      </c>
      <c r="N57" s="44">
        <f t="shared" si="1"/>
        <v>2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129751770</v>
      </c>
      <c r="B58" s="11" t="str">
        <f t="shared" si="0"/>
        <v>12.975.177-0</v>
      </c>
      <c r="C58" s="11" t="s">
        <v>14</v>
      </c>
      <c r="D58" s="11" t="s">
        <v>134</v>
      </c>
      <c r="E58" s="11" t="s">
        <v>418</v>
      </c>
      <c r="F58" s="11" t="s">
        <v>519</v>
      </c>
      <c r="G58" s="12">
        <v>45789</v>
      </c>
      <c r="H58" s="12">
        <v>45791</v>
      </c>
      <c r="I58" s="11" t="s">
        <v>360</v>
      </c>
      <c r="J58" s="11" t="s">
        <v>72</v>
      </c>
      <c r="K58" s="11" t="s">
        <v>18</v>
      </c>
      <c r="L58" s="12">
        <v>45789</v>
      </c>
      <c r="M58" s="12">
        <v>45790</v>
      </c>
      <c r="N58" s="44">
        <f t="shared" si="1"/>
        <v>1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120794523</v>
      </c>
      <c r="B59" s="11" t="str">
        <f t="shared" si="0"/>
        <v>12.079.452-3</v>
      </c>
      <c r="C59" s="11" t="s">
        <v>14</v>
      </c>
      <c r="D59" s="11" t="s">
        <v>520</v>
      </c>
      <c r="E59" s="11" t="s">
        <v>521</v>
      </c>
      <c r="F59" s="11" t="s">
        <v>442</v>
      </c>
      <c r="G59" s="12">
        <v>45786</v>
      </c>
      <c r="H59" s="12">
        <v>45790</v>
      </c>
      <c r="I59" s="11" t="s">
        <v>200</v>
      </c>
      <c r="J59" s="11" t="s">
        <v>200</v>
      </c>
      <c r="K59" s="11" t="s">
        <v>349</v>
      </c>
      <c r="L59" s="12">
        <v>45786</v>
      </c>
      <c r="M59" s="12">
        <v>45790</v>
      </c>
      <c r="N59" s="44">
        <f t="shared" si="1"/>
        <v>4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120794523</v>
      </c>
      <c r="B60" s="11" t="str">
        <f t="shared" si="0"/>
        <v>12.079.452-3</v>
      </c>
      <c r="C60" s="11" t="s">
        <v>14</v>
      </c>
      <c r="D60" s="11" t="s">
        <v>520</v>
      </c>
      <c r="E60" s="11" t="s">
        <v>521</v>
      </c>
      <c r="F60" s="11" t="s">
        <v>442</v>
      </c>
      <c r="G60" s="12">
        <v>45786</v>
      </c>
      <c r="H60" s="12">
        <v>45790</v>
      </c>
      <c r="I60" s="11" t="s">
        <v>200</v>
      </c>
      <c r="J60" s="11" t="s">
        <v>200</v>
      </c>
      <c r="K60" s="11" t="s">
        <v>17</v>
      </c>
      <c r="L60" s="12">
        <v>45786</v>
      </c>
      <c r="M60" s="12">
        <v>45790</v>
      </c>
      <c r="N60" s="44">
        <f t="shared" si="1"/>
        <v>4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60481822</v>
      </c>
      <c r="B61" s="11" t="str">
        <f t="shared" si="0"/>
        <v>6.048.182-2</v>
      </c>
      <c r="C61" s="11" t="s">
        <v>14</v>
      </c>
      <c r="D61" s="11" t="s">
        <v>522</v>
      </c>
      <c r="E61" s="11" t="s">
        <v>178</v>
      </c>
      <c r="F61" s="11" t="s">
        <v>523</v>
      </c>
      <c r="G61" s="12">
        <v>45788</v>
      </c>
      <c r="H61" s="12">
        <v>45791</v>
      </c>
      <c r="I61" s="11" t="s">
        <v>15</v>
      </c>
      <c r="J61" s="11" t="s">
        <v>60</v>
      </c>
      <c r="K61" s="11" t="s">
        <v>16</v>
      </c>
      <c r="L61" s="38">
        <v>45788</v>
      </c>
      <c r="M61" s="39">
        <v>45791</v>
      </c>
      <c r="N61" s="44">
        <f t="shared" si="1"/>
        <v>3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 t="s">
        <v>524</v>
      </c>
      <c r="B62" s="11" t="str">
        <f t="shared" si="0"/>
        <v>8.207.483-k</v>
      </c>
      <c r="C62" s="11" t="s">
        <v>14</v>
      </c>
      <c r="D62" s="11" t="s">
        <v>323</v>
      </c>
      <c r="E62" s="11" t="s">
        <v>525</v>
      </c>
      <c r="F62" s="11" t="s">
        <v>526</v>
      </c>
      <c r="G62" s="12">
        <v>45789</v>
      </c>
      <c r="H62" s="12">
        <v>45791</v>
      </c>
      <c r="I62" s="11" t="s">
        <v>28</v>
      </c>
      <c r="J62" s="11"/>
      <c r="K62" s="11" t="s">
        <v>16</v>
      </c>
      <c r="L62" s="12">
        <v>45789</v>
      </c>
      <c r="M62" s="12">
        <v>45791</v>
      </c>
      <c r="N62" s="44">
        <f t="shared" si="1"/>
        <v>2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 t="s">
        <v>524</v>
      </c>
      <c r="B63" s="11" t="str">
        <f t="shared" si="0"/>
        <v>8.207.483-k</v>
      </c>
      <c r="C63" s="11" t="s">
        <v>14</v>
      </c>
      <c r="D63" s="11" t="s">
        <v>323</v>
      </c>
      <c r="E63" s="11" t="s">
        <v>525</v>
      </c>
      <c r="F63" s="11" t="s">
        <v>526</v>
      </c>
      <c r="G63" s="12">
        <v>45789</v>
      </c>
      <c r="H63" s="12">
        <v>45852</v>
      </c>
      <c r="I63" s="11" t="s">
        <v>28</v>
      </c>
      <c r="J63" s="11"/>
      <c r="K63" s="11" t="s">
        <v>17</v>
      </c>
      <c r="L63" s="12">
        <v>45789</v>
      </c>
      <c r="M63" s="39">
        <v>45791</v>
      </c>
      <c r="N63" s="44">
        <f t="shared" si="1"/>
        <v>2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 t="s">
        <v>524</v>
      </c>
      <c r="B64" s="11" t="str">
        <f t="shared" si="0"/>
        <v>8.207.483-k</v>
      </c>
      <c r="C64" s="11" t="s">
        <v>14</v>
      </c>
      <c r="D64" s="11" t="s">
        <v>323</v>
      </c>
      <c r="E64" s="11" t="s">
        <v>525</v>
      </c>
      <c r="F64" s="11" t="s">
        <v>526</v>
      </c>
      <c r="G64" s="12">
        <v>45789</v>
      </c>
      <c r="H64" s="12">
        <v>45914</v>
      </c>
      <c r="I64" s="11" t="s">
        <v>28</v>
      </c>
      <c r="J64" s="11"/>
      <c r="K64" s="11" t="s">
        <v>18</v>
      </c>
      <c r="L64" s="12">
        <v>45789</v>
      </c>
      <c r="M64" s="12">
        <v>45790</v>
      </c>
      <c r="N64" s="44">
        <f t="shared" si="1"/>
        <v>1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63322970</v>
      </c>
      <c r="B65" s="11" t="str">
        <f t="shared" si="0"/>
        <v>6.332.297-0</v>
      </c>
      <c r="C65" s="11" t="s">
        <v>14</v>
      </c>
      <c r="D65" s="11" t="s">
        <v>142</v>
      </c>
      <c r="E65" s="11" t="s">
        <v>527</v>
      </c>
      <c r="F65" s="11" t="s">
        <v>99</v>
      </c>
      <c r="G65" s="12">
        <v>45785</v>
      </c>
      <c r="H65" s="12">
        <v>45791</v>
      </c>
      <c r="I65" s="11" t="s">
        <v>15</v>
      </c>
      <c r="J65" s="11" t="s">
        <v>72</v>
      </c>
      <c r="K65" s="11" t="s">
        <v>16</v>
      </c>
      <c r="L65" s="12">
        <v>45785</v>
      </c>
      <c r="M65" s="12">
        <v>45791</v>
      </c>
      <c r="N65" s="44">
        <f t="shared" si="1"/>
        <v>6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68340675</v>
      </c>
      <c r="B66" s="11" t="str">
        <f t="shared" si="0"/>
        <v>6.834.067-5</v>
      </c>
      <c r="C66" s="11" t="s">
        <v>14</v>
      </c>
      <c r="D66" s="11" t="s">
        <v>528</v>
      </c>
      <c r="E66" s="11" t="s">
        <v>447</v>
      </c>
      <c r="F66" s="11" t="s">
        <v>529</v>
      </c>
      <c r="G66" s="12">
        <v>45789</v>
      </c>
      <c r="H66" s="12">
        <v>45807</v>
      </c>
      <c r="I66" s="11" t="s">
        <v>15</v>
      </c>
      <c r="J66" s="11" t="s">
        <v>28</v>
      </c>
      <c r="K66" s="11" t="s">
        <v>16</v>
      </c>
      <c r="L66" s="12">
        <v>45789</v>
      </c>
      <c r="M66" s="39">
        <v>45807</v>
      </c>
      <c r="N66" s="44">
        <f t="shared" si="1"/>
        <v>18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68340675</v>
      </c>
      <c r="B67" s="11" t="str">
        <f t="shared" si="0"/>
        <v>6.834.067-5</v>
      </c>
      <c r="C67" s="11" t="s">
        <v>14</v>
      </c>
      <c r="D67" s="11" t="s">
        <v>528</v>
      </c>
      <c r="E67" s="11" t="s">
        <v>447</v>
      </c>
      <c r="F67" s="11" t="s">
        <v>529</v>
      </c>
      <c r="G67" s="12">
        <v>45789</v>
      </c>
      <c r="H67" s="12">
        <v>45807</v>
      </c>
      <c r="I67" s="11" t="s">
        <v>15</v>
      </c>
      <c r="J67" s="11" t="s">
        <v>28</v>
      </c>
      <c r="K67" s="11" t="s">
        <v>17</v>
      </c>
      <c r="L67" s="12">
        <v>45789</v>
      </c>
      <c r="M67" s="39">
        <v>45807</v>
      </c>
      <c r="N67" s="44">
        <f t="shared" si="1"/>
        <v>18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68340675</v>
      </c>
      <c r="B68" s="11" t="str">
        <f t="shared" si="0"/>
        <v>6.834.067-5</v>
      </c>
      <c r="C68" s="11" t="s">
        <v>14</v>
      </c>
      <c r="D68" s="11" t="s">
        <v>528</v>
      </c>
      <c r="E68" s="11" t="s">
        <v>447</v>
      </c>
      <c r="F68" s="11" t="s">
        <v>529</v>
      </c>
      <c r="G68" s="12">
        <v>45789</v>
      </c>
      <c r="H68" s="12">
        <v>45807</v>
      </c>
      <c r="I68" s="11" t="s">
        <v>15</v>
      </c>
      <c r="J68" s="11" t="s">
        <v>28</v>
      </c>
      <c r="K68" s="11" t="s">
        <v>18</v>
      </c>
      <c r="L68" s="12">
        <v>45789</v>
      </c>
      <c r="M68" s="39">
        <v>45805</v>
      </c>
      <c r="N68" s="44">
        <f t="shared" si="1"/>
        <v>16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68340675</v>
      </c>
      <c r="B69" s="11" t="str">
        <f t="shared" si="0"/>
        <v>6.834.067-5</v>
      </c>
      <c r="C69" s="11" t="s">
        <v>14</v>
      </c>
      <c r="D69" s="11" t="s">
        <v>528</v>
      </c>
      <c r="E69" s="11" t="s">
        <v>447</v>
      </c>
      <c r="F69" s="11" t="s">
        <v>529</v>
      </c>
      <c r="G69" s="12">
        <v>45789</v>
      </c>
      <c r="H69" s="12">
        <v>45807</v>
      </c>
      <c r="I69" s="11" t="s">
        <v>15</v>
      </c>
      <c r="J69" s="11" t="s">
        <v>28</v>
      </c>
      <c r="K69" s="11" t="s">
        <v>415</v>
      </c>
      <c r="L69" s="12">
        <v>45789</v>
      </c>
      <c r="M69" s="39">
        <v>45797</v>
      </c>
      <c r="N69" s="44">
        <f t="shared" si="1"/>
        <v>8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88111893</v>
      </c>
      <c r="B70" s="11" t="str">
        <f t="shared" si="0"/>
        <v>8.811.189-3</v>
      </c>
      <c r="C70" s="11" t="s">
        <v>14</v>
      </c>
      <c r="D70" s="11" t="s">
        <v>129</v>
      </c>
      <c r="E70" s="11" t="s">
        <v>160</v>
      </c>
      <c r="F70" s="11" t="s">
        <v>533</v>
      </c>
      <c r="G70" s="12">
        <v>45793</v>
      </c>
      <c r="H70" s="12">
        <v>45795</v>
      </c>
      <c r="I70" s="11" t="s">
        <v>72</v>
      </c>
      <c r="J70" s="11" t="s">
        <v>60</v>
      </c>
      <c r="K70" s="11" t="s">
        <v>17</v>
      </c>
      <c r="L70" s="12">
        <v>45793</v>
      </c>
      <c r="M70" s="12">
        <v>45795</v>
      </c>
      <c r="N70" s="44">
        <f t="shared" si="1"/>
        <v>2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185794059</v>
      </c>
      <c r="B71" s="11" t="str">
        <f t="shared" si="0"/>
        <v>18.579.405-9</v>
      </c>
      <c r="C71" s="11" t="s">
        <v>14</v>
      </c>
      <c r="D71" s="11" t="s">
        <v>418</v>
      </c>
      <c r="E71" s="11" t="s">
        <v>534</v>
      </c>
      <c r="F71" s="11" t="s">
        <v>133</v>
      </c>
      <c r="G71" s="12">
        <v>45792</v>
      </c>
      <c r="H71" s="12"/>
      <c r="I71" s="11" t="s">
        <v>60</v>
      </c>
      <c r="J71" s="11"/>
      <c r="K71" s="11" t="s">
        <v>16</v>
      </c>
      <c r="L71" s="12">
        <v>45792</v>
      </c>
      <c r="M71" s="39">
        <v>45808</v>
      </c>
      <c r="N71" s="44">
        <f t="shared" si="1"/>
        <v>16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185794059</v>
      </c>
      <c r="B72" s="11" t="str">
        <f t="shared" si="0"/>
        <v>18.579.405-9</v>
      </c>
      <c r="C72" s="11" t="s">
        <v>14</v>
      </c>
      <c r="D72" s="11" t="s">
        <v>418</v>
      </c>
      <c r="E72" s="11" t="s">
        <v>534</v>
      </c>
      <c r="F72" s="11" t="s">
        <v>133</v>
      </c>
      <c r="G72" s="12">
        <v>45792</v>
      </c>
      <c r="H72" s="12"/>
      <c r="I72" s="11" t="s">
        <v>60</v>
      </c>
      <c r="J72" s="11"/>
      <c r="K72" s="11" t="s">
        <v>18</v>
      </c>
      <c r="L72" s="12">
        <v>45792</v>
      </c>
      <c r="M72" s="39">
        <v>45806</v>
      </c>
      <c r="N72" s="44">
        <f t="shared" si="1"/>
        <v>14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109306916</v>
      </c>
      <c r="B73" s="11" t="str">
        <f t="shared" si="0"/>
        <v>10.930.691-6</v>
      </c>
      <c r="C73" s="11" t="s">
        <v>14</v>
      </c>
      <c r="D73" s="11" t="s">
        <v>535</v>
      </c>
      <c r="E73" s="11" t="s">
        <v>536</v>
      </c>
      <c r="F73" s="11" t="s">
        <v>537</v>
      </c>
      <c r="G73" s="12">
        <v>45791</v>
      </c>
      <c r="H73" s="12">
        <v>45793</v>
      </c>
      <c r="I73" s="11" t="s">
        <v>360</v>
      </c>
      <c r="J73" s="11" t="s">
        <v>56</v>
      </c>
      <c r="K73" s="11" t="s">
        <v>16</v>
      </c>
      <c r="L73" s="12">
        <v>45791</v>
      </c>
      <c r="M73" s="12">
        <v>45793</v>
      </c>
      <c r="N73" s="44">
        <f t="shared" si="1"/>
        <v>2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109306916</v>
      </c>
      <c r="B74" s="11" t="str">
        <f t="shared" si="0"/>
        <v>10.930.691-6</v>
      </c>
      <c r="C74" s="11" t="s">
        <v>14</v>
      </c>
      <c r="D74" s="11" t="s">
        <v>535</v>
      </c>
      <c r="E74" s="11" t="s">
        <v>536</v>
      </c>
      <c r="F74" s="11" t="s">
        <v>537</v>
      </c>
      <c r="G74" s="12">
        <v>45791</v>
      </c>
      <c r="H74" s="12">
        <v>45793</v>
      </c>
      <c r="I74" s="11" t="s">
        <v>360</v>
      </c>
      <c r="J74" s="11" t="s">
        <v>56</v>
      </c>
      <c r="K74" s="11" t="s">
        <v>17</v>
      </c>
      <c r="L74" s="12">
        <v>45791</v>
      </c>
      <c r="M74" s="12">
        <v>45793</v>
      </c>
      <c r="N74" s="44">
        <f t="shared" si="1"/>
        <v>2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109306916</v>
      </c>
      <c r="B75" s="11" t="str">
        <f t="shared" si="0"/>
        <v>10.930.691-6</v>
      </c>
      <c r="C75" s="11" t="s">
        <v>14</v>
      </c>
      <c r="D75" s="11" t="s">
        <v>535</v>
      </c>
      <c r="E75" s="11" t="s">
        <v>536</v>
      </c>
      <c r="F75" s="11" t="s">
        <v>537</v>
      </c>
      <c r="G75" s="12">
        <v>45791</v>
      </c>
      <c r="H75" s="12">
        <v>45793</v>
      </c>
      <c r="I75" s="11" t="s">
        <v>360</v>
      </c>
      <c r="J75" s="11" t="s">
        <v>56</v>
      </c>
      <c r="K75" s="11" t="s">
        <v>18</v>
      </c>
      <c r="L75" s="12">
        <v>45791</v>
      </c>
      <c r="M75" s="12">
        <v>45793</v>
      </c>
      <c r="N75" s="44">
        <f t="shared" si="1"/>
        <v>2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132935769</v>
      </c>
      <c r="B76" s="11" t="str">
        <f t="shared" si="0"/>
        <v>13.293.576-9</v>
      </c>
      <c r="C76" s="11" t="s">
        <v>14</v>
      </c>
      <c r="D76" s="11" t="s">
        <v>538</v>
      </c>
      <c r="E76" s="11" t="s">
        <v>218</v>
      </c>
      <c r="F76" s="11" t="s">
        <v>519</v>
      </c>
      <c r="G76" s="12">
        <v>45790</v>
      </c>
      <c r="H76" s="12">
        <v>45793</v>
      </c>
      <c r="I76" s="11" t="s">
        <v>360</v>
      </c>
      <c r="J76" s="11" t="s">
        <v>60</v>
      </c>
      <c r="K76" s="11" t="s">
        <v>16</v>
      </c>
      <c r="L76" s="12">
        <v>45790</v>
      </c>
      <c r="M76" s="12">
        <v>45793</v>
      </c>
      <c r="N76" s="44">
        <f t="shared" si="1"/>
        <v>3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132935769</v>
      </c>
      <c r="B77" s="11" t="str">
        <f t="shared" si="0"/>
        <v>13.293.576-9</v>
      </c>
      <c r="C77" s="11" t="s">
        <v>14</v>
      </c>
      <c r="D77" s="11" t="s">
        <v>538</v>
      </c>
      <c r="E77" s="11" t="s">
        <v>218</v>
      </c>
      <c r="F77" s="11" t="s">
        <v>519</v>
      </c>
      <c r="G77" s="12">
        <v>45790</v>
      </c>
      <c r="H77" s="12">
        <v>45793</v>
      </c>
      <c r="I77" s="11" t="s">
        <v>360</v>
      </c>
      <c r="J77" s="11" t="s">
        <v>60</v>
      </c>
      <c r="K77" s="11" t="s">
        <v>17</v>
      </c>
      <c r="L77" s="12">
        <v>45790</v>
      </c>
      <c r="M77" s="12">
        <v>45793</v>
      </c>
      <c r="N77" s="44">
        <f t="shared" si="1"/>
        <v>3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132935769</v>
      </c>
      <c r="B78" s="11" t="str">
        <f t="shared" si="0"/>
        <v>13.293.576-9</v>
      </c>
      <c r="C78" s="11" t="s">
        <v>14</v>
      </c>
      <c r="D78" s="11" t="s">
        <v>538</v>
      </c>
      <c r="E78" s="11" t="s">
        <v>218</v>
      </c>
      <c r="F78" s="11" t="s">
        <v>519</v>
      </c>
      <c r="G78" s="12">
        <v>45790</v>
      </c>
      <c r="H78" s="12">
        <v>45793</v>
      </c>
      <c r="I78" s="11" t="s">
        <v>360</v>
      </c>
      <c r="J78" s="11" t="s">
        <v>60</v>
      </c>
      <c r="K78" s="11" t="s">
        <v>18</v>
      </c>
      <c r="L78" s="12">
        <v>45790</v>
      </c>
      <c r="M78" s="12">
        <v>45792</v>
      </c>
      <c r="N78" s="44">
        <f t="shared" si="1"/>
        <v>2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45876144</v>
      </c>
      <c r="B79" s="11" t="str">
        <f t="shared" si="0"/>
        <v>4.587.614-4</v>
      </c>
      <c r="C79" s="11" t="s">
        <v>14</v>
      </c>
      <c r="D79" s="11" t="s">
        <v>539</v>
      </c>
      <c r="E79" s="11" t="s">
        <v>100</v>
      </c>
      <c r="F79" s="11" t="s">
        <v>99</v>
      </c>
      <c r="G79" s="12">
        <v>45791</v>
      </c>
      <c r="H79" s="12">
        <v>45794</v>
      </c>
      <c r="I79" s="11" t="s">
        <v>360</v>
      </c>
      <c r="J79" s="11" t="s">
        <v>28</v>
      </c>
      <c r="K79" s="11" t="s">
        <v>16</v>
      </c>
      <c r="L79" s="12">
        <v>45791</v>
      </c>
      <c r="M79" s="12">
        <v>45794</v>
      </c>
      <c r="N79" s="44">
        <f t="shared" si="1"/>
        <v>3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45876144</v>
      </c>
      <c r="B80" s="11" t="str">
        <f t="shared" si="0"/>
        <v>4.587.614-4</v>
      </c>
      <c r="C80" s="11" t="s">
        <v>14</v>
      </c>
      <c r="D80" s="11" t="s">
        <v>539</v>
      </c>
      <c r="E80" s="11" t="s">
        <v>100</v>
      </c>
      <c r="F80" s="11" t="s">
        <v>99</v>
      </c>
      <c r="G80" s="12">
        <v>45791</v>
      </c>
      <c r="H80" s="12">
        <v>45794</v>
      </c>
      <c r="I80" s="11" t="s">
        <v>360</v>
      </c>
      <c r="J80" s="11" t="s">
        <v>28</v>
      </c>
      <c r="K80" s="11" t="s">
        <v>17</v>
      </c>
      <c r="L80" s="12">
        <v>45791</v>
      </c>
      <c r="M80" s="12">
        <v>45794</v>
      </c>
      <c r="N80" s="44">
        <f t="shared" si="1"/>
        <v>3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86196107</v>
      </c>
      <c r="B81" s="11" t="str">
        <f t="shared" si="0"/>
        <v>8.619.610-7</v>
      </c>
      <c r="C81" s="11" t="s">
        <v>14</v>
      </c>
      <c r="D81" s="11" t="s">
        <v>377</v>
      </c>
      <c r="E81" s="11" t="s">
        <v>540</v>
      </c>
      <c r="F81" s="11" t="s">
        <v>409</v>
      </c>
      <c r="G81" s="12">
        <v>45791</v>
      </c>
      <c r="H81" s="12">
        <v>45798</v>
      </c>
      <c r="I81" s="11" t="s">
        <v>60</v>
      </c>
      <c r="J81" s="11" t="s">
        <v>60</v>
      </c>
      <c r="K81" s="11" t="s">
        <v>16</v>
      </c>
      <c r="L81" s="12">
        <v>45791</v>
      </c>
      <c r="M81" s="12">
        <v>45798</v>
      </c>
      <c r="N81" s="44">
        <f t="shared" si="1"/>
        <v>7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137947889</v>
      </c>
      <c r="B82" s="11" t="str">
        <f t="shared" si="0"/>
        <v>13.794.788-9</v>
      </c>
      <c r="C82" s="11" t="s">
        <v>14</v>
      </c>
      <c r="D82" s="11" t="s">
        <v>237</v>
      </c>
      <c r="E82" s="11" t="s">
        <v>322</v>
      </c>
      <c r="F82" s="11" t="s">
        <v>541</v>
      </c>
      <c r="G82" s="12">
        <v>45793</v>
      </c>
      <c r="H82" s="12">
        <v>45796</v>
      </c>
      <c r="I82" s="11" t="s">
        <v>15</v>
      </c>
      <c r="J82" s="11" t="s">
        <v>75</v>
      </c>
      <c r="K82" s="11" t="s">
        <v>16</v>
      </c>
      <c r="L82" s="12">
        <v>45793</v>
      </c>
      <c r="M82" s="12">
        <v>45796</v>
      </c>
      <c r="N82" s="44">
        <f t="shared" si="1"/>
        <v>3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137947889</v>
      </c>
      <c r="B83" s="11" t="str">
        <f t="shared" si="0"/>
        <v>13.794.788-9</v>
      </c>
      <c r="C83" s="11" t="s">
        <v>14</v>
      </c>
      <c r="D83" s="11" t="s">
        <v>237</v>
      </c>
      <c r="E83" s="11" t="s">
        <v>322</v>
      </c>
      <c r="F83" s="11" t="s">
        <v>541</v>
      </c>
      <c r="G83" s="12">
        <v>45793</v>
      </c>
      <c r="H83" s="12">
        <v>45796</v>
      </c>
      <c r="I83" s="11" t="s">
        <v>15</v>
      </c>
      <c r="J83" s="11" t="s">
        <v>75</v>
      </c>
      <c r="K83" s="11" t="s">
        <v>17</v>
      </c>
      <c r="L83" s="12">
        <v>45793</v>
      </c>
      <c r="M83" s="12">
        <v>45796</v>
      </c>
      <c r="N83" s="44">
        <f t="shared" si="1"/>
        <v>3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73583365</v>
      </c>
      <c r="B84" s="11" t="str">
        <f t="shared" si="0"/>
        <v>7.358.336-5</v>
      </c>
      <c r="C84" s="11" t="s">
        <v>14</v>
      </c>
      <c r="D84" s="11" t="s">
        <v>235</v>
      </c>
      <c r="E84" s="11" t="s">
        <v>398</v>
      </c>
      <c r="F84" s="11" t="s">
        <v>542</v>
      </c>
      <c r="G84" s="12">
        <v>45795</v>
      </c>
      <c r="H84" s="12">
        <v>45797</v>
      </c>
      <c r="I84" s="11" t="s">
        <v>15</v>
      </c>
      <c r="J84" s="11" t="s">
        <v>60</v>
      </c>
      <c r="K84" s="11" t="s">
        <v>17</v>
      </c>
      <c r="L84" s="12">
        <v>45795</v>
      </c>
      <c r="M84" s="12">
        <v>45797</v>
      </c>
      <c r="N84" s="44">
        <f t="shared" si="1"/>
        <v>2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73583365</v>
      </c>
      <c r="B85" s="11" t="str">
        <f t="shared" si="0"/>
        <v>7.358.336-5</v>
      </c>
      <c r="C85" s="11" t="s">
        <v>14</v>
      </c>
      <c r="D85" s="11" t="s">
        <v>235</v>
      </c>
      <c r="E85" s="11" t="s">
        <v>398</v>
      </c>
      <c r="F85" s="11" t="s">
        <v>542</v>
      </c>
      <c r="G85" s="12">
        <v>45795</v>
      </c>
      <c r="H85" s="12">
        <v>45797</v>
      </c>
      <c r="I85" s="11" t="s">
        <v>15</v>
      </c>
      <c r="J85" s="11" t="s">
        <v>60</v>
      </c>
      <c r="K85" s="11" t="s">
        <v>18</v>
      </c>
      <c r="L85" s="12">
        <v>45795</v>
      </c>
      <c r="M85" s="12">
        <v>45797</v>
      </c>
      <c r="N85" s="44">
        <f t="shared" si="1"/>
        <v>2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185794059</v>
      </c>
      <c r="B86" s="11" t="str">
        <f t="shared" si="0"/>
        <v>18.579.405-9</v>
      </c>
      <c r="C86" s="11" t="s">
        <v>14</v>
      </c>
      <c r="D86" s="11" t="s">
        <v>418</v>
      </c>
      <c r="E86" s="11" t="s">
        <v>534</v>
      </c>
      <c r="F86" s="11" t="s">
        <v>133</v>
      </c>
      <c r="G86" s="12">
        <v>45792</v>
      </c>
      <c r="H86" s="12">
        <v>45811</v>
      </c>
      <c r="I86" s="11" t="s">
        <v>60</v>
      </c>
      <c r="J86" s="11" t="s">
        <v>565</v>
      </c>
      <c r="K86" s="11" t="s">
        <v>16</v>
      </c>
      <c r="L86" s="12">
        <v>45792</v>
      </c>
      <c r="M86" s="39">
        <v>45808</v>
      </c>
      <c r="N86" s="44">
        <f t="shared" si="1"/>
        <v>16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185794059</v>
      </c>
      <c r="B87" s="11" t="str">
        <f t="shared" si="0"/>
        <v>18.579.405-9</v>
      </c>
      <c r="C87" s="11" t="s">
        <v>14</v>
      </c>
      <c r="D87" s="11" t="s">
        <v>418</v>
      </c>
      <c r="E87" s="11" t="s">
        <v>534</v>
      </c>
      <c r="F87" s="11" t="s">
        <v>133</v>
      </c>
      <c r="G87" s="12">
        <v>45792</v>
      </c>
      <c r="H87" s="12">
        <v>45811</v>
      </c>
      <c r="I87" s="11" t="s">
        <v>60</v>
      </c>
      <c r="J87" s="11" t="s">
        <v>565</v>
      </c>
      <c r="K87" s="11" t="s">
        <v>18</v>
      </c>
      <c r="L87" s="12">
        <v>45792</v>
      </c>
      <c r="M87" s="39">
        <v>45808</v>
      </c>
      <c r="N87" s="44">
        <f t="shared" si="1"/>
        <v>16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59125397</v>
      </c>
      <c r="B88" s="11" t="str">
        <f t="shared" si="0"/>
        <v>5.912.539-7</v>
      </c>
      <c r="C88" s="11" t="s">
        <v>14</v>
      </c>
      <c r="D88" s="11" t="s">
        <v>543</v>
      </c>
      <c r="E88" s="11" t="s">
        <v>337</v>
      </c>
      <c r="F88" s="11" t="s">
        <v>105</v>
      </c>
      <c r="G88" s="12">
        <v>45794</v>
      </c>
      <c r="H88" s="12">
        <v>45802</v>
      </c>
      <c r="I88" s="11" t="s">
        <v>15</v>
      </c>
      <c r="J88" s="11" t="s">
        <v>200</v>
      </c>
      <c r="K88" s="11" t="s">
        <v>16</v>
      </c>
      <c r="L88" s="12">
        <v>45794</v>
      </c>
      <c r="M88" s="12">
        <v>45802</v>
      </c>
      <c r="N88" s="44">
        <f t="shared" si="1"/>
        <v>8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59125397</v>
      </c>
      <c r="B89" s="11" t="str">
        <f t="shared" si="0"/>
        <v>5.912.539-7</v>
      </c>
      <c r="C89" s="11" t="s">
        <v>14</v>
      </c>
      <c r="D89" s="11" t="s">
        <v>543</v>
      </c>
      <c r="E89" s="11" t="s">
        <v>337</v>
      </c>
      <c r="F89" s="11" t="s">
        <v>105</v>
      </c>
      <c r="G89" s="12">
        <v>45794</v>
      </c>
      <c r="H89" s="12">
        <v>45802</v>
      </c>
      <c r="I89" s="11" t="s">
        <v>15</v>
      </c>
      <c r="J89" s="11" t="s">
        <v>200</v>
      </c>
      <c r="K89" s="11" t="s">
        <v>17</v>
      </c>
      <c r="L89" s="12">
        <v>45794</v>
      </c>
      <c r="M89" s="12">
        <v>45802</v>
      </c>
      <c r="N89" s="44">
        <f t="shared" si="1"/>
        <v>8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59125397</v>
      </c>
      <c r="B90" s="11" t="str">
        <f t="shared" si="0"/>
        <v>5.912.539-7</v>
      </c>
      <c r="C90" s="11" t="s">
        <v>14</v>
      </c>
      <c r="D90" s="11" t="s">
        <v>543</v>
      </c>
      <c r="E90" s="11" t="s">
        <v>337</v>
      </c>
      <c r="F90" s="11" t="s">
        <v>105</v>
      </c>
      <c r="G90" s="12">
        <v>45794</v>
      </c>
      <c r="H90" s="12">
        <v>45802</v>
      </c>
      <c r="I90" s="11" t="s">
        <v>15</v>
      </c>
      <c r="J90" s="11" t="s">
        <v>200</v>
      </c>
      <c r="K90" s="11" t="s">
        <v>18</v>
      </c>
      <c r="L90" s="12">
        <v>45794</v>
      </c>
      <c r="M90" s="12">
        <v>45801</v>
      </c>
      <c r="N90" s="44">
        <f t="shared" si="1"/>
        <v>7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80780931</v>
      </c>
      <c r="B91" s="11" t="str">
        <f t="shared" si="0"/>
        <v>8.078.093-1</v>
      </c>
      <c r="C91" s="11" t="s">
        <v>14</v>
      </c>
      <c r="D91" s="11" t="s">
        <v>112</v>
      </c>
      <c r="E91" s="11" t="s">
        <v>544</v>
      </c>
      <c r="F91" s="11" t="s">
        <v>223</v>
      </c>
      <c r="G91" s="12">
        <v>45794</v>
      </c>
      <c r="H91" s="12">
        <v>45796</v>
      </c>
      <c r="I91" s="11" t="s">
        <v>200</v>
      </c>
      <c r="J91" s="11" t="s">
        <v>60</v>
      </c>
      <c r="K91" s="11" t="s">
        <v>16</v>
      </c>
      <c r="L91" s="12">
        <v>45794</v>
      </c>
      <c r="M91" s="12">
        <v>45796</v>
      </c>
      <c r="N91" s="44">
        <f t="shared" si="1"/>
        <v>2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80780931</v>
      </c>
      <c r="B92" s="11" t="str">
        <f t="shared" si="0"/>
        <v>8.078.093-1</v>
      </c>
      <c r="C92" s="11" t="s">
        <v>14</v>
      </c>
      <c r="D92" s="11" t="s">
        <v>112</v>
      </c>
      <c r="E92" s="11" t="s">
        <v>544</v>
      </c>
      <c r="F92" s="11" t="s">
        <v>223</v>
      </c>
      <c r="G92" s="12">
        <v>45794</v>
      </c>
      <c r="H92" s="12">
        <v>45796</v>
      </c>
      <c r="I92" s="11" t="s">
        <v>200</v>
      </c>
      <c r="J92" s="11" t="s">
        <v>60</v>
      </c>
      <c r="K92" s="11" t="s">
        <v>17</v>
      </c>
      <c r="L92" s="12">
        <v>45794</v>
      </c>
      <c r="M92" s="12">
        <v>45796</v>
      </c>
      <c r="N92" s="44">
        <f t="shared" si="1"/>
        <v>2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108701188</v>
      </c>
      <c r="B93" s="11" t="str">
        <f t="shared" si="0"/>
        <v>10.870.118-8</v>
      </c>
      <c r="C93" s="11" t="s">
        <v>14</v>
      </c>
      <c r="D93" s="11" t="s">
        <v>112</v>
      </c>
      <c r="E93" s="11" t="s">
        <v>154</v>
      </c>
      <c r="F93" s="11" t="s">
        <v>519</v>
      </c>
      <c r="G93" s="12">
        <v>45794</v>
      </c>
      <c r="H93" s="12">
        <v>45797</v>
      </c>
      <c r="I93" s="11" t="s">
        <v>15</v>
      </c>
      <c r="J93" s="11" t="s">
        <v>495</v>
      </c>
      <c r="K93" s="11" t="s">
        <v>16</v>
      </c>
      <c r="L93" s="12">
        <v>45794</v>
      </c>
      <c r="M93" s="12">
        <v>45797</v>
      </c>
      <c r="N93" s="44">
        <f t="shared" si="1"/>
        <v>3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86196107</v>
      </c>
      <c r="B94" s="11" t="str">
        <f t="shared" si="0"/>
        <v>8.619.610-7</v>
      </c>
      <c r="C94" s="11" t="s">
        <v>14</v>
      </c>
      <c r="D94" s="11" t="s">
        <v>377</v>
      </c>
      <c r="E94" s="11" t="s">
        <v>540</v>
      </c>
      <c r="F94" s="11" t="s">
        <v>409</v>
      </c>
      <c r="G94" s="12">
        <v>45791</v>
      </c>
      <c r="H94" s="12">
        <v>45798</v>
      </c>
      <c r="I94" s="11" t="s">
        <v>60</v>
      </c>
      <c r="J94" s="11" t="s">
        <v>60</v>
      </c>
      <c r="K94" s="11" t="s">
        <v>16</v>
      </c>
      <c r="L94" s="12">
        <v>45791</v>
      </c>
      <c r="M94" s="12">
        <v>45798</v>
      </c>
      <c r="N94" s="44">
        <f t="shared" si="1"/>
        <v>7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 t="s">
        <v>560</v>
      </c>
      <c r="B95" s="11" t="str">
        <f t="shared" si="0"/>
        <v>5.249.317-k</v>
      </c>
      <c r="C95" s="11" t="s">
        <v>14</v>
      </c>
      <c r="D95" s="11" t="s">
        <v>561</v>
      </c>
      <c r="E95" s="11" t="s">
        <v>129</v>
      </c>
      <c r="F95" s="11" t="s">
        <v>562</v>
      </c>
      <c r="G95" s="12">
        <v>45805</v>
      </c>
      <c r="H95" s="12">
        <v>45808</v>
      </c>
      <c r="I95" s="11" t="s">
        <v>75</v>
      </c>
      <c r="J95" s="11" t="s">
        <v>72</v>
      </c>
      <c r="K95" s="11" t="s">
        <v>16</v>
      </c>
      <c r="L95" s="12">
        <v>45805</v>
      </c>
      <c r="M95" s="12">
        <v>45808</v>
      </c>
      <c r="N95" s="44">
        <f t="shared" si="1"/>
        <v>3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 t="s">
        <v>560</v>
      </c>
      <c r="B96" s="11" t="str">
        <f t="shared" si="0"/>
        <v>5.249.317-k</v>
      </c>
      <c r="C96" s="11" t="s">
        <v>14</v>
      </c>
      <c r="D96" s="11" t="s">
        <v>561</v>
      </c>
      <c r="E96" s="11" t="s">
        <v>129</v>
      </c>
      <c r="F96" s="11" t="s">
        <v>562</v>
      </c>
      <c r="G96" s="12">
        <v>45805</v>
      </c>
      <c r="H96" s="12">
        <v>45808</v>
      </c>
      <c r="I96" s="11" t="s">
        <v>75</v>
      </c>
      <c r="J96" s="11" t="s">
        <v>72</v>
      </c>
      <c r="K96" s="11" t="s">
        <v>17</v>
      </c>
      <c r="L96" s="12">
        <v>45805</v>
      </c>
      <c r="M96" s="12">
        <v>45808</v>
      </c>
      <c r="N96" s="44">
        <f t="shared" si="1"/>
        <v>3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112908595</v>
      </c>
      <c r="B97" s="11" t="str">
        <f t="shared" si="0"/>
        <v>11.290.859-5</v>
      </c>
      <c r="C97" s="11" t="s">
        <v>14</v>
      </c>
      <c r="D97" s="11" t="s">
        <v>563</v>
      </c>
      <c r="E97" s="11" t="s">
        <v>564</v>
      </c>
      <c r="F97" s="11" t="s">
        <v>37</v>
      </c>
      <c r="G97" s="12">
        <v>45805</v>
      </c>
      <c r="H97" s="12"/>
      <c r="I97" s="11" t="s">
        <v>15</v>
      </c>
      <c r="J97" s="11" t="s">
        <v>565</v>
      </c>
      <c r="K97" s="11" t="s">
        <v>16</v>
      </c>
      <c r="L97" s="12">
        <v>45805</v>
      </c>
      <c r="M97" s="12">
        <v>45808</v>
      </c>
      <c r="N97" s="44">
        <f t="shared" si="1"/>
        <v>3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62940379</v>
      </c>
      <c r="B98" s="11" t="str">
        <f t="shared" si="0"/>
        <v>6.294.037-9</v>
      </c>
      <c r="C98" s="11" t="s">
        <v>14</v>
      </c>
      <c r="D98" s="11" t="s">
        <v>426</v>
      </c>
      <c r="E98" s="11" t="s">
        <v>154</v>
      </c>
      <c r="F98" s="11" t="s">
        <v>328</v>
      </c>
      <c r="G98" s="12">
        <v>45804</v>
      </c>
      <c r="H98" s="12"/>
      <c r="I98" s="11" t="s">
        <v>15</v>
      </c>
      <c r="J98" s="11" t="s">
        <v>565</v>
      </c>
      <c r="K98" s="11" t="s">
        <v>16</v>
      </c>
      <c r="L98" s="12">
        <v>45804</v>
      </c>
      <c r="M98" s="12">
        <v>45808</v>
      </c>
      <c r="N98" s="44">
        <f t="shared" si="1"/>
        <v>4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62940379</v>
      </c>
      <c r="B99" s="11" t="str">
        <f t="shared" si="0"/>
        <v>6.294.037-9</v>
      </c>
      <c r="C99" s="11" t="s">
        <v>14</v>
      </c>
      <c r="D99" s="11" t="s">
        <v>426</v>
      </c>
      <c r="E99" s="11" t="s">
        <v>154</v>
      </c>
      <c r="F99" s="11" t="s">
        <v>328</v>
      </c>
      <c r="G99" s="12">
        <v>45804</v>
      </c>
      <c r="H99" s="12"/>
      <c r="I99" s="11" t="s">
        <v>15</v>
      </c>
      <c r="J99" s="11" t="s">
        <v>565</v>
      </c>
      <c r="K99" s="11" t="s">
        <v>17</v>
      </c>
      <c r="L99" s="12">
        <v>45804</v>
      </c>
      <c r="M99" s="12">
        <v>45808</v>
      </c>
      <c r="N99" s="44">
        <f t="shared" si="1"/>
        <v>4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62940379</v>
      </c>
      <c r="B100" s="11" t="str">
        <f t="shared" si="0"/>
        <v>6.294.037-9</v>
      </c>
      <c r="C100" s="11" t="s">
        <v>14</v>
      </c>
      <c r="D100" s="11" t="s">
        <v>426</v>
      </c>
      <c r="E100" s="11" t="s">
        <v>154</v>
      </c>
      <c r="F100" s="11" t="s">
        <v>328</v>
      </c>
      <c r="G100" s="12">
        <v>45804</v>
      </c>
      <c r="H100" s="12"/>
      <c r="I100" s="11" t="s">
        <v>15</v>
      </c>
      <c r="J100" s="11" t="s">
        <v>565</v>
      </c>
      <c r="K100" s="11" t="s">
        <v>18</v>
      </c>
      <c r="L100" s="12">
        <v>45804</v>
      </c>
      <c r="M100" s="12">
        <v>45808</v>
      </c>
      <c r="N100" s="44">
        <f t="shared" si="1"/>
        <v>4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80212402</v>
      </c>
      <c r="B101" s="11" t="str">
        <f t="shared" si="0"/>
        <v>8.021.240-2</v>
      </c>
      <c r="C101" s="11" t="s">
        <v>14</v>
      </c>
      <c r="D101" s="11" t="s">
        <v>512</v>
      </c>
      <c r="E101" s="11" t="s">
        <v>317</v>
      </c>
      <c r="F101" s="11" t="s">
        <v>566</v>
      </c>
      <c r="G101" s="12">
        <v>45803</v>
      </c>
      <c r="H101" s="12">
        <v>45807</v>
      </c>
      <c r="I101" s="11" t="s">
        <v>15</v>
      </c>
      <c r="J101" s="11" t="s">
        <v>60</v>
      </c>
      <c r="K101" s="11" t="s">
        <v>16</v>
      </c>
      <c r="L101" s="12">
        <v>45803</v>
      </c>
      <c r="M101" s="12">
        <v>45807</v>
      </c>
      <c r="N101" s="44">
        <f t="shared" si="1"/>
        <v>4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95496318</v>
      </c>
      <c r="B102" s="11" t="str">
        <f t="shared" si="0"/>
        <v>9.549.631-8</v>
      </c>
      <c r="C102" s="11" t="s">
        <v>14</v>
      </c>
      <c r="D102" s="11" t="s">
        <v>567</v>
      </c>
      <c r="E102" s="11" t="s">
        <v>512</v>
      </c>
      <c r="F102" s="11" t="s">
        <v>568</v>
      </c>
      <c r="G102" s="12">
        <v>45804</v>
      </c>
      <c r="H102" s="12">
        <v>45810</v>
      </c>
      <c r="I102" s="11" t="s">
        <v>15</v>
      </c>
      <c r="J102" s="11" t="s">
        <v>565</v>
      </c>
      <c r="K102" s="11" t="s">
        <v>16</v>
      </c>
      <c r="L102" s="12">
        <v>45804</v>
      </c>
      <c r="M102" s="39">
        <v>45808</v>
      </c>
      <c r="N102" s="44">
        <f t="shared" si="1"/>
        <v>4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6.5" customHeight="1" x14ac:dyDescent="0.45">
      <c r="A103" s="10">
        <v>95496318</v>
      </c>
      <c r="B103" s="11" t="str">
        <f t="shared" si="0"/>
        <v>9.549.631-8</v>
      </c>
      <c r="C103" s="11" t="s">
        <v>14</v>
      </c>
      <c r="D103" s="11" t="s">
        <v>567</v>
      </c>
      <c r="E103" s="11" t="s">
        <v>512</v>
      </c>
      <c r="F103" s="11" t="s">
        <v>568</v>
      </c>
      <c r="G103" s="12">
        <v>45804</v>
      </c>
      <c r="H103" s="12">
        <v>45810</v>
      </c>
      <c r="I103" s="11" t="s">
        <v>15</v>
      </c>
      <c r="J103" s="11" t="s">
        <v>565</v>
      </c>
      <c r="K103" s="11" t="s">
        <v>17</v>
      </c>
      <c r="L103" s="12">
        <v>45804</v>
      </c>
      <c r="M103" s="39">
        <v>45808</v>
      </c>
      <c r="N103" s="44">
        <f t="shared" si="1"/>
        <v>4</v>
      </c>
      <c r="O103" s="44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6.5" customHeight="1" x14ac:dyDescent="0.45">
      <c r="A104" s="10">
        <v>38580892</v>
      </c>
      <c r="B104" s="11" t="str">
        <f t="shared" si="0"/>
        <v>3.858.089-2</v>
      </c>
      <c r="C104" s="11" t="s">
        <v>14</v>
      </c>
      <c r="D104" s="11" t="s">
        <v>129</v>
      </c>
      <c r="E104" s="11" t="s">
        <v>197</v>
      </c>
      <c r="F104" s="11" t="s">
        <v>569</v>
      </c>
      <c r="G104" s="12">
        <v>45804</v>
      </c>
      <c r="H104" s="12">
        <v>45807</v>
      </c>
      <c r="I104" s="11" t="s">
        <v>15</v>
      </c>
      <c r="J104" s="11" t="s">
        <v>60</v>
      </c>
      <c r="K104" s="11" t="s">
        <v>16</v>
      </c>
      <c r="L104" s="12">
        <v>45804</v>
      </c>
      <c r="M104" s="12">
        <v>45807</v>
      </c>
      <c r="N104" s="44">
        <f t="shared" si="1"/>
        <v>3</v>
      </c>
      <c r="O104" s="44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6.5" customHeight="1" x14ac:dyDescent="0.45">
      <c r="A105" s="10">
        <v>38580892</v>
      </c>
      <c r="B105" s="11" t="str">
        <f t="shared" si="0"/>
        <v>3.858.089-2</v>
      </c>
      <c r="C105" s="11" t="s">
        <v>14</v>
      </c>
      <c r="D105" s="11" t="s">
        <v>129</v>
      </c>
      <c r="E105" s="11" t="s">
        <v>197</v>
      </c>
      <c r="F105" s="11" t="s">
        <v>569</v>
      </c>
      <c r="G105" s="12">
        <v>45804</v>
      </c>
      <c r="H105" s="12">
        <v>45807</v>
      </c>
      <c r="I105" s="11" t="s">
        <v>15</v>
      </c>
      <c r="J105" s="11" t="s">
        <v>60</v>
      </c>
      <c r="K105" s="11" t="s">
        <v>17</v>
      </c>
      <c r="L105" s="12">
        <v>45804</v>
      </c>
      <c r="M105" s="12">
        <v>45805</v>
      </c>
      <c r="N105" s="44">
        <f t="shared" si="1"/>
        <v>1</v>
      </c>
      <c r="O105" s="44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6.5" customHeight="1" x14ac:dyDescent="0.45">
      <c r="A106" s="10">
        <v>73598826</v>
      </c>
      <c r="B106" s="11" t="str">
        <f t="shared" si="0"/>
        <v>7.359.882-6</v>
      </c>
      <c r="C106" s="11" t="s">
        <v>14</v>
      </c>
      <c r="D106" s="11" t="s">
        <v>458</v>
      </c>
      <c r="E106" s="11" t="s">
        <v>570</v>
      </c>
      <c r="F106" s="11" t="s">
        <v>571</v>
      </c>
      <c r="G106" s="12">
        <v>45800</v>
      </c>
      <c r="H106" s="12">
        <v>45802</v>
      </c>
      <c r="I106" s="11" t="s">
        <v>15</v>
      </c>
      <c r="J106" s="11" t="s">
        <v>72</v>
      </c>
      <c r="K106" s="11" t="s">
        <v>16</v>
      </c>
      <c r="L106" s="12">
        <v>45800</v>
      </c>
      <c r="M106" s="12">
        <v>45802</v>
      </c>
      <c r="N106" s="44">
        <f t="shared" si="1"/>
        <v>2</v>
      </c>
      <c r="O106" s="44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6.5" customHeight="1" x14ac:dyDescent="0.45">
      <c r="A107" s="10">
        <v>73598826</v>
      </c>
      <c r="B107" s="11" t="str">
        <f t="shared" si="0"/>
        <v>7.359.882-6</v>
      </c>
      <c r="C107" s="11" t="s">
        <v>14</v>
      </c>
      <c r="D107" s="11" t="s">
        <v>458</v>
      </c>
      <c r="E107" s="11" t="s">
        <v>570</v>
      </c>
      <c r="F107" s="11" t="s">
        <v>571</v>
      </c>
      <c r="G107" s="12">
        <v>45800</v>
      </c>
      <c r="H107" s="12">
        <v>45802</v>
      </c>
      <c r="I107" s="11" t="s">
        <v>15</v>
      </c>
      <c r="J107" s="11" t="s">
        <v>72</v>
      </c>
      <c r="K107" s="11" t="s">
        <v>17</v>
      </c>
      <c r="L107" s="12">
        <v>45800</v>
      </c>
      <c r="M107" s="12">
        <v>45802</v>
      </c>
      <c r="N107" s="44">
        <f t="shared" si="1"/>
        <v>2</v>
      </c>
      <c r="O107" s="44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6.5" customHeight="1" x14ac:dyDescent="0.45">
      <c r="A108" s="10">
        <v>73598826</v>
      </c>
      <c r="B108" s="11" t="str">
        <f t="shared" si="0"/>
        <v>7.359.882-6</v>
      </c>
      <c r="C108" s="11" t="s">
        <v>14</v>
      </c>
      <c r="D108" s="11" t="s">
        <v>458</v>
      </c>
      <c r="E108" s="11" t="s">
        <v>570</v>
      </c>
      <c r="F108" s="11" t="s">
        <v>571</v>
      </c>
      <c r="G108" s="12">
        <v>45800</v>
      </c>
      <c r="H108" s="12">
        <v>45802</v>
      </c>
      <c r="I108" s="11" t="s">
        <v>15</v>
      </c>
      <c r="J108" s="11" t="s">
        <v>72</v>
      </c>
      <c r="K108" s="11" t="s">
        <v>18</v>
      </c>
      <c r="L108" s="12">
        <v>45800</v>
      </c>
      <c r="M108" s="12">
        <v>45801</v>
      </c>
      <c r="N108" s="44">
        <f t="shared" si="1"/>
        <v>1</v>
      </c>
      <c r="O108" s="44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6.5" customHeight="1" x14ac:dyDescent="0.45">
      <c r="A109" s="10">
        <v>171703662</v>
      </c>
      <c r="B109" s="11" t="str">
        <f t="shared" si="0"/>
        <v>17.170.366-2</v>
      </c>
      <c r="C109" s="11" t="s">
        <v>14</v>
      </c>
      <c r="D109" s="11" t="s">
        <v>145</v>
      </c>
      <c r="E109" s="11" t="s">
        <v>154</v>
      </c>
      <c r="F109" s="11" t="s">
        <v>572</v>
      </c>
      <c r="G109" s="12">
        <v>45798</v>
      </c>
      <c r="H109" s="12">
        <v>45800</v>
      </c>
      <c r="I109" s="11" t="s">
        <v>15</v>
      </c>
      <c r="J109" s="11" t="s">
        <v>60</v>
      </c>
      <c r="K109" s="11" t="s">
        <v>16</v>
      </c>
      <c r="L109" s="12">
        <v>45798</v>
      </c>
      <c r="M109" s="12">
        <v>45800</v>
      </c>
      <c r="N109" s="44">
        <f t="shared" si="1"/>
        <v>2</v>
      </c>
      <c r="O109" s="44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6.5" customHeight="1" x14ac:dyDescent="0.45">
      <c r="A110" s="10">
        <v>171703662</v>
      </c>
      <c r="B110" s="11" t="str">
        <f t="shared" si="0"/>
        <v>17.170.366-2</v>
      </c>
      <c r="C110" s="11" t="s">
        <v>14</v>
      </c>
      <c r="D110" s="11" t="s">
        <v>145</v>
      </c>
      <c r="E110" s="11" t="s">
        <v>154</v>
      </c>
      <c r="F110" s="11" t="s">
        <v>572</v>
      </c>
      <c r="G110" s="12">
        <v>45798</v>
      </c>
      <c r="H110" s="12">
        <v>45800</v>
      </c>
      <c r="I110" s="11" t="s">
        <v>15</v>
      </c>
      <c r="J110" s="11" t="s">
        <v>60</v>
      </c>
      <c r="K110" s="11" t="s">
        <v>17</v>
      </c>
      <c r="L110" s="12">
        <v>45798</v>
      </c>
      <c r="M110" s="12">
        <v>45800</v>
      </c>
      <c r="N110" s="44">
        <f t="shared" si="1"/>
        <v>2</v>
      </c>
      <c r="O110" s="44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6.5" customHeight="1" x14ac:dyDescent="0.45">
      <c r="A111" s="10">
        <v>42084883</v>
      </c>
      <c r="B111" s="11" t="str">
        <f t="shared" si="0"/>
        <v>4.208.488-3</v>
      </c>
      <c r="C111" s="11" t="s">
        <v>14</v>
      </c>
      <c r="D111" s="11" t="s">
        <v>128</v>
      </c>
      <c r="E111" s="11" t="s">
        <v>103</v>
      </c>
      <c r="F111" s="11" t="s">
        <v>573</v>
      </c>
      <c r="G111" s="12">
        <v>45799</v>
      </c>
      <c r="H111" s="12">
        <v>45804</v>
      </c>
      <c r="I111" s="11" t="s">
        <v>15</v>
      </c>
      <c r="J111" s="11" t="s">
        <v>72</v>
      </c>
      <c r="K111" s="11" t="s">
        <v>16</v>
      </c>
      <c r="L111" s="12">
        <v>45799</v>
      </c>
      <c r="M111" s="12">
        <v>45804</v>
      </c>
      <c r="N111" s="44">
        <f t="shared" si="1"/>
        <v>5</v>
      </c>
      <c r="O111" s="44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6.5" customHeight="1" x14ac:dyDescent="0.45">
      <c r="A112" s="10">
        <v>42084883</v>
      </c>
      <c r="B112" s="11" t="str">
        <f t="shared" si="0"/>
        <v>4.208.488-3</v>
      </c>
      <c r="C112" s="11" t="s">
        <v>14</v>
      </c>
      <c r="D112" s="11" t="s">
        <v>128</v>
      </c>
      <c r="E112" s="11" t="s">
        <v>103</v>
      </c>
      <c r="F112" s="11" t="s">
        <v>573</v>
      </c>
      <c r="G112" s="12">
        <v>45799</v>
      </c>
      <c r="H112" s="12">
        <v>45804</v>
      </c>
      <c r="I112" s="11" t="s">
        <v>15</v>
      </c>
      <c r="J112" s="11" t="s">
        <v>72</v>
      </c>
      <c r="K112" s="11" t="s">
        <v>17</v>
      </c>
      <c r="L112" s="12">
        <v>45799</v>
      </c>
      <c r="M112" s="12">
        <v>45804</v>
      </c>
      <c r="N112" s="44">
        <f t="shared" si="1"/>
        <v>5</v>
      </c>
      <c r="O112" s="44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6.5" customHeight="1" x14ac:dyDescent="0.45">
      <c r="A113" s="10">
        <v>42084883</v>
      </c>
      <c r="B113" s="11" t="str">
        <f t="shared" si="0"/>
        <v>4.208.488-3</v>
      </c>
      <c r="C113" s="11" t="s">
        <v>14</v>
      </c>
      <c r="D113" s="11" t="s">
        <v>128</v>
      </c>
      <c r="E113" s="11" t="s">
        <v>103</v>
      </c>
      <c r="F113" s="11" t="s">
        <v>573</v>
      </c>
      <c r="G113" s="12">
        <v>45799</v>
      </c>
      <c r="H113" s="12">
        <v>45804</v>
      </c>
      <c r="I113" s="11" t="s">
        <v>15</v>
      </c>
      <c r="J113" s="11" t="s">
        <v>72</v>
      </c>
      <c r="K113" s="11" t="s">
        <v>18</v>
      </c>
      <c r="L113" s="12">
        <v>45799</v>
      </c>
      <c r="M113" s="12">
        <v>45802</v>
      </c>
      <c r="N113" s="44">
        <f t="shared" si="1"/>
        <v>3</v>
      </c>
      <c r="O113" s="44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6.5" customHeight="1" x14ac:dyDescent="0.45">
      <c r="A114" s="10">
        <v>49756860</v>
      </c>
      <c r="B114" s="11" t="str">
        <f t="shared" si="0"/>
        <v>4.975.686-0</v>
      </c>
      <c r="C114" s="11" t="s">
        <v>14</v>
      </c>
      <c r="D114" s="11" t="s">
        <v>26</v>
      </c>
      <c r="E114" s="11" t="s">
        <v>574</v>
      </c>
      <c r="F114" s="11" t="s">
        <v>89</v>
      </c>
      <c r="G114" s="12">
        <v>45802</v>
      </c>
      <c r="H114" s="12">
        <v>45804</v>
      </c>
      <c r="I114" s="11" t="s">
        <v>72</v>
      </c>
      <c r="J114" s="11" t="s">
        <v>60</v>
      </c>
      <c r="K114" s="11" t="s">
        <v>17</v>
      </c>
      <c r="L114" s="12">
        <v>45802</v>
      </c>
      <c r="M114" s="12">
        <v>45804</v>
      </c>
      <c r="N114" s="44">
        <f t="shared" si="1"/>
        <v>2</v>
      </c>
      <c r="O114" s="44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6.5" customHeight="1" x14ac:dyDescent="0.45">
      <c r="A115" s="10">
        <v>92648990</v>
      </c>
      <c r="B115" s="11" t="str">
        <f t="shared" si="0"/>
        <v>9.264.899-0</v>
      </c>
      <c r="C115" s="11" t="s">
        <v>14</v>
      </c>
      <c r="D115" s="11" t="s">
        <v>512</v>
      </c>
      <c r="E115" s="11" t="s">
        <v>575</v>
      </c>
      <c r="F115" s="11" t="s">
        <v>576</v>
      </c>
      <c r="G115" s="12">
        <v>45800</v>
      </c>
      <c r="H115" s="12">
        <v>45804</v>
      </c>
      <c r="I115" s="11" t="s">
        <v>15</v>
      </c>
      <c r="J115" s="11" t="s">
        <v>60</v>
      </c>
      <c r="K115" s="11" t="s">
        <v>16</v>
      </c>
      <c r="L115" s="12">
        <v>45800</v>
      </c>
      <c r="M115" s="12">
        <v>45804</v>
      </c>
      <c r="N115" s="44">
        <f t="shared" si="1"/>
        <v>4</v>
      </c>
      <c r="O115" s="44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6.5" customHeight="1" x14ac:dyDescent="0.45">
      <c r="A116" s="10">
        <v>92648990</v>
      </c>
      <c r="B116" s="11" t="str">
        <f t="shared" si="0"/>
        <v>9.264.899-0</v>
      </c>
      <c r="C116" s="11" t="s">
        <v>14</v>
      </c>
      <c r="D116" s="11" t="s">
        <v>512</v>
      </c>
      <c r="E116" s="11" t="s">
        <v>575</v>
      </c>
      <c r="F116" s="11" t="s">
        <v>576</v>
      </c>
      <c r="G116" s="12">
        <v>45800</v>
      </c>
      <c r="H116" s="12">
        <v>45804</v>
      </c>
      <c r="I116" s="11" t="s">
        <v>15</v>
      </c>
      <c r="J116" s="11" t="s">
        <v>60</v>
      </c>
      <c r="K116" s="11" t="s">
        <v>17</v>
      </c>
      <c r="L116" s="12">
        <v>45800</v>
      </c>
      <c r="M116" s="12">
        <v>45804</v>
      </c>
      <c r="N116" s="44">
        <f t="shared" si="1"/>
        <v>4</v>
      </c>
      <c r="O116" s="44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6.5" customHeight="1" x14ac:dyDescent="0.45">
      <c r="A117" s="10">
        <v>92648990</v>
      </c>
      <c r="B117" s="11" t="str">
        <f t="shared" si="0"/>
        <v>9.264.899-0</v>
      </c>
      <c r="C117" s="11" t="s">
        <v>14</v>
      </c>
      <c r="D117" s="11" t="s">
        <v>512</v>
      </c>
      <c r="E117" s="11" t="s">
        <v>575</v>
      </c>
      <c r="F117" s="11" t="s">
        <v>576</v>
      </c>
      <c r="G117" s="12">
        <v>45800</v>
      </c>
      <c r="H117" s="12">
        <v>45804</v>
      </c>
      <c r="I117" s="11" t="s">
        <v>15</v>
      </c>
      <c r="J117" s="11" t="s">
        <v>60</v>
      </c>
      <c r="K117" s="11" t="s">
        <v>18</v>
      </c>
      <c r="L117" s="12">
        <v>45800</v>
      </c>
      <c r="M117" s="12">
        <v>45802</v>
      </c>
      <c r="N117" s="44">
        <f t="shared" si="1"/>
        <v>2</v>
      </c>
      <c r="O117" s="44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>
        <v>86959968</v>
      </c>
      <c r="B118" s="16" t="str">
        <f t="shared" si="0"/>
        <v>8.695.996-8</v>
      </c>
      <c r="C118" s="16" t="s">
        <v>28</v>
      </c>
      <c r="D118" s="16" t="s">
        <v>120</v>
      </c>
      <c r="E118" s="16" t="s">
        <v>125</v>
      </c>
      <c r="F118" s="16" t="s">
        <v>321</v>
      </c>
      <c r="G118" s="17">
        <v>45741</v>
      </c>
      <c r="H118" s="17">
        <v>45804</v>
      </c>
      <c r="I118" s="16" t="s">
        <v>60</v>
      </c>
      <c r="J118" s="16" t="s">
        <v>62</v>
      </c>
      <c r="K118" s="16" t="s">
        <v>349</v>
      </c>
      <c r="L118" s="18">
        <v>45778</v>
      </c>
      <c r="M118" s="28">
        <v>45779</v>
      </c>
      <c r="N118" s="46">
        <f t="shared" si="1"/>
        <v>1</v>
      </c>
      <c r="O118" s="28"/>
      <c r="P118" t="s">
        <v>942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5">
        <v>86959968</v>
      </c>
      <c r="B119" s="16" t="str">
        <f t="shared" si="0"/>
        <v>8.695.996-8</v>
      </c>
      <c r="C119" s="16" t="s">
        <v>28</v>
      </c>
      <c r="D119" s="16" t="s">
        <v>120</v>
      </c>
      <c r="E119" s="16" t="s">
        <v>125</v>
      </c>
      <c r="F119" s="16" t="s">
        <v>321</v>
      </c>
      <c r="G119" s="17">
        <v>45741</v>
      </c>
      <c r="H119" s="17">
        <v>45804</v>
      </c>
      <c r="I119" s="16" t="s">
        <v>60</v>
      </c>
      <c r="J119" s="16" t="s">
        <v>545</v>
      </c>
      <c r="K119" s="16" t="s">
        <v>17</v>
      </c>
      <c r="L119" s="17">
        <v>45778</v>
      </c>
      <c r="M119" s="41">
        <v>45804</v>
      </c>
      <c r="N119" s="46">
        <f t="shared" si="1"/>
        <v>26</v>
      </c>
      <c r="O119" s="28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5">
        <v>162397850</v>
      </c>
      <c r="B120" s="16" t="str">
        <f t="shared" si="0"/>
        <v>16.239.785-0</v>
      </c>
      <c r="C120" s="16" t="s">
        <v>28</v>
      </c>
      <c r="D120" s="16" t="s">
        <v>289</v>
      </c>
      <c r="E120" s="16" t="s">
        <v>493</v>
      </c>
      <c r="F120" s="16" t="s">
        <v>496</v>
      </c>
      <c r="G120" s="17">
        <v>45769</v>
      </c>
      <c r="H120" s="17">
        <v>45783</v>
      </c>
      <c r="I120" s="16" t="s">
        <v>14</v>
      </c>
      <c r="J120" s="16" t="s">
        <v>388</v>
      </c>
      <c r="K120" s="16" t="s">
        <v>349</v>
      </c>
      <c r="L120" s="24">
        <v>45778</v>
      </c>
      <c r="M120" s="28">
        <v>45783</v>
      </c>
      <c r="N120" s="46">
        <f t="shared" si="1"/>
        <v>5</v>
      </c>
      <c r="O120" s="28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5">
        <v>75909608</v>
      </c>
      <c r="B121" s="16" t="str">
        <f t="shared" si="0"/>
        <v>7.590.960-8</v>
      </c>
      <c r="C121" s="16" t="s">
        <v>28</v>
      </c>
      <c r="D121" s="16" t="s">
        <v>125</v>
      </c>
      <c r="E121" s="16" t="s">
        <v>497</v>
      </c>
      <c r="F121" s="16" t="s">
        <v>498</v>
      </c>
      <c r="G121" s="17">
        <v>45776</v>
      </c>
      <c r="H121" s="17">
        <v>45784</v>
      </c>
      <c r="I121" s="16" t="s">
        <v>360</v>
      </c>
      <c r="J121" s="16" t="s">
        <v>388</v>
      </c>
      <c r="K121" s="16" t="s">
        <v>16</v>
      </c>
      <c r="L121" s="24">
        <v>45778</v>
      </c>
      <c r="M121" s="28">
        <v>45784</v>
      </c>
      <c r="N121" s="46">
        <f t="shared" si="1"/>
        <v>6</v>
      </c>
      <c r="O121" s="28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5">
        <v>67971817</v>
      </c>
      <c r="B122" s="16" t="str">
        <f t="shared" si="0"/>
        <v>6.797.181-7</v>
      </c>
      <c r="C122" s="16" t="s">
        <v>28</v>
      </c>
      <c r="D122" s="16" t="s">
        <v>154</v>
      </c>
      <c r="E122" s="16" t="s">
        <v>504</v>
      </c>
      <c r="F122" s="16" t="s">
        <v>505</v>
      </c>
      <c r="G122" s="17">
        <v>45777</v>
      </c>
      <c r="H122" s="17">
        <v>45784</v>
      </c>
      <c r="I122" s="16" t="s">
        <v>360</v>
      </c>
      <c r="J122" s="16" t="s">
        <v>48</v>
      </c>
      <c r="K122" s="16" t="s">
        <v>17</v>
      </c>
      <c r="L122" s="24">
        <v>45778</v>
      </c>
      <c r="M122" s="28">
        <v>45784</v>
      </c>
      <c r="N122" s="46">
        <f t="shared" si="1"/>
        <v>6</v>
      </c>
      <c r="O122" s="28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A123" s="15" t="s">
        <v>506</v>
      </c>
      <c r="B123" s="16" t="str">
        <f t="shared" si="0"/>
        <v>5.830.901-k</v>
      </c>
      <c r="C123" s="16" t="s">
        <v>28</v>
      </c>
      <c r="D123" s="16" t="s">
        <v>120</v>
      </c>
      <c r="E123" s="16" t="s">
        <v>507</v>
      </c>
      <c r="F123" s="16" t="s">
        <v>508</v>
      </c>
      <c r="G123" s="17">
        <v>45776</v>
      </c>
      <c r="H123" s="17">
        <v>45786</v>
      </c>
      <c r="I123" s="16" t="s">
        <v>360</v>
      </c>
      <c r="J123" s="16" t="s">
        <v>342</v>
      </c>
      <c r="K123" s="16" t="s">
        <v>17</v>
      </c>
      <c r="L123" s="24">
        <v>45778</v>
      </c>
      <c r="M123" s="28">
        <v>45786</v>
      </c>
      <c r="N123" s="46">
        <f t="shared" si="1"/>
        <v>8</v>
      </c>
      <c r="O123" s="28"/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1074</v>
      </c>
    </row>
    <row r="124" spans="1:21" ht="15.75" customHeight="1" x14ac:dyDescent="0.45">
      <c r="A124" s="15">
        <v>65432293</v>
      </c>
      <c r="B124" s="16" t="str">
        <f t="shared" si="0"/>
        <v>6.543.229-3</v>
      </c>
      <c r="C124" s="16" t="s">
        <v>28</v>
      </c>
      <c r="D124" s="16" t="s">
        <v>530</v>
      </c>
      <c r="E124" s="16" t="s">
        <v>283</v>
      </c>
      <c r="F124" s="16" t="s">
        <v>367</v>
      </c>
      <c r="G124" s="17">
        <v>45786</v>
      </c>
      <c r="H124" s="17">
        <v>45794</v>
      </c>
      <c r="I124" s="16" t="s">
        <v>72</v>
      </c>
      <c r="J124" s="16" t="s">
        <v>495</v>
      </c>
      <c r="K124" s="16" t="s">
        <v>16</v>
      </c>
      <c r="L124" s="17">
        <v>45786</v>
      </c>
      <c r="M124" s="17">
        <v>45794</v>
      </c>
      <c r="N124" s="46">
        <f t="shared" si="1"/>
        <v>8</v>
      </c>
      <c r="O124" s="28"/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1074</v>
      </c>
    </row>
    <row r="125" spans="1:21" ht="15.75" customHeight="1" x14ac:dyDescent="0.45">
      <c r="A125" s="15">
        <v>65432293</v>
      </c>
      <c r="B125" s="16" t="str">
        <f t="shared" si="0"/>
        <v>6.543.229-3</v>
      </c>
      <c r="C125" s="16" t="s">
        <v>28</v>
      </c>
      <c r="D125" s="16" t="s">
        <v>530</v>
      </c>
      <c r="E125" s="16" t="s">
        <v>283</v>
      </c>
      <c r="F125" s="16" t="s">
        <v>367</v>
      </c>
      <c r="G125" s="17">
        <v>45786</v>
      </c>
      <c r="H125" s="17">
        <v>45794</v>
      </c>
      <c r="I125" s="16" t="s">
        <v>72</v>
      </c>
      <c r="J125" s="16" t="s">
        <v>495</v>
      </c>
      <c r="K125" s="16" t="s">
        <v>17</v>
      </c>
      <c r="L125" s="17">
        <v>45786</v>
      </c>
      <c r="M125" s="17">
        <v>45794</v>
      </c>
      <c r="N125" s="46">
        <f t="shared" si="1"/>
        <v>8</v>
      </c>
      <c r="O125" s="28"/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1074</v>
      </c>
    </row>
    <row r="126" spans="1:21" ht="15.75" customHeight="1" x14ac:dyDescent="0.45">
      <c r="A126" s="15">
        <v>75067569</v>
      </c>
      <c r="B126" s="16" t="str">
        <f t="shared" si="0"/>
        <v>7.506.756-9</v>
      </c>
      <c r="C126" s="16" t="s">
        <v>28</v>
      </c>
      <c r="D126" s="16" t="s">
        <v>484</v>
      </c>
      <c r="E126" s="16" t="s">
        <v>485</v>
      </c>
      <c r="F126" s="16" t="s">
        <v>486</v>
      </c>
      <c r="G126" s="17">
        <v>45785</v>
      </c>
      <c r="H126" s="17">
        <v>45807</v>
      </c>
      <c r="I126" s="16" t="s">
        <v>60</v>
      </c>
      <c r="J126" s="16" t="s">
        <v>62</v>
      </c>
      <c r="K126" s="37" t="s">
        <v>16</v>
      </c>
      <c r="L126" s="17">
        <v>45785</v>
      </c>
      <c r="M126" s="28">
        <v>45800</v>
      </c>
      <c r="N126" s="46">
        <f t="shared" si="1"/>
        <v>15</v>
      </c>
      <c r="O126" s="28"/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1074</v>
      </c>
    </row>
    <row r="127" spans="1:21" ht="15.75" customHeight="1" x14ac:dyDescent="0.45">
      <c r="A127" s="15">
        <v>75067569</v>
      </c>
      <c r="B127" s="16" t="str">
        <f t="shared" si="0"/>
        <v>7.506.756-9</v>
      </c>
      <c r="C127" s="16" t="s">
        <v>28</v>
      </c>
      <c r="D127" s="16" t="s">
        <v>484</v>
      </c>
      <c r="E127" s="16" t="s">
        <v>485</v>
      </c>
      <c r="F127" s="16" t="s">
        <v>486</v>
      </c>
      <c r="G127" s="17">
        <v>45785</v>
      </c>
      <c r="H127" s="17">
        <v>45807</v>
      </c>
      <c r="I127" s="16" t="s">
        <v>60</v>
      </c>
      <c r="J127" s="16" t="s">
        <v>62</v>
      </c>
      <c r="K127" s="52" t="s">
        <v>17</v>
      </c>
      <c r="L127" s="51">
        <v>45785</v>
      </c>
      <c r="M127" s="28">
        <v>45807</v>
      </c>
      <c r="N127" s="46">
        <f t="shared" si="1"/>
        <v>22</v>
      </c>
      <c r="O127" s="28"/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1074</v>
      </c>
    </row>
    <row r="128" spans="1:21" ht="15.75" customHeight="1" x14ac:dyDescent="0.45">
      <c r="A128" s="15" t="s">
        <v>546</v>
      </c>
      <c r="B128" s="16" t="str">
        <f t="shared" si="0"/>
        <v>8.207.483-K</v>
      </c>
      <c r="C128" s="16" t="s">
        <v>28</v>
      </c>
      <c r="D128" s="16" t="s">
        <v>323</v>
      </c>
      <c r="E128" s="16" t="s">
        <v>525</v>
      </c>
      <c r="F128" s="16" t="s">
        <v>526</v>
      </c>
      <c r="G128" s="17">
        <v>45791</v>
      </c>
      <c r="H128" s="17">
        <v>45805</v>
      </c>
      <c r="I128" s="16" t="s">
        <v>14</v>
      </c>
      <c r="J128" s="37" t="s">
        <v>48</v>
      </c>
      <c r="K128" s="53" t="s">
        <v>16</v>
      </c>
      <c r="L128" s="17">
        <v>45791</v>
      </c>
      <c r="M128" s="17">
        <v>45803</v>
      </c>
      <c r="N128" s="46">
        <f t="shared" si="1"/>
        <v>12</v>
      </c>
      <c r="O128" s="28"/>
      <c r="P128" t="s">
        <v>83</v>
      </c>
      <c r="Q128" t="s">
        <v>83</v>
      </c>
      <c r="R128" t="s">
        <v>83</v>
      </c>
      <c r="S128" t="s">
        <v>83</v>
      </c>
      <c r="T128" t="s">
        <v>83</v>
      </c>
      <c r="U128" t="s">
        <v>1074</v>
      </c>
    </row>
    <row r="129" spans="1:21" ht="15.75" customHeight="1" x14ac:dyDescent="0.45">
      <c r="A129" s="15" t="s">
        <v>546</v>
      </c>
      <c r="B129" s="16" t="str">
        <f t="shared" si="0"/>
        <v>8.207.483-K</v>
      </c>
      <c r="C129" s="16" t="s">
        <v>28</v>
      </c>
      <c r="D129" s="16" t="s">
        <v>323</v>
      </c>
      <c r="E129" s="16" t="s">
        <v>525</v>
      </c>
      <c r="F129" s="16" t="s">
        <v>526</v>
      </c>
      <c r="G129" s="17">
        <v>45791</v>
      </c>
      <c r="H129" s="17">
        <v>45805</v>
      </c>
      <c r="I129" s="16" t="s">
        <v>14</v>
      </c>
      <c r="J129" s="37" t="s">
        <v>48</v>
      </c>
      <c r="K129" s="53" t="s">
        <v>17</v>
      </c>
      <c r="L129" s="17">
        <v>45791</v>
      </c>
      <c r="M129" s="17">
        <v>45804</v>
      </c>
      <c r="N129" s="46">
        <f t="shared" si="1"/>
        <v>13</v>
      </c>
      <c r="O129" s="28"/>
      <c r="P129" t="s">
        <v>83</v>
      </c>
      <c r="Q129" t="s">
        <v>83</v>
      </c>
      <c r="R129" t="s">
        <v>83</v>
      </c>
      <c r="S129" t="s">
        <v>83</v>
      </c>
      <c r="T129" t="s">
        <v>83</v>
      </c>
      <c r="U129" t="s">
        <v>1074</v>
      </c>
    </row>
    <row r="130" spans="1:21" ht="15.75" customHeight="1" x14ac:dyDescent="0.45">
      <c r="A130" s="15" t="s">
        <v>547</v>
      </c>
      <c r="B130" s="16" t="str">
        <f t="shared" si="0"/>
        <v>12.925.713-k</v>
      </c>
      <c r="C130" s="16" t="s">
        <v>28</v>
      </c>
      <c r="D130" s="16" t="s">
        <v>354</v>
      </c>
      <c r="E130" s="16" t="s">
        <v>548</v>
      </c>
      <c r="F130" s="16" t="s">
        <v>549</v>
      </c>
      <c r="G130" s="17">
        <v>45799</v>
      </c>
      <c r="H130" s="17">
        <v>45806</v>
      </c>
      <c r="I130" s="16" t="s">
        <v>60</v>
      </c>
      <c r="J130" s="37" t="s">
        <v>72</v>
      </c>
      <c r="K130" s="53" t="s">
        <v>16</v>
      </c>
      <c r="L130" s="17">
        <v>45799</v>
      </c>
      <c r="M130" s="28">
        <v>45800</v>
      </c>
      <c r="N130" s="46">
        <f t="shared" si="1"/>
        <v>1</v>
      </c>
      <c r="O130" s="28"/>
      <c r="P130" t="s">
        <v>83</v>
      </c>
      <c r="Q130" t="s">
        <v>83</v>
      </c>
      <c r="R130" t="s">
        <v>83</v>
      </c>
      <c r="S130" t="s">
        <v>83</v>
      </c>
      <c r="T130" t="s">
        <v>83</v>
      </c>
      <c r="U130" t="s">
        <v>1074</v>
      </c>
    </row>
    <row r="131" spans="1:21" ht="15.75" customHeight="1" x14ac:dyDescent="0.45">
      <c r="A131" s="15" t="s">
        <v>547</v>
      </c>
      <c r="B131" s="16" t="str">
        <f t="shared" si="0"/>
        <v>12.925.713-k</v>
      </c>
      <c r="C131" s="16" t="s">
        <v>28</v>
      </c>
      <c r="D131" s="16" t="s">
        <v>354</v>
      </c>
      <c r="E131" s="16" t="s">
        <v>548</v>
      </c>
      <c r="F131" s="16" t="s">
        <v>549</v>
      </c>
      <c r="G131" s="17">
        <v>45799</v>
      </c>
      <c r="H131" s="17">
        <v>45806</v>
      </c>
      <c r="I131" s="16" t="s">
        <v>60</v>
      </c>
      <c r="J131" s="37" t="s">
        <v>72</v>
      </c>
      <c r="K131" s="54" t="s">
        <v>17</v>
      </c>
      <c r="L131" s="51">
        <v>45799</v>
      </c>
      <c r="M131" s="28">
        <v>45806</v>
      </c>
      <c r="N131" s="46">
        <f t="shared" si="1"/>
        <v>7</v>
      </c>
      <c r="O131" s="28"/>
      <c r="P131" t="s">
        <v>83</v>
      </c>
      <c r="Q131" t="s">
        <v>83</v>
      </c>
      <c r="R131" t="s">
        <v>83</v>
      </c>
      <c r="S131" t="s">
        <v>83</v>
      </c>
      <c r="T131" t="s">
        <v>83</v>
      </c>
      <c r="U131" t="s">
        <v>1074</v>
      </c>
    </row>
    <row r="132" spans="1:21" ht="15.75" customHeight="1" x14ac:dyDescent="0.45">
      <c r="A132" s="15">
        <v>60105995</v>
      </c>
      <c r="B132" s="16" t="str">
        <f t="shared" si="0"/>
        <v>6.010.599-5</v>
      </c>
      <c r="C132" s="16" t="s">
        <v>28</v>
      </c>
      <c r="D132" s="16" t="s">
        <v>550</v>
      </c>
      <c r="E132" s="16" t="s">
        <v>551</v>
      </c>
      <c r="F132" s="16" t="s">
        <v>552</v>
      </c>
      <c r="G132" s="17">
        <v>45791</v>
      </c>
      <c r="H132" s="17">
        <v>45806</v>
      </c>
      <c r="I132" s="16" t="s">
        <v>360</v>
      </c>
      <c r="J132" s="37" t="s">
        <v>62</v>
      </c>
      <c r="K132" s="53" t="s">
        <v>17</v>
      </c>
      <c r="L132" s="17">
        <v>45791</v>
      </c>
      <c r="M132" s="17">
        <v>45806</v>
      </c>
      <c r="N132" s="46">
        <f t="shared" si="1"/>
        <v>15</v>
      </c>
      <c r="O132" s="28"/>
      <c r="P132" t="s">
        <v>83</v>
      </c>
      <c r="Q132" t="s">
        <v>83</v>
      </c>
      <c r="R132" t="s">
        <v>83</v>
      </c>
      <c r="S132" t="s">
        <v>83</v>
      </c>
      <c r="T132" t="s">
        <v>83</v>
      </c>
      <c r="U132" t="s">
        <v>1074</v>
      </c>
    </row>
    <row r="133" spans="1:21" ht="15.75" customHeight="1" x14ac:dyDescent="0.45">
      <c r="A133" s="15">
        <v>60105995</v>
      </c>
      <c r="B133" s="16" t="str">
        <f t="shared" si="0"/>
        <v>6.010.599-5</v>
      </c>
      <c r="C133" s="16" t="s">
        <v>28</v>
      </c>
      <c r="D133" s="16" t="s">
        <v>550</v>
      </c>
      <c r="E133" s="16" t="s">
        <v>551</v>
      </c>
      <c r="F133" s="16" t="s">
        <v>552</v>
      </c>
      <c r="G133" s="17">
        <v>45791</v>
      </c>
      <c r="H133" s="17">
        <v>45806</v>
      </c>
      <c r="I133" s="16" t="s">
        <v>360</v>
      </c>
      <c r="J133" s="37" t="s">
        <v>62</v>
      </c>
      <c r="K133" s="53" t="s">
        <v>349</v>
      </c>
      <c r="L133" s="51">
        <v>45791</v>
      </c>
      <c r="M133" s="17">
        <v>45806</v>
      </c>
      <c r="N133" s="46">
        <f t="shared" si="1"/>
        <v>15</v>
      </c>
      <c r="O133" s="28"/>
      <c r="P133" t="s">
        <v>83</v>
      </c>
      <c r="Q133" t="s">
        <v>83</v>
      </c>
      <c r="R133" t="s">
        <v>83</v>
      </c>
      <c r="S133" t="s">
        <v>83</v>
      </c>
      <c r="T133" t="s">
        <v>83</v>
      </c>
      <c r="U133" t="s">
        <v>1074</v>
      </c>
    </row>
    <row r="134" spans="1:21" ht="15.75" customHeight="1" x14ac:dyDescent="0.45">
      <c r="A134" s="15">
        <v>43774549</v>
      </c>
      <c r="B134" s="16" t="str">
        <f t="shared" si="0"/>
        <v>4.377.454-9</v>
      </c>
      <c r="C134" s="16" t="s">
        <v>28</v>
      </c>
      <c r="D134" s="16" t="s">
        <v>553</v>
      </c>
      <c r="E134" s="16" t="s">
        <v>554</v>
      </c>
      <c r="F134" s="16" t="s">
        <v>555</v>
      </c>
      <c r="G134" s="17">
        <v>45803</v>
      </c>
      <c r="H134" s="17"/>
      <c r="I134" s="16" t="s">
        <v>72</v>
      </c>
      <c r="J134" s="37" t="s">
        <v>565</v>
      </c>
      <c r="K134" s="53" t="s">
        <v>17</v>
      </c>
      <c r="L134" s="28">
        <v>45803</v>
      </c>
      <c r="M134" s="28">
        <v>45808</v>
      </c>
      <c r="N134" s="46">
        <f t="shared" si="1"/>
        <v>5</v>
      </c>
      <c r="O134" s="28"/>
      <c r="P134" t="s">
        <v>83</v>
      </c>
      <c r="Q134" t="s">
        <v>83</v>
      </c>
      <c r="R134" t="s">
        <v>83</v>
      </c>
      <c r="S134" t="s">
        <v>83</v>
      </c>
      <c r="T134" t="s">
        <v>83</v>
      </c>
      <c r="U134" t="s">
        <v>1074</v>
      </c>
    </row>
    <row r="135" spans="1:21" ht="27.75" customHeight="1" x14ac:dyDescent="0.45">
      <c r="A135" s="15">
        <v>145912393</v>
      </c>
      <c r="B135" s="16" t="str">
        <f t="shared" si="0"/>
        <v>14.591.239-3</v>
      </c>
      <c r="C135" s="16" t="s">
        <v>28</v>
      </c>
      <c r="D135" s="16" t="s">
        <v>116</v>
      </c>
      <c r="E135" s="16" t="s">
        <v>202</v>
      </c>
      <c r="F135" s="16" t="s">
        <v>556</v>
      </c>
      <c r="G135" s="17">
        <v>45803</v>
      </c>
      <c r="H135" s="17">
        <v>45810</v>
      </c>
      <c r="I135" s="16" t="s">
        <v>56</v>
      </c>
      <c r="J135" s="37" t="s">
        <v>47</v>
      </c>
      <c r="K135" s="53" t="s">
        <v>16</v>
      </c>
      <c r="L135" s="28">
        <v>45803</v>
      </c>
      <c r="M135" s="28">
        <v>45808</v>
      </c>
      <c r="N135" s="46">
        <f t="shared" si="1"/>
        <v>5</v>
      </c>
      <c r="O135" s="28"/>
      <c r="P135" t="s">
        <v>942</v>
      </c>
      <c r="Q135" t="s">
        <v>83</v>
      </c>
      <c r="R135" t="s">
        <v>83</v>
      </c>
      <c r="S135" t="s">
        <v>83</v>
      </c>
      <c r="T135" t="s">
        <v>83</v>
      </c>
      <c r="U135" t="s">
        <v>1074</v>
      </c>
    </row>
    <row r="136" spans="1:21" ht="15.75" customHeight="1" x14ac:dyDescent="0.45">
      <c r="A136" s="15">
        <v>45876144</v>
      </c>
      <c r="B136" s="16" t="str">
        <f t="shared" si="0"/>
        <v>4.587.614-4</v>
      </c>
      <c r="C136" s="16" t="s">
        <v>28</v>
      </c>
      <c r="D136" s="16" t="s">
        <v>539</v>
      </c>
      <c r="E136" s="16" t="s">
        <v>100</v>
      </c>
      <c r="F136" s="16" t="s">
        <v>99</v>
      </c>
      <c r="G136" s="17">
        <v>45803</v>
      </c>
      <c r="H136" s="17">
        <v>45807</v>
      </c>
      <c r="I136" s="16" t="s">
        <v>60</v>
      </c>
      <c r="J136" s="37" t="s">
        <v>48</v>
      </c>
      <c r="K136" s="53" t="s">
        <v>16</v>
      </c>
      <c r="L136" s="28">
        <v>45803</v>
      </c>
      <c r="M136" s="17">
        <v>45807</v>
      </c>
      <c r="N136" s="46">
        <f t="shared" si="1"/>
        <v>4</v>
      </c>
      <c r="O136" s="28"/>
      <c r="P136" t="s">
        <v>83</v>
      </c>
      <c r="Q136" t="s">
        <v>83</v>
      </c>
      <c r="R136" t="s">
        <v>83</v>
      </c>
      <c r="S136" t="s">
        <v>83</v>
      </c>
      <c r="T136" t="s">
        <v>83</v>
      </c>
      <c r="U136" t="s">
        <v>1074</v>
      </c>
    </row>
    <row r="137" spans="1:21" ht="15.75" customHeight="1" x14ac:dyDescent="0.45">
      <c r="A137" s="15">
        <v>45876144</v>
      </c>
      <c r="B137" s="16" t="str">
        <f t="shared" si="0"/>
        <v>4.587.614-4</v>
      </c>
      <c r="C137" s="16" t="s">
        <v>28</v>
      </c>
      <c r="D137" s="16" t="s">
        <v>539</v>
      </c>
      <c r="E137" s="16" t="s">
        <v>100</v>
      </c>
      <c r="F137" s="16" t="s">
        <v>99</v>
      </c>
      <c r="G137" s="17">
        <v>45803</v>
      </c>
      <c r="H137" s="17">
        <v>45807</v>
      </c>
      <c r="I137" s="16" t="s">
        <v>60</v>
      </c>
      <c r="J137" s="37" t="s">
        <v>48</v>
      </c>
      <c r="K137" s="53" t="s">
        <v>17</v>
      </c>
      <c r="L137" s="28">
        <v>45803</v>
      </c>
      <c r="M137" s="17">
        <v>45807</v>
      </c>
      <c r="N137" s="46">
        <f t="shared" si="1"/>
        <v>4</v>
      </c>
      <c r="O137" s="28"/>
      <c r="P137" t="s">
        <v>83</v>
      </c>
      <c r="Q137" t="s">
        <v>83</v>
      </c>
      <c r="R137" t="s">
        <v>83</v>
      </c>
      <c r="S137" t="s">
        <v>83</v>
      </c>
      <c r="T137" t="s">
        <v>83</v>
      </c>
      <c r="U137" t="s">
        <v>1074</v>
      </c>
    </row>
    <row r="138" spans="1:21" ht="15.75" customHeight="1" x14ac:dyDescent="0.45">
      <c r="A138" s="15">
        <v>142799049</v>
      </c>
      <c r="B138" s="16" t="str">
        <f t="shared" si="0"/>
        <v>14.279.904-9</v>
      </c>
      <c r="C138" s="16" t="s">
        <v>28</v>
      </c>
      <c r="D138" s="16" t="s">
        <v>557</v>
      </c>
      <c r="E138" s="16" t="s">
        <v>558</v>
      </c>
      <c r="F138" s="16" t="s">
        <v>105</v>
      </c>
      <c r="G138" s="17">
        <v>45807</v>
      </c>
      <c r="H138" s="17"/>
      <c r="I138" s="16" t="s">
        <v>72</v>
      </c>
      <c r="J138" s="37" t="s">
        <v>565</v>
      </c>
      <c r="K138" s="53" t="s">
        <v>17</v>
      </c>
      <c r="L138" s="28">
        <v>45807</v>
      </c>
      <c r="M138" s="28">
        <v>45808</v>
      </c>
      <c r="N138" s="46">
        <f t="shared" si="1"/>
        <v>1</v>
      </c>
      <c r="O138" s="28"/>
      <c r="P138" t="s">
        <v>83</v>
      </c>
      <c r="Q138" t="s">
        <v>83</v>
      </c>
      <c r="R138" t="s">
        <v>83</v>
      </c>
      <c r="S138" t="s">
        <v>83</v>
      </c>
      <c r="T138" t="s">
        <v>83</v>
      </c>
      <c r="U138" t="s">
        <v>1074</v>
      </c>
    </row>
    <row r="139" spans="1:21" ht="15.75" customHeight="1" x14ac:dyDescent="0.45">
      <c r="A139" s="15">
        <v>101692213</v>
      </c>
      <c r="B139" s="16" t="str">
        <f t="shared" si="0"/>
        <v>10.169.221-3</v>
      </c>
      <c r="C139" s="16" t="s">
        <v>28</v>
      </c>
      <c r="D139" s="16" t="s">
        <v>173</v>
      </c>
      <c r="E139" s="16" t="s">
        <v>559</v>
      </c>
      <c r="F139" s="16" t="s">
        <v>105</v>
      </c>
      <c r="G139" s="17">
        <v>45806</v>
      </c>
      <c r="H139" s="17">
        <v>45810</v>
      </c>
      <c r="I139" s="16" t="s">
        <v>60</v>
      </c>
      <c r="J139" s="37" t="s">
        <v>348</v>
      </c>
      <c r="K139" s="53" t="s">
        <v>16</v>
      </c>
      <c r="L139" s="17">
        <v>45806</v>
      </c>
      <c r="M139" s="28">
        <v>45808</v>
      </c>
      <c r="N139" s="46">
        <f t="shared" si="1"/>
        <v>2</v>
      </c>
      <c r="O139" s="28"/>
      <c r="P139" t="s">
        <v>83</v>
      </c>
      <c r="Q139" t="s">
        <v>83</v>
      </c>
      <c r="R139" t="s">
        <v>83</v>
      </c>
      <c r="S139" t="s">
        <v>83</v>
      </c>
      <c r="T139" t="s">
        <v>83</v>
      </c>
      <c r="U139" t="s">
        <v>1074</v>
      </c>
    </row>
    <row r="140" spans="1:21" ht="15.75" customHeight="1" x14ac:dyDescent="0.45">
      <c r="A140" s="15">
        <v>101692213</v>
      </c>
      <c r="B140" s="16" t="str">
        <f t="shared" si="0"/>
        <v>10.169.221-3</v>
      </c>
      <c r="C140" s="16" t="s">
        <v>28</v>
      </c>
      <c r="D140" s="16" t="s">
        <v>173</v>
      </c>
      <c r="E140" s="16" t="s">
        <v>559</v>
      </c>
      <c r="F140" s="16" t="s">
        <v>105</v>
      </c>
      <c r="G140" s="17">
        <v>45806</v>
      </c>
      <c r="H140" s="17">
        <v>45810</v>
      </c>
      <c r="I140" s="16" t="s">
        <v>60</v>
      </c>
      <c r="J140" s="37" t="s">
        <v>348</v>
      </c>
      <c r="K140" s="53" t="s">
        <v>17</v>
      </c>
      <c r="L140" s="17">
        <v>45806</v>
      </c>
      <c r="M140" s="28">
        <v>45808</v>
      </c>
      <c r="N140" s="46">
        <f t="shared" si="1"/>
        <v>2</v>
      </c>
      <c r="O140" s="28"/>
      <c r="P140" t="s">
        <v>83</v>
      </c>
      <c r="Q140" t="s">
        <v>83</v>
      </c>
      <c r="R140" t="s">
        <v>83</v>
      </c>
      <c r="S140" t="s">
        <v>83</v>
      </c>
      <c r="T140" t="s">
        <v>83</v>
      </c>
      <c r="U140" t="s">
        <v>1074</v>
      </c>
    </row>
    <row r="141" spans="1:21" ht="15.75" customHeight="1" x14ac:dyDescent="0.45">
      <c r="A141" s="19">
        <v>74571689</v>
      </c>
      <c r="B141" s="19" t="str">
        <f t="shared" ref="B141:B142" si="2">IF(LEN(A141)=8,MID(A141,1,1)&amp;"."&amp;MID(A141,2,3)&amp;"."&amp;MID(A141,5,3)&amp;"-"&amp;RIGHT(A141,1),IF(LEFT(RIGHT(A141,2),1)="-",MID(A141,1,1)&amp;"."&amp;MID(A141,2,3)&amp;"."&amp;MID(A141,5,3)&amp;"-"&amp;RIGHT(A141,1),MID(A141,1,2)&amp;"."&amp;MID(A141,3,3)&amp;"."&amp;MID(A141,6,3)&amp;"-"&amp;MID(A141,9,1)))</f>
        <v>7.457.168-9</v>
      </c>
      <c r="C141" s="19" t="s">
        <v>32</v>
      </c>
      <c r="D141" s="19" t="s">
        <v>499</v>
      </c>
      <c r="E141" s="19" t="s">
        <v>500</v>
      </c>
      <c r="F141" s="19" t="s">
        <v>501</v>
      </c>
      <c r="G141" s="20">
        <v>45778</v>
      </c>
      <c r="H141" s="20">
        <v>45786</v>
      </c>
      <c r="I141" s="19" t="s">
        <v>15</v>
      </c>
      <c r="J141" s="19" t="s">
        <v>75</v>
      </c>
      <c r="K141" s="19" t="s">
        <v>17</v>
      </c>
      <c r="L141" s="20">
        <v>45778</v>
      </c>
      <c r="M141" s="20">
        <v>45786</v>
      </c>
      <c r="N141" s="47">
        <f t="shared" si="1"/>
        <v>8</v>
      </c>
      <c r="O141" s="34"/>
      <c r="P141" t="s">
        <v>83</v>
      </c>
      <c r="Q141" t="s">
        <v>83</v>
      </c>
      <c r="R141" t="s">
        <v>83</v>
      </c>
      <c r="S141" t="s">
        <v>83</v>
      </c>
      <c r="T141" t="s">
        <v>83</v>
      </c>
      <c r="U141" t="s">
        <v>1074</v>
      </c>
    </row>
    <row r="142" spans="1:21" ht="15.75" customHeight="1" x14ac:dyDescent="0.45">
      <c r="A142" s="19">
        <v>129751533</v>
      </c>
      <c r="B142" s="19" t="str">
        <f t="shared" si="2"/>
        <v>12.975.153-3</v>
      </c>
      <c r="C142" s="19" t="s">
        <v>32</v>
      </c>
      <c r="D142" s="19" t="s">
        <v>368</v>
      </c>
      <c r="E142" s="19" t="s">
        <v>502</v>
      </c>
      <c r="F142" s="19" t="s">
        <v>503</v>
      </c>
      <c r="G142" s="20">
        <v>45777</v>
      </c>
      <c r="H142" s="20">
        <v>45786</v>
      </c>
      <c r="I142" s="19" t="s">
        <v>15</v>
      </c>
      <c r="J142" s="19" t="s">
        <v>75</v>
      </c>
      <c r="K142" s="19" t="s">
        <v>17</v>
      </c>
      <c r="L142" s="20">
        <v>45778</v>
      </c>
      <c r="M142" s="20">
        <v>45786</v>
      </c>
      <c r="N142" s="47">
        <f t="shared" si="1"/>
        <v>8</v>
      </c>
      <c r="O142" s="34"/>
      <c r="P142" t="s">
        <v>83</v>
      </c>
      <c r="Q142" t="s">
        <v>83</v>
      </c>
      <c r="R142" t="s">
        <v>83</v>
      </c>
      <c r="S142" t="s">
        <v>83</v>
      </c>
      <c r="T142" t="s">
        <v>83</v>
      </c>
      <c r="U142" t="s">
        <v>1074</v>
      </c>
    </row>
    <row r="143" spans="1:21" ht="15.75" customHeight="1" x14ac:dyDescent="0.45">
      <c r="G143" s="4"/>
      <c r="H143" s="4"/>
      <c r="I143" s="23"/>
      <c r="J143" s="23"/>
      <c r="K143" s="23"/>
      <c r="L143" s="4"/>
      <c r="N143" s="36"/>
      <c r="U143">
        <f>COUNTIF(U8:U142,"si")</f>
        <v>0</v>
      </c>
    </row>
    <row r="144" spans="1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K188" s="23"/>
      <c r="L188" s="4"/>
      <c r="N188" s="36"/>
    </row>
    <row r="189" spans="7:14" ht="15.75" customHeight="1" x14ac:dyDescent="0.45">
      <c r="G189" s="4"/>
      <c r="H189" s="4"/>
      <c r="I189" s="23"/>
      <c r="J189" s="23"/>
      <c r="K189" s="23"/>
      <c r="L189" s="4"/>
      <c r="N189" s="36"/>
    </row>
    <row r="190" spans="7:14" ht="15.75" customHeight="1" x14ac:dyDescent="0.45">
      <c r="G190" s="4"/>
      <c r="H190" s="4"/>
      <c r="I190" s="23"/>
      <c r="J190" s="23"/>
      <c r="K190" s="23"/>
      <c r="L190" s="4"/>
      <c r="N190" s="36"/>
    </row>
    <row r="191" spans="7:14" ht="15.75" customHeight="1" x14ac:dyDescent="0.45">
      <c r="G191" s="4"/>
      <c r="H191" s="4"/>
      <c r="I191" s="23"/>
      <c r="J191" s="23"/>
      <c r="K191" s="23"/>
      <c r="L191" s="4"/>
      <c r="N191" s="36"/>
    </row>
    <row r="192" spans="7:14" ht="15.75" customHeight="1" x14ac:dyDescent="0.45">
      <c r="G192" s="4"/>
      <c r="H192" s="4"/>
      <c r="I192" s="23"/>
      <c r="J192" s="23"/>
      <c r="K192" s="23"/>
      <c r="L192" s="4"/>
      <c r="N192" s="36"/>
    </row>
    <row r="193" spans="7:14" ht="15.75" customHeight="1" x14ac:dyDescent="0.45">
      <c r="G193" s="4"/>
      <c r="H193" s="4"/>
      <c r="I193" s="23"/>
      <c r="J193" s="23"/>
      <c r="K193" s="23"/>
      <c r="L193" s="4"/>
      <c r="N193" s="36"/>
    </row>
    <row r="194" spans="7:14" ht="15.75" customHeight="1" x14ac:dyDescent="0.45">
      <c r="G194" s="4"/>
      <c r="H194" s="4"/>
      <c r="I194" s="23"/>
      <c r="J194" s="23"/>
      <c r="K194" s="23"/>
      <c r="L194" s="4"/>
      <c r="N194" s="36"/>
    </row>
    <row r="195" spans="7:14" ht="15.75" customHeight="1" x14ac:dyDescent="0.45">
      <c r="G195" s="4"/>
      <c r="H195" s="4"/>
      <c r="I195" s="23"/>
      <c r="J195" s="23"/>
      <c r="K195" s="23"/>
      <c r="L195" s="4"/>
      <c r="N195" s="36"/>
    </row>
    <row r="196" spans="7:14" ht="15.75" customHeight="1" x14ac:dyDescent="0.45">
      <c r="G196" s="4"/>
      <c r="H196" s="4"/>
      <c r="I196" s="23"/>
      <c r="J196" s="23"/>
      <c r="K196" s="23"/>
      <c r="L196" s="4"/>
      <c r="N196" s="36"/>
    </row>
    <row r="197" spans="7:14" ht="15.75" customHeight="1" x14ac:dyDescent="0.45">
      <c r="G197" s="4"/>
      <c r="H197" s="4"/>
      <c r="I197" s="23"/>
      <c r="J197" s="23"/>
      <c r="K197" s="23"/>
      <c r="L197" s="4"/>
      <c r="N197" s="36"/>
    </row>
    <row r="198" spans="7:14" ht="15.75" customHeight="1" x14ac:dyDescent="0.45">
      <c r="G198" s="4"/>
      <c r="H198" s="4"/>
      <c r="I198" s="23"/>
      <c r="J198" s="23"/>
      <c r="K198" s="23"/>
      <c r="L198" s="4"/>
      <c r="N198" s="36"/>
    </row>
    <row r="199" spans="7:14" ht="15.75" customHeight="1" x14ac:dyDescent="0.45">
      <c r="G199" s="4"/>
      <c r="H199" s="4"/>
      <c r="I199" s="23"/>
      <c r="J199" s="23"/>
      <c r="K199" s="23"/>
      <c r="L199" s="4"/>
      <c r="N199" s="36"/>
    </row>
    <row r="200" spans="7:14" ht="15.75" customHeight="1" x14ac:dyDescent="0.45">
      <c r="G200" s="4"/>
      <c r="H200" s="4"/>
      <c r="I200" s="23"/>
      <c r="J200" s="23"/>
      <c r="K200" s="23"/>
      <c r="L200" s="4"/>
      <c r="N200" s="36"/>
    </row>
    <row r="201" spans="7:14" ht="15.75" customHeight="1" x14ac:dyDescent="0.45">
      <c r="G201" s="4"/>
      <c r="H201" s="4"/>
      <c r="I201" s="23"/>
      <c r="J201" s="23"/>
      <c r="K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I260" s="23"/>
      <c r="J260" s="23"/>
      <c r="L260" s="4"/>
      <c r="N260" s="36"/>
    </row>
    <row r="261" spans="7:14" ht="15.75" customHeight="1" x14ac:dyDescent="0.45">
      <c r="G261" s="4"/>
      <c r="H261" s="4"/>
      <c r="I261" s="23"/>
      <c r="J261" s="23"/>
      <c r="L261" s="4"/>
      <c r="N261" s="36"/>
    </row>
    <row r="262" spans="7:14" ht="15.75" customHeight="1" x14ac:dyDescent="0.45">
      <c r="G262" s="4"/>
      <c r="H262" s="4"/>
      <c r="I262" s="23"/>
      <c r="J262" s="23"/>
      <c r="L262" s="4"/>
      <c r="N262" s="36"/>
    </row>
    <row r="263" spans="7:14" ht="15.75" customHeight="1" x14ac:dyDescent="0.45">
      <c r="G263" s="4"/>
      <c r="H263" s="4"/>
      <c r="I263" s="23"/>
      <c r="J263" s="23"/>
      <c r="L263" s="4"/>
      <c r="N263" s="36"/>
    </row>
    <row r="264" spans="7:14" ht="15.75" customHeight="1" x14ac:dyDescent="0.45">
      <c r="G264" s="4"/>
      <c r="H264" s="4"/>
      <c r="I264" s="23"/>
      <c r="J264" s="23"/>
      <c r="L264" s="4"/>
      <c r="N264" s="36"/>
    </row>
    <row r="265" spans="7:14" ht="15.75" customHeight="1" x14ac:dyDescent="0.45">
      <c r="G265" s="4"/>
      <c r="H265" s="4"/>
      <c r="I265" s="23"/>
      <c r="J265" s="23"/>
      <c r="L265" s="4"/>
      <c r="N265" s="36"/>
    </row>
    <row r="266" spans="7:14" ht="15.75" customHeight="1" x14ac:dyDescent="0.45">
      <c r="G266" s="4"/>
      <c r="H266" s="4"/>
      <c r="I266" s="23"/>
      <c r="J266" s="23"/>
      <c r="L266" s="4"/>
      <c r="N266" s="36"/>
    </row>
    <row r="267" spans="7:14" ht="15.75" customHeight="1" x14ac:dyDescent="0.45">
      <c r="G267" s="4"/>
      <c r="H267" s="4"/>
      <c r="I267" s="23"/>
      <c r="J267" s="23"/>
      <c r="L267" s="4"/>
      <c r="N267" s="36"/>
    </row>
    <row r="268" spans="7:14" ht="15.75" customHeight="1" x14ac:dyDescent="0.45">
      <c r="G268" s="4"/>
      <c r="H268" s="4"/>
      <c r="I268" s="23"/>
      <c r="J268" s="23"/>
      <c r="L268" s="4"/>
      <c r="N268" s="36"/>
    </row>
    <row r="269" spans="7:14" ht="15.75" customHeight="1" x14ac:dyDescent="0.45">
      <c r="G269" s="4"/>
      <c r="H269" s="4"/>
      <c r="I269" s="23"/>
      <c r="J269" s="23"/>
      <c r="L269" s="4"/>
      <c r="N269" s="36"/>
    </row>
    <row r="270" spans="7:14" ht="15.75" customHeight="1" x14ac:dyDescent="0.45">
      <c r="G270" s="4"/>
      <c r="H270" s="4"/>
      <c r="I270" s="23"/>
      <c r="J270" s="23"/>
      <c r="L270" s="4"/>
      <c r="N270" s="36"/>
    </row>
    <row r="271" spans="7:14" ht="15.75" customHeight="1" x14ac:dyDescent="0.45">
      <c r="G271" s="4"/>
      <c r="H271" s="4"/>
      <c r="I271" s="23"/>
      <c r="J271" s="23"/>
      <c r="L271" s="4"/>
      <c r="N271" s="36"/>
    </row>
    <row r="272" spans="7:14" ht="15.75" customHeight="1" x14ac:dyDescent="0.45">
      <c r="G272" s="4"/>
      <c r="H272" s="4"/>
      <c r="I272" s="23"/>
      <c r="J272" s="23"/>
      <c r="L272" s="4"/>
      <c r="N272" s="36"/>
    </row>
    <row r="273" spans="7:14" ht="15.75" customHeight="1" x14ac:dyDescent="0.45">
      <c r="G273" s="4"/>
      <c r="H273" s="4"/>
      <c r="I273" s="23"/>
      <c r="J273" s="23"/>
      <c r="L273" s="4"/>
      <c r="N273" s="36"/>
    </row>
    <row r="274" spans="7:14" ht="15.75" customHeight="1" x14ac:dyDescent="0.45">
      <c r="G274" s="4"/>
      <c r="H274" s="4"/>
      <c r="J274" s="23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  <c r="N297" s="36"/>
    </row>
    <row r="298" spans="7:14" ht="15.75" customHeight="1" x14ac:dyDescent="0.45">
      <c r="G298" s="4"/>
      <c r="H298" s="4"/>
      <c r="L298" s="4"/>
      <c r="N298" s="36"/>
    </row>
    <row r="299" spans="7:14" ht="15.75" customHeight="1" x14ac:dyDescent="0.45">
      <c r="G299" s="4"/>
      <c r="H299" s="4"/>
      <c r="L299" s="4"/>
      <c r="N299" s="36"/>
    </row>
    <row r="300" spans="7:14" ht="15.75" customHeight="1" x14ac:dyDescent="0.45">
      <c r="G300" s="4"/>
      <c r="H300" s="4"/>
      <c r="L300" s="4"/>
      <c r="N300" s="36"/>
    </row>
    <row r="301" spans="7:14" ht="15.75" customHeight="1" x14ac:dyDescent="0.45">
      <c r="G301" s="4"/>
      <c r="H301" s="4"/>
      <c r="L301" s="4"/>
      <c r="N301" s="36"/>
    </row>
    <row r="302" spans="7:14" ht="15.75" customHeight="1" x14ac:dyDescent="0.45">
      <c r="G302" s="4"/>
      <c r="H302" s="4"/>
      <c r="L302" s="4"/>
      <c r="N302" s="36"/>
    </row>
    <row r="303" spans="7:14" ht="15.75" customHeight="1" x14ac:dyDescent="0.45">
      <c r="G303" s="4"/>
      <c r="H303" s="4"/>
      <c r="L303" s="4"/>
      <c r="N303" s="36"/>
    </row>
    <row r="304" spans="7:14" ht="15.75" customHeight="1" x14ac:dyDescent="0.45">
      <c r="G304" s="4"/>
      <c r="H304" s="4"/>
      <c r="L304" s="4"/>
      <c r="N304" s="36"/>
    </row>
    <row r="305" spans="7:14" ht="15.75" customHeight="1" x14ac:dyDescent="0.45">
      <c r="G305" s="4"/>
      <c r="H305" s="4"/>
      <c r="L305" s="4"/>
      <c r="N305" s="36"/>
    </row>
    <row r="306" spans="7:14" ht="15.75" customHeight="1" x14ac:dyDescent="0.45">
      <c r="G306" s="4"/>
      <c r="H306" s="4"/>
      <c r="L306" s="4"/>
      <c r="N306" s="36"/>
    </row>
    <row r="307" spans="7:14" ht="15.75" customHeight="1" x14ac:dyDescent="0.45">
      <c r="G307" s="4"/>
      <c r="H307" s="4"/>
      <c r="L307" s="4"/>
      <c r="N307" s="36"/>
    </row>
    <row r="308" spans="7:14" ht="15.75" customHeight="1" x14ac:dyDescent="0.45">
      <c r="G308" s="4"/>
      <c r="H308" s="4"/>
      <c r="L308" s="4"/>
      <c r="N308" s="36"/>
    </row>
    <row r="309" spans="7:14" ht="15.75" customHeight="1" x14ac:dyDescent="0.45">
      <c r="G309" s="4"/>
      <c r="H309" s="4"/>
      <c r="L309" s="4"/>
      <c r="N309" s="36"/>
    </row>
    <row r="310" spans="7:14" ht="15.75" customHeight="1" x14ac:dyDescent="0.45">
      <c r="G310" s="4"/>
      <c r="H310" s="4"/>
      <c r="L310" s="4"/>
      <c r="N310" s="36"/>
    </row>
    <row r="311" spans="7:14" ht="15.75" customHeight="1" x14ac:dyDescent="0.45">
      <c r="G311" s="4"/>
      <c r="H311" s="4"/>
      <c r="L311" s="4"/>
    </row>
    <row r="312" spans="7:14" ht="15.75" customHeight="1" x14ac:dyDescent="0.45">
      <c r="G312" s="4"/>
      <c r="H312" s="4"/>
      <c r="L312" s="4"/>
    </row>
    <row r="313" spans="7:14" ht="15.75" customHeight="1" x14ac:dyDescent="0.45">
      <c r="G313" s="4"/>
      <c r="H313" s="4"/>
      <c r="L313" s="4"/>
    </row>
    <row r="314" spans="7:14" ht="15.75" customHeight="1" x14ac:dyDescent="0.45">
      <c r="G314" s="4"/>
      <c r="H314" s="4"/>
      <c r="L314" s="4"/>
    </row>
    <row r="315" spans="7:14" ht="15.75" customHeight="1" x14ac:dyDescent="0.45">
      <c r="G315" s="4"/>
      <c r="H315" s="4"/>
      <c r="L315" s="4"/>
    </row>
    <row r="316" spans="7:14" ht="15.75" customHeight="1" x14ac:dyDescent="0.45">
      <c r="G316" s="4"/>
      <c r="H316" s="4"/>
      <c r="L316" s="4"/>
    </row>
    <row r="317" spans="7:14" ht="15.75" customHeight="1" x14ac:dyDescent="0.45">
      <c r="G317" s="4"/>
      <c r="H317" s="4"/>
      <c r="L317" s="4"/>
    </row>
    <row r="318" spans="7:14" ht="15.75" customHeight="1" x14ac:dyDescent="0.45">
      <c r="G318" s="4"/>
      <c r="H318" s="4"/>
      <c r="L318" s="4"/>
    </row>
    <row r="319" spans="7:14" ht="15.75" customHeight="1" x14ac:dyDescent="0.45">
      <c r="G319" s="4"/>
      <c r="H319" s="4"/>
      <c r="L319" s="4"/>
    </row>
    <row r="320" spans="7:14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>
      <c r="G328" s="4"/>
      <c r="H328" s="4"/>
      <c r="L328" s="4"/>
    </row>
    <row r="329" spans="7:12" ht="15.75" customHeight="1" x14ac:dyDescent="0.45">
      <c r="G329" s="4"/>
      <c r="H329" s="4"/>
      <c r="L329" s="4"/>
    </row>
    <row r="330" spans="7:12" ht="15.75" customHeight="1" x14ac:dyDescent="0.45">
      <c r="G330" s="4"/>
      <c r="H330" s="4"/>
      <c r="L330" s="4"/>
    </row>
    <row r="331" spans="7:12" ht="15.75" customHeight="1" x14ac:dyDescent="0.45">
      <c r="G331" s="4"/>
      <c r="H331" s="4"/>
      <c r="L331" s="4"/>
    </row>
    <row r="332" spans="7:12" ht="15.75" customHeight="1" x14ac:dyDescent="0.45">
      <c r="G332" s="4"/>
      <c r="H332" s="4"/>
      <c r="L332" s="4"/>
    </row>
    <row r="333" spans="7:12" ht="15.75" customHeight="1" x14ac:dyDescent="0.45">
      <c r="G333" s="4"/>
      <c r="H333" s="4"/>
      <c r="L333" s="4"/>
    </row>
    <row r="334" spans="7:12" ht="15.75" customHeight="1" x14ac:dyDescent="0.45">
      <c r="G334" s="4"/>
      <c r="H334" s="4"/>
      <c r="L334" s="4"/>
    </row>
    <row r="335" spans="7:12" ht="15.75" customHeight="1" x14ac:dyDescent="0.45">
      <c r="G335" s="4"/>
      <c r="H335" s="4"/>
      <c r="L335" s="4"/>
    </row>
    <row r="336" spans="7:12" ht="15.75" customHeight="1" x14ac:dyDescent="0.45">
      <c r="G336" s="4"/>
      <c r="H336" s="4"/>
      <c r="L336" s="4"/>
    </row>
    <row r="337" spans="7:12" ht="15.75" customHeight="1" x14ac:dyDescent="0.45">
      <c r="G337" s="4"/>
      <c r="H337" s="4"/>
      <c r="L337" s="4"/>
    </row>
    <row r="338" spans="7:12" ht="15.75" customHeight="1" x14ac:dyDescent="0.45">
      <c r="G338" s="4"/>
      <c r="H338" s="4"/>
      <c r="L338" s="4"/>
    </row>
    <row r="339" spans="7:12" ht="15.75" customHeight="1" x14ac:dyDescent="0.45">
      <c r="G339" s="4"/>
      <c r="H339" s="4"/>
      <c r="L339" s="4"/>
    </row>
    <row r="340" spans="7:12" ht="15.75" customHeight="1" x14ac:dyDescent="0.45">
      <c r="G340" s="4"/>
      <c r="H340" s="4"/>
      <c r="L340" s="4"/>
    </row>
    <row r="341" spans="7:12" ht="15.75" customHeight="1" x14ac:dyDescent="0.45">
      <c r="G341" s="4"/>
      <c r="H341" s="4"/>
      <c r="L341" s="4"/>
    </row>
    <row r="342" spans="7:12" ht="15.75" customHeight="1" x14ac:dyDescent="0.45"/>
    <row r="343" spans="7:12" ht="15.75" customHeight="1" x14ac:dyDescent="0.45"/>
    <row r="344" spans="7:12" ht="15.75" customHeight="1" x14ac:dyDescent="0.45"/>
    <row r="345" spans="7:12" ht="15.75" customHeight="1" x14ac:dyDescent="0.45"/>
    <row r="346" spans="7:12" ht="15.75" customHeight="1" x14ac:dyDescent="0.45"/>
    <row r="347" spans="7:12" ht="15.75" customHeight="1" x14ac:dyDescent="0.45"/>
    <row r="348" spans="7:12" ht="15.75" customHeight="1" x14ac:dyDescent="0.45"/>
    <row r="349" spans="7:12" ht="15.75" customHeight="1" x14ac:dyDescent="0.45"/>
    <row r="350" spans="7:12" ht="15.75" customHeight="1" x14ac:dyDescent="0.45"/>
    <row r="351" spans="7:12" ht="15.75" customHeight="1" x14ac:dyDescent="0.45"/>
    <row r="352" spans="7:1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" customHeight="1" x14ac:dyDescent="0.45"/>
    <row r="997" ht="15" customHeight="1" x14ac:dyDescent="0.45"/>
    <row r="998" ht="15" customHeight="1" x14ac:dyDescent="0.45"/>
    <row r="999" ht="15" customHeight="1" x14ac:dyDescent="0.45"/>
    <row r="1000" ht="15" customHeight="1" x14ac:dyDescent="0.45"/>
    <row r="1001" ht="15" customHeight="1" x14ac:dyDescent="0.45"/>
    <row r="1002" ht="15" customHeight="1" x14ac:dyDescent="0.45"/>
    <row r="1003" ht="15" customHeight="1" x14ac:dyDescent="0.45"/>
    <row r="1004" ht="15" customHeight="1" x14ac:dyDescent="0.45"/>
    <row r="1005" ht="15" customHeight="1" x14ac:dyDescent="0.45"/>
    <row r="1006" ht="15" customHeight="1" x14ac:dyDescent="0.45"/>
    <row r="1007" ht="15" customHeight="1" x14ac:dyDescent="0.45"/>
    <row r="1008" ht="15" customHeight="1" x14ac:dyDescent="0.45"/>
  </sheetData>
  <mergeCells count="4">
    <mergeCell ref="O22:O24"/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A44F834-DF06-4C9A-9090-2ACDF1B0A0F7}">
          <x14:formula1>
            <xm:f>Criterios!$A$2:$A$128</xm:f>
          </x14:formula1>
          <xm:sqref>P8:T142</xm:sqref>
        </x14:dataValidation>
        <x14:dataValidation type="list" allowBlank="1" showInputMessage="1" showErrorMessage="1" xr:uid="{3C8CA39E-2F6E-41B9-9D2C-5B4C372A28F2}">
          <x14:formula1>
            <xm:f>Hoja1!$G$2:$G$3</xm:f>
          </x14:formula1>
          <xm:sqref>U8:U142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FB9B-A6F3-4EA6-B0FC-6A4B03148500}">
  <dimension ref="A1:U993"/>
  <sheetViews>
    <sheetView zoomScale="70" zoomScaleNormal="70" workbookViewId="0">
      <pane xSplit="2" ySplit="2" topLeftCell="F80" activePane="bottomRight" state="frozen"/>
      <selection pane="topRight" activeCell="C1" sqref="C1"/>
      <selection pane="bottomLeft" activeCell="A3" sqref="A3"/>
      <selection pane="bottomRight" activeCell="O107" sqref="O107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7.19921875" bestFit="1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637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33.75" customHeight="1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105975295</v>
      </c>
      <c r="B8" s="11" t="str">
        <f t="shared" ref="B8:B123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10.597.529-5</v>
      </c>
      <c r="C8" s="11" t="s">
        <v>14</v>
      </c>
      <c r="D8" s="11" t="s">
        <v>159</v>
      </c>
      <c r="E8" s="11" t="s">
        <v>447</v>
      </c>
      <c r="F8" s="11" t="s">
        <v>489</v>
      </c>
      <c r="G8" s="12">
        <v>45779</v>
      </c>
      <c r="H8" s="12">
        <v>45816</v>
      </c>
      <c r="I8" s="11" t="s">
        <v>360</v>
      </c>
      <c r="J8" s="11" t="s">
        <v>106</v>
      </c>
      <c r="K8" s="11" t="s">
        <v>16</v>
      </c>
      <c r="L8" s="12">
        <v>45809</v>
      </c>
      <c r="M8" s="12">
        <v>45816</v>
      </c>
      <c r="N8" s="44">
        <f t="shared" ref="N8:N127" si="1">+M8-L8</f>
        <v>7</v>
      </c>
      <c r="O8" s="125" t="s">
        <v>914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105975295</v>
      </c>
      <c r="B9" s="11" t="str">
        <f t="shared" si="0"/>
        <v>10.597.529-5</v>
      </c>
      <c r="C9" s="11" t="s">
        <v>14</v>
      </c>
      <c r="D9" s="11" t="s">
        <v>159</v>
      </c>
      <c r="E9" s="11" t="s">
        <v>447</v>
      </c>
      <c r="F9" s="11" t="s">
        <v>489</v>
      </c>
      <c r="G9" s="12">
        <v>45779</v>
      </c>
      <c r="H9" s="12">
        <v>45816</v>
      </c>
      <c r="I9" s="11" t="s">
        <v>360</v>
      </c>
      <c r="J9" s="11" t="s">
        <v>106</v>
      </c>
      <c r="K9" s="11" t="s">
        <v>17</v>
      </c>
      <c r="L9" s="12">
        <v>45809</v>
      </c>
      <c r="M9" s="12">
        <v>45816</v>
      </c>
      <c r="N9" s="44">
        <f t="shared" si="1"/>
        <v>7</v>
      </c>
      <c r="O9" s="126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105975295</v>
      </c>
      <c r="B10" s="11" t="str">
        <f t="shared" si="0"/>
        <v>10.597.529-5</v>
      </c>
      <c r="C10" s="11" t="s">
        <v>14</v>
      </c>
      <c r="D10" s="11" t="s">
        <v>159</v>
      </c>
      <c r="E10" s="11" t="s">
        <v>447</v>
      </c>
      <c r="F10" s="11" t="s">
        <v>489</v>
      </c>
      <c r="G10" s="12">
        <v>45779</v>
      </c>
      <c r="H10" s="12">
        <v>45816</v>
      </c>
      <c r="I10" s="11" t="s">
        <v>360</v>
      </c>
      <c r="J10" s="11" t="s">
        <v>106</v>
      </c>
      <c r="K10" s="11" t="s">
        <v>18</v>
      </c>
      <c r="L10" s="12">
        <v>45809</v>
      </c>
      <c r="M10" s="12">
        <v>45816</v>
      </c>
      <c r="N10" s="44">
        <f t="shared" si="1"/>
        <v>7</v>
      </c>
      <c r="O10" s="127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185794059</v>
      </c>
      <c r="B11" s="11" t="str">
        <f t="shared" si="0"/>
        <v>18.579.405-9</v>
      </c>
      <c r="C11" s="11" t="s">
        <v>14</v>
      </c>
      <c r="D11" s="11" t="s">
        <v>418</v>
      </c>
      <c r="E11" s="11" t="s">
        <v>534</v>
      </c>
      <c r="F11" s="11" t="s">
        <v>133</v>
      </c>
      <c r="G11" s="12">
        <v>45792</v>
      </c>
      <c r="H11" s="12">
        <v>45811</v>
      </c>
      <c r="I11" s="11" t="s">
        <v>60</v>
      </c>
      <c r="J11" s="11" t="s">
        <v>565</v>
      </c>
      <c r="K11" s="11" t="s">
        <v>16</v>
      </c>
      <c r="L11" s="12">
        <v>45809</v>
      </c>
      <c r="M11" s="12">
        <v>45811</v>
      </c>
      <c r="N11" s="44">
        <f t="shared" si="1"/>
        <v>2</v>
      </c>
      <c r="O11" s="44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185794059</v>
      </c>
      <c r="B12" s="11" t="str">
        <f t="shared" si="0"/>
        <v>18.579.405-9</v>
      </c>
      <c r="C12" s="11" t="s">
        <v>14</v>
      </c>
      <c r="D12" s="11" t="s">
        <v>418</v>
      </c>
      <c r="E12" s="11" t="s">
        <v>534</v>
      </c>
      <c r="F12" s="11" t="s">
        <v>133</v>
      </c>
      <c r="G12" s="12">
        <v>45792</v>
      </c>
      <c r="H12" s="12">
        <v>45811</v>
      </c>
      <c r="I12" s="11" t="s">
        <v>60</v>
      </c>
      <c r="J12" s="11" t="s">
        <v>565</v>
      </c>
      <c r="K12" s="11" t="s">
        <v>18</v>
      </c>
      <c r="L12" s="12">
        <v>45809</v>
      </c>
      <c r="M12" s="12">
        <v>45811</v>
      </c>
      <c r="N12" s="44">
        <f t="shared" si="1"/>
        <v>2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112908595</v>
      </c>
      <c r="B13" s="11" t="str">
        <f t="shared" si="0"/>
        <v>11.290.859-5</v>
      </c>
      <c r="C13" s="11" t="s">
        <v>14</v>
      </c>
      <c r="D13" s="11" t="s">
        <v>563</v>
      </c>
      <c r="E13" s="11" t="s">
        <v>564</v>
      </c>
      <c r="F13" s="11" t="s">
        <v>37</v>
      </c>
      <c r="G13" s="12">
        <v>45805</v>
      </c>
      <c r="H13" s="12">
        <v>45812</v>
      </c>
      <c r="I13" s="11" t="s">
        <v>15</v>
      </c>
      <c r="J13" s="11" t="s">
        <v>42</v>
      </c>
      <c r="K13" s="11" t="s">
        <v>16</v>
      </c>
      <c r="L13" s="12">
        <v>45809</v>
      </c>
      <c r="M13" s="12">
        <v>45812</v>
      </c>
      <c r="N13" s="44">
        <f t="shared" si="1"/>
        <v>3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62940379</v>
      </c>
      <c r="B14" s="11" t="str">
        <f t="shared" si="0"/>
        <v>6.294.037-9</v>
      </c>
      <c r="C14" s="11" t="s">
        <v>14</v>
      </c>
      <c r="D14" s="11" t="s">
        <v>426</v>
      </c>
      <c r="E14" s="11" t="s">
        <v>154</v>
      </c>
      <c r="F14" s="11" t="s">
        <v>328</v>
      </c>
      <c r="G14" s="12">
        <v>45804</v>
      </c>
      <c r="H14" s="12">
        <v>45840</v>
      </c>
      <c r="I14" s="11" t="s">
        <v>15</v>
      </c>
      <c r="J14" s="11" t="s">
        <v>106</v>
      </c>
      <c r="K14" s="11" t="s">
        <v>16</v>
      </c>
      <c r="L14" s="12">
        <v>45809</v>
      </c>
      <c r="M14" s="12">
        <v>45836</v>
      </c>
      <c r="N14" s="44">
        <f t="shared" si="1"/>
        <v>27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62940379</v>
      </c>
      <c r="B15" s="11" t="str">
        <f t="shared" si="0"/>
        <v>6.294.037-9</v>
      </c>
      <c r="C15" s="11" t="s">
        <v>14</v>
      </c>
      <c r="D15" s="11" t="s">
        <v>426</v>
      </c>
      <c r="E15" s="11" t="s">
        <v>154</v>
      </c>
      <c r="F15" s="11" t="s">
        <v>328</v>
      </c>
      <c r="G15" s="12">
        <v>45804</v>
      </c>
      <c r="H15" s="12">
        <v>45840</v>
      </c>
      <c r="I15" s="11" t="s">
        <v>15</v>
      </c>
      <c r="J15" s="11" t="s">
        <v>106</v>
      </c>
      <c r="K15" s="11" t="s">
        <v>17</v>
      </c>
      <c r="L15" s="12">
        <v>45809</v>
      </c>
      <c r="M15" s="12">
        <v>45838</v>
      </c>
      <c r="N15" s="44">
        <f t="shared" si="1"/>
        <v>29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>
        <v>62940379</v>
      </c>
      <c r="B16" s="11" t="str">
        <f t="shared" si="0"/>
        <v>6.294.037-9</v>
      </c>
      <c r="C16" s="11" t="s">
        <v>14</v>
      </c>
      <c r="D16" s="11" t="s">
        <v>426</v>
      </c>
      <c r="E16" s="11" t="s">
        <v>154</v>
      </c>
      <c r="F16" s="11" t="s">
        <v>328</v>
      </c>
      <c r="G16" s="12">
        <v>45804</v>
      </c>
      <c r="H16" s="12">
        <v>45840</v>
      </c>
      <c r="I16" s="11" t="s">
        <v>15</v>
      </c>
      <c r="J16" s="11" t="s">
        <v>106</v>
      </c>
      <c r="K16" s="11" t="s">
        <v>18</v>
      </c>
      <c r="L16" s="12">
        <v>45809</v>
      </c>
      <c r="M16" s="12">
        <v>45838</v>
      </c>
      <c r="N16" s="44">
        <f t="shared" si="1"/>
        <v>29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>
        <v>62940379</v>
      </c>
      <c r="B17" s="11" t="str">
        <f t="shared" si="0"/>
        <v>6.294.037-9</v>
      </c>
      <c r="C17" s="11" t="s">
        <v>14</v>
      </c>
      <c r="D17" s="11" t="s">
        <v>426</v>
      </c>
      <c r="E17" s="11" t="s">
        <v>154</v>
      </c>
      <c r="F17" s="11" t="s">
        <v>328</v>
      </c>
      <c r="G17" s="12">
        <v>45804</v>
      </c>
      <c r="H17" s="12">
        <v>45840</v>
      </c>
      <c r="I17" s="11" t="s">
        <v>15</v>
      </c>
      <c r="J17" s="11" t="s">
        <v>106</v>
      </c>
      <c r="K17" s="11" t="s">
        <v>349</v>
      </c>
      <c r="L17" s="12">
        <v>45836</v>
      </c>
      <c r="M17" s="39">
        <v>45838</v>
      </c>
      <c r="N17" s="44">
        <f t="shared" si="1"/>
        <v>2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62940379</v>
      </c>
      <c r="B18" s="11" t="str">
        <f t="shared" ref="B18" si="2">IF(LEN(A18)=8,MID(A18,1,1)&amp;"."&amp;MID(A18,2,3)&amp;"."&amp;MID(A18,5,3)&amp;"-"&amp;RIGHT(A18,1),IF(LEFT(RIGHT(A18,2),1)="-",MID(A18,1,1)&amp;"."&amp;MID(A18,2,3)&amp;"."&amp;MID(A18,5,3)&amp;"-"&amp;RIGHT(A18,1),MID(A18,1,2)&amp;"."&amp;MID(A18,3,3)&amp;"."&amp;MID(A18,6,3)&amp;"-"&amp;MID(A18,9,1)))</f>
        <v>6.294.037-9</v>
      </c>
      <c r="C18" s="11" t="s">
        <v>14</v>
      </c>
      <c r="D18" s="11" t="s">
        <v>426</v>
      </c>
      <c r="E18" s="11" t="s">
        <v>154</v>
      </c>
      <c r="F18" s="11" t="s">
        <v>328</v>
      </c>
      <c r="G18" s="12">
        <v>45804</v>
      </c>
      <c r="H18" s="12">
        <v>45840</v>
      </c>
      <c r="I18" s="11" t="s">
        <v>15</v>
      </c>
      <c r="J18" s="11" t="s">
        <v>106</v>
      </c>
      <c r="K18" s="11" t="s">
        <v>1072</v>
      </c>
      <c r="L18" s="12">
        <v>45836</v>
      </c>
      <c r="M18" s="39">
        <v>45838</v>
      </c>
      <c r="N18" s="44">
        <f t="shared" ref="N18" si="3">+M18-L18</f>
        <v>2</v>
      </c>
      <c r="O18" s="44"/>
      <c r="P18" t="s">
        <v>974</v>
      </c>
      <c r="Q18" t="s">
        <v>83</v>
      </c>
      <c r="R18" t="s">
        <v>83</v>
      </c>
      <c r="S18" t="s">
        <v>83</v>
      </c>
      <c r="T18" t="s">
        <v>83</v>
      </c>
      <c r="U18" t="s">
        <v>914</v>
      </c>
    </row>
    <row r="19" spans="1:21" ht="16.5" customHeight="1" x14ac:dyDescent="0.45">
      <c r="A19" s="10">
        <v>95496318</v>
      </c>
      <c r="B19" s="11" t="str">
        <f t="shared" si="0"/>
        <v>9.549.631-8</v>
      </c>
      <c r="C19" s="11" t="s">
        <v>14</v>
      </c>
      <c r="D19" s="11" t="s">
        <v>567</v>
      </c>
      <c r="E19" s="11" t="s">
        <v>512</v>
      </c>
      <c r="F19" s="11" t="s">
        <v>568</v>
      </c>
      <c r="G19" s="12">
        <v>45804</v>
      </c>
      <c r="H19" s="12">
        <v>45810</v>
      </c>
      <c r="I19" s="11" t="s">
        <v>15</v>
      </c>
      <c r="J19" s="11" t="s">
        <v>28</v>
      </c>
      <c r="K19" s="11" t="s">
        <v>16</v>
      </c>
      <c r="L19" s="12">
        <v>45809</v>
      </c>
      <c r="M19" s="39">
        <v>45810</v>
      </c>
      <c r="N19" s="44">
        <f t="shared" si="1"/>
        <v>1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95496318</v>
      </c>
      <c r="B20" s="11" t="str">
        <f t="shared" si="0"/>
        <v>9.549.631-8</v>
      </c>
      <c r="C20" s="11" t="s">
        <v>14</v>
      </c>
      <c r="D20" s="11" t="s">
        <v>567</v>
      </c>
      <c r="E20" s="11" t="s">
        <v>512</v>
      </c>
      <c r="F20" s="11" t="s">
        <v>568</v>
      </c>
      <c r="G20" s="12">
        <v>45804</v>
      </c>
      <c r="H20" s="12">
        <v>45810</v>
      </c>
      <c r="I20" s="11" t="s">
        <v>15</v>
      </c>
      <c r="J20" s="11" t="s">
        <v>28</v>
      </c>
      <c r="K20" s="11" t="s">
        <v>17</v>
      </c>
      <c r="L20" s="12">
        <v>45809</v>
      </c>
      <c r="M20" s="39">
        <v>45810</v>
      </c>
      <c r="N20" s="44">
        <f t="shared" si="1"/>
        <v>1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49557701</v>
      </c>
      <c r="B21" s="11" t="str">
        <f t="shared" si="0"/>
        <v>4.955.770-1</v>
      </c>
      <c r="C21" s="11" t="s">
        <v>14</v>
      </c>
      <c r="D21" s="11" t="s">
        <v>236</v>
      </c>
      <c r="E21" s="11" t="s">
        <v>173</v>
      </c>
      <c r="F21" s="11" t="s">
        <v>400</v>
      </c>
      <c r="G21" s="12">
        <v>45811</v>
      </c>
      <c r="H21" s="12">
        <v>45821</v>
      </c>
      <c r="I21" s="11" t="s">
        <v>28</v>
      </c>
      <c r="J21" s="11" t="s">
        <v>28</v>
      </c>
      <c r="K21" s="11" t="s">
        <v>16</v>
      </c>
      <c r="L21" s="12">
        <v>45811</v>
      </c>
      <c r="M21" s="39">
        <v>45821</v>
      </c>
      <c r="N21" s="44">
        <f t="shared" si="1"/>
        <v>10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49557701</v>
      </c>
      <c r="B22" s="11" t="str">
        <f t="shared" si="0"/>
        <v>4.955.770-1</v>
      </c>
      <c r="C22" s="11" t="s">
        <v>14</v>
      </c>
      <c r="D22" s="11" t="s">
        <v>236</v>
      </c>
      <c r="E22" s="11" t="s">
        <v>173</v>
      </c>
      <c r="F22" s="11" t="s">
        <v>400</v>
      </c>
      <c r="G22" s="12">
        <v>45811</v>
      </c>
      <c r="H22" s="12">
        <v>45821</v>
      </c>
      <c r="I22" s="11" t="s">
        <v>28</v>
      </c>
      <c r="J22" s="11" t="s">
        <v>28</v>
      </c>
      <c r="K22" s="11" t="s">
        <v>17</v>
      </c>
      <c r="L22" s="12">
        <v>45811</v>
      </c>
      <c r="M22" s="39">
        <v>45821</v>
      </c>
      <c r="N22" s="44">
        <f t="shared" si="1"/>
        <v>10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49557701</v>
      </c>
      <c r="B23" s="11" t="str">
        <f t="shared" si="0"/>
        <v>4.955.770-1</v>
      </c>
      <c r="C23" s="11" t="s">
        <v>14</v>
      </c>
      <c r="D23" s="11" t="s">
        <v>236</v>
      </c>
      <c r="E23" s="11" t="s">
        <v>173</v>
      </c>
      <c r="F23" s="11" t="s">
        <v>400</v>
      </c>
      <c r="G23" s="12">
        <v>45811</v>
      </c>
      <c r="H23" s="12">
        <v>45821</v>
      </c>
      <c r="I23" s="11" t="s">
        <v>28</v>
      </c>
      <c r="J23" s="11" t="s">
        <v>28</v>
      </c>
      <c r="K23" s="11" t="s">
        <v>18</v>
      </c>
      <c r="L23" s="12">
        <v>45811</v>
      </c>
      <c r="M23" s="39">
        <v>45820</v>
      </c>
      <c r="N23" s="44">
        <f t="shared" si="1"/>
        <v>9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70068982</v>
      </c>
      <c r="B24" s="11" t="str">
        <f t="shared" si="0"/>
        <v>7.006.898-2</v>
      </c>
      <c r="C24" s="11" t="s">
        <v>14</v>
      </c>
      <c r="D24" s="11" t="s">
        <v>577</v>
      </c>
      <c r="E24" s="11" t="s">
        <v>578</v>
      </c>
      <c r="F24" s="11" t="s">
        <v>454</v>
      </c>
      <c r="G24" s="12">
        <v>45810</v>
      </c>
      <c r="H24" s="12">
        <v>45822</v>
      </c>
      <c r="I24" s="11" t="s">
        <v>15</v>
      </c>
      <c r="J24" s="11" t="s">
        <v>60</v>
      </c>
      <c r="K24" s="11" t="s">
        <v>16</v>
      </c>
      <c r="L24" s="12">
        <v>45810</v>
      </c>
      <c r="M24" s="12">
        <v>45822</v>
      </c>
      <c r="N24" s="44">
        <f t="shared" si="1"/>
        <v>12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70068982</v>
      </c>
      <c r="B25" s="11" t="str">
        <f t="shared" si="0"/>
        <v>7.006.898-2</v>
      </c>
      <c r="C25" s="11" t="s">
        <v>14</v>
      </c>
      <c r="D25" s="11" t="s">
        <v>577</v>
      </c>
      <c r="E25" s="11" t="s">
        <v>578</v>
      </c>
      <c r="F25" s="11" t="s">
        <v>454</v>
      </c>
      <c r="G25" s="12">
        <v>45810</v>
      </c>
      <c r="H25" s="12">
        <v>45822</v>
      </c>
      <c r="I25" s="11" t="s">
        <v>15</v>
      </c>
      <c r="J25" s="11" t="s">
        <v>60</v>
      </c>
      <c r="K25" s="11" t="s">
        <v>17</v>
      </c>
      <c r="L25" s="12">
        <v>45810</v>
      </c>
      <c r="M25" s="12">
        <v>45822</v>
      </c>
      <c r="N25" s="44">
        <f t="shared" si="1"/>
        <v>12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70068982</v>
      </c>
      <c r="B26" s="11" t="str">
        <f t="shared" si="0"/>
        <v>7.006.898-2</v>
      </c>
      <c r="C26" s="11" t="s">
        <v>14</v>
      </c>
      <c r="D26" s="11" t="s">
        <v>577</v>
      </c>
      <c r="E26" s="11" t="s">
        <v>578</v>
      </c>
      <c r="F26" s="11" t="s">
        <v>454</v>
      </c>
      <c r="G26" s="12">
        <v>45810</v>
      </c>
      <c r="H26" s="12">
        <v>45822</v>
      </c>
      <c r="I26" s="11" t="s">
        <v>15</v>
      </c>
      <c r="J26" s="11" t="s">
        <v>60</v>
      </c>
      <c r="K26" s="11" t="s">
        <v>18</v>
      </c>
      <c r="L26" s="12">
        <v>45810</v>
      </c>
      <c r="M26" s="39">
        <v>45821</v>
      </c>
      <c r="N26" s="44">
        <f t="shared" si="1"/>
        <v>11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203220596</v>
      </c>
      <c r="B27" s="11" t="str">
        <f t="shared" si="0"/>
        <v>20.322.059-6</v>
      </c>
      <c r="C27" s="11" t="s">
        <v>14</v>
      </c>
      <c r="D27" s="11" t="s">
        <v>450</v>
      </c>
      <c r="E27" s="11" t="s">
        <v>579</v>
      </c>
      <c r="F27" s="11" t="s">
        <v>580</v>
      </c>
      <c r="G27" s="12">
        <v>45807</v>
      </c>
      <c r="H27" s="12">
        <v>45812</v>
      </c>
      <c r="I27" s="11" t="s">
        <v>15</v>
      </c>
      <c r="J27" s="11" t="s">
        <v>60</v>
      </c>
      <c r="K27" s="11" t="s">
        <v>16</v>
      </c>
      <c r="L27" s="38">
        <v>45809</v>
      </c>
      <c r="M27" s="12">
        <v>45812</v>
      </c>
      <c r="N27" s="44">
        <f t="shared" si="1"/>
        <v>3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203220596</v>
      </c>
      <c r="B28" s="11" t="str">
        <f t="shared" si="0"/>
        <v>20.322.059-6</v>
      </c>
      <c r="C28" s="11" t="s">
        <v>14</v>
      </c>
      <c r="D28" s="11" t="s">
        <v>450</v>
      </c>
      <c r="E28" s="11" t="s">
        <v>579</v>
      </c>
      <c r="F28" s="11" t="s">
        <v>580</v>
      </c>
      <c r="G28" s="12">
        <v>45807</v>
      </c>
      <c r="H28" s="12">
        <v>45812</v>
      </c>
      <c r="I28" s="11" t="s">
        <v>15</v>
      </c>
      <c r="J28" s="11" t="s">
        <v>60</v>
      </c>
      <c r="K28" s="11" t="s">
        <v>17</v>
      </c>
      <c r="L28" s="38">
        <v>45809</v>
      </c>
      <c r="M28" s="12">
        <v>45812</v>
      </c>
      <c r="N28" s="44">
        <f t="shared" si="1"/>
        <v>3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178728830</v>
      </c>
      <c r="B29" s="11" t="str">
        <f t="shared" si="0"/>
        <v>17.872.883-0</v>
      </c>
      <c r="C29" s="11" t="s">
        <v>14</v>
      </c>
      <c r="D29" s="11" t="s">
        <v>447</v>
      </c>
      <c r="E29" s="11" t="s">
        <v>408</v>
      </c>
      <c r="F29" s="11" t="s">
        <v>581</v>
      </c>
      <c r="G29" s="12">
        <v>45808</v>
      </c>
      <c r="H29" s="12">
        <v>45813</v>
      </c>
      <c r="I29" s="11" t="s">
        <v>15</v>
      </c>
      <c r="J29" s="11" t="s">
        <v>47</v>
      </c>
      <c r="K29" s="11" t="s">
        <v>16</v>
      </c>
      <c r="L29" s="38">
        <v>45809</v>
      </c>
      <c r="M29" s="12">
        <v>45813</v>
      </c>
      <c r="N29" s="44">
        <f t="shared" si="1"/>
        <v>4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178728830</v>
      </c>
      <c r="B30" s="11" t="str">
        <f t="shared" si="0"/>
        <v>17.872.883-0</v>
      </c>
      <c r="C30" s="11" t="s">
        <v>14</v>
      </c>
      <c r="D30" s="11" t="s">
        <v>447</v>
      </c>
      <c r="E30" s="11" t="s">
        <v>408</v>
      </c>
      <c r="F30" s="11" t="s">
        <v>581</v>
      </c>
      <c r="G30" s="12">
        <v>45808</v>
      </c>
      <c r="H30" s="12">
        <v>45813</v>
      </c>
      <c r="I30" s="11" t="s">
        <v>15</v>
      </c>
      <c r="J30" s="11" t="s">
        <v>47</v>
      </c>
      <c r="K30" s="11" t="s">
        <v>17</v>
      </c>
      <c r="L30" s="38">
        <v>45809</v>
      </c>
      <c r="M30" s="12">
        <v>45810</v>
      </c>
      <c r="N30" s="44">
        <f t="shared" si="1"/>
        <v>1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178728830</v>
      </c>
      <c r="B31" s="11" t="str">
        <f t="shared" si="0"/>
        <v>17.872.883-0</v>
      </c>
      <c r="C31" s="11" t="s">
        <v>14</v>
      </c>
      <c r="D31" s="11" t="s">
        <v>447</v>
      </c>
      <c r="E31" s="11" t="s">
        <v>408</v>
      </c>
      <c r="F31" s="11" t="s">
        <v>581</v>
      </c>
      <c r="G31" s="12">
        <v>45808</v>
      </c>
      <c r="H31" s="12">
        <v>45813</v>
      </c>
      <c r="I31" s="11" t="s">
        <v>15</v>
      </c>
      <c r="J31" s="11" t="s">
        <v>47</v>
      </c>
      <c r="K31" s="11" t="s">
        <v>18</v>
      </c>
      <c r="L31" s="38">
        <v>45809</v>
      </c>
      <c r="M31" s="12">
        <v>45809</v>
      </c>
      <c r="N31" s="44">
        <f t="shared" si="1"/>
        <v>0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61885846</v>
      </c>
      <c r="B32" s="11" t="str">
        <f t="shared" si="0"/>
        <v>6.188.584-6</v>
      </c>
      <c r="C32" s="11" t="s">
        <v>14</v>
      </c>
      <c r="D32" s="11" t="s">
        <v>582</v>
      </c>
      <c r="E32" s="11" t="s">
        <v>583</v>
      </c>
      <c r="F32" s="11" t="s">
        <v>532</v>
      </c>
      <c r="G32" s="12">
        <v>45809</v>
      </c>
      <c r="H32" s="12">
        <v>45817</v>
      </c>
      <c r="I32" s="11" t="s">
        <v>72</v>
      </c>
      <c r="J32" s="11" t="s">
        <v>60</v>
      </c>
      <c r="K32" s="11" t="s">
        <v>16</v>
      </c>
      <c r="L32" s="12">
        <v>45809</v>
      </c>
      <c r="M32" s="12">
        <v>45817</v>
      </c>
      <c r="N32" s="44">
        <f t="shared" si="1"/>
        <v>8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61885846</v>
      </c>
      <c r="B33" s="11" t="str">
        <f t="shared" si="0"/>
        <v>6.188.584-6</v>
      </c>
      <c r="C33" s="11" t="s">
        <v>14</v>
      </c>
      <c r="D33" s="11" t="s">
        <v>582</v>
      </c>
      <c r="E33" s="11" t="s">
        <v>583</v>
      </c>
      <c r="F33" s="11" t="s">
        <v>532</v>
      </c>
      <c r="G33" s="12">
        <v>45809</v>
      </c>
      <c r="H33" s="12">
        <v>45817</v>
      </c>
      <c r="I33" s="11" t="s">
        <v>72</v>
      </c>
      <c r="J33" s="11" t="s">
        <v>60</v>
      </c>
      <c r="K33" s="11" t="s">
        <v>17</v>
      </c>
      <c r="L33" s="12">
        <v>45809</v>
      </c>
      <c r="M33" s="12">
        <v>45817</v>
      </c>
      <c r="N33" s="44">
        <f t="shared" si="1"/>
        <v>8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61885846</v>
      </c>
      <c r="B34" s="11" t="str">
        <f t="shared" si="0"/>
        <v>6.188.584-6</v>
      </c>
      <c r="C34" s="11" t="s">
        <v>14</v>
      </c>
      <c r="D34" s="11" t="s">
        <v>582</v>
      </c>
      <c r="E34" s="11" t="s">
        <v>583</v>
      </c>
      <c r="F34" s="11" t="s">
        <v>532</v>
      </c>
      <c r="G34" s="12">
        <v>45809</v>
      </c>
      <c r="H34" s="12">
        <v>45817</v>
      </c>
      <c r="I34" s="11" t="s">
        <v>72</v>
      </c>
      <c r="J34" s="11" t="s">
        <v>60</v>
      </c>
      <c r="K34" s="11" t="s">
        <v>18</v>
      </c>
      <c r="L34" s="12">
        <v>45809</v>
      </c>
      <c r="M34" s="12">
        <v>45813</v>
      </c>
      <c r="N34" s="44">
        <f t="shared" si="1"/>
        <v>4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111786232</v>
      </c>
      <c r="B35" s="11" t="str">
        <f t="shared" si="0"/>
        <v>11.178.623-2</v>
      </c>
      <c r="C35" s="11" t="s">
        <v>14</v>
      </c>
      <c r="D35" s="11" t="s">
        <v>229</v>
      </c>
      <c r="E35" s="11" t="s">
        <v>115</v>
      </c>
      <c r="F35" s="11" t="s">
        <v>223</v>
      </c>
      <c r="G35" s="12">
        <v>45813</v>
      </c>
      <c r="H35" s="12">
        <v>45815</v>
      </c>
      <c r="I35" s="11" t="s">
        <v>74</v>
      </c>
      <c r="J35" s="11" t="s">
        <v>60</v>
      </c>
      <c r="K35" s="11" t="s">
        <v>16</v>
      </c>
      <c r="L35" s="12">
        <v>45813</v>
      </c>
      <c r="M35" s="12">
        <v>45815</v>
      </c>
      <c r="N35" s="44">
        <f t="shared" si="1"/>
        <v>2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122069532</v>
      </c>
      <c r="B36" s="11" t="str">
        <f t="shared" si="0"/>
        <v>12.206.953-2</v>
      </c>
      <c r="C36" s="11" t="s">
        <v>14</v>
      </c>
      <c r="D36" s="11" t="s">
        <v>244</v>
      </c>
      <c r="E36" s="11" t="s">
        <v>586</v>
      </c>
      <c r="F36" s="11" t="s">
        <v>454</v>
      </c>
      <c r="G36" s="12">
        <v>45813</v>
      </c>
      <c r="H36" s="12">
        <v>45824</v>
      </c>
      <c r="I36" s="11" t="s">
        <v>15</v>
      </c>
      <c r="J36" s="11" t="s">
        <v>60</v>
      </c>
      <c r="K36" s="11" t="s">
        <v>16</v>
      </c>
      <c r="L36" s="12">
        <v>45813</v>
      </c>
      <c r="M36" s="12">
        <v>45824</v>
      </c>
      <c r="N36" s="44">
        <f t="shared" si="1"/>
        <v>11</v>
      </c>
      <c r="O36" s="125" t="s">
        <v>914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122069532</v>
      </c>
      <c r="B37" s="11" t="str">
        <f t="shared" si="0"/>
        <v>12.206.953-2</v>
      </c>
      <c r="C37" s="11" t="s">
        <v>14</v>
      </c>
      <c r="D37" s="11" t="s">
        <v>244</v>
      </c>
      <c r="E37" s="11" t="s">
        <v>586</v>
      </c>
      <c r="F37" s="11" t="s">
        <v>454</v>
      </c>
      <c r="G37" s="12">
        <v>45813</v>
      </c>
      <c r="H37" s="12">
        <v>45824</v>
      </c>
      <c r="I37" s="11" t="s">
        <v>15</v>
      </c>
      <c r="J37" s="11" t="s">
        <v>60</v>
      </c>
      <c r="K37" s="11" t="s">
        <v>17</v>
      </c>
      <c r="L37" s="12">
        <v>45813</v>
      </c>
      <c r="M37" s="12">
        <v>45824</v>
      </c>
      <c r="N37" s="44">
        <f t="shared" si="1"/>
        <v>11</v>
      </c>
      <c r="O37" s="126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122069532</v>
      </c>
      <c r="B38" s="11" t="str">
        <f t="shared" si="0"/>
        <v>12.206.953-2</v>
      </c>
      <c r="C38" s="11" t="s">
        <v>14</v>
      </c>
      <c r="D38" s="11" t="s">
        <v>244</v>
      </c>
      <c r="E38" s="11" t="s">
        <v>586</v>
      </c>
      <c r="F38" s="11" t="s">
        <v>454</v>
      </c>
      <c r="G38" s="12">
        <v>45813</v>
      </c>
      <c r="H38" s="12">
        <v>45824</v>
      </c>
      <c r="I38" s="11" t="s">
        <v>15</v>
      </c>
      <c r="J38" s="11" t="s">
        <v>60</v>
      </c>
      <c r="K38" s="11" t="s">
        <v>18</v>
      </c>
      <c r="L38" s="12">
        <v>45813</v>
      </c>
      <c r="M38" s="39">
        <v>45821</v>
      </c>
      <c r="N38" s="44">
        <f t="shared" si="1"/>
        <v>8</v>
      </c>
      <c r="O38" s="127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77188274</v>
      </c>
      <c r="B39" s="11" t="str">
        <f t="shared" si="0"/>
        <v>7.718.827-4</v>
      </c>
      <c r="C39" s="11" t="s">
        <v>14</v>
      </c>
      <c r="D39" s="11" t="s">
        <v>587</v>
      </c>
      <c r="E39" s="11" t="s">
        <v>450</v>
      </c>
      <c r="F39" s="11" t="s">
        <v>588</v>
      </c>
      <c r="G39" s="12">
        <v>45812</v>
      </c>
      <c r="H39" s="12">
        <v>45822</v>
      </c>
      <c r="I39" s="11" t="s">
        <v>15</v>
      </c>
      <c r="J39" s="11" t="s">
        <v>60</v>
      </c>
      <c r="K39" s="11" t="s">
        <v>16</v>
      </c>
      <c r="L39" s="12">
        <v>45812</v>
      </c>
      <c r="M39" s="12">
        <v>45822</v>
      </c>
      <c r="N39" s="44">
        <f t="shared" si="1"/>
        <v>10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77188274</v>
      </c>
      <c r="B40" s="11" t="str">
        <f t="shared" si="0"/>
        <v>7.718.827-4</v>
      </c>
      <c r="C40" s="11" t="s">
        <v>14</v>
      </c>
      <c r="D40" s="11" t="s">
        <v>587</v>
      </c>
      <c r="E40" s="11" t="s">
        <v>450</v>
      </c>
      <c r="F40" s="11" t="s">
        <v>588</v>
      </c>
      <c r="G40" s="12">
        <v>45812</v>
      </c>
      <c r="H40" s="12">
        <v>45822</v>
      </c>
      <c r="I40" s="11" t="s">
        <v>15</v>
      </c>
      <c r="J40" s="11" t="s">
        <v>60</v>
      </c>
      <c r="K40" s="11" t="s">
        <v>17</v>
      </c>
      <c r="L40" s="12">
        <v>45812</v>
      </c>
      <c r="M40" s="12">
        <v>45822</v>
      </c>
      <c r="N40" s="44">
        <f t="shared" si="1"/>
        <v>10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77188274</v>
      </c>
      <c r="B41" s="11" t="str">
        <f t="shared" si="0"/>
        <v>7.718.827-4</v>
      </c>
      <c r="C41" s="11" t="s">
        <v>14</v>
      </c>
      <c r="D41" s="11" t="s">
        <v>587</v>
      </c>
      <c r="E41" s="11" t="s">
        <v>450</v>
      </c>
      <c r="F41" s="11" t="s">
        <v>588</v>
      </c>
      <c r="G41" s="12">
        <v>45812</v>
      </c>
      <c r="H41" s="12">
        <v>45822</v>
      </c>
      <c r="I41" s="11" t="s">
        <v>15</v>
      </c>
      <c r="J41" s="11" t="s">
        <v>60</v>
      </c>
      <c r="K41" s="11" t="s">
        <v>18</v>
      </c>
      <c r="L41" s="12">
        <v>45812</v>
      </c>
      <c r="M41" s="12">
        <v>45821</v>
      </c>
      <c r="N41" s="44">
        <f t="shared" si="1"/>
        <v>9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194145888</v>
      </c>
      <c r="B42" s="11" t="str">
        <f t="shared" si="0"/>
        <v>19.414.588-8</v>
      </c>
      <c r="C42" s="11" t="s">
        <v>14</v>
      </c>
      <c r="D42" s="11" t="s">
        <v>589</v>
      </c>
      <c r="E42" s="11" t="s">
        <v>590</v>
      </c>
      <c r="F42" s="11" t="s">
        <v>293</v>
      </c>
      <c r="G42" s="12">
        <v>45811</v>
      </c>
      <c r="H42" s="12">
        <v>45814</v>
      </c>
      <c r="I42" s="11" t="s">
        <v>15</v>
      </c>
      <c r="J42" s="11"/>
      <c r="K42" s="11" t="s">
        <v>16</v>
      </c>
      <c r="L42" s="12">
        <v>45811</v>
      </c>
      <c r="M42" s="12">
        <v>45814</v>
      </c>
      <c r="N42" s="44">
        <f t="shared" si="1"/>
        <v>3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180685952</v>
      </c>
      <c r="B43" s="11" t="str">
        <f t="shared" si="0"/>
        <v>18.068.595-2</v>
      </c>
      <c r="C43" s="11" t="s">
        <v>14</v>
      </c>
      <c r="D43" s="11" t="s">
        <v>477</v>
      </c>
      <c r="E43" s="11" t="s">
        <v>591</v>
      </c>
      <c r="F43" s="11" t="s">
        <v>315</v>
      </c>
      <c r="G43" s="12">
        <v>45813</v>
      </c>
      <c r="H43" s="12">
        <v>45818</v>
      </c>
      <c r="I43" s="11" t="s">
        <v>473</v>
      </c>
      <c r="J43" s="11" t="s">
        <v>473</v>
      </c>
      <c r="K43" s="11" t="s">
        <v>16</v>
      </c>
      <c r="L43" s="12">
        <v>45813</v>
      </c>
      <c r="M43" s="12">
        <v>45818</v>
      </c>
      <c r="N43" s="44">
        <f t="shared" si="1"/>
        <v>5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180685952</v>
      </c>
      <c r="B44" s="11" t="str">
        <f t="shared" si="0"/>
        <v>18.068.595-2</v>
      </c>
      <c r="C44" s="11" t="s">
        <v>14</v>
      </c>
      <c r="D44" s="11" t="s">
        <v>477</v>
      </c>
      <c r="E44" s="11" t="s">
        <v>591</v>
      </c>
      <c r="F44" s="11" t="s">
        <v>315</v>
      </c>
      <c r="G44" s="12">
        <v>45813</v>
      </c>
      <c r="H44" s="12">
        <v>45818</v>
      </c>
      <c r="I44" s="11" t="s">
        <v>473</v>
      </c>
      <c r="J44" s="11" t="s">
        <v>473</v>
      </c>
      <c r="K44" s="11" t="s">
        <v>17</v>
      </c>
      <c r="L44" s="12">
        <v>45813</v>
      </c>
      <c r="M44" s="12">
        <v>45818</v>
      </c>
      <c r="N44" s="44">
        <f t="shared" si="1"/>
        <v>5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183615394</v>
      </c>
      <c r="B45" s="11" t="str">
        <f t="shared" si="0"/>
        <v>18.361.539-4</v>
      </c>
      <c r="C45" s="11" t="s">
        <v>14</v>
      </c>
      <c r="D45" s="11" t="s">
        <v>183</v>
      </c>
      <c r="E45" s="11" t="s">
        <v>592</v>
      </c>
      <c r="F45" s="11" t="s">
        <v>99</v>
      </c>
      <c r="G45" s="12">
        <v>45820</v>
      </c>
      <c r="H45" s="12">
        <v>45824</v>
      </c>
      <c r="I45" s="11" t="s">
        <v>28</v>
      </c>
      <c r="J45" s="11" t="s">
        <v>28</v>
      </c>
      <c r="K45" s="11" t="s">
        <v>16</v>
      </c>
      <c r="L45" s="12">
        <v>45820</v>
      </c>
      <c r="M45" s="12">
        <v>45824</v>
      </c>
      <c r="N45" s="44">
        <f t="shared" si="1"/>
        <v>4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183615394</v>
      </c>
      <c r="B46" s="11" t="str">
        <f t="shared" si="0"/>
        <v>18.361.539-4</v>
      </c>
      <c r="C46" s="11" t="s">
        <v>14</v>
      </c>
      <c r="D46" s="11" t="s">
        <v>183</v>
      </c>
      <c r="E46" s="11" t="s">
        <v>592</v>
      </c>
      <c r="F46" s="11" t="s">
        <v>99</v>
      </c>
      <c r="G46" s="12">
        <v>45820</v>
      </c>
      <c r="H46" s="12">
        <v>45824</v>
      </c>
      <c r="I46" s="11" t="s">
        <v>28</v>
      </c>
      <c r="J46" s="11" t="s">
        <v>28</v>
      </c>
      <c r="K46" s="11" t="s">
        <v>17</v>
      </c>
      <c r="L46" s="12">
        <v>45820</v>
      </c>
      <c r="M46" s="12">
        <v>45824</v>
      </c>
      <c r="N46" s="44">
        <f t="shared" si="1"/>
        <v>4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183615394</v>
      </c>
      <c r="B47" s="11" t="str">
        <f t="shared" si="0"/>
        <v>18.361.539-4</v>
      </c>
      <c r="C47" s="11" t="s">
        <v>14</v>
      </c>
      <c r="D47" s="11" t="s">
        <v>183</v>
      </c>
      <c r="E47" s="11" t="s">
        <v>592</v>
      </c>
      <c r="F47" s="11" t="s">
        <v>99</v>
      </c>
      <c r="G47" s="12">
        <v>45820</v>
      </c>
      <c r="H47" s="12">
        <v>45824</v>
      </c>
      <c r="I47" s="11" t="s">
        <v>28</v>
      </c>
      <c r="J47" s="11" t="s">
        <v>28</v>
      </c>
      <c r="K47" s="11" t="s">
        <v>18</v>
      </c>
      <c r="L47" s="12">
        <v>45820</v>
      </c>
      <c r="M47" s="12">
        <v>45822</v>
      </c>
      <c r="N47" s="44">
        <f t="shared" si="1"/>
        <v>2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58566489</v>
      </c>
      <c r="B48" s="11" t="str">
        <f t="shared" si="0"/>
        <v>5.856.648-9</v>
      </c>
      <c r="C48" s="11" t="s">
        <v>14</v>
      </c>
      <c r="D48" s="11" t="s">
        <v>593</v>
      </c>
      <c r="E48" s="11" t="s">
        <v>121</v>
      </c>
      <c r="F48" s="11" t="s">
        <v>328</v>
      </c>
      <c r="G48" s="12">
        <v>45818</v>
      </c>
      <c r="H48" s="12">
        <v>45825</v>
      </c>
      <c r="I48" s="11" t="s">
        <v>15</v>
      </c>
      <c r="J48" s="11" t="s">
        <v>60</v>
      </c>
      <c r="K48" s="11" t="s">
        <v>16</v>
      </c>
      <c r="L48" s="12">
        <v>45818</v>
      </c>
      <c r="M48" s="39">
        <v>45825</v>
      </c>
      <c r="N48" s="44">
        <f t="shared" si="1"/>
        <v>7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58566489</v>
      </c>
      <c r="B49" s="11" t="str">
        <f t="shared" si="0"/>
        <v>5.856.648-9</v>
      </c>
      <c r="C49" s="11" t="s">
        <v>14</v>
      </c>
      <c r="D49" s="11" t="s">
        <v>593</v>
      </c>
      <c r="E49" s="11" t="s">
        <v>121</v>
      </c>
      <c r="F49" s="11" t="s">
        <v>328</v>
      </c>
      <c r="G49" s="12">
        <v>45818</v>
      </c>
      <c r="H49" s="12">
        <v>45825</v>
      </c>
      <c r="I49" s="11" t="s">
        <v>15</v>
      </c>
      <c r="J49" s="11" t="s">
        <v>60</v>
      </c>
      <c r="K49" s="11" t="s">
        <v>17</v>
      </c>
      <c r="L49" s="12">
        <v>45818</v>
      </c>
      <c r="M49" s="39">
        <v>45825</v>
      </c>
      <c r="N49" s="44">
        <f t="shared" si="1"/>
        <v>7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58566489</v>
      </c>
      <c r="B50" s="11" t="str">
        <f t="shared" si="0"/>
        <v>5.856.648-9</v>
      </c>
      <c r="C50" s="11" t="s">
        <v>14</v>
      </c>
      <c r="D50" s="11" t="s">
        <v>593</v>
      </c>
      <c r="E50" s="11" t="s">
        <v>121</v>
      </c>
      <c r="F50" s="11" t="s">
        <v>328</v>
      </c>
      <c r="G50" s="12">
        <v>45818</v>
      </c>
      <c r="H50" s="12">
        <v>45825</v>
      </c>
      <c r="I50" s="11" t="s">
        <v>15</v>
      </c>
      <c r="J50" s="11" t="s">
        <v>60</v>
      </c>
      <c r="K50" s="11" t="s">
        <v>18</v>
      </c>
      <c r="L50" s="12">
        <v>45818</v>
      </c>
      <c r="M50" s="39">
        <v>45821</v>
      </c>
      <c r="N50" s="44">
        <f t="shared" si="1"/>
        <v>3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98575146</v>
      </c>
      <c r="B51" s="11" t="str">
        <f t="shared" si="0"/>
        <v>9.857.514-6</v>
      </c>
      <c r="C51" s="11" t="s">
        <v>14</v>
      </c>
      <c r="D51" s="11" t="s">
        <v>154</v>
      </c>
      <c r="E51" s="11" t="s">
        <v>407</v>
      </c>
      <c r="F51" s="11" t="s">
        <v>594</v>
      </c>
      <c r="G51" s="12">
        <v>45820</v>
      </c>
      <c r="H51" s="12">
        <v>45827</v>
      </c>
      <c r="I51" s="11" t="s">
        <v>15</v>
      </c>
      <c r="J51" s="11" t="s">
        <v>200</v>
      </c>
      <c r="K51" s="11" t="s">
        <v>16</v>
      </c>
      <c r="L51" s="12">
        <v>45820</v>
      </c>
      <c r="M51" s="39">
        <v>45827</v>
      </c>
      <c r="N51" s="44">
        <f t="shared" si="1"/>
        <v>7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98575146</v>
      </c>
      <c r="B52" s="11" t="str">
        <f t="shared" si="0"/>
        <v>9.857.514-6</v>
      </c>
      <c r="C52" s="11" t="s">
        <v>14</v>
      </c>
      <c r="D52" s="11" t="s">
        <v>154</v>
      </c>
      <c r="E52" s="11" t="s">
        <v>407</v>
      </c>
      <c r="F52" s="11" t="s">
        <v>594</v>
      </c>
      <c r="G52" s="12">
        <v>45820</v>
      </c>
      <c r="H52" s="12">
        <v>45827</v>
      </c>
      <c r="I52" s="11" t="s">
        <v>15</v>
      </c>
      <c r="J52" s="11" t="s">
        <v>200</v>
      </c>
      <c r="K52" s="11" t="s">
        <v>17</v>
      </c>
      <c r="L52" s="12">
        <v>45820</v>
      </c>
      <c r="M52" s="39">
        <v>45827</v>
      </c>
      <c r="N52" s="44">
        <f t="shared" si="1"/>
        <v>7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98575146</v>
      </c>
      <c r="B53" s="11" t="str">
        <f t="shared" si="0"/>
        <v>9.857.514-6</v>
      </c>
      <c r="C53" s="11" t="s">
        <v>14</v>
      </c>
      <c r="D53" s="11" t="s">
        <v>154</v>
      </c>
      <c r="E53" s="11" t="s">
        <v>407</v>
      </c>
      <c r="F53" s="11" t="s">
        <v>594</v>
      </c>
      <c r="G53" s="12">
        <v>45820</v>
      </c>
      <c r="H53" s="12">
        <v>45827</v>
      </c>
      <c r="I53" s="11" t="s">
        <v>15</v>
      </c>
      <c r="J53" s="11" t="s">
        <v>200</v>
      </c>
      <c r="K53" s="11" t="s">
        <v>18</v>
      </c>
      <c r="L53" s="12">
        <v>45820</v>
      </c>
      <c r="M53" s="39">
        <v>45821</v>
      </c>
      <c r="N53" s="44">
        <f t="shared" si="1"/>
        <v>1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81777624</v>
      </c>
      <c r="B54" s="11" t="str">
        <f t="shared" si="0"/>
        <v>8.177.762-4</v>
      </c>
      <c r="C54" s="11" t="s">
        <v>14</v>
      </c>
      <c r="D54" s="11" t="s">
        <v>178</v>
      </c>
      <c r="E54" s="11" t="s">
        <v>154</v>
      </c>
      <c r="F54" s="11" t="s">
        <v>414</v>
      </c>
      <c r="G54" s="12">
        <v>45817</v>
      </c>
      <c r="H54" s="12">
        <v>45825</v>
      </c>
      <c r="I54" s="11" t="s">
        <v>15</v>
      </c>
      <c r="J54" s="11" t="s">
        <v>47</v>
      </c>
      <c r="K54" s="11" t="s">
        <v>16</v>
      </c>
      <c r="L54" s="12">
        <v>45817</v>
      </c>
      <c r="M54" s="12">
        <v>45825</v>
      </c>
      <c r="N54" s="44">
        <f t="shared" si="1"/>
        <v>8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81777624</v>
      </c>
      <c r="B55" s="11" t="str">
        <f t="shared" si="0"/>
        <v>8.177.762-4</v>
      </c>
      <c r="C55" s="11" t="s">
        <v>14</v>
      </c>
      <c r="D55" s="11" t="s">
        <v>178</v>
      </c>
      <c r="E55" s="11" t="s">
        <v>154</v>
      </c>
      <c r="F55" s="11" t="s">
        <v>414</v>
      </c>
      <c r="G55" s="12">
        <v>45817</v>
      </c>
      <c r="H55" s="12">
        <v>45825</v>
      </c>
      <c r="I55" s="11" t="s">
        <v>15</v>
      </c>
      <c r="J55" s="11" t="s">
        <v>47</v>
      </c>
      <c r="K55" s="11" t="s">
        <v>17</v>
      </c>
      <c r="L55" s="12">
        <v>45817</v>
      </c>
      <c r="M55" s="12">
        <v>45825</v>
      </c>
      <c r="N55" s="44">
        <f t="shared" si="1"/>
        <v>8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81777624</v>
      </c>
      <c r="B56" s="11" t="str">
        <f t="shared" si="0"/>
        <v>8.177.762-4</v>
      </c>
      <c r="C56" s="11" t="s">
        <v>14</v>
      </c>
      <c r="D56" s="11" t="s">
        <v>178</v>
      </c>
      <c r="E56" s="11" t="s">
        <v>154</v>
      </c>
      <c r="F56" s="11" t="s">
        <v>414</v>
      </c>
      <c r="G56" s="12">
        <v>45817</v>
      </c>
      <c r="H56" s="12">
        <v>45825</v>
      </c>
      <c r="I56" s="11" t="s">
        <v>15</v>
      </c>
      <c r="J56" s="11" t="s">
        <v>47</v>
      </c>
      <c r="K56" s="11" t="s">
        <v>18</v>
      </c>
      <c r="L56" s="12">
        <v>45817</v>
      </c>
      <c r="M56" s="12">
        <v>45822</v>
      </c>
      <c r="N56" s="44">
        <f t="shared" si="1"/>
        <v>5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110617461</v>
      </c>
      <c r="B57" s="11" t="str">
        <f t="shared" si="0"/>
        <v>11.061.746-1</v>
      </c>
      <c r="C57" s="11" t="s">
        <v>14</v>
      </c>
      <c r="D57" s="11" t="s">
        <v>289</v>
      </c>
      <c r="E57" s="11" t="s">
        <v>595</v>
      </c>
      <c r="F57" s="11" t="s">
        <v>596</v>
      </c>
      <c r="G57" s="12">
        <v>45819</v>
      </c>
      <c r="H57" s="12">
        <v>45821</v>
      </c>
      <c r="I57" s="11" t="s">
        <v>15</v>
      </c>
      <c r="J57" s="11" t="s">
        <v>60</v>
      </c>
      <c r="K57" s="11" t="s">
        <v>16</v>
      </c>
      <c r="L57" s="12">
        <v>45819</v>
      </c>
      <c r="M57" s="12">
        <v>45821</v>
      </c>
      <c r="N57" s="44">
        <f t="shared" si="1"/>
        <v>2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110617461</v>
      </c>
      <c r="B58" s="11" t="str">
        <f t="shared" si="0"/>
        <v>11.061.746-1</v>
      </c>
      <c r="C58" s="11" t="s">
        <v>14</v>
      </c>
      <c r="D58" s="11" t="s">
        <v>289</v>
      </c>
      <c r="E58" s="11" t="s">
        <v>595</v>
      </c>
      <c r="F58" s="11" t="s">
        <v>596</v>
      </c>
      <c r="G58" s="12">
        <v>45819</v>
      </c>
      <c r="H58" s="12">
        <v>45821</v>
      </c>
      <c r="I58" s="11" t="s">
        <v>15</v>
      </c>
      <c r="J58" s="11" t="s">
        <v>60</v>
      </c>
      <c r="K58" s="11" t="s">
        <v>17</v>
      </c>
      <c r="L58" s="12">
        <v>45819</v>
      </c>
      <c r="M58" s="12">
        <v>45821</v>
      </c>
      <c r="N58" s="44">
        <f t="shared" si="1"/>
        <v>2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51783247</v>
      </c>
      <c r="B59" s="11" t="str">
        <f t="shared" si="0"/>
        <v>5.178.324-7</v>
      </c>
      <c r="C59" s="11" t="s">
        <v>14</v>
      </c>
      <c r="D59" s="11" t="s">
        <v>425</v>
      </c>
      <c r="E59" s="11" t="s">
        <v>597</v>
      </c>
      <c r="F59" s="11" t="s">
        <v>135</v>
      </c>
      <c r="G59" s="12">
        <v>45819</v>
      </c>
      <c r="H59" s="12">
        <v>45821</v>
      </c>
      <c r="I59" s="11" t="s">
        <v>15</v>
      </c>
      <c r="J59" s="11" t="s">
        <v>60</v>
      </c>
      <c r="K59" s="11" t="s">
        <v>16</v>
      </c>
      <c r="L59" s="12">
        <v>45819</v>
      </c>
      <c r="M59" s="12">
        <v>45821</v>
      </c>
      <c r="N59" s="44">
        <f t="shared" si="1"/>
        <v>2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51783247</v>
      </c>
      <c r="B60" s="11" t="str">
        <f t="shared" si="0"/>
        <v>5.178.324-7</v>
      </c>
      <c r="C60" s="11" t="s">
        <v>14</v>
      </c>
      <c r="D60" s="11" t="s">
        <v>425</v>
      </c>
      <c r="E60" s="11" t="s">
        <v>597</v>
      </c>
      <c r="F60" s="11" t="s">
        <v>135</v>
      </c>
      <c r="G60" s="12">
        <v>45819</v>
      </c>
      <c r="H60" s="12">
        <v>45821</v>
      </c>
      <c r="I60" s="11" t="s">
        <v>15</v>
      </c>
      <c r="J60" s="11" t="s">
        <v>60</v>
      </c>
      <c r="K60" s="11" t="s">
        <v>17</v>
      </c>
      <c r="L60" s="12">
        <v>45819</v>
      </c>
      <c r="M60" s="12">
        <v>45821</v>
      </c>
      <c r="N60" s="44">
        <f t="shared" si="1"/>
        <v>2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225226113</v>
      </c>
      <c r="B61" s="11" t="str">
        <f t="shared" si="0"/>
        <v>22.522.611-3</v>
      </c>
      <c r="C61" s="11" t="s">
        <v>14</v>
      </c>
      <c r="D61" s="11" t="s">
        <v>474</v>
      </c>
      <c r="E61" s="11" t="s">
        <v>20</v>
      </c>
      <c r="F61" s="11" t="s">
        <v>598</v>
      </c>
      <c r="G61" s="12">
        <v>45820</v>
      </c>
      <c r="H61" s="12">
        <v>45823</v>
      </c>
      <c r="I61" s="11" t="s">
        <v>15</v>
      </c>
      <c r="J61" s="11" t="s">
        <v>42</v>
      </c>
      <c r="K61" s="11" t="s">
        <v>17</v>
      </c>
      <c r="L61" s="12">
        <v>45820</v>
      </c>
      <c r="M61" s="12">
        <v>45823</v>
      </c>
      <c r="N61" s="44">
        <f t="shared" si="1"/>
        <v>3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116782138</v>
      </c>
      <c r="B62" s="11" t="str">
        <f t="shared" si="0"/>
        <v>11.678.213-8</v>
      </c>
      <c r="C62" s="11" t="s">
        <v>14</v>
      </c>
      <c r="D62" s="11" t="s">
        <v>602</v>
      </c>
      <c r="E62" s="11" t="s">
        <v>602</v>
      </c>
      <c r="F62" s="11" t="s">
        <v>603</v>
      </c>
      <c r="G62" s="12">
        <v>45815</v>
      </c>
      <c r="H62" s="12">
        <v>45819</v>
      </c>
      <c r="I62" s="11" t="s">
        <v>15</v>
      </c>
      <c r="J62" s="11" t="s">
        <v>60</v>
      </c>
      <c r="K62" s="11" t="s">
        <v>16</v>
      </c>
      <c r="L62" s="12">
        <v>45815</v>
      </c>
      <c r="M62" s="12">
        <v>45819</v>
      </c>
      <c r="N62" s="44">
        <f t="shared" si="1"/>
        <v>4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116782138</v>
      </c>
      <c r="B63" s="11" t="str">
        <f t="shared" si="0"/>
        <v>11.678.213-8</v>
      </c>
      <c r="C63" s="11" t="s">
        <v>14</v>
      </c>
      <c r="D63" s="11" t="s">
        <v>602</v>
      </c>
      <c r="E63" s="11" t="s">
        <v>602</v>
      </c>
      <c r="F63" s="11" t="s">
        <v>603</v>
      </c>
      <c r="G63" s="12">
        <v>45815</v>
      </c>
      <c r="H63" s="12">
        <v>45819</v>
      </c>
      <c r="I63" s="11" t="s">
        <v>15</v>
      </c>
      <c r="J63" s="11" t="s">
        <v>60</v>
      </c>
      <c r="K63" s="11" t="s">
        <v>17</v>
      </c>
      <c r="L63" s="12">
        <v>45815</v>
      </c>
      <c r="M63" s="12">
        <v>45819</v>
      </c>
      <c r="N63" s="44">
        <f t="shared" si="1"/>
        <v>4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116782138</v>
      </c>
      <c r="B64" s="11" t="str">
        <f t="shared" si="0"/>
        <v>11.678.213-8</v>
      </c>
      <c r="C64" s="11" t="s">
        <v>14</v>
      </c>
      <c r="D64" s="11" t="s">
        <v>602</v>
      </c>
      <c r="E64" s="11" t="s">
        <v>602</v>
      </c>
      <c r="F64" s="11" t="s">
        <v>603</v>
      </c>
      <c r="G64" s="12">
        <v>45815</v>
      </c>
      <c r="H64" s="12">
        <v>45819</v>
      </c>
      <c r="I64" s="11" t="s">
        <v>15</v>
      </c>
      <c r="J64" s="11" t="s">
        <v>60</v>
      </c>
      <c r="K64" s="11" t="s">
        <v>18</v>
      </c>
      <c r="L64" s="12">
        <v>45815</v>
      </c>
      <c r="M64" s="12">
        <v>45817</v>
      </c>
      <c r="N64" s="44">
        <f t="shared" si="1"/>
        <v>2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50152626</v>
      </c>
      <c r="B65" s="11" t="str">
        <f t="shared" si="0"/>
        <v>5.015.262-6</v>
      </c>
      <c r="C65" s="11" t="s">
        <v>14</v>
      </c>
      <c r="D65" s="11" t="s">
        <v>283</v>
      </c>
      <c r="E65" s="11" t="s">
        <v>143</v>
      </c>
      <c r="F65" s="11" t="s">
        <v>604</v>
      </c>
      <c r="G65" s="12">
        <v>45816</v>
      </c>
      <c r="H65" s="12">
        <v>45818</v>
      </c>
      <c r="I65" s="11" t="s">
        <v>15</v>
      </c>
      <c r="J65" s="11" t="s">
        <v>106</v>
      </c>
      <c r="K65" s="11" t="s">
        <v>16</v>
      </c>
      <c r="L65" s="12">
        <v>45816</v>
      </c>
      <c r="M65" s="12">
        <v>45818</v>
      </c>
      <c r="N65" s="44">
        <f t="shared" si="1"/>
        <v>2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50152626</v>
      </c>
      <c r="B66" s="11" t="str">
        <f t="shared" si="0"/>
        <v>5.015.262-6</v>
      </c>
      <c r="C66" s="11" t="s">
        <v>14</v>
      </c>
      <c r="D66" s="11" t="s">
        <v>283</v>
      </c>
      <c r="E66" s="11" t="s">
        <v>143</v>
      </c>
      <c r="F66" s="11" t="s">
        <v>604</v>
      </c>
      <c r="G66" s="12">
        <v>45816</v>
      </c>
      <c r="H66" s="12">
        <v>45818</v>
      </c>
      <c r="I66" s="11" t="s">
        <v>15</v>
      </c>
      <c r="J66" s="11" t="s">
        <v>106</v>
      </c>
      <c r="K66" s="11" t="s">
        <v>17</v>
      </c>
      <c r="L66" s="12">
        <v>45816</v>
      </c>
      <c r="M66" s="12">
        <v>45818</v>
      </c>
      <c r="N66" s="44">
        <f t="shared" si="1"/>
        <v>2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50152626</v>
      </c>
      <c r="B67" s="11" t="str">
        <f t="shared" si="0"/>
        <v>5.015.262-6</v>
      </c>
      <c r="C67" s="11" t="s">
        <v>14</v>
      </c>
      <c r="D67" s="11" t="s">
        <v>283</v>
      </c>
      <c r="E67" s="11" t="s">
        <v>143</v>
      </c>
      <c r="F67" s="11" t="s">
        <v>604</v>
      </c>
      <c r="G67" s="12">
        <v>45816</v>
      </c>
      <c r="H67" s="12">
        <v>45818</v>
      </c>
      <c r="I67" s="11" t="s">
        <v>15</v>
      </c>
      <c r="J67" s="11" t="s">
        <v>106</v>
      </c>
      <c r="K67" s="11" t="s">
        <v>18</v>
      </c>
      <c r="L67" s="12">
        <v>45816</v>
      </c>
      <c r="M67" s="12">
        <v>45818</v>
      </c>
      <c r="N67" s="44">
        <f t="shared" si="1"/>
        <v>2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172388337</v>
      </c>
      <c r="B68" s="11" t="str">
        <f t="shared" si="0"/>
        <v>17.238.833-7</v>
      </c>
      <c r="C68" s="11" t="s">
        <v>14</v>
      </c>
      <c r="D68" s="11" t="s">
        <v>134</v>
      </c>
      <c r="E68" s="11" t="s">
        <v>283</v>
      </c>
      <c r="F68" s="11" t="s">
        <v>605</v>
      </c>
      <c r="G68" s="12">
        <v>45815</v>
      </c>
      <c r="H68" s="12">
        <v>45819</v>
      </c>
      <c r="I68" s="11" t="s">
        <v>15</v>
      </c>
      <c r="J68" s="11" t="s">
        <v>47</v>
      </c>
      <c r="K68" s="11" t="s">
        <v>16</v>
      </c>
      <c r="L68" s="12">
        <v>45815</v>
      </c>
      <c r="M68" s="12">
        <v>45819</v>
      </c>
      <c r="N68" s="44">
        <f t="shared" si="1"/>
        <v>4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172388337</v>
      </c>
      <c r="B69" s="11" t="str">
        <f t="shared" si="0"/>
        <v>17.238.833-7</v>
      </c>
      <c r="C69" s="11" t="s">
        <v>14</v>
      </c>
      <c r="D69" s="11" t="s">
        <v>134</v>
      </c>
      <c r="E69" s="11" t="s">
        <v>283</v>
      </c>
      <c r="F69" s="11" t="s">
        <v>605</v>
      </c>
      <c r="G69" s="12">
        <v>45815</v>
      </c>
      <c r="H69" s="12">
        <v>45819</v>
      </c>
      <c r="I69" s="11" t="s">
        <v>15</v>
      </c>
      <c r="J69" s="11" t="s">
        <v>47</v>
      </c>
      <c r="K69" s="11" t="s">
        <v>17</v>
      </c>
      <c r="L69" s="12">
        <v>45815</v>
      </c>
      <c r="M69" s="12">
        <v>45819</v>
      </c>
      <c r="N69" s="44">
        <f t="shared" si="1"/>
        <v>4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172388337</v>
      </c>
      <c r="B70" s="11" t="str">
        <f t="shared" si="0"/>
        <v>17.238.833-7</v>
      </c>
      <c r="C70" s="11" t="s">
        <v>14</v>
      </c>
      <c r="D70" s="11" t="s">
        <v>134</v>
      </c>
      <c r="E70" s="11" t="s">
        <v>283</v>
      </c>
      <c r="F70" s="11" t="s">
        <v>605</v>
      </c>
      <c r="G70" s="12">
        <v>45815</v>
      </c>
      <c r="H70" s="12">
        <v>45819</v>
      </c>
      <c r="I70" s="11" t="s">
        <v>15</v>
      </c>
      <c r="J70" s="11" t="s">
        <v>47</v>
      </c>
      <c r="K70" s="11" t="s">
        <v>18</v>
      </c>
      <c r="L70" s="12">
        <v>45815</v>
      </c>
      <c r="M70" s="12">
        <v>45818</v>
      </c>
      <c r="N70" s="44">
        <f t="shared" si="1"/>
        <v>3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417480358</v>
      </c>
      <c r="B71" s="11" t="str">
        <f t="shared" si="0"/>
        <v>41.748.035-8</v>
      </c>
      <c r="C71" s="11" t="s">
        <v>14</v>
      </c>
      <c r="D71" s="11" t="s">
        <v>606</v>
      </c>
      <c r="E71" s="11" t="s">
        <v>607</v>
      </c>
      <c r="F71" s="11" t="s">
        <v>243</v>
      </c>
      <c r="G71" s="12">
        <v>45814</v>
      </c>
      <c r="H71" s="12">
        <v>45817</v>
      </c>
      <c r="I71" s="11" t="s">
        <v>15</v>
      </c>
      <c r="J71" s="11" t="s">
        <v>47</v>
      </c>
      <c r="K71" s="11" t="s">
        <v>16</v>
      </c>
      <c r="L71" s="12">
        <v>45814</v>
      </c>
      <c r="M71" s="12">
        <v>45817</v>
      </c>
      <c r="N71" s="44">
        <f t="shared" si="1"/>
        <v>3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417480358</v>
      </c>
      <c r="B72" s="11" t="str">
        <f t="shared" si="0"/>
        <v>41.748.035-8</v>
      </c>
      <c r="C72" s="11" t="s">
        <v>14</v>
      </c>
      <c r="D72" s="11" t="s">
        <v>606</v>
      </c>
      <c r="E72" s="11" t="s">
        <v>607</v>
      </c>
      <c r="F72" s="11" t="s">
        <v>243</v>
      </c>
      <c r="G72" s="12">
        <v>45814</v>
      </c>
      <c r="H72" s="12">
        <v>45817</v>
      </c>
      <c r="I72" s="11" t="s">
        <v>15</v>
      </c>
      <c r="J72" s="11" t="s">
        <v>47</v>
      </c>
      <c r="K72" s="11" t="s">
        <v>17</v>
      </c>
      <c r="L72" s="12">
        <v>45814</v>
      </c>
      <c r="M72" s="12">
        <v>45817</v>
      </c>
      <c r="N72" s="44">
        <f t="shared" si="1"/>
        <v>3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93048369</v>
      </c>
      <c r="B73" s="11" t="str">
        <f t="shared" si="0"/>
        <v>9.304.836-9</v>
      </c>
      <c r="C73" s="11" t="s">
        <v>14</v>
      </c>
      <c r="D73" s="11" t="s">
        <v>168</v>
      </c>
      <c r="E73" s="11" t="s">
        <v>447</v>
      </c>
      <c r="F73" s="11" t="s">
        <v>315</v>
      </c>
      <c r="G73" s="12">
        <v>45825</v>
      </c>
      <c r="H73" s="12">
        <v>45831</v>
      </c>
      <c r="I73" s="11" t="s">
        <v>72</v>
      </c>
      <c r="J73" s="11" t="s">
        <v>72</v>
      </c>
      <c r="K73" s="11" t="s">
        <v>16</v>
      </c>
      <c r="L73" s="12">
        <v>45825</v>
      </c>
      <c r="M73" s="12">
        <v>45831</v>
      </c>
      <c r="N73" s="44">
        <f t="shared" si="1"/>
        <v>6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93048369</v>
      </c>
      <c r="B74" s="11" t="str">
        <f t="shared" si="0"/>
        <v>9.304.836-9</v>
      </c>
      <c r="C74" s="11" t="s">
        <v>14</v>
      </c>
      <c r="D74" s="11" t="s">
        <v>168</v>
      </c>
      <c r="E74" s="11" t="s">
        <v>447</v>
      </c>
      <c r="F74" s="11" t="s">
        <v>315</v>
      </c>
      <c r="G74" s="12">
        <v>45825</v>
      </c>
      <c r="H74" s="12">
        <v>45831</v>
      </c>
      <c r="I74" s="11" t="s">
        <v>72</v>
      </c>
      <c r="J74" s="11" t="s">
        <v>72</v>
      </c>
      <c r="K74" s="11" t="s">
        <v>17</v>
      </c>
      <c r="L74" s="12">
        <v>45825</v>
      </c>
      <c r="M74" s="12">
        <v>45831</v>
      </c>
      <c r="N74" s="44">
        <f t="shared" si="1"/>
        <v>6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93048369</v>
      </c>
      <c r="B75" s="11" t="str">
        <f t="shared" si="0"/>
        <v>9.304.836-9</v>
      </c>
      <c r="C75" s="11" t="s">
        <v>14</v>
      </c>
      <c r="D75" s="11" t="s">
        <v>168</v>
      </c>
      <c r="E75" s="11" t="s">
        <v>447</v>
      </c>
      <c r="F75" s="11" t="s">
        <v>315</v>
      </c>
      <c r="G75" s="12">
        <v>45825</v>
      </c>
      <c r="H75" s="12">
        <v>45831</v>
      </c>
      <c r="I75" s="11" t="s">
        <v>72</v>
      </c>
      <c r="J75" s="11" t="s">
        <v>72</v>
      </c>
      <c r="K75" s="11" t="s">
        <v>18</v>
      </c>
      <c r="L75" s="12">
        <v>45825</v>
      </c>
      <c r="M75" s="39">
        <v>45828</v>
      </c>
      <c r="N75" s="44">
        <f t="shared" si="1"/>
        <v>3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87480380</v>
      </c>
      <c r="B76" s="11" t="str">
        <f t="shared" si="0"/>
        <v>8.748.038-0</v>
      </c>
      <c r="C76" s="11" t="s">
        <v>14</v>
      </c>
      <c r="D76" s="11" t="s">
        <v>31</v>
      </c>
      <c r="E76" s="11" t="s">
        <v>608</v>
      </c>
      <c r="F76" s="11" t="s">
        <v>609</v>
      </c>
      <c r="G76" s="12">
        <v>45823</v>
      </c>
      <c r="H76" s="12">
        <v>45826</v>
      </c>
      <c r="I76" s="11" t="s">
        <v>72</v>
      </c>
      <c r="J76" s="11" t="s">
        <v>75</v>
      </c>
      <c r="K76" s="11" t="s">
        <v>16</v>
      </c>
      <c r="L76" s="12">
        <v>45823</v>
      </c>
      <c r="M76" s="12">
        <v>45826</v>
      </c>
      <c r="N76" s="44">
        <f t="shared" si="1"/>
        <v>3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140618748</v>
      </c>
      <c r="B77" s="11" t="str">
        <f t="shared" si="0"/>
        <v>14.061.874-8</v>
      </c>
      <c r="C77" s="11" t="s">
        <v>14</v>
      </c>
      <c r="D77" s="11" t="s">
        <v>512</v>
      </c>
      <c r="E77" s="11" t="s">
        <v>610</v>
      </c>
      <c r="F77" s="11" t="s">
        <v>516</v>
      </c>
      <c r="G77" s="12">
        <v>45824</v>
      </c>
      <c r="H77" s="12">
        <v>45826</v>
      </c>
      <c r="I77" s="11" t="s">
        <v>15</v>
      </c>
      <c r="J77" s="11" t="s">
        <v>60</v>
      </c>
      <c r="K77" s="11" t="s">
        <v>16</v>
      </c>
      <c r="L77" s="12">
        <v>45824</v>
      </c>
      <c r="M77" s="12">
        <v>45826</v>
      </c>
      <c r="N77" s="44">
        <f t="shared" si="1"/>
        <v>2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 t="s">
        <v>611</v>
      </c>
      <c r="B78" s="11" t="str">
        <f t="shared" si="0"/>
        <v>9.087.960-k</v>
      </c>
      <c r="C78" s="11" t="s">
        <v>14</v>
      </c>
      <c r="D78" s="11" t="s">
        <v>612</v>
      </c>
      <c r="E78" s="11" t="s">
        <v>20</v>
      </c>
      <c r="F78" s="11" t="s">
        <v>99</v>
      </c>
      <c r="G78" s="12">
        <v>45822</v>
      </c>
      <c r="H78" s="12">
        <v>45825</v>
      </c>
      <c r="I78" s="11" t="s">
        <v>15</v>
      </c>
      <c r="J78" s="11" t="s">
        <v>473</v>
      </c>
      <c r="K78" s="11" t="s">
        <v>16</v>
      </c>
      <c r="L78" s="12">
        <v>45822</v>
      </c>
      <c r="M78" s="12">
        <v>45825</v>
      </c>
      <c r="N78" s="44">
        <f t="shared" si="1"/>
        <v>3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59391127</v>
      </c>
      <c r="B79" s="11" t="str">
        <f t="shared" si="0"/>
        <v>5.939.112-7</v>
      </c>
      <c r="C79" s="11" t="s">
        <v>14</v>
      </c>
      <c r="D79" s="11" t="s">
        <v>317</v>
      </c>
      <c r="E79" s="11" t="s">
        <v>614</v>
      </c>
      <c r="F79" s="11" t="s">
        <v>615</v>
      </c>
      <c r="G79" s="12">
        <v>45825</v>
      </c>
      <c r="H79" s="12">
        <v>45827</v>
      </c>
      <c r="I79" s="11" t="s">
        <v>15</v>
      </c>
      <c r="J79" s="11" t="s">
        <v>60</v>
      </c>
      <c r="K79" s="11" t="s">
        <v>16</v>
      </c>
      <c r="L79" s="12">
        <v>45825</v>
      </c>
      <c r="M79" s="12">
        <v>45827</v>
      </c>
      <c r="N79" s="44">
        <f t="shared" si="1"/>
        <v>2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59391127</v>
      </c>
      <c r="B80" s="11" t="str">
        <f t="shared" si="0"/>
        <v>5.939.112-7</v>
      </c>
      <c r="C80" s="11" t="s">
        <v>14</v>
      </c>
      <c r="D80" s="11" t="s">
        <v>317</v>
      </c>
      <c r="E80" s="11" t="s">
        <v>614</v>
      </c>
      <c r="F80" s="11" t="s">
        <v>615</v>
      </c>
      <c r="G80" s="12">
        <v>45825</v>
      </c>
      <c r="H80" s="12">
        <v>45827</v>
      </c>
      <c r="I80" s="11" t="s">
        <v>15</v>
      </c>
      <c r="J80" s="11" t="s">
        <v>60</v>
      </c>
      <c r="K80" s="11" t="s">
        <v>17</v>
      </c>
      <c r="L80" s="12">
        <v>45825</v>
      </c>
      <c r="M80" s="12">
        <v>45827</v>
      </c>
      <c r="N80" s="44">
        <f t="shared" si="1"/>
        <v>2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92826694</v>
      </c>
      <c r="B81" s="11" t="str">
        <f t="shared" si="0"/>
        <v>9.282.669-4</v>
      </c>
      <c r="C81" s="11" t="s">
        <v>14</v>
      </c>
      <c r="D81" s="11" t="s">
        <v>482</v>
      </c>
      <c r="E81" s="11" t="s">
        <v>350</v>
      </c>
      <c r="F81" s="11" t="s">
        <v>169</v>
      </c>
      <c r="G81" s="12">
        <v>45826</v>
      </c>
      <c r="H81" s="12">
        <v>45828</v>
      </c>
      <c r="I81" s="11" t="s">
        <v>74</v>
      </c>
      <c r="J81" s="11" t="s">
        <v>200</v>
      </c>
      <c r="K81" s="11" t="s">
        <v>16</v>
      </c>
      <c r="L81" s="12">
        <v>45826</v>
      </c>
      <c r="M81" s="12">
        <v>45828</v>
      </c>
      <c r="N81" s="44">
        <f t="shared" si="1"/>
        <v>2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121880482</v>
      </c>
      <c r="B82" s="11" t="str">
        <f t="shared" si="0"/>
        <v>12.188.048-2</v>
      </c>
      <c r="C82" s="11" t="s">
        <v>14</v>
      </c>
      <c r="D82" s="11" t="s">
        <v>299</v>
      </c>
      <c r="E82" s="11" t="s">
        <v>174</v>
      </c>
      <c r="F82" s="11" t="s">
        <v>616</v>
      </c>
      <c r="G82" s="12">
        <v>45827</v>
      </c>
      <c r="H82" s="12">
        <v>45829</v>
      </c>
      <c r="I82" s="11" t="s">
        <v>15</v>
      </c>
      <c r="J82" s="11" t="s">
        <v>106</v>
      </c>
      <c r="K82" s="11" t="s">
        <v>16</v>
      </c>
      <c r="L82" s="12">
        <v>45827</v>
      </c>
      <c r="M82" s="12">
        <v>45829</v>
      </c>
      <c r="N82" s="44">
        <f t="shared" si="1"/>
        <v>2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121880482</v>
      </c>
      <c r="B83" s="11" t="str">
        <f t="shared" si="0"/>
        <v>12.188.048-2</v>
      </c>
      <c r="C83" s="11" t="s">
        <v>14</v>
      </c>
      <c r="D83" s="11" t="s">
        <v>299</v>
      </c>
      <c r="E83" s="11" t="s">
        <v>174</v>
      </c>
      <c r="F83" s="11" t="s">
        <v>616</v>
      </c>
      <c r="G83" s="12">
        <v>45827</v>
      </c>
      <c r="H83" s="12">
        <v>45829</v>
      </c>
      <c r="I83" s="11" t="s">
        <v>15</v>
      </c>
      <c r="J83" s="11" t="s">
        <v>106</v>
      </c>
      <c r="K83" s="11" t="s">
        <v>17</v>
      </c>
      <c r="L83" s="12">
        <v>45827</v>
      </c>
      <c r="M83" s="12">
        <v>45829</v>
      </c>
      <c r="N83" s="44">
        <f t="shared" si="1"/>
        <v>2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121880482</v>
      </c>
      <c r="B84" s="11" t="str">
        <f t="shared" si="0"/>
        <v>12.188.048-2</v>
      </c>
      <c r="C84" s="11" t="s">
        <v>14</v>
      </c>
      <c r="D84" s="11" t="s">
        <v>299</v>
      </c>
      <c r="E84" s="11" t="s">
        <v>174</v>
      </c>
      <c r="F84" s="11" t="s">
        <v>616</v>
      </c>
      <c r="G84" s="12">
        <v>45827</v>
      </c>
      <c r="H84" s="12">
        <v>45829</v>
      </c>
      <c r="I84" s="11" t="s">
        <v>15</v>
      </c>
      <c r="J84" s="11" t="s">
        <v>106</v>
      </c>
      <c r="K84" s="11" t="s">
        <v>18</v>
      </c>
      <c r="L84" s="12">
        <v>45827</v>
      </c>
      <c r="M84" s="12">
        <v>45829</v>
      </c>
      <c r="N84" s="44">
        <f t="shared" si="1"/>
        <v>2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73578019</v>
      </c>
      <c r="B85" s="11" t="str">
        <f t="shared" si="0"/>
        <v>7.357.801-9</v>
      </c>
      <c r="C85" s="11" t="s">
        <v>14</v>
      </c>
      <c r="D85" s="11" t="s">
        <v>449</v>
      </c>
      <c r="E85" s="11" t="s">
        <v>410</v>
      </c>
      <c r="F85" s="11" t="s">
        <v>171</v>
      </c>
      <c r="G85" s="12">
        <v>45826</v>
      </c>
      <c r="H85" s="12">
        <v>45830</v>
      </c>
      <c r="I85" s="11" t="s">
        <v>75</v>
      </c>
      <c r="J85" s="11" t="s">
        <v>47</v>
      </c>
      <c r="K85" s="11" t="s">
        <v>16</v>
      </c>
      <c r="L85" s="12">
        <v>45826</v>
      </c>
      <c r="M85" s="12">
        <v>45830</v>
      </c>
      <c r="N85" s="44">
        <f t="shared" si="1"/>
        <v>4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73578019</v>
      </c>
      <c r="B86" s="11" t="str">
        <f t="shared" si="0"/>
        <v>7.357.801-9</v>
      </c>
      <c r="C86" s="11" t="s">
        <v>14</v>
      </c>
      <c r="D86" s="11" t="s">
        <v>449</v>
      </c>
      <c r="E86" s="11" t="s">
        <v>410</v>
      </c>
      <c r="F86" s="11" t="s">
        <v>171</v>
      </c>
      <c r="G86" s="12">
        <v>45826</v>
      </c>
      <c r="H86" s="12">
        <v>45830</v>
      </c>
      <c r="I86" s="11" t="s">
        <v>75</v>
      </c>
      <c r="J86" s="11" t="s">
        <v>47</v>
      </c>
      <c r="K86" s="11" t="s">
        <v>17</v>
      </c>
      <c r="L86" s="12">
        <v>45826</v>
      </c>
      <c r="M86" s="12">
        <v>45830</v>
      </c>
      <c r="N86" s="44">
        <f t="shared" si="1"/>
        <v>4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 t="s">
        <v>617</v>
      </c>
      <c r="B87" s="11" t="str">
        <f t="shared" si="0"/>
        <v>9.365.658-k</v>
      </c>
      <c r="C87" s="11" t="s">
        <v>14</v>
      </c>
      <c r="D87" s="11" t="s">
        <v>125</v>
      </c>
      <c r="E87" s="11" t="s">
        <v>482</v>
      </c>
      <c r="F87" s="11" t="s">
        <v>618</v>
      </c>
      <c r="G87" s="12">
        <v>45826</v>
      </c>
      <c r="H87" s="12">
        <v>45832</v>
      </c>
      <c r="I87" s="11" t="s">
        <v>15</v>
      </c>
      <c r="J87" s="11" t="s">
        <v>47</v>
      </c>
      <c r="K87" s="11" t="s">
        <v>16</v>
      </c>
      <c r="L87" s="12">
        <v>45826</v>
      </c>
      <c r="M87" s="12">
        <v>45832</v>
      </c>
      <c r="N87" s="44">
        <f t="shared" si="1"/>
        <v>6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 t="s">
        <v>617</v>
      </c>
      <c r="B88" s="11" t="str">
        <f t="shared" si="0"/>
        <v>9.365.658-k</v>
      </c>
      <c r="C88" s="11" t="s">
        <v>14</v>
      </c>
      <c r="D88" s="11" t="s">
        <v>125</v>
      </c>
      <c r="E88" s="11" t="s">
        <v>482</v>
      </c>
      <c r="F88" s="11" t="s">
        <v>618</v>
      </c>
      <c r="G88" s="12">
        <v>45826</v>
      </c>
      <c r="H88" s="12">
        <v>45832</v>
      </c>
      <c r="I88" s="11" t="s">
        <v>15</v>
      </c>
      <c r="J88" s="11" t="s">
        <v>47</v>
      </c>
      <c r="K88" s="11" t="s">
        <v>17</v>
      </c>
      <c r="L88" s="12">
        <v>45826</v>
      </c>
      <c r="M88" s="12">
        <v>45832</v>
      </c>
      <c r="N88" s="44">
        <f t="shared" si="1"/>
        <v>6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 t="s">
        <v>617</v>
      </c>
      <c r="B89" s="11" t="str">
        <f t="shared" si="0"/>
        <v>9.365.658-k</v>
      </c>
      <c r="C89" s="11" t="s">
        <v>14</v>
      </c>
      <c r="D89" s="11" t="s">
        <v>125</v>
      </c>
      <c r="E89" s="11" t="s">
        <v>482</v>
      </c>
      <c r="F89" s="11" t="s">
        <v>618</v>
      </c>
      <c r="G89" s="12">
        <v>45826</v>
      </c>
      <c r="H89" s="12">
        <v>45832</v>
      </c>
      <c r="I89" s="11" t="s">
        <v>15</v>
      </c>
      <c r="J89" s="11" t="s">
        <v>47</v>
      </c>
      <c r="K89" s="11" t="s">
        <v>18</v>
      </c>
      <c r="L89" s="12">
        <v>45826</v>
      </c>
      <c r="M89" s="12">
        <v>45828</v>
      </c>
      <c r="N89" s="44">
        <f t="shared" si="1"/>
        <v>2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 t="s">
        <v>619</v>
      </c>
      <c r="B90" s="11" t="str">
        <f t="shared" si="0"/>
        <v>11.290.395-K</v>
      </c>
      <c r="C90" s="11" t="s">
        <v>14</v>
      </c>
      <c r="D90" s="11" t="s">
        <v>620</v>
      </c>
      <c r="E90" s="11" t="s">
        <v>621</v>
      </c>
      <c r="F90" s="11" t="s">
        <v>328</v>
      </c>
      <c r="G90" s="12">
        <v>45825</v>
      </c>
      <c r="H90" s="12">
        <v>45827</v>
      </c>
      <c r="I90" s="11" t="s">
        <v>15</v>
      </c>
      <c r="J90" s="11" t="s">
        <v>75</v>
      </c>
      <c r="K90" s="11" t="s">
        <v>16</v>
      </c>
      <c r="L90" s="12">
        <v>45825</v>
      </c>
      <c r="M90" s="12">
        <v>45827</v>
      </c>
      <c r="N90" s="44">
        <f t="shared" si="1"/>
        <v>2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152407009</v>
      </c>
      <c r="B91" s="11" t="str">
        <f t="shared" si="0"/>
        <v>15.240.700-9</v>
      </c>
      <c r="C91" s="11" t="s">
        <v>14</v>
      </c>
      <c r="D91" s="11" t="s">
        <v>450</v>
      </c>
      <c r="E91" s="11" t="s">
        <v>622</v>
      </c>
      <c r="F91" s="11" t="s">
        <v>623</v>
      </c>
      <c r="G91" s="12">
        <v>45832</v>
      </c>
      <c r="H91" s="12">
        <v>45836</v>
      </c>
      <c r="I91" s="11" t="s">
        <v>15</v>
      </c>
      <c r="J91" s="11" t="s">
        <v>60</v>
      </c>
      <c r="K91" s="11" t="s">
        <v>16</v>
      </c>
      <c r="L91" s="12">
        <v>45832</v>
      </c>
      <c r="M91" s="12">
        <v>45836</v>
      </c>
      <c r="N91" s="44">
        <f t="shared" si="1"/>
        <v>4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152407009</v>
      </c>
      <c r="B92" s="11" t="str">
        <f t="shared" si="0"/>
        <v>15.240.700-9</v>
      </c>
      <c r="C92" s="11" t="s">
        <v>14</v>
      </c>
      <c r="D92" s="11" t="s">
        <v>450</v>
      </c>
      <c r="E92" s="11" t="s">
        <v>622</v>
      </c>
      <c r="F92" s="11" t="s">
        <v>623</v>
      </c>
      <c r="G92" s="12">
        <v>45832</v>
      </c>
      <c r="H92" s="12">
        <v>45836</v>
      </c>
      <c r="I92" s="11" t="s">
        <v>15</v>
      </c>
      <c r="J92" s="11" t="s">
        <v>60</v>
      </c>
      <c r="K92" s="11" t="s">
        <v>17</v>
      </c>
      <c r="L92" s="12">
        <v>45832</v>
      </c>
      <c r="M92" s="12">
        <v>45836</v>
      </c>
      <c r="N92" s="44">
        <f t="shared" si="1"/>
        <v>4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80718330</v>
      </c>
      <c r="B93" s="11" t="str">
        <f t="shared" si="0"/>
        <v>8.071.833-0</v>
      </c>
      <c r="C93" s="11" t="s">
        <v>14</v>
      </c>
      <c r="D93" s="11" t="s">
        <v>323</v>
      </c>
      <c r="E93" s="11" t="s">
        <v>534</v>
      </c>
      <c r="F93" s="11" t="s">
        <v>624</v>
      </c>
      <c r="G93" s="12">
        <v>45827</v>
      </c>
      <c r="H93" s="12">
        <v>45842</v>
      </c>
      <c r="I93" s="11" t="s">
        <v>15</v>
      </c>
      <c r="J93" s="11" t="s">
        <v>565</v>
      </c>
      <c r="K93" s="11" t="s">
        <v>16</v>
      </c>
      <c r="L93" s="12">
        <v>45827</v>
      </c>
      <c r="M93" s="12">
        <v>45838</v>
      </c>
      <c r="N93" s="44">
        <f t="shared" si="1"/>
        <v>11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80718330</v>
      </c>
      <c r="B94" s="11" t="str">
        <f t="shared" si="0"/>
        <v>8.071.833-0</v>
      </c>
      <c r="C94" s="11" t="s">
        <v>14</v>
      </c>
      <c r="D94" s="11" t="s">
        <v>323</v>
      </c>
      <c r="E94" s="11" t="s">
        <v>534</v>
      </c>
      <c r="F94" s="11" t="s">
        <v>624</v>
      </c>
      <c r="G94" s="12">
        <v>45827</v>
      </c>
      <c r="H94" s="12">
        <v>45842</v>
      </c>
      <c r="I94" s="11" t="s">
        <v>15</v>
      </c>
      <c r="J94" s="11" t="s">
        <v>565</v>
      </c>
      <c r="K94" s="11" t="s">
        <v>17</v>
      </c>
      <c r="L94" s="12">
        <v>45827</v>
      </c>
      <c r="M94" s="12">
        <v>45838</v>
      </c>
      <c r="N94" s="44">
        <f t="shared" si="1"/>
        <v>11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80718330</v>
      </c>
      <c r="B95" s="11" t="str">
        <f t="shared" si="0"/>
        <v>8.071.833-0</v>
      </c>
      <c r="C95" s="11" t="s">
        <v>14</v>
      </c>
      <c r="D95" s="11" t="s">
        <v>323</v>
      </c>
      <c r="E95" s="11" t="s">
        <v>534</v>
      </c>
      <c r="F95" s="11" t="s">
        <v>624</v>
      </c>
      <c r="G95" s="12">
        <v>45827</v>
      </c>
      <c r="H95" s="12">
        <v>45842</v>
      </c>
      <c r="I95" s="11" t="s">
        <v>15</v>
      </c>
      <c r="J95" s="11" t="s">
        <v>565</v>
      </c>
      <c r="K95" s="11" t="s">
        <v>18</v>
      </c>
      <c r="L95" s="12">
        <v>45827</v>
      </c>
      <c r="M95" s="12">
        <v>45835</v>
      </c>
      <c r="N95" s="44">
        <f t="shared" si="1"/>
        <v>8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 t="s">
        <v>625</v>
      </c>
      <c r="B96" s="11" t="str">
        <f t="shared" si="0"/>
        <v>6.568.800-K</v>
      </c>
      <c r="C96" s="11" t="s">
        <v>14</v>
      </c>
      <c r="D96" s="11" t="s">
        <v>626</v>
      </c>
      <c r="E96" s="11" t="s">
        <v>20</v>
      </c>
      <c r="F96" s="11" t="s">
        <v>99</v>
      </c>
      <c r="G96" s="12">
        <v>45831</v>
      </c>
      <c r="H96" s="12">
        <v>45836</v>
      </c>
      <c r="I96" s="11" t="s">
        <v>627</v>
      </c>
      <c r="J96" s="11" t="s">
        <v>627</v>
      </c>
      <c r="K96" s="11" t="s">
        <v>16</v>
      </c>
      <c r="L96" s="12">
        <v>45831</v>
      </c>
      <c r="M96" s="12">
        <v>45836</v>
      </c>
      <c r="N96" s="44">
        <f t="shared" si="1"/>
        <v>5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 t="s">
        <v>625</v>
      </c>
      <c r="B97" s="11" t="str">
        <f t="shared" si="0"/>
        <v>6.568.800-K</v>
      </c>
      <c r="C97" s="11" t="s">
        <v>14</v>
      </c>
      <c r="D97" s="11" t="s">
        <v>626</v>
      </c>
      <c r="E97" s="11" t="s">
        <v>20</v>
      </c>
      <c r="F97" s="11" t="s">
        <v>99</v>
      </c>
      <c r="G97" s="12">
        <v>45831</v>
      </c>
      <c r="H97" s="12">
        <v>45836</v>
      </c>
      <c r="I97" s="11" t="s">
        <v>627</v>
      </c>
      <c r="J97" s="11" t="s">
        <v>627</v>
      </c>
      <c r="K97" s="11" t="s">
        <v>17</v>
      </c>
      <c r="L97" s="12">
        <v>45831</v>
      </c>
      <c r="M97" s="12">
        <v>45836</v>
      </c>
      <c r="N97" s="44">
        <f t="shared" si="1"/>
        <v>5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129751533</v>
      </c>
      <c r="B98" s="11" t="str">
        <f t="shared" si="0"/>
        <v>12.975.153-3</v>
      </c>
      <c r="C98" s="11" t="s">
        <v>14</v>
      </c>
      <c r="D98" s="11" t="s">
        <v>368</v>
      </c>
      <c r="E98" s="11" t="s">
        <v>502</v>
      </c>
      <c r="F98" s="11" t="s">
        <v>503</v>
      </c>
      <c r="G98" s="12">
        <v>45825</v>
      </c>
      <c r="H98" s="12">
        <v>45832</v>
      </c>
      <c r="I98" s="11" t="s">
        <v>75</v>
      </c>
      <c r="J98" s="11" t="s">
        <v>75</v>
      </c>
      <c r="K98" s="11" t="s">
        <v>16</v>
      </c>
      <c r="L98" s="12">
        <v>45825</v>
      </c>
      <c r="M98" s="12">
        <v>45832</v>
      </c>
      <c r="N98" s="44">
        <f t="shared" si="1"/>
        <v>7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 t="s">
        <v>632</v>
      </c>
      <c r="B99" s="11" t="str">
        <f t="shared" si="0"/>
        <v>7.945.723-k</v>
      </c>
      <c r="C99" s="11" t="s">
        <v>14</v>
      </c>
      <c r="D99" s="11" t="s">
        <v>120</v>
      </c>
      <c r="E99" s="11" t="s">
        <v>86</v>
      </c>
      <c r="F99" s="11" t="s">
        <v>184</v>
      </c>
      <c r="G99" s="12">
        <v>45835</v>
      </c>
      <c r="H99" s="12">
        <v>45844</v>
      </c>
      <c r="I99" s="11" t="s">
        <v>15</v>
      </c>
      <c r="J99" s="11" t="s">
        <v>565</v>
      </c>
      <c r="K99" s="11" t="s">
        <v>16</v>
      </c>
      <c r="L99" s="38">
        <v>45835</v>
      </c>
      <c r="M99" s="39">
        <v>45838</v>
      </c>
      <c r="N99" s="44">
        <f t="shared" si="1"/>
        <v>3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100398060</v>
      </c>
      <c r="B100" s="11" t="str">
        <f t="shared" si="0"/>
        <v>10.039.806-0</v>
      </c>
      <c r="C100" s="11" t="s">
        <v>14</v>
      </c>
      <c r="D100" s="11" t="s">
        <v>612</v>
      </c>
      <c r="E100" s="11" t="s">
        <v>154</v>
      </c>
      <c r="F100" s="11" t="s">
        <v>633</v>
      </c>
      <c r="G100" s="12">
        <v>45834</v>
      </c>
      <c r="H100" s="12"/>
      <c r="I100" s="11" t="s">
        <v>15</v>
      </c>
      <c r="J100" s="11" t="s">
        <v>565</v>
      </c>
      <c r="K100" s="11" t="s">
        <v>16</v>
      </c>
      <c r="L100" s="12">
        <v>45834</v>
      </c>
      <c r="M100" s="39">
        <v>45838</v>
      </c>
      <c r="N100" s="44">
        <f t="shared" si="1"/>
        <v>4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100398060</v>
      </c>
      <c r="B101" s="11" t="str">
        <f t="shared" si="0"/>
        <v>10.039.806-0</v>
      </c>
      <c r="C101" s="11" t="s">
        <v>14</v>
      </c>
      <c r="D101" s="11" t="s">
        <v>612</v>
      </c>
      <c r="E101" s="11" t="s">
        <v>154</v>
      </c>
      <c r="F101" s="11" t="s">
        <v>633</v>
      </c>
      <c r="G101" s="12">
        <v>45834</v>
      </c>
      <c r="H101" s="12"/>
      <c r="I101" s="11" t="s">
        <v>15</v>
      </c>
      <c r="J101" s="11" t="s">
        <v>565</v>
      </c>
      <c r="K101" s="11" t="s">
        <v>17</v>
      </c>
      <c r="L101" s="12">
        <v>45834</v>
      </c>
      <c r="M101" s="39">
        <v>45838</v>
      </c>
      <c r="N101" s="44">
        <f t="shared" si="1"/>
        <v>4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100398060</v>
      </c>
      <c r="B102" s="11" t="str">
        <f t="shared" si="0"/>
        <v>10.039.806-0</v>
      </c>
      <c r="C102" s="11" t="s">
        <v>14</v>
      </c>
      <c r="D102" s="11" t="s">
        <v>612</v>
      </c>
      <c r="E102" s="11" t="s">
        <v>154</v>
      </c>
      <c r="F102" s="11" t="s">
        <v>633</v>
      </c>
      <c r="G102" s="12">
        <v>45834</v>
      </c>
      <c r="H102" s="12"/>
      <c r="I102" s="11" t="s">
        <v>15</v>
      </c>
      <c r="J102" s="11" t="s">
        <v>565</v>
      </c>
      <c r="K102" s="11" t="s">
        <v>18</v>
      </c>
      <c r="L102" s="12">
        <v>45834</v>
      </c>
      <c r="M102" s="39">
        <v>45838</v>
      </c>
      <c r="N102" s="44">
        <f t="shared" si="1"/>
        <v>4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6.5" customHeight="1" x14ac:dyDescent="0.45">
      <c r="A103" s="10">
        <v>89136407</v>
      </c>
      <c r="B103" s="11" t="str">
        <f t="shared" si="0"/>
        <v>8.913.640-7</v>
      </c>
      <c r="C103" s="11" t="s">
        <v>14</v>
      </c>
      <c r="D103" s="11" t="s">
        <v>103</v>
      </c>
      <c r="E103" s="11" t="s">
        <v>634</v>
      </c>
      <c r="F103" s="11" t="s">
        <v>635</v>
      </c>
      <c r="G103" s="12">
        <v>45833</v>
      </c>
      <c r="H103" s="12">
        <v>45835</v>
      </c>
      <c r="I103" s="11" t="s">
        <v>627</v>
      </c>
      <c r="J103" s="11" t="s">
        <v>627</v>
      </c>
      <c r="K103" s="11" t="s">
        <v>16</v>
      </c>
      <c r="L103" s="12">
        <v>45833</v>
      </c>
      <c r="M103" s="12">
        <v>45835</v>
      </c>
      <c r="N103" s="44">
        <f t="shared" si="1"/>
        <v>2</v>
      </c>
      <c r="O103" s="44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6.5" customHeight="1" x14ac:dyDescent="0.45">
      <c r="A104" s="10">
        <v>114466654</v>
      </c>
      <c r="B104" s="11" t="str">
        <f t="shared" si="0"/>
        <v>11.446.665-4</v>
      </c>
      <c r="C104" s="11" t="s">
        <v>14</v>
      </c>
      <c r="D104" s="11" t="s">
        <v>323</v>
      </c>
      <c r="E104" s="11" t="s">
        <v>426</v>
      </c>
      <c r="F104" s="11" t="s">
        <v>149</v>
      </c>
      <c r="G104" s="12">
        <v>45832</v>
      </c>
      <c r="H104" s="12">
        <v>45839</v>
      </c>
      <c r="I104" s="11" t="s">
        <v>15</v>
      </c>
      <c r="J104" s="11" t="s">
        <v>42</v>
      </c>
      <c r="K104" s="11" t="s">
        <v>16</v>
      </c>
      <c r="L104" s="12">
        <v>45832</v>
      </c>
      <c r="M104" s="12">
        <v>45839</v>
      </c>
      <c r="N104" s="44">
        <f t="shared" si="1"/>
        <v>7</v>
      </c>
      <c r="O104" s="44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6.5" customHeight="1" x14ac:dyDescent="0.45">
      <c r="A105" s="10">
        <v>114466654</v>
      </c>
      <c r="B105" s="11" t="str">
        <f t="shared" si="0"/>
        <v>11.446.665-4</v>
      </c>
      <c r="C105" s="11" t="s">
        <v>14</v>
      </c>
      <c r="D105" s="11" t="s">
        <v>323</v>
      </c>
      <c r="E105" s="11" t="s">
        <v>426</v>
      </c>
      <c r="F105" s="11" t="s">
        <v>149</v>
      </c>
      <c r="G105" s="12">
        <v>45832</v>
      </c>
      <c r="H105" s="12">
        <v>45839</v>
      </c>
      <c r="I105" s="11" t="s">
        <v>15</v>
      </c>
      <c r="J105" s="11" t="s">
        <v>42</v>
      </c>
      <c r="K105" s="11" t="s">
        <v>17</v>
      </c>
      <c r="L105" s="12">
        <v>45832</v>
      </c>
      <c r="M105" s="12">
        <v>45839</v>
      </c>
      <c r="N105" s="44">
        <f t="shared" si="1"/>
        <v>7</v>
      </c>
      <c r="O105" s="44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6.5" customHeight="1" x14ac:dyDescent="0.45">
      <c r="A106" s="10">
        <v>114466654</v>
      </c>
      <c r="B106" s="11" t="str">
        <f t="shared" si="0"/>
        <v>11.446.665-4</v>
      </c>
      <c r="C106" s="11" t="s">
        <v>14</v>
      </c>
      <c r="D106" s="11" t="s">
        <v>323</v>
      </c>
      <c r="E106" s="11" t="s">
        <v>426</v>
      </c>
      <c r="F106" s="11" t="s">
        <v>149</v>
      </c>
      <c r="G106" s="12">
        <v>45832</v>
      </c>
      <c r="H106" s="12">
        <v>45839</v>
      </c>
      <c r="I106" s="11" t="s">
        <v>15</v>
      </c>
      <c r="J106" s="11" t="s">
        <v>42</v>
      </c>
      <c r="K106" s="11" t="s">
        <v>18</v>
      </c>
      <c r="L106" s="12">
        <v>45832</v>
      </c>
      <c r="M106" s="12">
        <v>45833</v>
      </c>
      <c r="N106" s="44">
        <f t="shared" si="1"/>
        <v>1</v>
      </c>
      <c r="O106" s="44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5.75" customHeight="1" x14ac:dyDescent="0.45">
      <c r="A107" s="15">
        <v>43774549</v>
      </c>
      <c r="B107" s="16" t="str">
        <f t="shared" si="0"/>
        <v>4.377.454-9</v>
      </c>
      <c r="C107" s="16" t="s">
        <v>28</v>
      </c>
      <c r="D107" s="16" t="s">
        <v>553</v>
      </c>
      <c r="E107" s="16" t="s">
        <v>554</v>
      </c>
      <c r="F107" s="16" t="s">
        <v>555</v>
      </c>
      <c r="G107" s="17">
        <v>45803</v>
      </c>
      <c r="H107" s="17">
        <v>45814</v>
      </c>
      <c r="I107" s="16" t="s">
        <v>72</v>
      </c>
      <c r="J107" s="37" t="s">
        <v>348</v>
      </c>
      <c r="K107" s="53" t="s">
        <v>17</v>
      </c>
      <c r="L107" s="28">
        <v>45809</v>
      </c>
      <c r="M107" s="28">
        <v>45814</v>
      </c>
      <c r="N107" s="46">
        <f t="shared" si="1"/>
        <v>5</v>
      </c>
      <c r="O107" s="28"/>
      <c r="P107" t="s">
        <v>952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5">
        <v>142799049</v>
      </c>
      <c r="B108" s="16" t="str">
        <f t="shared" si="0"/>
        <v>14.279.904-9</v>
      </c>
      <c r="C108" s="16" t="s">
        <v>28</v>
      </c>
      <c r="D108" s="16" t="s">
        <v>557</v>
      </c>
      <c r="E108" s="16" t="s">
        <v>558</v>
      </c>
      <c r="F108" s="16" t="s">
        <v>105</v>
      </c>
      <c r="G108" s="17">
        <v>45807</v>
      </c>
      <c r="H108" s="17">
        <v>45817</v>
      </c>
      <c r="I108" s="16" t="s">
        <v>72</v>
      </c>
      <c r="J108" s="37" t="s">
        <v>62</v>
      </c>
      <c r="K108" s="53" t="s">
        <v>17</v>
      </c>
      <c r="L108" s="28">
        <v>45809</v>
      </c>
      <c r="M108" s="28">
        <v>45817</v>
      </c>
      <c r="N108" s="46">
        <f t="shared" si="1"/>
        <v>8</v>
      </c>
      <c r="O108" s="28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101692213</v>
      </c>
      <c r="B109" s="16" t="str">
        <f t="shared" si="0"/>
        <v>10.169.221-3</v>
      </c>
      <c r="C109" s="16" t="s">
        <v>28</v>
      </c>
      <c r="D109" s="16" t="s">
        <v>173</v>
      </c>
      <c r="E109" s="16" t="s">
        <v>559</v>
      </c>
      <c r="F109" s="16" t="s">
        <v>105</v>
      </c>
      <c r="G109" s="17">
        <v>45806</v>
      </c>
      <c r="H109" s="17">
        <v>45810</v>
      </c>
      <c r="I109" s="16" t="s">
        <v>60</v>
      </c>
      <c r="J109" s="37" t="s">
        <v>348</v>
      </c>
      <c r="K109" s="53" t="s">
        <v>16</v>
      </c>
      <c r="L109" s="28">
        <v>45809</v>
      </c>
      <c r="M109" s="28">
        <v>45810</v>
      </c>
      <c r="N109" s="46">
        <f t="shared" si="1"/>
        <v>1</v>
      </c>
      <c r="O109" s="28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101692213</v>
      </c>
      <c r="B110" s="16" t="str">
        <f t="shared" si="0"/>
        <v>10.169.221-3</v>
      </c>
      <c r="C110" s="16" t="s">
        <v>28</v>
      </c>
      <c r="D110" s="16" t="s">
        <v>173</v>
      </c>
      <c r="E110" s="16" t="s">
        <v>559</v>
      </c>
      <c r="F110" s="16" t="s">
        <v>105</v>
      </c>
      <c r="G110" s="17">
        <v>45806</v>
      </c>
      <c r="H110" s="17">
        <v>45810</v>
      </c>
      <c r="I110" s="16" t="s">
        <v>60</v>
      </c>
      <c r="J110" s="37" t="s">
        <v>348</v>
      </c>
      <c r="K110" s="53" t="s">
        <v>17</v>
      </c>
      <c r="L110" s="28">
        <v>45809</v>
      </c>
      <c r="M110" s="28">
        <v>45810</v>
      </c>
      <c r="N110" s="46">
        <f t="shared" si="1"/>
        <v>1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68340675</v>
      </c>
      <c r="B111" s="16" t="str">
        <f t="shared" si="0"/>
        <v>6.834.067-5</v>
      </c>
      <c r="C111" s="16" t="s">
        <v>28</v>
      </c>
      <c r="D111" s="16" t="s">
        <v>528</v>
      </c>
      <c r="E111" s="16" t="s">
        <v>447</v>
      </c>
      <c r="F111" s="16" t="s">
        <v>529</v>
      </c>
      <c r="G111" s="17">
        <v>45807</v>
      </c>
      <c r="H111" s="17">
        <v>45819</v>
      </c>
      <c r="I111" s="16" t="s">
        <v>14</v>
      </c>
      <c r="J111" s="37" t="s">
        <v>48</v>
      </c>
      <c r="K111" s="53" t="s">
        <v>17</v>
      </c>
      <c r="L111" s="29">
        <v>45809</v>
      </c>
      <c r="M111" s="28">
        <v>45819</v>
      </c>
      <c r="N111" s="46">
        <f t="shared" si="1"/>
        <v>10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>
        <v>38580892</v>
      </c>
      <c r="B112" s="16" t="str">
        <f t="shared" si="0"/>
        <v>3.858.089-2</v>
      </c>
      <c r="C112" s="16" t="s">
        <v>28</v>
      </c>
      <c r="D112" s="16" t="s">
        <v>129</v>
      </c>
      <c r="E112" s="16" t="s">
        <v>197</v>
      </c>
      <c r="F112" s="16" t="s">
        <v>569</v>
      </c>
      <c r="G112" s="17">
        <v>45811</v>
      </c>
      <c r="H112" s="17">
        <v>45820</v>
      </c>
      <c r="I112" s="16" t="s">
        <v>60</v>
      </c>
      <c r="J112" s="37" t="s">
        <v>200</v>
      </c>
      <c r="K112" s="53" t="s">
        <v>16</v>
      </c>
      <c r="L112" s="17">
        <v>45811</v>
      </c>
      <c r="M112" s="17">
        <v>45820</v>
      </c>
      <c r="N112" s="46">
        <f t="shared" si="1"/>
        <v>9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38580892</v>
      </c>
      <c r="B113" s="16" t="str">
        <f t="shared" si="0"/>
        <v>3.858.089-2</v>
      </c>
      <c r="C113" s="16" t="s">
        <v>28</v>
      </c>
      <c r="D113" s="16" t="s">
        <v>129</v>
      </c>
      <c r="E113" s="16" t="s">
        <v>197</v>
      </c>
      <c r="F113" s="16" t="s">
        <v>569</v>
      </c>
      <c r="G113" s="17">
        <v>45811</v>
      </c>
      <c r="H113" s="17">
        <v>45820</v>
      </c>
      <c r="I113" s="16" t="s">
        <v>60</v>
      </c>
      <c r="J113" s="37" t="s">
        <v>200</v>
      </c>
      <c r="K113" s="53" t="s">
        <v>17</v>
      </c>
      <c r="L113" s="51">
        <v>45811</v>
      </c>
      <c r="M113" s="17">
        <v>45820</v>
      </c>
      <c r="N113" s="46">
        <f t="shared" si="1"/>
        <v>9</v>
      </c>
      <c r="O113" s="28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5">
        <v>198161470</v>
      </c>
      <c r="B114" s="16" t="str">
        <f t="shared" si="0"/>
        <v>19.816.147-0</v>
      </c>
      <c r="C114" s="16" t="s">
        <v>28</v>
      </c>
      <c r="D114" s="16" t="s">
        <v>154</v>
      </c>
      <c r="E114" s="16" t="s">
        <v>125</v>
      </c>
      <c r="F114" s="16" t="s">
        <v>223</v>
      </c>
      <c r="G114" s="17">
        <v>45813</v>
      </c>
      <c r="H114" s="17">
        <v>45817</v>
      </c>
      <c r="I114" s="16" t="s">
        <v>60</v>
      </c>
      <c r="J114" s="37" t="s">
        <v>42</v>
      </c>
      <c r="K114" s="53" t="s">
        <v>16</v>
      </c>
      <c r="L114" s="28">
        <v>45813</v>
      </c>
      <c r="M114" s="28">
        <v>45817</v>
      </c>
      <c r="N114" s="46">
        <f t="shared" si="1"/>
        <v>4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70896524</v>
      </c>
      <c r="B115" s="16" t="str">
        <f t="shared" si="0"/>
        <v>7.089.652-4</v>
      </c>
      <c r="C115" s="16" t="s">
        <v>28</v>
      </c>
      <c r="D115" s="16" t="s">
        <v>178</v>
      </c>
      <c r="E115" s="16" t="s">
        <v>343</v>
      </c>
      <c r="F115" s="16" t="s">
        <v>171</v>
      </c>
      <c r="G115" s="17">
        <v>45811</v>
      </c>
      <c r="H115" s="17">
        <v>45817</v>
      </c>
      <c r="I115" s="16" t="s">
        <v>32</v>
      </c>
      <c r="J115" s="37"/>
      <c r="K115" s="53" t="s">
        <v>17</v>
      </c>
      <c r="L115" s="28">
        <v>45811</v>
      </c>
      <c r="M115" s="28">
        <v>45814</v>
      </c>
      <c r="N115" s="46">
        <f t="shared" si="1"/>
        <v>3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95496318</v>
      </c>
      <c r="B116" s="16" t="str">
        <f t="shared" si="0"/>
        <v>9.549.631-8</v>
      </c>
      <c r="C116" s="16" t="s">
        <v>28</v>
      </c>
      <c r="D116" s="16" t="s">
        <v>567</v>
      </c>
      <c r="E116" s="16" t="s">
        <v>512</v>
      </c>
      <c r="F116" s="16" t="s">
        <v>568</v>
      </c>
      <c r="G116" s="17">
        <v>45810</v>
      </c>
      <c r="H116" s="17">
        <v>45821</v>
      </c>
      <c r="I116" s="16" t="s">
        <v>14</v>
      </c>
      <c r="J116" s="37" t="s">
        <v>62</v>
      </c>
      <c r="K116" s="53" t="s">
        <v>17</v>
      </c>
      <c r="L116" s="28">
        <v>45810</v>
      </c>
      <c r="M116" s="28">
        <v>45815</v>
      </c>
      <c r="N116" s="46">
        <f t="shared" si="1"/>
        <v>5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5">
        <v>60867992</v>
      </c>
      <c r="B117" s="16" t="str">
        <f t="shared" si="0"/>
        <v>6.086.799-2</v>
      </c>
      <c r="C117" s="16" t="s">
        <v>28</v>
      </c>
      <c r="D117" s="16" t="s">
        <v>450</v>
      </c>
      <c r="E117" s="16" t="s">
        <v>426</v>
      </c>
      <c r="F117" s="16" t="s">
        <v>89</v>
      </c>
      <c r="G117" s="17">
        <v>45809</v>
      </c>
      <c r="H117" s="17">
        <v>45815</v>
      </c>
      <c r="I117" s="16" t="s">
        <v>15</v>
      </c>
      <c r="J117" s="37" t="s">
        <v>42</v>
      </c>
      <c r="K117" s="53" t="s">
        <v>17</v>
      </c>
      <c r="L117" s="51">
        <v>45809</v>
      </c>
      <c r="M117" s="51">
        <v>45815</v>
      </c>
      <c r="N117" s="46">
        <f t="shared" si="1"/>
        <v>6</v>
      </c>
      <c r="O117" s="28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>
        <v>86731517</v>
      </c>
      <c r="B118" s="16" t="str">
        <f t="shared" si="0"/>
        <v>8.673.151-7</v>
      </c>
      <c r="C118" s="16" t="s">
        <v>28</v>
      </c>
      <c r="D118" s="16" t="s">
        <v>322</v>
      </c>
      <c r="E118" s="16" t="s">
        <v>101</v>
      </c>
      <c r="F118" s="16" t="s">
        <v>599</v>
      </c>
      <c r="G118" s="17">
        <v>45819</v>
      </c>
      <c r="H118" s="17">
        <v>45825</v>
      </c>
      <c r="I118" s="16" t="s">
        <v>329</v>
      </c>
      <c r="J118" s="37" t="s">
        <v>72</v>
      </c>
      <c r="K118" s="53" t="s">
        <v>16</v>
      </c>
      <c r="L118" s="28">
        <v>45819</v>
      </c>
      <c r="M118" s="28">
        <v>45821</v>
      </c>
      <c r="N118" s="46">
        <f t="shared" si="1"/>
        <v>2</v>
      </c>
      <c r="O118" s="28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5">
        <v>96504306</v>
      </c>
      <c r="B119" s="16" t="str">
        <f t="shared" si="0"/>
        <v>9.650.430-6</v>
      </c>
      <c r="C119" s="16" t="s">
        <v>28</v>
      </c>
      <c r="D119" s="16" t="s">
        <v>368</v>
      </c>
      <c r="E119" s="16" t="s">
        <v>20</v>
      </c>
      <c r="F119" s="16" t="s">
        <v>414</v>
      </c>
      <c r="G119" s="17">
        <v>45816</v>
      </c>
      <c r="H119" s="17">
        <v>45825</v>
      </c>
      <c r="I119" s="16" t="s">
        <v>15</v>
      </c>
      <c r="J119" s="37" t="s">
        <v>42</v>
      </c>
      <c r="K119" s="53" t="s">
        <v>17</v>
      </c>
      <c r="L119" s="28">
        <v>45816</v>
      </c>
      <c r="M119" s="28">
        <v>45825</v>
      </c>
      <c r="N119" s="46">
        <f t="shared" si="1"/>
        <v>9</v>
      </c>
      <c r="O119" s="28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5">
        <v>59905457</v>
      </c>
      <c r="B120" s="16" t="str">
        <f t="shared" si="0"/>
        <v>5.990.545-7</v>
      </c>
      <c r="C120" s="16" t="s">
        <v>28</v>
      </c>
      <c r="D120" s="16" t="s">
        <v>322</v>
      </c>
      <c r="E120" s="16" t="s">
        <v>143</v>
      </c>
      <c r="F120" s="16" t="s">
        <v>334</v>
      </c>
      <c r="G120" s="17">
        <v>45822</v>
      </c>
      <c r="H120" s="17">
        <v>45833</v>
      </c>
      <c r="I120" s="16" t="s">
        <v>15</v>
      </c>
      <c r="J120" s="37" t="s">
        <v>62</v>
      </c>
      <c r="K120" s="53" t="s">
        <v>17</v>
      </c>
      <c r="L120" s="28">
        <v>45822</v>
      </c>
      <c r="M120" s="28">
        <v>45833</v>
      </c>
      <c r="N120" s="46">
        <f t="shared" si="1"/>
        <v>11</v>
      </c>
      <c r="O120" s="28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5">
        <v>81485186</v>
      </c>
      <c r="B121" s="16" t="str">
        <f t="shared" si="0"/>
        <v>8.148.518-6</v>
      </c>
      <c r="C121" s="16" t="s">
        <v>28</v>
      </c>
      <c r="D121" s="16" t="s">
        <v>525</v>
      </c>
      <c r="E121" s="16" t="s">
        <v>628</v>
      </c>
      <c r="F121" s="16" t="s">
        <v>99</v>
      </c>
      <c r="G121" s="17">
        <v>45825</v>
      </c>
      <c r="H121" s="17">
        <v>45842</v>
      </c>
      <c r="I121" s="16" t="s">
        <v>15</v>
      </c>
      <c r="J121" s="37" t="s">
        <v>565</v>
      </c>
      <c r="K121" s="53" t="s">
        <v>17</v>
      </c>
      <c r="L121" s="17">
        <v>45825</v>
      </c>
      <c r="M121" s="17">
        <v>45838</v>
      </c>
      <c r="N121" s="46">
        <f t="shared" si="1"/>
        <v>13</v>
      </c>
      <c r="O121" s="28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5">
        <v>40600701</v>
      </c>
      <c r="B122" s="16" t="str">
        <f t="shared" si="0"/>
        <v>4.060.070-1</v>
      </c>
      <c r="C122" s="16" t="s">
        <v>28</v>
      </c>
      <c r="D122" s="16" t="s">
        <v>512</v>
      </c>
      <c r="E122" s="16" t="s">
        <v>629</v>
      </c>
      <c r="F122" s="16" t="s">
        <v>630</v>
      </c>
      <c r="G122" s="17">
        <v>45827</v>
      </c>
      <c r="H122" s="17">
        <v>45844</v>
      </c>
      <c r="I122" s="16" t="s">
        <v>15</v>
      </c>
      <c r="J122" s="37" t="s">
        <v>565</v>
      </c>
      <c r="K122" s="53" t="s">
        <v>16</v>
      </c>
      <c r="L122" s="17">
        <v>45827</v>
      </c>
      <c r="M122" s="17">
        <v>45838</v>
      </c>
      <c r="N122" s="46">
        <f t="shared" si="1"/>
        <v>11</v>
      </c>
      <c r="O122" s="28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A123" s="15">
        <v>54523157</v>
      </c>
      <c r="B123" s="16" t="str">
        <f t="shared" si="0"/>
        <v>5.452.315-7</v>
      </c>
      <c r="C123" s="16" t="s">
        <v>28</v>
      </c>
      <c r="D123" s="16" t="s">
        <v>631</v>
      </c>
      <c r="E123" s="16" t="s">
        <v>190</v>
      </c>
      <c r="F123" s="16" t="s">
        <v>501</v>
      </c>
      <c r="G123" s="17">
        <v>45827</v>
      </c>
      <c r="H123" s="17">
        <v>45836</v>
      </c>
      <c r="I123" s="16" t="s">
        <v>15</v>
      </c>
      <c r="J123" s="37" t="s">
        <v>106</v>
      </c>
      <c r="K123" s="53" t="s">
        <v>16</v>
      </c>
      <c r="L123" s="17">
        <v>45827</v>
      </c>
      <c r="M123" s="17">
        <v>45836</v>
      </c>
      <c r="N123" s="46">
        <f t="shared" si="1"/>
        <v>9</v>
      </c>
      <c r="O123" s="28"/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1074</v>
      </c>
    </row>
    <row r="124" spans="1:21" ht="15.75" customHeight="1" x14ac:dyDescent="0.45">
      <c r="A124" s="19">
        <v>50514676</v>
      </c>
      <c r="B124" s="19" t="str">
        <f t="shared" ref="B124:B127" si="4">IF(LEN(A124)=8,MID(A124,1,1)&amp;"."&amp;MID(A124,2,3)&amp;"."&amp;MID(A124,5,3)&amp;"-"&amp;RIGHT(A124,1),IF(LEFT(RIGHT(A124,2),1)="-",MID(A124,1,1)&amp;"."&amp;MID(A124,2,3)&amp;"."&amp;MID(A124,5,3)&amp;"-"&amp;RIGHT(A124,1),MID(A124,1,2)&amp;"."&amp;MID(A124,3,3)&amp;"."&amp;MID(A124,6,3)&amp;"-"&amp;MID(A124,9,1)))</f>
        <v>5.051.467-6</v>
      </c>
      <c r="C124" s="19" t="s">
        <v>32</v>
      </c>
      <c r="D124" s="19" t="s">
        <v>584</v>
      </c>
      <c r="E124" s="19" t="s">
        <v>484</v>
      </c>
      <c r="F124" s="19" t="s">
        <v>585</v>
      </c>
      <c r="G124" s="20">
        <v>45811</v>
      </c>
      <c r="H124" s="20">
        <v>45814</v>
      </c>
      <c r="I124" s="19" t="s">
        <v>15</v>
      </c>
      <c r="J124" s="19" t="s">
        <v>348</v>
      </c>
      <c r="K124" s="19" t="s">
        <v>17</v>
      </c>
      <c r="L124" s="20">
        <v>45811</v>
      </c>
      <c r="M124" s="20">
        <v>45814</v>
      </c>
      <c r="N124" s="47">
        <f t="shared" si="1"/>
        <v>3</v>
      </c>
      <c r="O124" s="34"/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1074</v>
      </c>
    </row>
    <row r="125" spans="1:21" ht="15.75" customHeight="1" x14ac:dyDescent="0.45">
      <c r="A125" s="19">
        <v>91715538</v>
      </c>
      <c r="B125" s="19" t="str">
        <f t="shared" si="4"/>
        <v>9.171.553-8</v>
      </c>
      <c r="C125" s="19" t="s">
        <v>32</v>
      </c>
      <c r="D125" s="19" t="s">
        <v>167</v>
      </c>
      <c r="E125" s="19" t="s">
        <v>134</v>
      </c>
      <c r="F125" s="19" t="s">
        <v>328</v>
      </c>
      <c r="G125" s="20">
        <v>45811</v>
      </c>
      <c r="H125" s="20">
        <v>45813</v>
      </c>
      <c r="I125" s="19" t="s">
        <v>15</v>
      </c>
      <c r="J125" s="19" t="s">
        <v>42</v>
      </c>
      <c r="K125" s="19" t="s">
        <v>64</v>
      </c>
      <c r="L125" s="128" t="s">
        <v>108</v>
      </c>
      <c r="M125" s="129"/>
      <c r="N125" s="47" t="e">
        <f t="shared" si="1"/>
        <v>#VALUE!</v>
      </c>
      <c r="O125" s="34"/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1074</v>
      </c>
    </row>
    <row r="126" spans="1:21" ht="15.75" customHeight="1" x14ac:dyDescent="0.45">
      <c r="A126" s="19">
        <v>65179172</v>
      </c>
      <c r="B126" s="19" t="str">
        <f t="shared" si="4"/>
        <v>6.517.917-2</v>
      </c>
      <c r="C126" s="19" t="s">
        <v>32</v>
      </c>
      <c r="D126" s="19" t="s">
        <v>178</v>
      </c>
      <c r="E126" s="19" t="s">
        <v>600</v>
      </c>
      <c r="F126" s="19" t="s">
        <v>601</v>
      </c>
      <c r="G126" s="20">
        <v>45815</v>
      </c>
      <c r="H126" s="20">
        <v>45818</v>
      </c>
      <c r="I126" s="19" t="s">
        <v>15</v>
      </c>
      <c r="J126" s="19" t="s">
        <v>72</v>
      </c>
      <c r="K126" s="19" t="s">
        <v>17</v>
      </c>
      <c r="L126" s="20">
        <v>45815</v>
      </c>
      <c r="M126" s="20">
        <v>45818</v>
      </c>
      <c r="N126" s="47">
        <f t="shared" si="1"/>
        <v>3</v>
      </c>
      <c r="O126" s="34"/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1074</v>
      </c>
    </row>
    <row r="127" spans="1:21" ht="15.75" customHeight="1" x14ac:dyDescent="0.45">
      <c r="A127" s="19">
        <v>91167166</v>
      </c>
      <c r="B127" s="19" t="str">
        <f t="shared" si="4"/>
        <v>9.116.716-6</v>
      </c>
      <c r="C127" s="19" t="s">
        <v>32</v>
      </c>
      <c r="D127" s="19" t="s">
        <v>292</v>
      </c>
      <c r="E127" s="19" t="s">
        <v>125</v>
      </c>
      <c r="F127" s="19" t="s">
        <v>613</v>
      </c>
      <c r="G127" s="20">
        <v>45821</v>
      </c>
      <c r="H127" s="20">
        <v>45826</v>
      </c>
      <c r="I127" s="19" t="s">
        <v>15</v>
      </c>
      <c r="J127" s="19" t="s">
        <v>72</v>
      </c>
      <c r="K127" s="21" t="s">
        <v>17</v>
      </c>
      <c r="L127" s="20">
        <v>45821</v>
      </c>
      <c r="M127" s="20">
        <v>45826</v>
      </c>
      <c r="N127" s="47">
        <f t="shared" si="1"/>
        <v>5</v>
      </c>
      <c r="O127" s="34"/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1074</v>
      </c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  <c r="U128">
        <f>COUNTIF(U8:U127,"si")</f>
        <v>1</v>
      </c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J259" s="23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/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</sheetData>
  <mergeCells count="6">
    <mergeCell ref="L125:M125"/>
    <mergeCell ref="O36:O38"/>
    <mergeCell ref="O8:O10"/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C94C69-0921-4A75-8F8F-397AD412F7DC}">
          <x14:formula1>
            <xm:f>Criterios!$A$2:$A$128</xm:f>
          </x14:formula1>
          <xm:sqref>P8:T127</xm:sqref>
        </x14:dataValidation>
        <x14:dataValidation type="list" allowBlank="1" showInputMessage="1" showErrorMessage="1" xr:uid="{140E60B7-82D9-4777-B1D6-B47CBAF19977}">
          <x14:formula1>
            <xm:f>Hoja1!$G$2:$G$3</xm:f>
          </x14:formula1>
          <xm:sqref>U8:U127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03210-D74F-499F-A20C-8C2AEA472B81}">
  <dimension ref="A1:U993"/>
  <sheetViews>
    <sheetView zoomScale="70" zoomScaleNormal="70" workbookViewId="0">
      <pane xSplit="2" ySplit="2" topLeftCell="K49" activePane="bottomRight" state="frozen"/>
      <selection pane="topRight" activeCell="C1" sqref="C1"/>
      <selection pane="bottomLeft" activeCell="A3" sqref="A3"/>
      <selection pane="bottomRight" activeCell="U85" sqref="U85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636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28.5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80718330</v>
      </c>
      <c r="B8" s="11" t="str">
        <f t="shared" ref="B8:B124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8.071.833-0</v>
      </c>
      <c r="C8" s="11" t="s">
        <v>14</v>
      </c>
      <c r="D8" s="11" t="s">
        <v>323</v>
      </c>
      <c r="E8" s="11" t="s">
        <v>534</v>
      </c>
      <c r="F8" s="11" t="s">
        <v>624</v>
      </c>
      <c r="G8" s="12">
        <v>45827</v>
      </c>
      <c r="H8" s="12">
        <v>45842</v>
      </c>
      <c r="I8" s="11" t="s">
        <v>15</v>
      </c>
      <c r="J8" s="11" t="s">
        <v>60</v>
      </c>
      <c r="K8" s="11" t="s">
        <v>16</v>
      </c>
      <c r="L8" s="12">
        <v>45839</v>
      </c>
      <c r="M8" s="12">
        <v>45842</v>
      </c>
      <c r="N8" s="44">
        <f t="shared" ref="N8:N127" si="1">+M8-L8</f>
        <v>3</v>
      </c>
      <c r="O8" s="44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80718330</v>
      </c>
      <c r="B9" s="11" t="str">
        <f t="shared" si="0"/>
        <v>8.071.833-0</v>
      </c>
      <c r="C9" s="11" t="s">
        <v>14</v>
      </c>
      <c r="D9" s="11" t="s">
        <v>323</v>
      </c>
      <c r="E9" s="11" t="s">
        <v>534</v>
      </c>
      <c r="F9" s="11" t="s">
        <v>624</v>
      </c>
      <c r="G9" s="12">
        <v>45827</v>
      </c>
      <c r="H9" s="12">
        <v>45842</v>
      </c>
      <c r="I9" s="11" t="s">
        <v>15</v>
      </c>
      <c r="J9" s="11" t="s">
        <v>60</v>
      </c>
      <c r="K9" s="11" t="s">
        <v>17</v>
      </c>
      <c r="L9" s="12">
        <v>45839</v>
      </c>
      <c r="M9" s="12">
        <v>45842</v>
      </c>
      <c r="N9" s="44">
        <f t="shared" si="1"/>
        <v>3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80718330</v>
      </c>
      <c r="B10" s="11" t="str">
        <f t="shared" si="0"/>
        <v>8.071.833-0</v>
      </c>
      <c r="C10" s="11" t="s">
        <v>14</v>
      </c>
      <c r="D10" s="11" t="s">
        <v>323</v>
      </c>
      <c r="E10" s="11" t="s">
        <v>534</v>
      </c>
      <c r="F10" s="11" t="s">
        <v>624</v>
      </c>
      <c r="G10" s="12">
        <v>45827</v>
      </c>
      <c r="H10" s="12">
        <v>45842</v>
      </c>
      <c r="I10" s="11" t="s">
        <v>15</v>
      </c>
      <c r="J10" s="11" t="s">
        <v>60</v>
      </c>
      <c r="K10" s="11" t="s">
        <v>18</v>
      </c>
      <c r="L10" s="12">
        <v>45839</v>
      </c>
      <c r="M10" s="12">
        <v>45842</v>
      </c>
      <c r="N10" s="44">
        <f t="shared" si="1"/>
        <v>3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 t="s">
        <v>632</v>
      </c>
      <c r="B11" s="11" t="str">
        <f t="shared" si="0"/>
        <v>7.945.723-k</v>
      </c>
      <c r="C11" s="11" t="s">
        <v>14</v>
      </c>
      <c r="D11" s="11" t="s">
        <v>120</v>
      </c>
      <c r="E11" s="11" t="s">
        <v>86</v>
      </c>
      <c r="F11" s="11" t="s">
        <v>184</v>
      </c>
      <c r="G11" s="12">
        <v>45835</v>
      </c>
      <c r="H11" s="12">
        <v>45844</v>
      </c>
      <c r="I11" s="11" t="s">
        <v>15</v>
      </c>
      <c r="J11" s="11" t="s">
        <v>72</v>
      </c>
      <c r="K11" s="11" t="s">
        <v>16</v>
      </c>
      <c r="L11" s="12">
        <v>45839</v>
      </c>
      <c r="M11" s="12">
        <v>45844</v>
      </c>
      <c r="N11" s="44">
        <f t="shared" si="1"/>
        <v>5</v>
      </c>
      <c r="O11" s="44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 t="s">
        <v>632</v>
      </c>
      <c r="B12" s="11" t="str">
        <f t="shared" si="0"/>
        <v>7.945.723-k</v>
      </c>
      <c r="C12" s="11" t="s">
        <v>14</v>
      </c>
      <c r="D12" s="11" t="s">
        <v>120</v>
      </c>
      <c r="E12" s="11" t="s">
        <v>86</v>
      </c>
      <c r="F12" s="11" t="s">
        <v>184</v>
      </c>
      <c r="G12" s="12">
        <v>45835</v>
      </c>
      <c r="H12" s="12">
        <v>45844</v>
      </c>
      <c r="I12" s="11" t="s">
        <v>15</v>
      </c>
      <c r="J12" s="11" t="s">
        <v>72</v>
      </c>
      <c r="K12" s="11" t="s">
        <v>17</v>
      </c>
      <c r="L12" s="12">
        <v>45839</v>
      </c>
      <c r="M12" s="12">
        <v>45844</v>
      </c>
      <c r="N12" s="44">
        <f t="shared" si="1"/>
        <v>5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100398060</v>
      </c>
      <c r="B13" s="11" t="str">
        <f t="shared" si="0"/>
        <v>10.039.806-0</v>
      </c>
      <c r="C13" s="11" t="s">
        <v>14</v>
      </c>
      <c r="D13" s="11" t="s">
        <v>612</v>
      </c>
      <c r="E13" s="11" t="s">
        <v>154</v>
      </c>
      <c r="F13" s="11" t="s">
        <v>633</v>
      </c>
      <c r="G13" s="12">
        <v>45834</v>
      </c>
      <c r="H13" s="12">
        <v>45857</v>
      </c>
      <c r="I13" s="11" t="s">
        <v>15</v>
      </c>
      <c r="J13" s="11" t="s">
        <v>106</v>
      </c>
      <c r="K13" s="11" t="s">
        <v>16</v>
      </c>
      <c r="L13" s="12">
        <v>45839</v>
      </c>
      <c r="M13" s="12">
        <v>45857</v>
      </c>
      <c r="N13" s="44">
        <f t="shared" si="1"/>
        <v>18</v>
      </c>
      <c r="O13" s="44"/>
      <c r="P13" t="s">
        <v>942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100398060</v>
      </c>
      <c r="B14" s="11" t="str">
        <f t="shared" si="0"/>
        <v>10.039.806-0</v>
      </c>
      <c r="C14" s="11" t="s">
        <v>14</v>
      </c>
      <c r="D14" s="11" t="s">
        <v>612</v>
      </c>
      <c r="E14" s="11" t="s">
        <v>154</v>
      </c>
      <c r="F14" s="11" t="s">
        <v>633</v>
      </c>
      <c r="G14" s="12">
        <v>45834</v>
      </c>
      <c r="H14" s="12">
        <v>45857</v>
      </c>
      <c r="I14" s="11" t="s">
        <v>15</v>
      </c>
      <c r="J14" s="11" t="s">
        <v>106</v>
      </c>
      <c r="K14" s="11" t="s">
        <v>17</v>
      </c>
      <c r="L14" s="12">
        <v>45839</v>
      </c>
      <c r="M14" s="12">
        <v>45857</v>
      </c>
      <c r="N14" s="44">
        <f t="shared" si="1"/>
        <v>18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100398060</v>
      </c>
      <c r="B15" s="11" t="str">
        <f t="shared" si="0"/>
        <v>10.039.806-0</v>
      </c>
      <c r="C15" s="11" t="s">
        <v>14</v>
      </c>
      <c r="D15" s="11" t="s">
        <v>612</v>
      </c>
      <c r="E15" s="11" t="s">
        <v>154</v>
      </c>
      <c r="F15" s="11" t="s">
        <v>633</v>
      </c>
      <c r="G15" s="12">
        <v>45834</v>
      </c>
      <c r="H15" s="12">
        <v>45857</v>
      </c>
      <c r="I15" s="11" t="s">
        <v>15</v>
      </c>
      <c r="J15" s="11" t="s">
        <v>106</v>
      </c>
      <c r="K15" s="11" t="s">
        <v>18</v>
      </c>
      <c r="L15" s="12">
        <v>45839</v>
      </c>
      <c r="M15" s="12">
        <v>45857</v>
      </c>
      <c r="N15" s="44">
        <f t="shared" si="1"/>
        <v>18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>
        <v>114466654</v>
      </c>
      <c r="B16" s="11" t="str">
        <f t="shared" si="0"/>
        <v>11.446.665-4</v>
      </c>
      <c r="C16" s="11" t="s">
        <v>14</v>
      </c>
      <c r="D16" s="11" t="s">
        <v>323</v>
      </c>
      <c r="E16" s="11" t="s">
        <v>426</v>
      </c>
      <c r="F16" s="11" t="s">
        <v>149</v>
      </c>
      <c r="G16" s="12">
        <v>45832</v>
      </c>
      <c r="H16" s="12">
        <v>45839</v>
      </c>
      <c r="I16" s="11" t="s">
        <v>15</v>
      </c>
      <c r="J16" s="11" t="s">
        <v>42</v>
      </c>
      <c r="K16" s="11" t="s">
        <v>16</v>
      </c>
      <c r="L16" s="12">
        <v>45839</v>
      </c>
      <c r="M16" s="12">
        <v>45839</v>
      </c>
      <c r="N16" s="44">
        <f t="shared" si="1"/>
        <v>0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>
        <v>114466654</v>
      </c>
      <c r="B17" s="11" t="str">
        <f t="shared" si="0"/>
        <v>11.446.665-4</v>
      </c>
      <c r="C17" s="11" t="s">
        <v>14</v>
      </c>
      <c r="D17" s="11" t="s">
        <v>323</v>
      </c>
      <c r="E17" s="11" t="s">
        <v>426</v>
      </c>
      <c r="F17" s="11" t="s">
        <v>149</v>
      </c>
      <c r="G17" s="12">
        <v>45832</v>
      </c>
      <c r="H17" s="12">
        <v>45839</v>
      </c>
      <c r="I17" s="11" t="s">
        <v>15</v>
      </c>
      <c r="J17" s="11" t="s">
        <v>42</v>
      </c>
      <c r="K17" s="11" t="s">
        <v>17</v>
      </c>
      <c r="L17" s="12">
        <v>45839</v>
      </c>
      <c r="M17" s="12">
        <v>45839</v>
      </c>
      <c r="N17" s="44">
        <f t="shared" si="1"/>
        <v>0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79998354</v>
      </c>
      <c r="B18" s="11" t="str">
        <f t="shared" si="0"/>
        <v>7.999.835-4</v>
      </c>
      <c r="C18" s="11" t="s">
        <v>14</v>
      </c>
      <c r="D18" s="11" t="s">
        <v>410</v>
      </c>
      <c r="E18" s="11" t="s">
        <v>237</v>
      </c>
      <c r="F18" s="11" t="s">
        <v>638</v>
      </c>
      <c r="G18" s="12">
        <v>45838</v>
      </c>
      <c r="H18" s="12">
        <v>45844</v>
      </c>
      <c r="I18" s="11" t="s">
        <v>74</v>
      </c>
      <c r="J18" s="11" t="s">
        <v>60</v>
      </c>
      <c r="K18" s="11" t="s">
        <v>16</v>
      </c>
      <c r="L18" s="12">
        <v>45839</v>
      </c>
      <c r="M18" s="12">
        <v>45844</v>
      </c>
      <c r="N18" s="44">
        <f t="shared" si="1"/>
        <v>5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79998354</v>
      </c>
      <c r="B19" s="11" t="str">
        <f t="shared" si="0"/>
        <v>7.999.835-4</v>
      </c>
      <c r="C19" s="11" t="s">
        <v>14</v>
      </c>
      <c r="D19" s="11" t="s">
        <v>410</v>
      </c>
      <c r="E19" s="11" t="s">
        <v>237</v>
      </c>
      <c r="F19" s="11" t="s">
        <v>638</v>
      </c>
      <c r="G19" s="12">
        <v>45838</v>
      </c>
      <c r="H19" s="12">
        <v>45844</v>
      </c>
      <c r="I19" s="11" t="s">
        <v>74</v>
      </c>
      <c r="J19" s="11" t="s">
        <v>60</v>
      </c>
      <c r="K19" s="11" t="s">
        <v>17</v>
      </c>
      <c r="L19" s="12">
        <v>45839</v>
      </c>
      <c r="M19" s="12">
        <v>45844</v>
      </c>
      <c r="N19" s="44">
        <f t="shared" si="1"/>
        <v>5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79998354</v>
      </c>
      <c r="B20" s="11" t="str">
        <f t="shared" si="0"/>
        <v>7.999.835-4</v>
      </c>
      <c r="C20" s="11" t="s">
        <v>14</v>
      </c>
      <c r="D20" s="11" t="s">
        <v>410</v>
      </c>
      <c r="E20" s="11" t="s">
        <v>237</v>
      </c>
      <c r="F20" s="11" t="s">
        <v>638</v>
      </c>
      <c r="G20" s="12">
        <v>45838</v>
      </c>
      <c r="H20" s="12">
        <v>45844</v>
      </c>
      <c r="I20" s="11" t="s">
        <v>74</v>
      </c>
      <c r="J20" s="11" t="s">
        <v>60</v>
      </c>
      <c r="K20" s="11" t="s">
        <v>18</v>
      </c>
      <c r="L20" s="12">
        <v>45839</v>
      </c>
      <c r="M20" s="12">
        <v>45844</v>
      </c>
      <c r="N20" s="44">
        <f t="shared" si="1"/>
        <v>5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94530741</v>
      </c>
      <c r="B21" s="11" t="str">
        <f t="shared" si="0"/>
        <v>9.453.074-1</v>
      </c>
      <c r="C21" s="11" t="s">
        <v>14</v>
      </c>
      <c r="D21" s="11" t="s">
        <v>587</v>
      </c>
      <c r="E21" s="11" t="s">
        <v>245</v>
      </c>
      <c r="F21" s="11" t="s">
        <v>400</v>
      </c>
      <c r="G21" s="12">
        <v>45836</v>
      </c>
      <c r="H21" s="12">
        <v>45842</v>
      </c>
      <c r="I21" s="11" t="s">
        <v>60</v>
      </c>
      <c r="J21" s="11" t="s">
        <v>106</v>
      </c>
      <c r="K21" s="11" t="s">
        <v>16</v>
      </c>
      <c r="L21" s="12">
        <v>45839</v>
      </c>
      <c r="M21" s="12">
        <v>45842</v>
      </c>
      <c r="N21" s="44">
        <f t="shared" si="1"/>
        <v>3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94530741</v>
      </c>
      <c r="B22" s="11" t="str">
        <f t="shared" si="0"/>
        <v>9.453.074-1</v>
      </c>
      <c r="C22" s="11" t="s">
        <v>14</v>
      </c>
      <c r="D22" s="11" t="s">
        <v>587</v>
      </c>
      <c r="E22" s="11" t="s">
        <v>245</v>
      </c>
      <c r="F22" s="11" t="s">
        <v>400</v>
      </c>
      <c r="G22" s="12">
        <v>45836</v>
      </c>
      <c r="H22" s="12">
        <v>45842</v>
      </c>
      <c r="I22" s="11" t="s">
        <v>60</v>
      </c>
      <c r="J22" s="11" t="s">
        <v>106</v>
      </c>
      <c r="K22" s="11" t="s">
        <v>17</v>
      </c>
      <c r="L22" s="12">
        <v>45839</v>
      </c>
      <c r="M22" s="12">
        <v>45842</v>
      </c>
      <c r="N22" s="44">
        <f t="shared" si="1"/>
        <v>3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94530741</v>
      </c>
      <c r="B23" s="11" t="str">
        <f t="shared" si="0"/>
        <v>9.453.074-1</v>
      </c>
      <c r="C23" s="11" t="s">
        <v>14</v>
      </c>
      <c r="D23" s="11" t="s">
        <v>587</v>
      </c>
      <c r="E23" s="11" t="s">
        <v>245</v>
      </c>
      <c r="F23" s="11" t="s">
        <v>400</v>
      </c>
      <c r="G23" s="12">
        <v>45836</v>
      </c>
      <c r="H23" s="12">
        <v>45842</v>
      </c>
      <c r="I23" s="11" t="s">
        <v>60</v>
      </c>
      <c r="J23" s="11" t="s">
        <v>106</v>
      </c>
      <c r="K23" s="11" t="s">
        <v>18</v>
      </c>
      <c r="L23" s="12">
        <v>45839</v>
      </c>
      <c r="M23" s="12">
        <v>45842</v>
      </c>
      <c r="N23" s="44">
        <f t="shared" si="1"/>
        <v>3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71692159</v>
      </c>
      <c r="B24" s="11" t="str">
        <f t="shared" si="0"/>
        <v>7.169.215-9</v>
      </c>
      <c r="C24" s="11" t="s">
        <v>14</v>
      </c>
      <c r="D24" s="11" t="s">
        <v>639</v>
      </c>
      <c r="E24" s="11" t="s">
        <v>112</v>
      </c>
      <c r="F24" s="11" t="s">
        <v>184</v>
      </c>
      <c r="G24" s="12">
        <v>45838</v>
      </c>
      <c r="H24" s="12">
        <v>45841</v>
      </c>
      <c r="I24" s="11" t="s">
        <v>15</v>
      </c>
      <c r="J24" s="11" t="s">
        <v>28</v>
      </c>
      <c r="K24" s="11" t="s">
        <v>16</v>
      </c>
      <c r="L24" s="12">
        <v>45839</v>
      </c>
      <c r="M24" s="12">
        <v>45841</v>
      </c>
      <c r="N24" s="44">
        <f t="shared" si="1"/>
        <v>2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71692159</v>
      </c>
      <c r="B25" s="11" t="str">
        <f t="shared" si="0"/>
        <v>7.169.215-9</v>
      </c>
      <c r="C25" s="11" t="s">
        <v>14</v>
      </c>
      <c r="D25" s="11" t="s">
        <v>639</v>
      </c>
      <c r="E25" s="11" t="s">
        <v>112</v>
      </c>
      <c r="F25" s="11" t="s">
        <v>184</v>
      </c>
      <c r="G25" s="12">
        <v>45838</v>
      </c>
      <c r="H25" s="12">
        <v>45841</v>
      </c>
      <c r="I25" s="11" t="s">
        <v>15</v>
      </c>
      <c r="J25" s="11" t="s">
        <v>28</v>
      </c>
      <c r="K25" s="11" t="s">
        <v>17</v>
      </c>
      <c r="L25" s="12">
        <v>45839</v>
      </c>
      <c r="M25" s="12">
        <v>45841</v>
      </c>
      <c r="N25" s="44">
        <f t="shared" si="1"/>
        <v>2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93947355</v>
      </c>
      <c r="B26" s="11" t="str">
        <f t="shared" si="0"/>
        <v>9.394.735-5</v>
      </c>
      <c r="C26" s="11" t="s">
        <v>14</v>
      </c>
      <c r="D26" s="11" t="s">
        <v>640</v>
      </c>
      <c r="E26" s="11" t="s">
        <v>301</v>
      </c>
      <c r="F26" s="11" t="s">
        <v>635</v>
      </c>
      <c r="G26" s="12">
        <v>45838</v>
      </c>
      <c r="H26" s="12">
        <v>45846</v>
      </c>
      <c r="I26" s="11" t="s">
        <v>15</v>
      </c>
      <c r="J26" s="11" t="s">
        <v>60</v>
      </c>
      <c r="K26" s="11" t="s">
        <v>16</v>
      </c>
      <c r="L26" s="12">
        <v>45839</v>
      </c>
      <c r="M26" s="12">
        <v>45846</v>
      </c>
      <c r="N26" s="44">
        <f t="shared" si="1"/>
        <v>7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93947355</v>
      </c>
      <c r="B27" s="11" t="str">
        <f t="shared" si="0"/>
        <v>9.394.735-5</v>
      </c>
      <c r="C27" s="11" t="s">
        <v>14</v>
      </c>
      <c r="D27" s="11" t="s">
        <v>640</v>
      </c>
      <c r="E27" s="11" t="s">
        <v>301</v>
      </c>
      <c r="F27" s="11" t="s">
        <v>635</v>
      </c>
      <c r="G27" s="12">
        <v>45838</v>
      </c>
      <c r="H27" s="12">
        <v>45846</v>
      </c>
      <c r="I27" s="11" t="s">
        <v>15</v>
      </c>
      <c r="J27" s="11" t="s">
        <v>60</v>
      </c>
      <c r="K27" s="11" t="s">
        <v>17</v>
      </c>
      <c r="L27" s="12">
        <v>45839</v>
      </c>
      <c r="M27" s="12">
        <v>45846</v>
      </c>
      <c r="N27" s="44">
        <f t="shared" si="1"/>
        <v>7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93947355</v>
      </c>
      <c r="B28" s="11" t="str">
        <f t="shared" si="0"/>
        <v>9.394.735-5</v>
      </c>
      <c r="C28" s="11" t="s">
        <v>14</v>
      </c>
      <c r="D28" s="11" t="s">
        <v>640</v>
      </c>
      <c r="E28" s="11" t="s">
        <v>301</v>
      </c>
      <c r="F28" s="11" t="s">
        <v>635</v>
      </c>
      <c r="G28" s="12">
        <v>45838</v>
      </c>
      <c r="H28" s="12">
        <v>45846</v>
      </c>
      <c r="I28" s="11" t="s">
        <v>15</v>
      </c>
      <c r="J28" s="11" t="s">
        <v>60</v>
      </c>
      <c r="K28" s="11" t="s">
        <v>18</v>
      </c>
      <c r="L28" s="12">
        <v>45839</v>
      </c>
      <c r="M28" s="12">
        <v>45842</v>
      </c>
      <c r="N28" s="44">
        <f t="shared" si="1"/>
        <v>3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54889240</v>
      </c>
      <c r="B29" s="11" t="str">
        <f t="shared" si="0"/>
        <v>5.488.924-0</v>
      </c>
      <c r="C29" s="11" t="s">
        <v>14</v>
      </c>
      <c r="D29" s="11" t="s">
        <v>641</v>
      </c>
      <c r="E29" s="11" t="s">
        <v>642</v>
      </c>
      <c r="F29" s="11" t="s">
        <v>211</v>
      </c>
      <c r="G29" s="12">
        <v>45840</v>
      </c>
      <c r="H29" s="12">
        <v>45842</v>
      </c>
      <c r="I29" s="11" t="s">
        <v>15</v>
      </c>
      <c r="J29" s="11" t="s">
        <v>75</v>
      </c>
      <c r="K29" s="11" t="s">
        <v>17</v>
      </c>
      <c r="L29" s="12">
        <v>45840</v>
      </c>
      <c r="M29" s="12">
        <v>45842</v>
      </c>
      <c r="N29" s="44">
        <f t="shared" si="1"/>
        <v>2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160391499</v>
      </c>
      <c r="B30" s="11" t="str">
        <f t="shared" si="0"/>
        <v>16.039.149-9</v>
      </c>
      <c r="C30" s="11" t="s">
        <v>14</v>
      </c>
      <c r="D30" s="11" t="s">
        <v>31</v>
      </c>
      <c r="E30" s="11" t="s">
        <v>643</v>
      </c>
      <c r="F30" s="11" t="s">
        <v>644</v>
      </c>
      <c r="G30" s="12">
        <v>45839</v>
      </c>
      <c r="H30" s="12">
        <v>45864</v>
      </c>
      <c r="I30" s="11" t="s">
        <v>15</v>
      </c>
      <c r="J30" s="11" t="s">
        <v>60</v>
      </c>
      <c r="K30" s="11" t="s">
        <v>16</v>
      </c>
      <c r="L30" s="12">
        <v>45839</v>
      </c>
      <c r="M30" s="12">
        <v>45864</v>
      </c>
      <c r="N30" s="44">
        <f t="shared" si="1"/>
        <v>25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160391499</v>
      </c>
      <c r="B31" s="11" t="str">
        <f t="shared" si="0"/>
        <v>16.039.149-9</v>
      </c>
      <c r="C31" s="11" t="s">
        <v>14</v>
      </c>
      <c r="D31" s="11" t="s">
        <v>31</v>
      </c>
      <c r="E31" s="11" t="s">
        <v>643</v>
      </c>
      <c r="F31" s="11" t="s">
        <v>644</v>
      </c>
      <c r="G31" s="12">
        <v>45839</v>
      </c>
      <c r="H31" s="12">
        <v>45864</v>
      </c>
      <c r="I31" s="11" t="s">
        <v>15</v>
      </c>
      <c r="J31" s="11" t="s">
        <v>60</v>
      </c>
      <c r="K31" s="11" t="s">
        <v>17</v>
      </c>
      <c r="L31" s="12">
        <v>45839</v>
      </c>
      <c r="M31" s="12">
        <v>45864</v>
      </c>
      <c r="N31" s="44">
        <f t="shared" si="1"/>
        <v>25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160391499</v>
      </c>
      <c r="B32" s="11" t="str">
        <f t="shared" si="0"/>
        <v>16.039.149-9</v>
      </c>
      <c r="C32" s="11" t="s">
        <v>14</v>
      </c>
      <c r="D32" s="11" t="s">
        <v>31</v>
      </c>
      <c r="E32" s="11" t="s">
        <v>643</v>
      </c>
      <c r="F32" s="11" t="s">
        <v>644</v>
      </c>
      <c r="G32" s="12">
        <v>45839</v>
      </c>
      <c r="H32" s="12">
        <v>45864</v>
      </c>
      <c r="I32" s="11" t="s">
        <v>15</v>
      </c>
      <c r="J32" s="11" t="s">
        <v>60</v>
      </c>
      <c r="K32" s="11" t="s">
        <v>18</v>
      </c>
      <c r="L32" s="12">
        <v>45839</v>
      </c>
      <c r="M32" s="12">
        <v>45862</v>
      </c>
      <c r="N32" s="44">
        <f t="shared" si="1"/>
        <v>23</v>
      </c>
      <c r="O32" s="44"/>
      <c r="P32" t="s">
        <v>981</v>
      </c>
      <c r="Q32" t="s">
        <v>978</v>
      </c>
      <c r="R32" t="s">
        <v>83</v>
      </c>
      <c r="S32" t="s">
        <v>83</v>
      </c>
      <c r="T32" t="s">
        <v>83</v>
      </c>
      <c r="U32" t="s">
        <v>914</v>
      </c>
    </row>
    <row r="33" spans="1:21" ht="16.5" customHeight="1" x14ac:dyDescent="0.45">
      <c r="A33" s="10">
        <v>145929938</v>
      </c>
      <c r="B33" s="11" t="str">
        <f t="shared" si="0"/>
        <v>14.592.993-8</v>
      </c>
      <c r="C33" s="11" t="s">
        <v>14</v>
      </c>
      <c r="D33" s="11" t="s">
        <v>272</v>
      </c>
      <c r="E33" s="11" t="s">
        <v>652</v>
      </c>
      <c r="F33" s="11" t="s">
        <v>653</v>
      </c>
      <c r="G33" s="12">
        <v>45845</v>
      </c>
      <c r="H33" s="12">
        <v>45848</v>
      </c>
      <c r="I33" s="11" t="s">
        <v>15</v>
      </c>
      <c r="J33" s="11" t="s">
        <v>28</v>
      </c>
      <c r="K33" s="11" t="s">
        <v>16</v>
      </c>
      <c r="L33" s="12">
        <v>45845</v>
      </c>
      <c r="M33" s="12">
        <v>45848</v>
      </c>
      <c r="N33" s="44">
        <f t="shared" si="1"/>
        <v>3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145929938</v>
      </c>
      <c r="B34" s="11" t="str">
        <f t="shared" si="0"/>
        <v>14.592.993-8</v>
      </c>
      <c r="C34" s="11" t="s">
        <v>14</v>
      </c>
      <c r="D34" s="11" t="s">
        <v>272</v>
      </c>
      <c r="E34" s="11" t="s">
        <v>652</v>
      </c>
      <c r="F34" s="11" t="s">
        <v>653</v>
      </c>
      <c r="G34" s="12">
        <v>45845</v>
      </c>
      <c r="H34" s="12">
        <v>45848</v>
      </c>
      <c r="I34" s="11" t="s">
        <v>15</v>
      </c>
      <c r="J34" s="11" t="s">
        <v>28</v>
      </c>
      <c r="K34" s="11" t="s">
        <v>17</v>
      </c>
      <c r="L34" s="12">
        <v>45845</v>
      </c>
      <c r="M34" s="12">
        <v>45848</v>
      </c>
      <c r="N34" s="44">
        <f t="shared" si="1"/>
        <v>3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216719174</v>
      </c>
      <c r="B35" s="11" t="str">
        <f t="shared" si="0"/>
        <v>21.671.917-4</v>
      </c>
      <c r="C35" s="11" t="s">
        <v>14</v>
      </c>
      <c r="D35" s="11" t="s">
        <v>104</v>
      </c>
      <c r="E35" s="11" t="s">
        <v>160</v>
      </c>
      <c r="F35" s="11" t="s">
        <v>654</v>
      </c>
      <c r="G35" s="12">
        <v>45844</v>
      </c>
      <c r="H35" s="12">
        <v>45846</v>
      </c>
      <c r="I35" s="11" t="s">
        <v>15</v>
      </c>
      <c r="J35" s="11" t="s">
        <v>28</v>
      </c>
      <c r="K35" s="11" t="s">
        <v>16</v>
      </c>
      <c r="L35" s="12">
        <v>45844</v>
      </c>
      <c r="M35" s="12">
        <v>45846</v>
      </c>
      <c r="N35" s="44">
        <f t="shared" si="1"/>
        <v>2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216719174</v>
      </c>
      <c r="B36" s="11" t="str">
        <f t="shared" si="0"/>
        <v>21.671.917-4</v>
      </c>
      <c r="C36" s="11" t="s">
        <v>14</v>
      </c>
      <c r="D36" s="11" t="s">
        <v>104</v>
      </c>
      <c r="E36" s="11" t="s">
        <v>160</v>
      </c>
      <c r="F36" s="11" t="s">
        <v>654</v>
      </c>
      <c r="G36" s="12">
        <v>45844</v>
      </c>
      <c r="H36" s="12">
        <v>45846</v>
      </c>
      <c r="I36" s="11" t="s">
        <v>15</v>
      </c>
      <c r="J36" s="11" t="s">
        <v>28</v>
      </c>
      <c r="K36" s="11" t="s">
        <v>17</v>
      </c>
      <c r="L36" s="12">
        <v>45844</v>
      </c>
      <c r="M36" s="12">
        <v>45846</v>
      </c>
      <c r="N36" s="44">
        <f t="shared" si="1"/>
        <v>2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86806819</v>
      </c>
      <c r="B37" s="11" t="str">
        <f t="shared" si="0"/>
        <v>8.680.681-9</v>
      </c>
      <c r="C37" s="11" t="s">
        <v>14</v>
      </c>
      <c r="D37" s="11" t="s">
        <v>323</v>
      </c>
      <c r="E37" s="11" t="s">
        <v>237</v>
      </c>
      <c r="F37" s="11" t="s">
        <v>363</v>
      </c>
      <c r="G37" s="12">
        <v>45845</v>
      </c>
      <c r="H37" s="12">
        <v>45846</v>
      </c>
      <c r="I37" s="11" t="s">
        <v>15</v>
      </c>
      <c r="J37" s="11" t="s">
        <v>176</v>
      </c>
      <c r="K37" s="11" t="s">
        <v>16</v>
      </c>
      <c r="L37" s="12">
        <v>45845</v>
      </c>
      <c r="M37" s="12">
        <v>45846</v>
      </c>
      <c r="N37" s="44">
        <f t="shared" si="1"/>
        <v>1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86806819</v>
      </c>
      <c r="B38" s="11" t="str">
        <f t="shared" si="0"/>
        <v>8.680.681-9</v>
      </c>
      <c r="C38" s="11" t="s">
        <v>14</v>
      </c>
      <c r="D38" s="11" t="s">
        <v>323</v>
      </c>
      <c r="E38" s="11" t="s">
        <v>237</v>
      </c>
      <c r="F38" s="11" t="s">
        <v>363</v>
      </c>
      <c r="G38" s="12">
        <v>45845</v>
      </c>
      <c r="H38" s="12">
        <v>45846</v>
      </c>
      <c r="I38" s="11" t="s">
        <v>15</v>
      </c>
      <c r="J38" s="11" t="s">
        <v>176</v>
      </c>
      <c r="K38" s="11" t="s">
        <v>17</v>
      </c>
      <c r="L38" s="12">
        <v>45845</v>
      </c>
      <c r="M38" s="12">
        <v>45846</v>
      </c>
      <c r="N38" s="44">
        <f t="shared" si="1"/>
        <v>1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86806819</v>
      </c>
      <c r="B39" s="11" t="str">
        <f t="shared" si="0"/>
        <v>8.680.681-9</v>
      </c>
      <c r="C39" s="11" t="s">
        <v>14</v>
      </c>
      <c r="D39" s="11" t="s">
        <v>323</v>
      </c>
      <c r="E39" s="11" t="s">
        <v>237</v>
      </c>
      <c r="F39" s="11" t="s">
        <v>363</v>
      </c>
      <c r="G39" s="12">
        <v>45845</v>
      </c>
      <c r="H39" s="12">
        <v>45846</v>
      </c>
      <c r="I39" s="11" t="s">
        <v>15</v>
      </c>
      <c r="J39" s="11" t="s">
        <v>176</v>
      </c>
      <c r="K39" s="11" t="s">
        <v>18</v>
      </c>
      <c r="L39" s="12">
        <v>45845</v>
      </c>
      <c r="M39" s="12">
        <v>45846</v>
      </c>
      <c r="N39" s="44">
        <f t="shared" si="1"/>
        <v>1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204380430</v>
      </c>
      <c r="B40" s="11" t="str">
        <f t="shared" si="0"/>
        <v>20.438.043-0</v>
      </c>
      <c r="C40" s="11" t="s">
        <v>14</v>
      </c>
      <c r="D40" s="11" t="s">
        <v>512</v>
      </c>
      <c r="E40" s="11" t="s">
        <v>655</v>
      </c>
      <c r="F40" s="11" t="s">
        <v>516</v>
      </c>
      <c r="G40" s="12">
        <v>45844</v>
      </c>
      <c r="H40" s="12">
        <v>45849</v>
      </c>
      <c r="I40" s="11" t="s">
        <v>15</v>
      </c>
      <c r="J40" s="11" t="s">
        <v>60</v>
      </c>
      <c r="K40" s="11" t="s">
        <v>16</v>
      </c>
      <c r="L40" s="12">
        <v>45844</v>
      </c>
      <c r="M40" s="12">
        <v>45849</v>
      </c>
      <c r="N40" s="44">
        <f t="shared" si="1"/>
        <v>5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204380430</v>
      </c>
      <c r="B41" s="11" t="str">
        <f t="shared" si="0"/>
        <v>20.438.043-0</v>
      </c>
      <c r="C41" s="11" t="s">
        <v>14</v>
      </c>
      <c r="D41" s="11" t="s">
        <v>512</v>
      </c>
      <c r="E41" s="11" t="s">
        <v>655</v>
      </c>
      <c r="F41" s="11" t="s">
        <v>516</v>
      </c>
      <c r="G41" s="12">
        <v>45844</v>
      </c>
      <c r="H41" s="12">
        <v>45849</v>
      </c>
      <c r="I41" s="11" t="s">
        <v>15</v>
      </c>
      <c r="J41" s="11" t="s">
        <v>60</v>
      </c>
      <c r="K41" s="11" t="s">
        <v>17</v>
      </c>
      <c r="L41" s="12">
        <v>45844</v>
      </c>
      <c r="M41" s="12">
        <v>45849</v>
      </c>
      <c r="N41" s="44">
        <f t="shared" si="1"/>
        <v>5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204380430</v>
      </c>
      <c r="B42" s="11" t="str">
        <f t="shared" si="0"/>
        <v>20.438.043-0</v>
      </c>
      <c r="C42" s="11" t="s">
        <v>14</v>
      </c>
      <c r="D42" s="11" t="s">
        <v>512</v>
      </c>
      <c r="E42" s="11" t="s">
        <v>655</v>
      </c>
      <c r="F42" s="11" t="s">
        <v>516</v>
      </c>
      <c r="G42" s="12">
        <v>45844</v>
      </c>
      <c r="H42" s="12">
        <v>45849</v>
      </c>
      <c r="I42" s="11" t="s">
        <v>15</v>
      </c>
      <c r="J42" s="11" t="s">
        <v>60</v>
      </c>
      <c r="K42" s="11" t="s">
        <v>18</v>
      </c>
      <c r="L42" s="12">
        <v>45844</v>
      </c>
      <c r="M42" s="12">
        <v>45846</v>
      </c>
      <c r="N42" s="44">
        <f t="shared" si="1"/>
        <v>2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94244994</v>
      </c>
      <c r="B43" s="11" t="str">
        <f t="shared" si="0"/>
        <v>9.424.499-4</v>
      </c>
      <c r="C43" s="11" t="s">
        <v>14</v>
      </c>
      <c r="D43" s="11" t="s">
        <v>656</v>
      </c>
      <c r="E43" s="11" t="s">
        <v>551</v>
      </c>
      <c r="F43" s="11" t="s">
        <v>657</v>
      </c>
      <c r="G43" s="12">
        <v>45848</v>
      </c>
      <c r="H43" s="12">
        <v>45850</v>
      </c>
      <c r="I43" s="11" t="s">
        <v>15</v>
      </c>
      <c r="J43" s="11" t="s">
        <v>106</v>
      </c>
      <c r="K43" s="11" t="s">
        <v>16</v>
      </c>
      <c r="L43" s="12">
        <v>45848</v>
      </c>
      <c r="M43" s="12">
        <v>45850</v>
      </c>
      <c r="N43" s="44">
        <f t="shared" si="1"/>
        <v>2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94244994</v>
      </c>
      <c r="B44" s="11" t="str">
        <f t="shared" si="0"/>
        <v>9.424.499-4</v>
      </c>
      <c r="C44" s="11" t="s">
        <v>14</v>
      </c>
      <c r="D44" s="11" t="s">
        <v>656</v>
      </c>
      <c r="E44" s="11" t="s">
        <v>551</v>
      </c>
      <c r="F44" s="11" t="s">
        <v>657</v>
      </c>
      <c r="G44" s="12">
        <v>45848</v>
      </c>
      <c r="H44" s="12">
        <v>45850</v>
      </c>
      <c r="I44" s="11" t="s">
        <v>15</v>
      </c>
      <c r="J44" s="11" t="s">
        <v>106</v>
      </c>
      <c r="K44" s="11" t="s">
        <v>17</v>
      </c>
      <c r="L44" s="12">
        <v>45848</v>
      </c>
      <c r="M44" s="12">
        <v>45850</v>
      </c>
      <c r="N44" s="44">
        <f t="shared" si="1"/>
        <v>2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94244994</v>
      </c>
      <c r="B45" s="11" t="str">
        <f t="shared" si="0"/>
        <v>9.424.499-4</v>
      </c>
      <c r="C45" s="11" t="s">
        <v>14</v>
      </c>
      <c r="D45" s="11" t="s">
        <v>656</v>
      </c>
      <c r="E45" s="11" t="s">
        <v>551</v>
      </c>
      <c r="F45" s="11" t="s">
        <v>657</v>
      </c>
      <c r="G45" s="12">
        <v>45848</v>
      </c>
      <c r="H45" s="12">
        <v>45850</v>
      </c>
      <c r="I45" s="11" t="s">
        <v>15</v>
      </c>
      <c r="J45" s="11" t="s">
        <v>106</v>
      </c>
      <c r="K45" s="11" t="s">
        <v>18</v>
      </c>
      <c r="L45" s="12">
        <v>45848</v>
      </c>
      <c r="M45" s="12">
        <v>45850</v>
      </c>
      <c r="N45" s="44">
        <f t="shared" si="1"/>
        <v>2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87987841</v>
      </c>
      <c r="B46" s="11" t="str">
        <f t="shared" si="0"/>
        <v>8.798.784-1</v>
      </c>
      <c r="C46" s="11" t="s">
        <v>14</v>
      </c>
      <c r="D46" s="11" t="s">
        <v>658</v>
      </c>
      <c r="E46" s="11" t="s">
        <v>659</v>
      </c>
      <c r="F46" s="11" t="s">
        <v>99</v>
      </c>
      <c r="G46" s="12">
        <v>45848</v>
      </c>
      <c r="H46" s="12">
        <v>45850</v>
      </c>
      <c r="I46" s="11" t="s">
        <v>74</v>
      </c>
      <c r="J46" s="11" t="s">
        <v>200</v>
      </c>
      <c r="K46" s="11" t="s">
        <v>16</v>
      </c>
      <c r="L46" s="12">
        <v>45848</v>
      </c>
      <c r="M46" s="12">
        <v>45850</v>
      </c>
      <c r="N46" s="44">
        <f t="shared" si="1"/>
        <v>2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87987841</v>
      </c>
      <c r="B47" s="11" t="str">
        <f t="shared" si="0"/>
        <v>8.798.784-1</v>
      </c>
      <c r="C47" s="11" t="s">
        <v>14</v>
      </c>
      <c r="D47" s="11" t="s">
        <v>658</v>
      </c>
      <c r="E47" s="11" t="s">
        <v>659</v>
      </c>
      <c r="F47" s="11" t="s">
        <v>99</v>
      </c>
      <c r="G47" s="12">
        <v>45848</v>
      </c>
      <c r="H47" s="12">
        <v>45850</v>
      </c>
      <c r="I47" s="11" t="s">
        <v>74</v>
      </c>
      <c r="J47" s="11" t="s">
        <v>200</v>
      </c>
      <c r="K47" s="11" t="s">
        <v>17</v>
      </c>
      <c r="L47" s="12">
        <v>45848</v>
      </c>
      <c r="M47" s="12">
        <v>45849</v>
      </c>
      <c r="N47" s="44">
        <f t="shared" si="1"/>
        <v>1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181109076</v>
      </c>
      <c r="B48" s="11" t="str">
        <f t="shared" si="0"/>
        <v>18.110.907-6</v>
      </c>
      <c r="C48" s="11" t="s">
        <v>14</v>
      </c>
      <c r="D48" s="11" t="s">
        <v>174</v>
      </c>
      <c r="E48" s="11" t="s">
        <v>236</v>
      </c>
      <c r="F48" s="11" t="s">
        <v>660</v>
      </c>
      <c r="G48" s="12">
        <v>45848</v>
      </c>
      <c r="H48" s="12">
        <v>45863</v>
      </c>
      <c r="I48" s="11" t="s">
        <v>15</v>
      </c>
      <c r="J48" s="11" t="s">
        <v>60</v>
      </c>
      <c r="K48" s="11" t="s">
        <v>18</v>
      </c>
      <c r="L48" s="12">
        <v>45848</v>
      </c>
      <c r="M48" s="12">
        <v>45861</v>
      </c>
      <c r="N48" s="44">
        <f t="shared" si="1"/>
        <v>13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181109076</v>
      </c>
      <c r="B49" s="11" t="str">
        <f t="shared" si="0"/>
        <v>18.110.907-6</v>
      </c>
      <c r="C49" s="11" t="s">
        <v>14</v>
      </c>
      <c r="D49" s="11" t="s">
        <v>174</v>
      </c>
      <c r="E49" s="11" t="s">
        <v>236</v>
      </c>
      <c r="F49" s="11" t="s">
        <v>660</v>
      </c>
      <c r="G49" s="12">
        <v>45848</v>
      </c>
      <c r="H49" s="12">
        <v>45863</v>
      </c>
      <c r="I49" s="11" t="s">
        <v>15</v>
      </c>
      <c r="J49" s="11" t="s">
        <v>60</v>
      </c>
      <c r="K49" s="11" t="s">
        <v>17</v>
      </c>
      <c r="L49" s="12">
        <v>45848</v>
      </c>
      <c r="M49" s="12">
        <v>45863</v>
      </c>
      <c r="N49" s="44">
        <f t="shared" si="1"/>
        <v>15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181109076</v>
      </c>
      <c r="B50" s="11" t="str">
        <f t="shared" si="0"/>
        <v>18.110.907-6</v>
      </c>
      <c r="C50" s="11" t="s">
        <v>14</v>
      </c>
      <c r="D50" s="11" t="s">
        <v>174</v>
      </c>
      <c r="E50" s="11" t="s">
        <v>236</v>
      </c>
      <c r="F50" s="11" t="s">
        <v>660</v>
      </c>
      <c r="G50" s="12">
        <v>45848</v>
      </c>
      <c r="H50" s="12">
        <v>45863</v>
      </c>
      <c r="I50" s="11" t="s">
        <v>15</v>
      </c>
      <c r="J50" s="11" t="s">
        <v>60</v>
      </c>
      <c r="K50" s="11" t="s">
        <v>16</v>
      </c>
      <c r="L50" s="12">
        <v>45848</v>
      </c>
      <c r="M50" s="12">
        <v>45863</v>
      </c>
      <c r="N50" s="44">
        <f t="shared" si="1"/>
        <v>15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115711652</v>
      </c>
      <c r="B51" s="11" t="str">
        <f t="shared" si="0"/>
        <v>11.571.165-2</v>
      </c>
      <c r="C51" s="11" t="s">
        <v>14</v>
      </c>
      <c r="D51" s="11" t="s">
        <v>426</v>
      </c>
      <c r="E51" s="11" t="s">
        <v>661</v>
      </c>
      <c r="F51" s="11" t="s">
        <v>662</v>
      </c>
      <c r="G51" s="12">
        <v>45847</v>
      </c>
      <c r="H51" s="12">
        <v>45853</v>
      </c>
      <c r="I51" s="11" t="s">
        <v>15</v>
      </c>
      <c r="J51" s="11" t="s">
        <v>72</v>
      </c>
      <c r="K51" s="11" t="s">
        <v>16</v>
      </c>
      <c r="L51" s="12">
        <v>45847</v>
      </c>
      <c r="M51" s="12">
        <v>45853</v>
      </c>
      <c r="N51" s="44">
        <f t="shared" si="1"/>
        <v>6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115711652</v>
      </c>
      <c r="B52" s="11" t="str">
        <f t="shared" si="0"/>
        <v>11.571.165-2</v>
      </c>
      <c r="C52" s="11" t="s">
        <v>14</v>
      </c>
      <c r="D52" s="11" t="s">
        <v>426</v>
      </c>
      <c r="E52" s="11" t="s">
        <v>661</v>
      </c>
      <c r="F52" s="11" t="s">
        <v>662</v>
      </c>
      <c r="G52" s="12">
        <v>45847</v>
      </c>
      <c r="H52" s="12">
        <v>45853</v>
      </c>
      <c r="I52" s="11" t="s">
        <v>15</v>
      </c>
      <c r="J52" s="11" t="s">
        <v>72</v>
      </c>
      <c r="K52" s="11" t="s">
        <v>18</v>
      </c>
      <c r="L52" s="12">
        <v>45847</v>
      </c>
      <c r="M52" s="39">
        <v>45849</v>
      </c>
      <c r="N52" s="44">
        <f t="shared" si="1"/>
        <v>2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119857368</v>
      </c>
      <c r="B53" s="11" t="str">
        <f t="shared" si="0"/>
        <v>11.985.736-8</v>
      </c>
      <c r="C53" s="11" t="s">
        <v>14</v>
      </c>
      <c r="D53" s="11" t="s">
        <v>663</v>
      </c>
      <c r="E53" s="11" t="s">
        <v>35</v>
      </c>
      <c r="F53" s="11" t="s">
        <v>223</v>
      </c>
      <c r="G53" s="12">
        <v>45848</v>
      </c>
      <c r="H53" s="12">
        <v>45853</v>
      </c>
      <c r="I53" s="11" t="s">
        <v>28</v>
      </c>
      <c r="J53" s="11" t="s">
        <v>106</v>
      </c>
      <c r="K53" s="11" t="s">
        <v>16</v>
      </c>
      <c r="L53" s="12">
        <v>45848</v>
      </c>
      <c r="M53" s="12">
        <v>45853</v>
      </c>
      <c r="N53" s="44">
        <f t="shared" si="1"/>
        <v>5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119857368</v>
      </c>
      <c r="B54" s="11" t="str">
        <f t="shared" si="0"/>
        <v>11.985.736-8</v>
      </c>
      <c r="C54" s="11" t="s">
        <v>14</v>
      </c>
      <c r="D54" s="11" t="s">
        <v>663</v>
      </c>
      <c r="E54" s="11" t="s">
        <v>35</v>
      </c>
      <c r="F54" s="11" t="s">
        <v>223</v>
      </c>
      <c r="G54" s="12">
        <v>45848</v>
      </c>
      <c r="H54" s="12">
        <v>45853</v>
      </c>
      <c r="I54" s="11" t="s">
        <v>28</v>
      </c>
      <c r="J54" s="11" t="s">
        <v>106</v>
      </c>
      <c r="K54" s="11" t="s">
        <v>18</v>
      </c>
      <c r="L54" s="12">
        <v>45848</v>
      </c>
      <c r="M54" s="12">
        <v>45853</v>
      </c>
      <c r="N54" s="44">
        <f t="shared" si="1"/>
        <v>5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119857368</v>
      </c>
      <c r="B55" s="11" t="str">
        <f t="shared" si="0"/>
        <v>11.985.736-8</v>
      </c>
      <c r="C55" s="11" t="s">
        <v>14</v>
      </c>
      <c r="D55" s="11" t="s">
        <v>663</v>
      </c>
      <c r="E55" s="11" t="s">
        <v>35</v>
      </c>
      <c r="F55" s="11" t="s">
        <v>223</v>
      </c>
      <c r="G55" s="12">
        <v>45848</v>
      </c>
      <c r="H55" s="12">
        <v>45853</v>
      </c>
      <c r="I55" s="11" t="s">
        <v>28</v>
      </c>
      <c r="J55" s="11" t="s">
        <v>106</v>
      </c>
      <c r="K55" s="11" t="s">
        <v>17</v>
      </c>
      <c r="L55" s="12">
        <v>45848</v>
      </c>
      <c r="M55" s="12">
        <v>45853</v>
      </c>
      <c r="N55" s="44">
        <f t="shared" si="1"/>
        <v>5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90428829</v>
      </c>
      <c r="B56" s="11" t="str">
        <f t="shared" si="0"/>
        <v>9.042.882-9</v>
      </c>
      <c r="C56" s="11" t="s">
        <v>14</v>
      </c>
      <c r="D56" s="11" t="s">
        <v>664</v>
      </c>
      <c r="E56" s="11" t="s">
        <v>665</v>
      </c>
      <c r="F56" s="11" t="s">
        <v>102</v>
      </c>
      <c r="G56" s="12">
        <v>45847</v>
      </c>
      <c r="H56" s="12">
        <v>45849</v>
      </c>
      <c r="I56" s="11" t="s">
        <v>15</v>
      </c>
      <c r="J56" s="11" t="s">
        <v>72</v>
      </c>
      <c r="K56" s="11" t="s">
        <v>16</v>
      </c>
      <c r="L56" s="12">
        <v>45847</v>
      </c>
      <c r="M56" s="12">
        <v>45849</v>
      </c>
      <c r="N56" s="44">
        <f t="shared" si="1"/>
        <v>2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122423689</v>
      </c>
      <c r="B57" s="11" t="str">
        <f t="shared" si="0"/>
        <v>12.242.368-9</v>
      </c>
      <c r="C57" s="11" t="s">
        <v>14</v>
      </c>
      <c r="D57" s="11" t="s">
        <v>203</v>
      </c>
      <c r="E57" s="11" t="s">
        <v>344</v>
      </c>
      <c r="F57" s="11" t="s">
        <v>332</v>
      </c>
      <c r="G57" s="12">
        <v>45851</v>
      </c>
      <c r="H57" s="12">
        <v>45853</v>
      </c>
      <c r="I57" s="11" t="s">
        <v>48</v>
      </c>
      <c r="J57" s="11" t="s">
        <v>72</v>
      </c>
      <c r="K57" s="11" t="s">
        <v>16</v>
      </c>
      <c r="L57" s="12">
        <v>45851</v>
      </c>
      <c r="M57" s="12">
        <v>45853</v>
      </c>
      <c r="N57" s="44">
        <f t="shared" si="1"/>
        <v>2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122423689</v>
      </c>
      <c r="B58" s="11" t="str">
        <f t="shared" si="0"/>
        <v>12.242.368-9</v>
      </c>
      <c r="C58" s="11" t="s">
        <v>14</v>
      </c>
      <c r="D58" s="11" t="s">
        <v>203</v>
      </c>
      <c r="E58" s="11" t="s">
        <v>344</v>
      </c>
      <c r="F58" s="11" t="s">
        <v>332</v>
      </c>
      <c r="G58" s="12">
        <v>45851</v>
      </c>
      <c r="H58" s="12">
        <v>45853</v>
      </c>
      <c r="I58" s="11" t="s">
        <v>48</v>
      </c>
      <c r="J58" s="11" t="s">
        <v>72</v>
      </c>
      <c r="K58" s="11" t="s">
        <v>17</v>
      </c>
      <c r="L58" s="12">
        <v>45851</v>
      </c>
      <c r="M58" s="12">
        <v>45853</v>
      </c>
      <c r="N58" s="44">
        <f t="shared" si="1"/>
        <v>2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210926445</v>
      </c>
      <c r="B59" s="11" t="str">
        <f t="shared" si="0"/>
        <v>21.092.644-5</v>
      </c>
      <c r="C59" s="11" t="s">
        <v>14</v>
      </c>
      <c r="D59" s="11" t="s">
        <v>666</v>
      </c>
      <c r="E59" s="11" t="s">
        <v>426</v>
      </c>
      <c r="F59" s="11" t="s">
        <v>667</v>
      </c>
      <c r="G59" s="12">
        <v>45850</v>
      </c>
      <c r="H59" s="12">
        <v>45859</v>
      </c>
      <c r="I59" s="11" t="s">
        <v>48</v>
      </c>
      <c r="J59" s="11" t="s">
        <v>60</v>
      </c>
      <c r="K59" s="11" t="s">
        <v>16</v>
      </c>
      <c r="L59" s="12">
        <v>45850</v>
      </c>
      <c r="M59" s="12">
        <v>45859</v>
      </c>
      <c r="N59" s="44">
        <f t="shared" si="1"/>
        <v>9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210926445</v>
      </c>
      <c r="B60" s="11" t="str">
        <f t="shared" si="0"/>
        <v>21.092.644-5</v>
      </c>
      <c r="C60" s="11" t="s">
        <v>14</v>
      </c>
      <c r="D60" s="11" t="s">
        <v>666</v>
      </c>
      <c r="E60" s="11" t="s">
        <v>426</v>
      </c>
      <c r="F60" s="11" t="s">
        <v>667</v>
      </c>
      <c r="G60" s="12">
        <v>45850</v>
      </c>
      <c r="H60" s="12">
        <v>45859</v>
      </c>
      <c r="I60" s="11" t="s">
        <v>48</v>
      </c>
      <c r="J60" s="11" t="s">
        <v>60</v>
      </c>
      <c r="K60" s="11" t="s">
        <v>17</v>
      </c>
      <c r="L60" s="12">
        <v>45850</v>
      </c>
      <c r="M60" s="12">
        <v>45859</v>
      </c>
      <c r="N60" s="44">
        <f t="shared" si="1"/>
        <v>9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210926445</v>
      </c>
      <c r="B61" s="11" t="str">
        <f t="shared" si="0"/>
        <v>21.092.644-5</v>
      </c>
      <c r="C61" s="11" t="s">
        <v>14</v>
      </c>
      <c r="D61" s="11" t="s">
        <v>666</v>
      </c>
      <c r="E61" s="11" t="s">
        <v>426</v>
      </c>
      <c r="F61" s="11" t="s">
        <v>667</v>
      </c>
      <c r="G61" s="12">
        <v>45850</v>
      </c>
      <c r="H61" s="12">
        <v>45859</v>
      </c>
      <c r="I61" s="11" t="s">
        <v>48</v>
      </c>
      <c r="J61" s="11" t="s">
        <v>60</v>
      </c>
      <c r="K61" s="11" t="s">
        <v>18</v>
      </c>
      <c r="L61" s="12">
        <v>45850</v>
      </c>
      <c r="M61" s="12">
        <v>45856</v>
      </c>
      <c r="N61" s="44">
        <f t="shared" si="1"/>
        <v>6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176502509</v>
      </c>
      <c r="B62" s="11" t="str">
        <f t="shared" si="0"/>
        <v>17.650.250-9</v>
      </c>
      <c r="C62" s="11" t="s">
        <v>14</v>
      </c>
      <c r="D62" s="11" t="s">
        <v>396</v>
      </c>
      <c r="E62" s="11" t="s">
        <v>595</v>
      </c>
      <c r="F62" s="11" t="s">
        <v>668</v>
      </c>
      <c r="G62" s="12">
        <v>45849</v>
      </c>
      <c r="H62" s="12">
        <v>45868</v>
      </c>
      <c r="I62" s="11" t="s">
        <v>74</v>
      </c>
      <c r="J62" s="11" t="s">
        <v>60</v>
      </c>
      <c r="K62" s="11" t="s">
        <v>16</v>
      </c>
      <c r="L62" s="12">
        <v>45849</v>
      </c>
      <c r="M62" s="12">
        <v>45868</v>
      </c>
      <c r="N62" s="44">
        <f t="shared" si="1"/>
        <v>19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176502509</v>
      </c>
      <c r="B63" s="11" t="str">
        <f t="shared" si="0"/>
        <v>17.650.250-9</v>
      </c>
      <c r="C63" s="11" t="s">
        <v>14</v>
      </c>
      <c r="D63" s="11" t="s">
        <v>396</v>
      </c>
      <c r="E63" s="11" t="s">
        <v>595</v>
      </c>
      <c r="F63" s="11" t="s">
        <v>668</v>
      </c>
      <c r="G63" s="12">
        <v>45849</v>
      </c>
      <c r="H63" s="12">
        <v>45868</v>
      </c>
      <c r="I63" s="11" t="s">
        <v>74</v>
      </c>
      <c r="J63" s="11" t="s">
        <v>60</v>
      </c>
      <c r="K63" s="11" t="s">
        <v>17</v>
      </c>
      <c r="L63" s="12">
        <v>45849</v>
      </c>
      <c r="M63" s="12">
        <v>45868</v>
      </c>
      <c r="N63" s="44">
        <f t="shared" si="1"/>
        <v>19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176502509</v>
      </c>
      <c r="B64" s="11" t="str">
        <f t="shared" si="0"/>
        <v>17.650.250-9</v>
      </c>
      <c r="C64" s="11" t="s">
        <v>14</v>
      </c>
      <c r="D64" s="11" t="s">
        <v>396</v>
      </c>
      <c r="E64" s="11" t="s">
        <v>595</v>
      </c>
      <c r="F64" s="11" t="s">
        <v>668</v>
      </c>
      <c r="G64" s="12">
        <v>45849</v>
      </c>
      <c r="H64" s="12">
        <v>45868</v>
      </c>
      <c r="I64" s="11" t="s">
        <v>74</v>
      </c>
      <c r="J64" s="11" t="s">
        <v>60</v>
      </c>
      <c r="K64" s="11" t="s">
        <v>18</v>
      </c>
      <c r="L64" s="12">
        <v>45849</v>
      </c>
      <c r="M64" s="12">
        <v>45868</v>
      </c>
      <c r="N64" s="44">
        <f t="shared" si="1"/>
        <v>19</v>
      </c>
      <c r="O64" s="44"/>
      <c r="P64" t="s">
        <v>981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80862156</v>
      </c>
      <c r="B65" s="11" t="str">
        <f t="shared" si="0"/>
        <v>8.086.215-6</v>
      </c>
      <c r="C65" s="11" t="s">
        <v>14</v>
      </c>
      <c r="D65" s="11" t="s">
        <v>154</v>
      </c>
      <c r="E65" s="11" t="s">
        <v>669</v>
      </c>
      <c r="F65" s="11" t="s">
        <v>223</v>
      </c>
      <c r="G65" s="12">
        <v>45850</v>
      </c>
      <c r="H65" s="12">
        <v>45856</v>
      </c>
      <c r="I65" s="11" t="s">
        <v>15</v>
      </c>
      <c r="J65" s="11" t="s">
        <v>60</v>
      </c>
      <c r="K65" s="11" t="s">
        <v>16</v>
      </c>
      <c r="L65" s="12">
        <v>45850</v>
      </c>
      <c r="M65" s="12">
        <v>45856</v>
      </c>
      <c r="N65" s="44">
        <f t="shared" si="1"/>
        <v>6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80862156</v>
      </c>
      <c r="B66" s="11" t="str">
        <f t="shared" si="0"/>
        <v>8.086.215-6</v>
      </c>
      <c r="C66" s="11" t="s">
        <v>14</v>
      </c>
      <c r="D66" s="11" t="s">
        <v>154</v>
      </c>
      <c r="E66" s="11" t="s">
        <v>669</v>
      </c>
      <c r="F66" s="11" t="s">
        <v>223</v>
      </c>
      <c r="G66" s="12">
        <v>45850</v>
      </c>
      <c r="H66" s="12">
        <v>45856</v>
      </c>
      <c r="I66" s="11" t="s">
        <v>15</v>
      </c>
      <c r="J66" s="11" t="s">
        <v>60</v>
      </c>
      <c r="K66" s="11" t="s">
        <v>17</v>
      </c>
      <c r="L66" s="12">
        <v>45850</v>
      </c>
      <c r="M66" s="12">
        <v>45856</v>
      </c>
      <c r="N66" s="44">
        <f t="shared" si="1"/>
        <v>6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80862156</v>
      </c>
      <c r="B67" s="11" t="str">
        <f t="shared" si="0"/>
        <v>8.086.215-6</v>
      </c>
      <c r="C67" s="11" t="s">
        <v>14</v>
      </c>
      <c r="D67" s="11" t="s">
        <v>154</v>
      </c>
      <c r="E67" s="11" t="s">
        <v>669</v>
      </c>
      <c r="F67" s="11" t="s">
        <v>223</v>
      </c>
      <c r="G67" s="12">
        <v>45850</v>
      </c>
      <c r="H67" s="12">
        <v>45856</v>
      </c>
      <c r="I67" s="11" t="s">
        <v>15</v>
      </c>
      <c r="J67" s="11" t="s">
        <v>60</v>
      </c>
      <c r="K67" s="11" t="s">
        <v>18</v>
      </c>
      <c r="L67" s="12">
        <v>45850</v>
      </c>
      <c r="M67" s="12">
        <v>45855</v>
      </c>
      <c r="N67" s="44">
        <f t="shared" si="1"/>
        <v>5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69306829</v>
      </c>
      <c r="B68" s="11" t="str">
        <f t="shared" si="0"/>
        <v>6.930.682-9</v>
      </c>
      <c r="C68" s="11" t="s">
        <v>14</v>
      </c>
      <c r="D68" s="11" t="s">
        <v>218</v>
      </c>
      <c r="E68" s="11" t="s">
        <v>162</v>
      </c>
      <c r="F68" s="11" t="s">
        <v>171</v>
      </c>
      <c r="G68" s="12">
        <v>45852</v>
      </c>
      <c r="H68" s="12">
        <v>45855</v>
      </c>
      <c r="I68" s="11" t="s">
        <v>28</v>
      </c>
      <c r="J68" s="11" t="s">
        <v>60</v>
      </c>
      <c r="K68" s="11" t="s">
        <v>16</v>
      </c>
      <c r="L68" s="12">
        <v>45852</v>
      </c>
      <c r="M68" s="12">
        <v>45855</v>
      </c>
      <c r="N68" s="44">
        <f t="shared" si="1"/>
        <v>3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69306829</v>
      </c>
      <c r="B69" s="11" t="str">
        <f t="shared" si="0"/>
        <v>6.930.682-9</v>
      </c>
      <c r="C69" s="11" t="s">
        <v>14</v>
      </c>
      <c r="D69" s="11" t="s">
        <v>218</v>
      </c>
      <c r="E69" s="11" t="s">
        <v>162</v>
      </c>
      <c r="F69" s="11" t="s">
        <v>171</v>
      </c>
      <c r="G69" s="12">
        <v>45852</v>
      </c>
      <c r="H69" s="12">
        <v>45855</v>
      </c>
      <c r="I69" s="11" t="s">
        <v>28</v>
      </c>
      <c r="J69" s="11" t="s">
        <v>60</v>
      </c>
      <c r="K69" s="11" t="s">
        <v>17</v>
      </c>
      <c r="L69" s="12">
        <v>45852</v>
      </c>
      <c r="M69" s="12">
        <v>45855</v>
      </c>
      <c r="N69" s="44">
        <f t="shared" si="1"/>
        <v>3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69306829</v>
      </c>
      <c r="B70" s="11" t="str">
        <f t="shared" si="0"/>
        <v>6.930.682-9</v>
      </c>
      <c r="C70" s="11" t="s">
        <v>14</v>
      </c>
      <c r="D70" s="11" t="s">
        <v>218</v>
      </c>
      <c r="E70" s="11" t="s">
        <v>162</v>
      </c>
      <c r="F70" s="11" t="s">
        <v>171</v>
      </c>
      <c r="G70" s="12">
        <v>45852</v>
      </c>
      <c r="H70" s="12">
        <v>45855</v>
      </c>
      <c r="I70" s="11" t="s">
        <v>28</v>
      </c>
      <c r="J70" s="11" t="s">
        <v>60</v>
      </c>
      <c r="K70" s="11" t="s">
        <v>18</v>
      </c>
      <c r="L70" s="12">
        <v>45852</v>
      </c>
      <c r="M70" s="12">
        <v>45853</v>
      </c>
      <c r="N70" s="44">
        <f t="shared" si="1"/>
        <v>1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69306829</v>
      </c>
      <c r="B71" s="11" t="str">
        <f t="shared" si="0"/>
        <v>6.930.682-9</v>
      </c>
      <c r="C71" s="11" t="s">
        <v>14</v>
      </c>
      <c r="D71" s="11" t="s">
        <v>218</v>
      </c>
      <c r="E71" s="11" t="s">
        <v>162</v>
      </c>
      <c r="F71" s="11" t="s">
        <v>171</v>
      </c>
      <c r="G71" s="12">
        <v>45852</v>
      </c>
      <c r="H71" s="12">
        <v>45855</v>
      </c>
      <c r="I71" s="11" t="s">
        <v>28</v>
      </c>
      <c r="J71" s="11" t="s">
        <v>60</v>
      </c>
      <c r="K71" s="11" t="s">
        <v>415</v>
      </c>
      <c r="L71" s="38">
        <v>45852</v>
      </c>
      <c r="M71" s="38">
        <v>45855</v>
      </c>
      <c r="N71" s="44">
        <f t="shared" si="1"/>
        <v>3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117897494</v>
      </c>
      <c r="B72" s="11" t="str">
        <f t="shared" si="0"/>
        <v>11.789.749-4</v>
      </c>
      <c r="C72" s="11" t="s">
        <v>14</v>
      </c>
      <c r="D72" s="11" t="s">
        <v>407</v>
      </c>
      <c r="E72" s="11" t="s">
        <v>197</v>
      </c>
      <c r="F72" s="11" t="s">
        <v>671</v>
      </c>
      <c r="G72" s="12">
        <v>45853</v>
      </c>
      <c r="H72" s="12">
        <v>45861</v>
      </c>
      <c r="I72" s="11" t="s">
        <v>15</v>
      </c>
      <c r="J72" s="11"/>
      <c r="K72" s="48" t="s">
        <v>16</v>
      </c>
      <c r="L72" s="12">
        <v>45853</v>
      </c>
      <c r="M72" s="12">
        <v>45861</v>
      </c>
      <c r="N72" s="44">
        <f t="shared" si="1"/>
        <v>8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117897494</v>
      </c>
      <c r="B73" s="11" t="str">
        <f t="shared" si="0"/>
        <v>11.789.749-4</v>
      </c>
      <c r="C73" s="11" t="s">
        <v>14</v>
      </c>
      <c r="D73" s="11" t="s">
        <v>407</v>
      </c>
      <c r="E73" s="11" t="s">
        <v>197</v>
      </c>
      <c r="F73" s="11" t="s">
        <v>671</v>
      </c>
      <c r="G73" s="12">
        <v>45853</v>
      </c>
      <c r="H73" s="12">
        <v>45861</v>
      </c>
      <c r="I73" s="11" t="s">
        <v>15</v>
      </c>
      <c r="J73" s="11"/>
      <c r="K73" s="48" t="s">
        <v>17</v>
      </c>
      <c r="L73" s="12">
        <v>45853</v>
      </c>
      <c r="M73" s="12">
        <v>45861</v>
      </c>
      <c r="N73" s="44">
        <f t="shared" si="1"/>
        <v>8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117897494</v>
      </c>
      <c r="B74" s="11" t="str">
        <f t="shared" si="0"/>
        <v>11.789.749-4</v>
      </c>
      <c r="C74" s="11" t="s">
        <v>14</v>
      </c>
      <c r="D74" s="11" t="s">
        <v>407</v>
      </c>
      <c r="E74" s="11" t="s">
        <v>197</v>
      </c>
      <c r="F74" s="11" t="s">
        <v>671</v>
      </c>
      <c r="G74" s="12">
        <v>45853</v>
      </c>
      <c r="H74" s="12">
        <v>45861</v>
      </c>
      <c r="I74" s="11" t="s">
        <v>15</v>
      </c>
      <c r="J74" s="11"/>
      <c r="K74" s="48" t="s">
        <v>18</v>
      </c>
      <c r="L74" s="12">
        <v>45853</v>
      </c>
      <c r="M74" s="12">
        <v>45858</v>
      </c>
      <c r="N74" s="44">
        <f t="shared" si="1"/>
        <v>5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140602590</v>
      </c>
      <c r="B75" s="11" t="str">
        <f t="shared" si="0"/>
        <v>14.060.259-0</v>
      </c>
      <c r="C75" s="11" t="s">
        <v>14</v>
      </c>
      <c r="D75" s="11" t="s">
        <v>672</v>
      </c>
      <c r="E75" s="11" t="s">
        <v>405</v>
      </c>
      <c r="F75" s="11" t="s">
        <v>99</v>
      </c>
      <c r="G75" s="12">
        <v>45854</v>
      </c>
      <c r="H75" s="12">
        <v>45864</v>
      </c>
      <c r="I75" s="11" t="s">
        <v>15</v>
      </c>
      <c r="J75" s="11" t="s">
        <v>72</v>
      </c>
      <c r="K75" s="48" t="s">
        <v>16</v>
      </c>
      <c r="L75" s="12">
        <v>45854</v>
      </c>
      <c r="M75" s="12">
        <v>45864</v>
      </c>
      <c r="N75" s="44">
        <f t="shared" si="1"/>
        <v>10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140602590</v>
      </c>
      <c r="B76" s="11" t="str">
        <f t="shared" si="0"/>
        <v>14.060.259-0</v>
      </c>
      <c r="C76" s="11" t="s">
        <v>14</v>
      </c>
      <c r="D76" s="11" t="s">
        <v>672</v>
      </c>
      <c r="E76" s="11" t="s">
        <v>405</v>
      </c>
      <c r="F76" s="11" t="s">
        <v>99</v>
      </c>
      <c r="G76" s="12">
        <v>45854</v>
      </c>
      <c r="H76" s="12">
        <v>45864</v>
      </c>
      <c r="I76" s="11" t="s">
        <v>15</v>
      </c>
      <c r="J76" s="11" t="s">
        <v>72</v>
      </c>
      <c r="K76" s="48" t="s">
        <v>17</v>
      </c>
      <c r="L76" s="12">
        <v>45854</v>
      </c>
      <c r="M76" s="12">
        <v>45864</v>
      </c>
      <c r="N76" s="44">
        <f t="shared" si="1"/>
        <v>10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140602590</v>
      </c>
      <c r="B77" s="11" t="str">
        <f t="shared" si="0"/>
        <v>14.060.259-0</v>
      </c>
      <c r="C77" s="11" t="s">
        <v>14</v>
      </c>
      <c r="D77" s="11" t="s">
        <v>672</v>
      </c>
      <c r="E77" s="11" t="s">
        <v>405</v>
      </c>
      <c r="F77" s="11" t="s">
        <v>99</v>
      </c>
      <c r="G77" s="12">
        <v>45854</v>
      </c>
      <c r="H77" s="12">
        <v>45864</v>
      </c>
      <c r="I77" s="11" t="s">
        <v>15</v>
      </c>
      <c r="J77" s="11" t="s">
        <v>72</v>
      </c>
      <c r="K77" s="48" t="s">
        <v>18</v>
      </c>
      <c r="L77" s="12">
        <v>45854</v>
      </c>
      <c r="M77" s="12">
        <v>45860</v>
      </c>
      <c r="N77" s="44">
        <f t="shared" si="1"/>
        <v>6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155907339</v>
      </c>
      <c r="B78" s="11" t="str">
        <f t="shared" si="0"/>
        <v>15.590.733-9</v>
      </c>
      <c r="C78" s="11" t="s">
        <v>14</v>
      </c>
      <c r="D78" s="11" t="s">
        <v>582</v>
      </c>
      <c r="E78" s="11" t="s">
        <v>673</v>
      </c>
      <c r="F78" s="11" t="s">
        <v>330</v>
      </c>
      <c r="G78" s="12">
        <v>45855</v>
      </c>
      <c r="H78" s="12">
        <v>45857</v>
      </c>
      <c r="I78" s="11" t="s">
        <v>15</v>
      </c>
      <c r="J78" s="11" t="s">
        <v>72</v>
      </c>
      <c r="K78" s="55" t="s">
        <v>16</v>
      </c>
      <c r="L78" s="38">
        <v>45855</v>
      </c>
      <c r="M78" s="38">
        <v>45857</v>
      </c>
      <c r="N78" s="44">
        <f t="shared" si="1"/>
        <v>2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59965573</v>
      </c>
      <c r="B79" s="11" t="str">
        <f t="shared" si="0"/>
        <v>5.996.557-3</v>
      </c>
      <c r="C79" s="11" t="s">
        <v>14</v>
      </c>
      <c r="D79" s="11" t="s">
        <v>180</v>
      </c>
      <c r="E79" s="11" t="s">
        <v>655</v>
      </c>
      <c r="F79" s="11" t="s">
        <v>105</v>
      </c>
      <c r="G79" s="12">
        <v>45859</v>
      </c>
      <c r="H79" s="12">
        <v>45862</v>
      </c>
      <c r="I79" s="11" t="s">
        <v>15</v>
      </c>
      <c r="J79" s="48" t="s">
        <v>106</v>
      </c>
      <c r="K79" s="57" t="s">
        <v>18</v>
      </c>
      <c r="L79" s="12">
        <v>45859</v>
      </c>
      <c r="M79" s="12">
        <v>45862</v>
      </c>
      <c r="N79" s="44">
        <f t="shared" si="1"/>
        <v>3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91031051</v>
      </c>
      <c r="B80" s="11" t="str">
        <f t="shared" si="0"/>
        <v>9.103.105-1</v>
      </c>
      <c r="C80" s="11" t="s">
        <v>14</v>
      </c>
      <c r="D80" s="11" t="s">
        <v>116</v>
      </c>
      <c r="E80" s="11" t="s">
        <v>190</v>
      </c>
      <c r="F80" s="11" t="s">
        <v>594</v>
      </c>
      <c r="G80" s="12">
        <v>45856</v>
      </c>
      <c r="H80" s="12">
        <v>45864</v>
      </c>
      <c r="I80" s="11" t="s">
        <v>75</v>
      </c>
      <c r="J80" s="48" t="s">
        <v>60</v>
      </c>
      <c r="K80" s="57" t="s">
        <v>16</v>
      </c>
      <c r="L80" s="12">
        <v>45856</v>
      </c>
      <c r="M80" s="12">
        <v>45864</v>
      </c>
      <c r="N80" s="44">
        <f t="shared" si="1"/>
        <v>8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91031051</v>
      </c>
      <c r="B81" s="11" t="str">
        <f t="shared" si="0"/>
        <v>9.103.105-1</v>
      </c>
      <c r="C81" s="11" t="s">
        <v>14</v>
      </c>
      <c r="D81" s="11" t="s">
        <v>116</v>
      </c>
      <c r="E81" s="11" t="s">
        <v>190</v>
      </c>
      <c r="F81" s="11" t="s">
        <v>594</v>
      </c>
      <c r="G81" s="12">
        <v>45856</v>
      </c>
      <c r="H81" s="12">
        <v>45864</v>
      </c>
      <c r="I81" s="11" t="s">
        <v>75</v>
      </c>
      <c r="J81" s="48" t="s">
        <v>60</v>
      </c>
      <c r="K81" s="57" t="s">
        <v>17</v>
      </c>
      <c r="L81" s="12">
        <v>45856</v>
      </c>
      <c r="M81" s="12">
        <v>45864</v>
      </c>
      <c r="N81" s="44">
        <f t="shared" si="1"/>
        <v>8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 t="s">
        <v>676</v>
      </c>
      <c r="B82" s="11" t="str">
        <f t="shared" si="0"/>
        <v>12.089.787-k</v>
      </c>
      <c r="C82" s="11" t="s">
        <v>14</v>
      </c>
      <c r="D82" s="11" t="s">
        <v>190</v>
      </c>
      <c r="E82" s="11" t="s">
        <v>134</v>
      </c>
      <c r="F82" s="11" t="s">
        <v>99</v>
      </c>
      <c r="G82" s="12">
        <v>45857</v>
      </c>
      <c r="H82" s="12">
        <v>45862</v>
      </c>
      <c r="I82" s="11" t="s">
        <v>15</v>
      </c>
      <c r="J82" s="48" t="s">
        <v>60</v>
      </c>
      <c r="K82" s="57" t="s">
        <v>16</v>
      </c>
      <c r="L82" s="12">
        <v>45857</v>
      </c>
      <c r="M82" s="12">
        <v>45862</v>
      </c>
      <c r="N82" s="44">
        <f t="shared" si="1"/>
        <v>5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 t="s">
        <v>676</v>
      </c>
      <c r="B83" s="11" t="str">
        <f t="shared" si="0"/>
        <v>12.089.787-k</v>
      </c>
      <c r="C83" s="11" t="s">
        <v>14</v>
      </c>
      <c r="D83" s="11" t="s">
        <v>190</v>
      </c>
      <c r="E83" s="11" t="s">
        <v>134</v>
      </c>
      <c r="F83" s="11" t="s">
        <v>99</v>
      </c>
      <c r="G83" s="12">
        <v>45857</v>
      </c>
      <c r="H83" s="12">
        <v>45862</v>
      </c>
      <c r="I83" s="11" t="s">
        <v>15</v>
      </c>
      <c r="J83" s="48" t="s">
        <v>60</v>
      </c>
      <c r="K83" s="57" t="s">
        <v>17</v>
      </c>
      <c r="L83" s="12">
        <v>45857</v>
      </c>
      <c r="M83" s="12">
        <v>45862</v>
      </c>
      <c r="N83" s="44">
        <f t="shared" si="1"/>
        <v>5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 t="s">
        <v>676</v>
      </c>
      <c r="B84" s="11" t="str">
        <f t="shared" si="0"/>
        <v>12.089.787-k</v>
      </c>
      <c r="C84" s="11" t="s">
        <v>14</v>
      </c>
      <c r="D84" s="11" t="s">
        <v>190</v>
      </c>
      <c r="E84" s="11" t="s">
        <v>134</v>
      </c>
      <c r="F84" s="11" t="s">
        <v>99</v>
      </c>
      <c r="G84" s="12">
        <v>45857</v>
      </c>
      <c r="H84" s="12">
        <v>45862</v>
      </c>
      <c r="I84" s="11" t="s">
        <v>15</v>
      </c>
      <c r="J84" s="48" t="s">
        <v>60</v>
      </c>
      <c r="K84" s="57" t="s">
        <v>18</v>
      </c>
      <c r="L84" s="12">
        <v>45857</v>
      </c>
      <c r="M84" s="12">
        <v>45859</v>
      </c>
      <c r="N84" s="44">
        <f t="shared" si="1"/>
        <v>2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90712578</v>
      </c>
      <c r="B85" s="11" t="str">
        <f t="shared" si="0"/>
        <v>9.071.257-8</v>
      </c>
      <c r="C85" s="11" t="s">
        <v>14</v>
      </c>
      <c r="D85" s="11" t="s">
        <v>512</v>
      </c>
      <c r="E85" s="11" t="s">
        <v>677</v>
      </c>
      <c r="F85" s="11" t="s">
        <v>678</v>
      </c>
      <c r="G85" s="12">
        <v>45858</v>
      </c>
      <c r="H85" s="12"/>
      <c r="I85" s="11" t="s">
        <v>15</v>
      </c>
      <c r="J85" s="48" t="s">
        <v>206</v>
      </c>
      <c r="K85" s="57" t="s">
        <v>16</v>
      </c>
      <c r="L85" s="38">
        <v>45858</v>
      </c>
      <c r="M85" s="59">
        <v>45869</v>
      </c>
      <c r="N85" s="44">
        <f t="shared" si="1"/>
        <v>11</v>
      </c>
      <c r="O85" s="44"/>
      <c r="P85" t="s">
        <v>942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90712578</v>
      </c>
      <c r="B86" s="11" t="str">
        <f t="shared" si="0"/>
        <v>9.071.257-8</v>
      </c>
      <c r="C86" s="11" t="s">
        <v>14</v>
      </c>
      <c r="D86" s="11" t="s">
        <v>512</v>
      </c>
      <c r="E86" s="11" t="s">
        <v>677</v>
      </c>
      <c r="F86" s="11" t="s">
        <v>678</v>
      </c>
      <c r="G86" s="12">
        <v>45858</v>
      </c>
      <c r="H86" s="12"/>
      <c r="I86" s="11" t="s">
        <v>15</v>
      </c>
      <c r="J86" s="48" t="s">
        <v>206</v>
      </c>
      <c r="K86" s="57" t="s">
        <v>17</v>
      </c>
      <c r="L86" s="35">
        <v>45858</v>
      </c>
      <c r="M86" s="35">
        <v>45869</v>
      </c>
      <c r="N86" s="44">
        <f t="shared" si="1"/>
        <v>11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90712578</v>
      </c>
      <c r="B87" s="11" t="str">
        <f t="shared" si="0"/>
        <v>9.071.257-8</v>
      </c>
      <c r="C87" s="11" t="s">
        <v>14</v>
      </c>
      <c r="D87" s="11" t="s">
        <v>512</v>
      </c>
      <c r="E87" s="11" t="s">
        <v>677</v>
      </c>
      <c r="F87" s="11" t="s">
        <v>678</v>
      </c>
      <c r="G87" s="12">
        <v>45858</v>
      </c>
      <c r="H87" s="12"/>
      <c r="I87" s="11" t="s">
        <v>15</v>
      </c>
      <c r="J87" s="48" t="s">
        <v>206</v>
      </c>
      <c r="K87" s="58" t="s">
        <v>18</v>
      </c>
      <c r="L87" s="35">
        <v>45858</v>
      </c>
      <c r="M87" s="35">
        <v>45859</v>
      </c>
      <c r="N87" s="44">
        <f t="shared" si="1"/>
        <v>1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90712579</v>
      </c>
      <c r="B88" s="11" t="str">
        <f t="shared" ref="B88" si="2">IF(LEN(A88)=8,MID(A88,1,1)&amp;"."&amp;MID(A88,2,3)&amp;"."&amp;MID(A88,5,3)&amp;"-"&amp;RIGHT(A88,1),IF(LEFT(RIGHT(A88,2),1)="-",MID(A88,1,1)&amp;"."&amp;MID(A88,2,3)&amp;"."&amp;MID(A88,5,3)&amp;"-"&amp;RIGHT(A88,1),MID(A88,1,2)&amp;"."&amp;MID(A88,3,3)&amp;"."&amp;MID(A88,6,3)&amp;"-"&amp;MID(A88,9,1)))</f>
        <v>9.071.257-9</v>
      </c>
      <c r="C88" s="11" t="s">
        <v>14</v>
      </c>
      <c r="D88" s="11" t="s">
        <v>512</v>
      </c>
      <c r="E88" s="11" t="s">
        <v>677</v>
      </c>
      <c r="F88" s="11" t="s">
        <v>678</v>
      </c>
      <c r="G88" s="12">
        <v>45858</v>
      </c>
      <c r="H88" s="12"/>
      <c r="I88" s="11" t="s">
        <v>15</v>
      </c>
      <c r="J88" s="48" t="s">
        <v>206</v>
      </c>
      <c r="K88" s="58" t="s">
        <v>18</v>
      </c>
      <c r="L88" s="35">
        <v>45862</v>
      </c>
      <c r="M88" s="35">
        <v>45869</v>
      </c>
      <c r="N88" s="44">
        <f t="shared" si="1"/>
        <v>7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90873555</v>
      </c>
      <c r="B89" s="11" t="str">
        <f t="shared" si="0"/>
        <v>9.087.355-5</v>
      </c>
      <c r="C89" s="11" t="s">
        <v>14</v>
      </c>
      <c r="D89" s="11" t="s">
        <v>376</v>
      </c>
      <c r="E89" s="11" t="s">
        <v>681</v>
      </c>
      <c r="F89" s="11" t="s">
        <v>334</v>
      </c>
      <c r="G89" s="12">
        <v>45861</v>
      </c>
      <c r="H89" s="12"/>
      <c r="I89" s="11" t="s">
        <v>15</v>
      </c>
      <c r="J89" s="48" t="s">
        <v>206</v>
      </c>
      <c r="K89" s="57" t="s">
        <v>16</v>
      </c>
      <c r="L89" s="35">
        <v>45861</v>
      </c>
      <c r="M89" s="35">
        <v>45869</v>
      </c>
      <c r="N89" s="44">
        <f t="shared" si="1"/>
        <v>8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90873556</v>
      </c>
      <c r="B90" s="11" t="str">
        <f t="shared" ref="B90" si="3">IF(LEN(A90)=8,MID(A90,1,1)&amp;"."&amp;MID(A90,2,3)&amp;"."&amp;MID(A90,5,3)&amp;"-"&amp;RIGHT(A90,1),IF(LEFT(RIGHT(A90,2),1)="-",MID(A90,1,1)&amp;"."&amp;MID(A90,2,3)&amp;"."&amp;MID(A90,5,3)&amp;"-"&amp;RIGHT(A90,1),MID(A90,1,2)&amp;"."&amp;MID(A90,3,3)&amp;"."&amp;MID(A90,6,3)&amp;"-"&amp;MID(A90,9,1)))</f>
        <v>9.087.355-6</v>
      </c>
      <c r="C90" s="11" t="s">
        <v>14</v>
      </c>
      <c r="D90" s="11" t="s">
        <v>376</v>
      </c>
      <c r="E90" s="11" t="s">
        <v>681</v>
      </c>
      <c r="F90" s="11" t="s">
        <v>334</v>
      </c>
      <c r="G90" s="12">
        <v>45861</v>
      </c>
      <c r="H90" s="12"/>
      <c r="I90" s="11" t="s">
        <v>15</v>
      </c>
      <c r="J90" s="48" t="s">
        <v>206</v>
      </c>
      <c r="K90" s="57" t="s">
        <v>17</v>
      </c>
      <c r="L90" s="35">
        <v>45862</v>
      </c>
      <c r="M90" s="35">
        <v>45869</v>
      </c>
      <c r="N90" s="44">
        <f t="shared" si="1"/>
        <v>7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115712454</v>
      </c>
      <c r="B91" s="11" t="str">
        <f t="shared" si="0"/>
        <v>11.571.245-4</v>
      </c>
      <c r="C91" s="11" t="s">
        <v>14</v>
      </c>
      <c r="D91" s="11" t="s">
        <v>229</v>
      </c>
      <c r="E91" s="11" t="s">
        <v>682</v>
      </c>
      <c r="F91" s="11" t="s">
        <v>683</v>
      </c>
      <c r="G91" s="12">
        <v>45863</v>
      </c>
      <c r="H91" s="12"/>
      <c r="I91" s="11" t="s">
        <v>15</v>
      </c>
      <c r="J91" s="48" t="s">
        <v>206</v>
      </c>
      <c r="K91" s="57" t="s">
        <v>16</v>
      </c>
      <c r="L91" s="35">
        <v>45863</v>
      </c>
      <c r="M91" s="35">
        <v>45869</v>
      </c>
      <c r="N91" s="44">
        <f t="shared" si="1"/>
        <v>6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115712454</v>
      </c>
      <c r="B92" s="11" t="str">
        <f t="shared" si="0"/>
        <v>11.571.245-4</v>
      </c>
      <c r="C92" s="11" t="s">
        <v>14</v>
      </c>
      <c r="D92" s="11" t="s">
        <v>229</v>
      </c>
      <c r="E92" s="11" t="s">
        <v>682</v>
      </c>
      <c r="F92" s="11" t="s">
        <v>683</v>
      </c>
      <c r="G92" s="12">
        <v>45863</v>
      </c>
      <c r="H92" s="12"/>
      <c r="I92" s="11" t="s">
        <v>15</v>
      </c>
      <c r="J92" s="48" t="s">
        <v>206</v>
      </c>
      <c r="K92" s="57" t="s">
        <v>17</v>
      </c>
      <c r="L92" s="62">
        <v>45863</v>
      </c>
      <c r="M92" s="35">
        <v>45869</v>
      </c>
      <c r="N92" s="44">
        <f t="shared" si="1"/>
        <v>6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115712454</v>
      </c>
      <c r="B93" s="11" t="str">
        <f t="shared" si="0"/>
        <v>11.571.245-4</v>
      </c>
      <c r="C93" s="11" t="s">
        <v>14</v>
      </c>
      <c r="D93" s="11" t="s">
        <v>229</v>
      </c>
      <c r="E93" s="11" t="s">
        <v>682</v>
      </c>
      <c r="F93" s="11" t="s">
        <v>683</v>
      </c>
      <c r="G93" s="12">
        <v>45863</v>
      </c>
      <c r="H93" s="12"/>
      <c r="I93" s="11" t="s">
        <v>15</v>
      </c>
      <c r="J93" s="48" t="s">
        <v>206</v>
      </c>
      <c r="K93" s="57" t="s">
        <v>18</v>
      </c>
      <c r="L93" s="12">
        <v>45863</v>
      </c>
      <c r="M93" s="35">
        <v>45868</v>
      </c>
      <c r="N93" s="44">
        <f t="shared" si="1"/>
        <v>5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93919432</v>
      </c>
      <c r="B94" s="11" t="str">
        <f t="shared" si="0"/>
        <v>9.391.943-2</v>
      </c>
      <c r="C94" s="11" t="s">
        <v>14</v>
      </c>
      <c r="D94" s="11" t="s">
        <v>229</v>
      </c>
      <c r="E94" s="11" t="s">
        <v>684</v>
      </c>
      <c r="F94" s="11" t="s">
        <v>685</v>
      </c>
      <c r="G94" s="12">
        <v>45867</v>
      </c>
      <c r="H94" s="12">
        <v>45869</v>
      </c>
      <c r="I94" s="11" t="s">
        <v>15</v>
      </c>
      <c r="J94" s="48" t="s">
        <v>60</v>
      </c>
      <c r="K94" s="57" t="s">
        <v>16</v>
      </c>
      <c r="L94" s="12">
        <v>45867</v>
      </c>
      <c r="M94" s="12">
        <v>45869</v>
      </c>
      <c r="N94" s="44">
        <f t="shared" si="1"/>
        <v>2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191095677</v>
      </c>
      <c r="B95" s="11" t="str">
        <f t="shared" si="0"/>
        <v>19.109.567-7</v>
      </c>
      <c r="C95" s="11" t="s">
        <v>14</v>
      </c>
      <c r="D95" s="11" t="s">
        <v>686</v>
      </c>
      <c r="E95" s="11" t="s">
        <v>36</v>
      </c>
      <c r="F95" s="11" t="s">
        <v>687</v>
      </c>
      <c r="G95" s="12">
        <v>45864</v>
      </c>
      <c r="H95" s="12">
        <v>45868</v>
      </c>
      <c r="I95" s="11" t="s">
        <v>15</v>
      </c>
      <c r="J95" s="48" t="s">
        <v>60</v>
      </c>
      <c r="K95" s="57" t="s">
        <v>16</v>
      </c>
      <c r="L95" s="12">
        <v>45864</v>
      </c>
      <c r="M95" s="12">
        <v>45868</v>
      </c>
      <c r="N95" s="44">
        <f t="shared" si="1"/>
        <v>4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>
        <v>191095677</v>
      </c>
      <c r="B96" s="11" t="str">
        <f t="shared" si="0"/>
        <v>19.109.567-7</v>
      </c>
      <c r="C96" s="11" t="s">
        <v>14</v>
      </c>
      <c r="D96" s="11" t="s">
        <v>686</v>
      </c>
      <c r="E96" s="11" t="s">
        <v>36</v>
      </c>
      <c r="F96" s="11" t="s">
        <v>687</v>
      </c>
      <c r="G96" s="12">
        <v>45864</v>
      </c>
      <c r="H96" s="12">
        <v>45868</v>
      </c>
      <c r="I96" s="11" t="s">
        <v>15</v>
      </c>
      <c r="J96" s="48" t="s">
        <v>688</v>
      </c>
      <c r="K96" s="57" t="s">
        <v>17</v>
      </c>
      <c r="L96" s="12">
        <v>45864</v>
      </c>
      <c r="M96" s="12">
        <v>45868</v>
      </c>
      <c r="N96" s="44">
        <f t="shared" si="1"/>
        <v>4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191095677</v>
      </c>
      <c r="B97" s="11" t="str">
        <f t="shared" si="0"/>
        <v>19.109.567-7</v>
      </c>
      <c r="C97" s="11" t="s">
        <v>14</v>
      </c>
      <c r="D97" s="11" t="s">
        <v>686</v>
      </c>
      <c r="E97" s="11" t="s">
        <v>36</v>
      </c>
      <c r="F97" s="11" t="s">
        <v>687</v>
      </c>
      <c r="G97" s="12">
        <v>45864</v>
      </c>
      <c r="H97" s="12">
        <v>45868</v>
      </c>
      <c r="I97" s="11" t="s">
        <v>15</v>
      </c>
      <c r="J97" s="48" t="s">
        <v>689</v>
      </c>
      <c r="K97" s="57" t="s">
        <v>18</v>
      </c>
      <c r="L97" s="12">
        <v>45864</v>
      </c>
      <c r="M97" s="12">
        <v>45867</v>
      </c>
      <c r="N97" s="44">
        <f t="shared" si="1"/>
        <v>3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101453413</v>
      </c>
      <c r="B98" s="11" t="str">
        <f t="shared" si="0"/>
        <v>10.145.341-3</v>
      </c>
      <c r="C98" s="11" t="s">
        <v>14</v>
      </c>
      <c r="D98" s="11" t="s">
        <v>235</v>
      </c>
      <c r="E98" s="11" t="s">
        <v>140</v>
      </c>
      <c r="F98" s="11" t="s">
        <v>99</v>
      </c>
      <c r="G98" s="12">
        <v>45867</v>
      </c>
      <c r="H98" s="12">
        <v>45869</v>
      </c>
      <c r="I98" s="11" t="s">
        <v>15</v>
      </c>
      <c r="J98" s="48" t="s">
        <v>106</v>
      </c>
      <c r="K98" s="57" t="s">
        <v>16</v>
      </c>
      <c r="L98" s="12">
        <v>45867</v>
      </c>
      <c r="M98" s="12">
        <v>45869</v>
      </c>
      <c r="N98" s="44">
        <f t="shared" si="1"/>
        <v>2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101453413</v>
      </c>
      <c r="B99" s="11" t="str">
        <f t="shared" si="0"/>
        <v>10.145.341-3</v>
      </c>
      <c r="C99" s="11" t="s">
        <v>14</v>
      </c>
      <c r="D99" s="11" t="s">
        <v>235</v>
      </c>
      <c r="E99" s="11" t="s">
        <v>140</v>
      </c>
      <c r="F99" s="11" t="s">
        <v>99</v>
      </c>
      <c r="G99" s="12">
        <v>45867</v>
      </c>
      <c r="H99" s="12">
        <v>45869</v>
      </c>
      <c r="I99" s="11" t="s">
        <v>15</v>
      </c>
      <c r="J99" s="48" t="s">
        <v>106</v>
      </c>
      <c r="K99" s="57" t="s">
        <v>17</v>
      </c>
      <c r="L99" s="12">
        <v>45867</v>
      </c>
      <c r="M99" s="12">
        <v>45869</v>
      </c>
      <c r="N99" s="44">
        <f t="shared" si="1"/>
        <v>2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101453413</v>
      </c>
      <c r="B100" s="11" t="str">
        <f t="shared" si="0"/>
        <v>10.145.341-3</v>
      </c>
      <c r="C100" s="11" t="s">
        <v>14</v>
      </c>
      <c r="D100" s="11" t="s">
        <v>235</v>
      </c>
      <c r="E100" s="11" t="s">
        <v>140</v>
      </c>
      <c r="F100" s="11" t="s">
        <v>99</v>
      </c>
      <c r="G100" s="12">
        <v>45867</v>
      </c>
      <c r="H100" s="12">
        <v>45869</v>
      </c>
      <c r="I100" s="11" t="s">
        <v>15</v>
      </c>
      <c r="J100" s="48" t="s">
        <v>106</v>
      </c>
      <c r="K100" s="57" t="s">
        <v>18</v>
      </c>
      <c r="L100" s="12">
        <v>45867</v>
      </c>
      <c r="M100" s="12">
        <v>45869</v>
      </c>
      <c r="N100" s="44">
        <f t="shared" si="1"/>
        <v>2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181919833</v>
      </c>
      <c r="B101" s="11" t="str">
        <f t="shared" si="0"/>
        <v>18.191.983-3</v>
      </c>
      <c r="C101" s="11" t="s">
        <v>14</v>
      </c>
      <c r="D101" s="11" t="s">
        <v>289</v>
      </c>
      <c r="E101" s="11" t="s">
        <v>512</v>
      </c>
      <c r="F101" s="11" t="s">
        <v>690</v>
      </c>
      <c r="G101" s="12">
        <v>45865</v>
      </c>
      <c r="H101" s="12"/>
      <c r="I101" s="11" t="s">
        <v>15</v>
      </c>
      <c r="J101" s="48" t="s">
        <v>206</v>
      </c>
      <c r="K101" s="57" t="s">
        <v>16</v>
      </c>
      <c r="L101" s="12">
        <v>45865</v>
      </c>
      <c r="M101" s="12">
        <v>45869</v>
      </c>
      <c r="N101" s="44">
        <f t="shared" si="1"/>
        <v>4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181919833</v>
      </c>
      <c r="B102" s="11" t="str">
        <f t="shared" si="0"/>
        <v>18.191.983-3</v>
      </c>
      <c r="C102" s="11" t="s">
        <v>14</v>
      </c>
      <c r="D102" s="11" t="s">
        <v>289</v>
      </c>
      <c r="E102" s="11" t="s">
        <v>512</v>
      </c>
      <c r="F102" s="11" t="s">
        <v>690</v>
      </c>
      <c r="G102" s="12">
        <v>45865</v>
      </c>
      <c r="H102" s="12"/>
      <c r="I102" s="11" t="s">
        <v>15</v>
      </c>
      <c r="J102" s="48" t="s">
        <v>206</v>
      </c>
      <c r="K102" s="57" t="s">
        <v>17</v>
      </c>
      <c r="L102" s="12">
        <v>45865</v>
      </c>
      <c r="M102" s="12">
        <v>45869</v>
      </c>
      <c r="N102" s="44">
        <f t="shared" si="1"/>
        <v>4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6.5" customHeight="1" x14ac:dyDescent="0.45">
      <c r="A103" s="10">
        <v>181919833</v>
      </c>
      <c r="B103" s="11" t="str">
        <f t="shared" si="0"/>
        <v>18.191.983-3</v>
      </c>
      <c r="C103" s="11" t="s">
        <v>14</v>
      </c>
      <c r="D103" s="11" t="s">
        <v>289</v>
      </c>
      <c r="E103" s="11" t="s">
        <v>512</v>
      </c>
      <c r="F103" s="11" t="s">
        <v>690</v>
      </c>
      <c r="G103" s="12">
        <v>45865</v>
      </c>
      <c r="H103" s="12"/>
      <c r="I103" s="11" t="s">
        <v>15</v>
      </c>
      <c r="J103" s="11" t="s">
        <v>206</v>
      </c>
      <c r="K103" s="56" t="s">
        <v>18</v>
      </c>
      <c r="L103" s="12">
        <v>45865</v>
      </c>
      <c r="M103" s="12">
        <v>45869</v>
      </c>
      <c r="N103" s="44">
        <f t="shared" si="1"/>
        <v>4</v>
      </c>
      <c r="O103" s="44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6.5" customHeight="1" x14ac:dyDescent="0.45">
      <c r="A104" s="10">
        <v>109202983</v>
      </c>
      <c r="B104" s="11" t="str">
        <f t="shared" si="0"/>
        <v>10.920.298-3</v>
      </c>
      <c r="C104" s="11" t="s">
        <v>14</v>
      </c>
      <c r="D104" s="11" t="s">
        <v>691</v>
      </c>
      <c r="E104" s="11" t="s">
        <v>396</v>
      </c>
      <c r="F104" s="11" t="s">
        <v>692</v>
      </c>
      <c r="G104" s="12">
        <v>45862</v>
      </c>
      <c r="H104" s="12">
        <v>45868</v>
      </c>
      <c r="I104" s="11" t="s">
        <v>15</v>
      </c>
      <c r="J104" s="11" t="s">
        <v>96</v>
      </c>
      <c r="K104" s="56" t="s">
        <v>16</v>
      </c>
      <c r="L104" s="12">
        <v>45862</v>
      </c>
      <c r="M104" s="12">
        <v>45868</v>
      </c>
      <c r="N104" s="44">
        <f t="shared" si="1"/>
        <v>6</v>
      </c>
      <c r="O104" s="44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6.5" customHeight="1" x14ac:dyDescent="0.45">
      <c r="A105" s="10">
        <v>109202983</v>
      </c>
      <c r="B105" s="11" t="str">
        <f t="shared" si="0"/>
        <v>10.920.298-3</v>
      </c>
      <c r="C105" s="11" t="s">
        <v>14</v>
      </c>
      <c r="D105" s="11" t="s">
        <v>691</v>
      </c>
      <c r="E105" s="11" t="s">
        <v>396</v>
      </c>
      <c r="F105" s="11" t="s">
        <v>692</v>
      </c>
      <c r="G105" s="12">
        <v>45862</v>
      </c>
      <c r="H105" s="12">
        <v>45868</v>
      </c>
      <c r="I105" s="11" t="s">
        <v>15</v>
      </c>
      <c r="J105" s="11" t="s">
        <v>96</v>
      </c>
      <c r="K105" s="56" t="s">
        <v>17</v>
      </c>
      <c r="L105" s="12">
        <v>45862</v>
      </c>
      <c r="M105" s="38">
        <v>45868</v>
      </c>
      <c r="N105" s="44">
        <f t="shared" si="1"/>
        <v>6</v>
      </c>
      <c r="O105" s="44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6.5" customHeight="1" x14ac:dyDescent="0.45">
      <c r="A106" s="10">
        <v>75961677</v>
      </c>
      <c r="B106" s="11" t="str">
        <f t="shared" si="0"/>
        <v>7.596.167-7</v>
      </c>
      <c r="C106" s="11" t="s">
        <v>14</v>
      </c>
      <c r="D106" s="11" t="s">
        <v>159</v>
      </c>
      <c r="E106" s="11" t="s">
        <v>113</v>
      </c>
      <c r="F106" s="11" t="s">
        <v>171</v>
      </c>
      <c r="G106" s="12">
        <v>45866</v>
      </c>
      <c r="H106" s="12"/>
      <c r="I106" s="11" t="s">
        <v>72</v>
      </c>
      <c r="J106" s="11" t="s">
        <v>206</v>
      </c>
      <c r="K106" s="56" t="s">
        <v>16</v>
      </c>
      <c r="L106" s="13">
        <v>45866</v>
      </c>
      <c r="M106" s="35">
        <v>45869</v>
      </c>
      <c r="N106" s="44">
        <f t="shared" si="1"/>
        <v>3</v>
      </c>
      <c r="O106" s="44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6.5" customHeight="1" x14ac:dyDescent="0.45">
      <c r="A107" s="10">
        <v>75961677</v>
      </c>
      <c r="B107" s="11" t="str">
        <f t="shared" si="0"/>
        <v>7.596.167-7</v>
      </c>
      <c r="C107" s="11" t="s">
        <v>14</v>
      </c>
      <c r="D107" s="11" t="s">
        <v>159</v>
      </c>
      <c r="E107" s="11" t="s">
        <v>113</v>
      </c>
      <c r="F107" s="11" t="s">
        <v>171</v>
      </c>
      <c r="G107" s="12">
        <v>45866</v>
      </c>
      <c r="H107" s="12"/>
      <c r="I107" s="11" t="s">
        <v>72</v>
      </c>
      <c r="J107" s="11" t="s">
        <v>206</v>
      </c>
      <c r="K107" s="56" t="s">
        <v>17</v>
      </c>
      <c r="L107" s="13">
        <v>45866</v>
      </c>
      <c r="M107" s="35">
        <v>45869</v>
      </c>
      <c r="N107" s="44">
        <f t="shared" si="1"/>
        <v>3</v>
      </c>
      <c r="O107" s="44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6.5" customHeight="1" x14ac:dyDescent="0.45">
      <c r="A108" s="10">
        <v>75961677</v>
      </c>
      <c r="B108" s="11" t="str">
        <f t="shared" si="0"/>
        <v>7.596.167-7</v>
      </c>
      <c r="C108" s="11" t="s">
        <v>14</v>
      </c>
      <c r="D108" s="11" t="s">
        <v>159</v>
      </c>
      <c r="E108" s="11" t="s">
        <v>113</v>
      </c>
      <c r="F108" s="11" t="s">
        <v>171</v>
      </c>
      <c r="G108" s="12">
        <v>45866</v>
      </c>
      <c r="H108" s="12"/>
      <c r="I108" s="11" t="s">
        <v>72</v>
      </c>
      <c r="J108" s="11" t="s">
        <v>206</v>
      </c>
      <c r="K108" s="60" t="s">
        <v>18</v>
      </c>
      <c r="L108" s="61">
        <v>45866</v>
      </c>
      <c r="M108" s="59">
        <v>45867</v>
      </c>
      <c r="N108" s="44">
        <f t="shared" si="1"/>
        <v>1</v>
      </c>
      <c r="O108" s="44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81485186</v>
      </c>
      <c r="B109" s="16" t="str">
        <f t="shared" si="0"/>
        <v>8.148.518-6</v>
      </c>
      <c r="C109" s="16" t="s">
        <v>28</v>
      </c>
      <c r="D109" s="16" t="s">
        <v>525</v>
      </c>
      <c r="E109" s="16" t="s">
        <v>628</v>
      </c>
      <c r="F109" s="16" t="s">
        <v>99</v>
      </c>
      <c r="G109" s="17">
        <v>45825</v>
      </c>
      <c r="H109" s="17">
        <v>45842</v>
      </c>
      <c r="I109" s="16" t="s">
        <v>15</v>
      </c>
      <c r="J109" s="37" t="s">
        <v>565</v>
      </c>
      <c r="K109" s="53" t="s">
        <v>17</v>
      </c>
      <c r="L109" s="17">
        <v>45839</v>
      </c>
      <c r="M109" s="17">
        <v>45842</v>
      </c>
      <c r="N109" s="46">
        <f t="shared" si="1"/>
        <v>3</v>
      </c>
      <c r="O109" s="28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40600701</v>
      </c>
      <c r="B110" s="16" t="str">
        <f t="shared" si="0"/>
        <v>4.060.070-1</v>
      </c>
      <c r="C110" s="16" t="s">
        <v>28</v>
      </c>
      <c r="D110" s="16" t="s">
        <v>512</v>
      </c>
      <c r="E110" s="16" t="s">
        <v>629</v>
      </c>
      <c r="F110" s="16" t="s">
        <v>630</v>
      </c>
      <c r="G110" s="17">
        <v>45827</v>
      </c>
      <c r="H110" s="17">
        <v>45844</v>
      </c>
      <c r="I110" s="16" t="s">
        <v>15</v>
      </c>
      <c r="J110" s="37" t="s">
        <v>565</v>
      </c>
      <c r="K110" s="53" t="s">
        <v>16</v>
      </c>
      <c r="L110" s="51">
        <v>45839</v>
      </c>
      <c r="M110" s="51">
        <v>45844</v>
      </c>
      <c r="N110" s="46">
        <f t="shared" si="1"/>
        <v>5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57977175</v>
      </c>
      <c r="B111" s="16" t="str">
        <f t="shared" si="0"/>
        <v>5.797.717-5</v>
      </c>
      <c r="C111" s="16" t="s">
        <v>28</v>
      </c>
      <c r="D111" s="16" t="s">
        <v>159</v>
      </c>
      <c r="E111" s="16" t="s">
        <v>235</v>
      </c>
      <c r="F111" s="16" t="s">
        <v>105</v>
      </c>
      <c r="G111" s="17">
        <v>45825</v>
      </c>
      <c r="H111" s="17">
        <v>45846</v>
      </c>
      <c r="I111" s="16" t="s">
        <v>15</v>
      </c>
      <c r="J111" s="37" t="s">
        <v>106</v>
      </c>
      <c r="K111" s="53" t="s">
        <v>17</v>
      </c>
      <c r="L111" s="17">
        <v>45839</v>
      </c>
      <c r="M111" s="28">
        <v>45846</v>
      </c>
      <c r="N111" s="46">
        <f t="shared" si="1"/>
        <v>7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 t="s">
        <v>645</v>
      </c>
      <c r="B112" s="16" t="str">
        <f t="shared" si="0"/>
        <v>2.888.558-K</v>
      </c>
      <c r="C112" s="16" t="s">
        <v>28</v>
      </c>
      <c r="D112" s="16" t="s">
        <v>173</v>
      </c>
      <c r="E112" s="16" t="s">
        <v>646</v>
      </c>
      <c r="F112" s="16" t="s">
        <v>647</v>
      </c>
      <c r="G112" s="17">
        <v>45841</v>
      </c>
      <c r="H112" s="17">
        <v>45853</v>
      </c>
      <c r="I112" s="16" t="s">
        <v>15</v>
      </c>
      <c r="J112" s="37" t="s">
        <v>62</v>
      </c>
      <c r="K112" s="53" t="s">
        <v>17</v>
      </c>
      <c r="L112" s="17">
        <v>45841</v>
      </c>
      <c r="M112" s="28">
        <v>45853</v>
      </c>
      <c r="N112" s="46">
        <f t="shared" si="1"/>
        <v>12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71692159</v>
      </c>
      <c r="B113" s="16" t="str">
        <f t="shared" si="0"/>
        <v>7.169.215-9</v>
      </c>
      <c r="C113" s="16" t="s">
        <v>28</v>
      </c>
      <c r="D113" s="16" t="s">
        <v>639</v>
      </c>
      <c r="E113" s="16" t="s">
        <v>112</v>
      </c>
      <c r="F113" s="16" t="s">
        <v>184</v>
      </c>
      <c r="G113" s="17">
        <v>45841</v>
      </c>
      <c r="H113" s="17">
        <v>45853</v>
      </c>
      <c r="I113" s="16" t="s">
        <v>14</v>
      </c>
      <c r="J113" s="37" t="s">
        <v>62</v>
      </c>
      <c r="K113" s="53" t="s">
        <v>17</v>
      </c>
      <c r="L113" s="51">
        <v>45841</v>
      </c>
      <c r="M113" s="28">
        <v>45853</v>
      </c>
      <c r="N113" s="46">
        <f t="shared" si="1"/>
        <v>12</v>
      </c>
      <c r="O113" s="28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5">
        <v>120691511</v>
      </c>
      <c r="B114" s="16" t="str">
        <f t="shared" si="0"/>
        <v>12.069.151-1</v>
      </c>
      <c r="C114" s="16" t="s">
        <v>28</v>
      </c>
      <c r="D114" s="16" t="s">
        <v>648</v>
      </c>
      <c r="E114" s="16" t="s">
        <v>649</v>
      </c>
      <c r="F114" s="16" t="s">
        <v>650</v>
      </c>
      <c r="G114" s="17">
        <v>45845</v>
      </c>
      <c r="H114" s="17">
        <v>45862</v>
      </c>
      <c r="I114" s="16" t="s">
        <v>15</v>
      </c>
      <c r="J114" s="37" t="s">
        <v>72</v>
      </c>
      <c r="K114" s="53" t="s">
        <v>17</v>
      </c>
      <c r="L114" s="28">
        <v>45845</v>
      </c>
      <c r="M114" s="28">
        <v>45862</v>
      </c>
      <c r="N114" s="46">
        <f t="shared" si="1"/>
        <v>17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172211119</v>
      </c>
      <c r="B115" s="16" t="str">
        <f t="shared" si="0"/>
        <v>17.221.111-9</v>
      </c>
      <c r="C115" s="16" t="s">
        <v>28</v>
      </c>
      <c r="D115" s="16" t="s">
        <v>420</v>
      </c>
      <c r="E115" s="16" t="s">
        <v>420</v>
      </c>
      <c r="F115" s="16" t="s">
        <v>651</v>
      </c>
      <c r="G115" s="17">
        <v>45846</v>
      </c>
      <c r="H115" s="17">
        <v>45856</v>
      </c>
      <c r="I115" s="16" t="s">
        <v>72</v>
      </c>
      <c r="J115" s="37" t="s">
        <v>62</v>
      </c>
      <c r="K115" s="53" t="s">
        <v>16</v>
      </c>
      <c r="L115" s="17">
        <v>45846</v>
      </c>
      <c r="M115" s="28">
        <v>45855</v>
      </c>
      <c r="N115" s="46">
        <f t="shared" si="1"/>
        <v>9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172211119</v>
      </c>
      <c r="B116" s="16" t="str">
        <f t="shared" si="0"/>
        <v>17.221.111-9</v>
      </c>
      <c r="C116" s="16" t="s">
        <v>28</v>
      </c>
      <c r="D116" s="16" t="s">
        <v>420</v>
      </c>
      <c r="E116" s="16" t="s">
        <v>420</v>
      </c>
      <c r="F116" s="16" t="s">
        <v>651</v>
      </c>
      <c r="G116" s="17">
        <v>45846</v>
      </c>
      <c r="H116" s="17">
        <v>45856</v>
      </c>
      <c r="I116" s="16" t="s">
        <v>72</v>
      </c>
      <c r="J116" s="37" t="s">
        <v>62</v>
      </c>
      <c r="K116" s="53" t="s">
        <v>17</v>
      </c>
      <c r="L116" s="17">
        <v>45846</v>
      </c>
      <c r="M116" s="28">
        <v>45856</v>
      </c>
      <c r="N116" s="46">
        <f t="shared" si="1"/>
        <v>10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5">
        <v>69426530</v>
      </c>
      <c r="B117" s="16" t="str">
        <f t="shared" si="0"/>
        <v>6.942.653-0</v>
      </c>
      <c r="C117" s="16" t="s">
        <v>28</v>
      </c>
      <c r="D117" s="16" t="s">
        <v>115</v>
      </c>
      <c r="E117" s="16" t="s">
        <v>655</v>
      </c>
      <c r="F117" s="16" t="s">
        <v>670</v>
      </c>
      <c r="G117" s="17">
        <v>45848</v>
      </c>
      <c r="H117" s="17">
        <v>45855</v>
      </c>
      <c r="I117" s="16" t="s">
        <v>72</v>
      </c>
      <c r="J117" s="37" t="s">
        <v>62</v>
      </c>
      <c r="K117" s="53" t="s">
        <v>17</v>
      </c>
      <c r="L117" s="51">
        <v>45848</v>
      </c>
      <c r="M117" s="51">
        <v>45855</v>
      </c>
      <c r="N117" s="46">
        <f t="shared" si="1"/>
        <v>7</v>
      </c>
      <c r="O117" s="28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 t="s">
        <v>679</v>
      </c>
      <c r="B118" s="16" t="str">
        <f t="shared" si="0"/>
        <v>6.189.604-K</v>
      </c>
      <c r="C118" s="16" t="s">
        <v>28</v>
      </c>
      <c r="D118" s="16" t="s">
        <v>680</v>
      </c>
      <c r="E118" s="16" t="s">
        <v>237</v>
      </c>
      <c r="F118" s="16" t="s">
        <v>542</v>
      </c>
      <c r="G118" s="17">
        <v>45857</v>
      </c>
      <c r="H118" s="17">
        <v>45866</v>
      </c>
      <c r="I118" s="16" t="s">
        <v>15</v>
      </c>
      <c r="J118" s="37" t="s">
        <v>342</v>
      </c>
      <c r="K118" s="53" t="s">
        <v>16</v>
      </c>
      <c r="L118" s="28">
        <v>45857</v>
      </c>
      <c r="M118" s="17">
        <v>45866</v>
      </c>
      <c r="N118" s="46">
        <f t="shared" si="1"/>
        <v>9</v>
      </c>
      <c r="O118" s="28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5" t="s">
        <v>679</v>
      </c>
      <c r="B119" s="16" t="str">
        <f t="shared" si="0"/>
        <v>6.189.604-K</v>
      </c>
      <c r="C119" s="16" t="s">
        <v>28</v>
      </c>
      <c r="D119" s="16" t="s">
        <v>680</v>
      </c>
      <c r="E119" s="16" t="s">
        <v>237</v>
      </c>
      <c r="F119" s="16" t="s">
        <v>542</v>
      </c>
      <c r="G119" s="17">
        <v>45857</v>
      </c>
      <c r="H119" s="17">
        <v>45866</v>
      </c>
      <c r="I119" s="16" t="s">
        <v>15</v>
      </c>
      <c r="J119" s="37" t="s">
        <v>342</v>
      </c>
      <c r="K119" s="53" t="s">
        <v>17</v>
      </c>
      <c r="L119" s="28">
        <v>45857</v>
      </c>
      <c r="M119" s="17">
        <v>45866</v>
      </c>
      <c r="N119" s="46">
        <f t="shared" si="1"/>
        <v>9</v>
      </c>
      <c r="O119" s="28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5">
        <v>72618939</v>
      </c>
      <c r="B120" s="16" t="str">
        <f t="shared" si="0"/>
        <v>7.261.893-9</v>
      </c>
      <c r="C120" s="16" t="s">
        <v>28</v>
      </c>
      <c r="D120" s="16" t="s">
        <v>104</v>
      </c>
      <c r="E120" s="16" t="s">
        <v>695</v>
      </c>
      <c r="F120" s="16" t="s">
        <v>696</v>
      </c>
      <c r="G120" s="17">
        <v>45862</v>
      </c>
      <c r="H120" s="17"/>
      <c r="I120" s="16" t="s">
        <v>56</v>
      </c>
      <c r="J120" s="37"/>
      <c r="K120" s="53" t="s">
        <v>16</v>
      </c>
      <c r="L120" s="17">
        <v>45862</v>
      </c>
      <c r="M120" s="28">
        <v>45869</v>
      </c>
      <c r="N120" s="46">
        <f t="shared" si="1"/>
        <v>7</v>
      </c>
      <c r="O120" s="28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5">
        <v>72618939</v>
      </c>
      <c r="B121" s="16" t="str">
        <f t="shared" si="0"/>
        <v>7.261.893-9</v>
      </c>
      <c r="C121" s="16" t="s">
        <v>28</v>
      </c>
      <c r="D121" s="16" t="s">
        <v>104</v>
      </c>
      <c r="E121" s="16" t="s">
        <v>695</v>
      </c>
      <c r="F121" s="16" t="s">
        <v>696</v>
      </c>
      <c r="G121" s="17">
        <v>45862</v>
      </c>
      <c r="H121" s="17"/>
      <c r="I121" s="16" t="s">
        <v>56</v>
      </c>
      <c r="J121" s="37"/>
      <c r="K121" s="53" t="s">
        <v>17</v>
      </c>
      <c r="L121" s="17">
        <v>45862</v>
      </c>
      <c r="M121" s="28">
        <v>45869</v>
      </c>
      <c r="N121" s="46">
        <f t="shared" si="1"/>
        <v>7</v>
      </c>
      <c r="O121" s="28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5">
        <v>106587973</v>
      </c>
      <c r="B122" s="16" t="str">
        <f t="shared" si="0"/>
        <v>10.658.797-3</v>
      </c>
      <c r="C122" s="16" t="s">
        <v>28</v>
      </c>
      <c r="D122" s="16" t="s">
        <v>213</v>
      </c>
      <c r="E122" s="16" t="s">
        <v>515</v>
      </c>
      <c r="F122" s="16" t="s">
        <v>334</v>
      </c>
      <c r="G122" s="17">
        <v>45866</v>
      </c>
      <c r="H122" s="17"/>
      <c r="I122" s="16" t="s">
        <v>56</v>
      </c>
      <c r="J122" s="37"/>
      <c r="K122" s="53" t="s">
        <v>17</v>
      </c>
      <c r="L122" s="51">
        <v>45866</v>
      </c>
      <c r="M122" s="28">
        <v>45869</v>
      </c>
      <c r="N122" s="63">
        <f t="shared" si="1"/>
        <v>3</v>
      </c>
      <c r="O122" s="28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A123" s="15">
        <v>60142637</v>
      </c>
      <c r="B123" s="16" t="str">
        <f t="shared" si="0"/>
        <v>6.014.263-7</v>
      </c>
      <c r="C123" s="16" t="s">
        <v>28</v>
      </c>
      <c r="D123" s="16" t="s">
        <v>86</v>
      </c>
      <c r="E123" s="16" t="s">
        <v>371</v>
      </c>
      <c r="F123" s="16" t="s">
        <v>697</v>
      </c>
      <c r="G123" s="17">
        <v>45867</v>
      </c>
      <c r="H123" s="17"/>
      <c r="I123" s="16" t="s">
        <v>15</v>
      </c>
      <c r="J123" s="37"/>
      <c r="K123" s="53" t="s">
        <v>64</v>
      </c>
      <c r="L123" s="130" t="s">
        <v>108</v>
      </c>
      <c r="M123" s="130"/>
      <c r="N123" s="130"/>
      <c r="O123" s="28"/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1074</v>
      </c>
    </row>
    <row r="124" spans="1:21" ht="15.75" customHeight="1" x14ac:dyDescent="0.45">
      <c r="A124" s="15">
        <v>130383416</v>
      </c>
      <c r="B124" s="16" t="str">
        <f t="shared" si="0"/>
        <v>13.038.341-6</v>
      </c>
      <c r="C124" s="16" t="s">
        <v>28</v>
      </c>
      <c r="D124" s="16" t="s">
        <v>698</v>
      </c>
      <c r="E124" s="16" t="s">
        <v>699</v>
      </c>
      <c r="F124" s="16" t="s">
        <v>576</v>
      </c>
      <c r="G124" s="17">
        <v>45868</v>
      </c>
      <c r="H124" s="17"/>
      <c r="I124" s="16" t="s">
        <v>15</v>
      </c>
      <c r="J124" s="37"/>
      <c r="K124" s="53" t="s">
        <v>17</v>
      </c>
      <c r="L124" s="28">
        <v>45868</v>
      </c>
      <c r="M124" s="28">
        <v>45869</v>
      </c>
      <c r="N124" s="46">
        <v>1</v>
      </c>
      <c r="O124" s="28"/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1074</v>
      </c>
    </row>
    <row r="125" spans="1:21" ht="15.75" customHeight="1" x14ac:dyDescent="0.45">
      <c r="A125" s="19" t="s">
        <v>674</v>
      </c>
      <c r="B125" s="19" t="str">
        <f t="shared" ref="B125:B127" si="4">IF(LEN(A125)=8,MID(A125,1,1)&amp;"."&amp;MID(A125,2,3)&amp;"."&amp;MID(A125,5,3)&amp;"-"&amp;RIGHT(A125,1),IF(LEFT(RIGHT(A125,2),1)="-",MID(A125,1,1)&amp;"."&amp;MID(A125,2,3)&amp;"."&amp;MID(A125,5,3)&amp;"-"&amp;RIGHT(A125,1),MID(A125,1,2)&amp;"."&amp;MID(A125,3,3)&amp;"."&amp;MID(A125,6,3)&amp;"-"&amp;MID(A125,9,1)))</f>
        <v>3.991.901-k</v>
      </c>
      <c r="C125" s="19" t="s">
        <v>32</v>
      </c>
      <c r="D125" s="19" t="s">
        <v>376</v>
      </c>
      <c r="E125" s="19" t="s">
        <v>525</v>
      </c>
      <c r="F125" s="19" t="s">
        <v>675</v>
      </c>
      <c r="G125" s="20">
        <v>45857</v>
      </c>
      <c r="H125" s="20">
        <v>45861</v>
      </c>
      <c r="I125" s="19" t="s">
        <v>15</v>
      </c>
      <c r="J125" s="19" t="s">
        <v>388</v>
      </c>
      <c r="K125" s="19" t="s">
        <v>17</v>
      </c>
      <c r="L125" s="20">
        <v>45857</v>
      </c>
      <c r="M125" s="20">
        <v>45861</v>
      </c>
      <c r="N125" s="47">
        <f t="shared" si="1"/>
        <v>4</v>
      </c>
      <c r="O125" s="34"/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1074</v>
      </c>
    </row>
    <row r="126" spans="1:21" ht="15.75" customHeight="1" x14ac:dyDescent="0.45">
      <c r="A126" s="19">
        <v>45493776</v>
      </c>
      <c r="B126" s="19" t="str">
        <f t="shared" si="4"/>
        <v>4.549.377-6</v>
      </c>
      <c r="C126" s="19" t="s">
        <v>32</v>
      </c>
      <c r="D126" s="19" t="s">
        <v>478</v>
      </c>
      <c r="E126" s="19" t="s">
        <v>405</v>
      </c>
      <c r="F126" s="19" t="s">
        <v>488</v>
      </c>
      <c r="G126" s="20">
        <v>45866</v>
      </c>
      <c r="H126" s="20">
        <v>45868</v>
      </c>
      <c r="I126" s="19" t="s">
        <v>15</v>
      </c>
      <c r="J126" s="19" t="s">
        <v>72</v>
      </c>
      <c r="K126" s="21" t="s">
        <v>17</v>
      </c>
      <c r="L126" s="20">
        <v>45866</v>
      </c>
      <c r="M126" s="20">
        <v>45868</v>
      </c>
      <c r="N126" s="47">
        <f t="shared" si="1"/>
        <v>2</v>
      </c>
      <c r="O126" s="34"/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1074</v>
      </c>
    </row>
    <row r="127" spans="1:21" ht="15.75" customHeight="1" x14ac:dyDescent="0.45">
      <c r="A127" s="19" t="s">
        <v>693</v>
      </c>
      <c r="B127" s="19" t="str">
        <f t="shared" si="4"/>
        <v>10.065.346-k</v>
      </c>
      <c r="C127" s="19" t="s">
        <v>32</v>
      </c>
      <c r="D127" s="19" t="s">
        <v>125</v>
      </c>
      <c r="E127" s="19" t="s">
        <v>450</v>
      </c>
      <c r="F127" s="19" t="s">
        <v>694</v>
      </c>
      <c r="G127" s="20">
        <v>45867</v>
      </c>
      <c r="H127" s="20">
        <v>45869</v>
      </c>
      <c r="I127" s="19" t="s">
        <v>15</v>
      </c>
      <c r="J127" s="19" t="s">
        <v>72</v>
      </c>
      <c r="K127" s="19" t="s">
        <v>17</v>
      </c>
      <c r="L127" s="20">
        <v>45867</v>
      </c>
      <c r="M127" s="20">
        <v>45869</v>
      </c>
      <c r="N127" s="47">
        <f t="shared" si="1"/>
        <v>2</v>
      </c>
      <c r="O127" s="34"/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1074</v>
      </c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  <c r="U128">
        <f>COUNTIF(U8:U127,"Si")</f>
        <v>1</v>
      </c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J259" s="23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/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</sheetData>
  <mergeCells count="4">
    <mergeCell ref="L123:N123"/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C19B6F-380D-4F07-8605-87827F14A9C2}">
          <x14:formula1>
            <xm:f>Criterios!$A$2:$A$128</xm:f>
          </x14:formula1>
          <xm:sqref>P8:T127</xm:sqref>
        </x14:dataValidation>
        <x14:dataValidation type="list" allowBlank="1" showInputMessage="1" showErrorMessage="1" xr:uid="{270AAEBE-55DD-4313-AA28-1D274DE01430}">
          <x14:formula1>
            <xm:f>Hoja1!$G$2:$G$3</xm:f>
          </x14:formula1>
          <xm:sqref>U8:U127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E825-A670-40AB-9766-3322FCD2735B}">
  <dimension ref="A1:U977"/>
  <sheetViews>
    <sheetView zoomScale="70" zoomScaleNormal="70" workbookViewId="0">
      <pane xSplit="2" ySplit="2" topLeftCell="K49" activePane="bottomRight" state="frozen"/>
      <selection pane="topRight" activeCell="C1" sqref="C1"/>
      <selection pane="bottomLeft" activeCell="A3" sqref="A3"/>
      <selection pane="bottomRight" activeCell="P81" sqref="P81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754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28.5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90712578</v>
      </c>
      <c r="B8" s="11" t="str">
        <f t="shared" ref="B8:B106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9.071.257-8</v>
      </c>
      <c r="C8" s="11" t="s">
        <v>14</v>
      </c>
      <c r="D8" s="11" t="s">
        <v>512</v>
      </c>
      <c r="E8" s="11" t="s">
        <v>677</v>
      </c>
      <c r="F8" s="11" t="s">
        <v>678</v>
      </c>
      <c r="G8" s="12">
        <v>45858</v>
      </c>
      <c r="H8" s="12">
        <v>45880</v>
      </c>
      <c r="I8" s="11" t="s">
        <v>15</v>
      </c>
      <c r="J8" s="48" t="s">
        <v>60</v>
      </c>
      <c r="K8" s="57" t="s">
        <v>16</v>
      </c>
      <c r="L8" s="12">
        <v>45870</v>
      </c>
      <c r="M8" s="12">
        <v>45880</v>
      </c>
      <c r="N8" s="44">
        <f t="shared" ref="N8:N111" si="1">+M8-L8</f>
        <v>10</v>
      </c>
      <c r="O8" s="44"/>
      <c r="P8" t="s">
        <v>942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90712578</v>
      </c>
      <c r="B9" s="11" t="str">
        <f t="shared" si="0"/>
        <v>9.071.257-8</v>
      </c>
      <c r="C9" s="11" t="s">
        <v>14</v>
      </c>
      <c r="D9" s="11" t="s">
        <v>512</v>
      </c>
      <c r="E9" s="11" t="s">
        <v>677</v>
      </c>
      <c r="F9" s="11" t="s">
        <v>678</v>
      </c>
      <c r="G9" s="12">
        <v>45858</v>
      </c>
      <c r="H9" s="12">
        <v>45880</v>
      </c>
      <c r="I9" s="11" t="s">
        <v>15</v>
      </c>
      <c r="J9" s="48" t="s">
        <v>60</v>
      </c>
      <c r="K9" s="57" t="s">
        <v>17</v>
      </c>
      <c r="L9" s="12">
        <v>45870</v>
      </c>
      <c r="M9" s="12">
        <v>45880</v>
      </c>
      <c r="N9" s="44">
        <f t="shared" si="1"/>
        <v>10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90712579</v>
      </c>
      <c r="B10" s="11" t="str">
        <f t="shared" si="0"/>
        <v>9.071.257-9</v>
      </c>
      <c r="C10" s="11" t="s">
        <v>14</v>
      </c>
      <c r="D10" s="11" t="s">
        <v>512</v>
      </c>
      <c r="E10" s="11" t="s">
        <v>677</v>
      </c>
      <c r="F10" s="11" t="s">
        <v>678</v>
      </c>
      <c r="G10" s="12">
        <v>45858</v>
      </c>
      <c r="H10" s="12">
        <v>45880</v>
      </c>
      <c r="I10" s="11" t="s">
        <v>15</v>
      </c>
      <c r="J10" s="48" t="s">
        <v>60</v>
      </c>
      <c r="K10" s="58" t="s">
        <v>18</v>
      </c>
      <c r="L10" s="12">
        <v>45870</v>
      </c>
      <c r="M10" s="35">
        <v>45871</v>
      </c>
      <c r="N10" s="44">
        <f t="shared" si="1"/>
        <v>1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90873555</v>
      </c>
      <c r="B11" s="11" t="str">
        <f t="shared" si="0"/>
        <v>9.087.355-5</v>
      </c>
      <c r="C11" s="11" t="s">
        <v>14</v>
      </c>
      <c r="D11" s="11" t="s">
        <v>376</v>
      </c>
      <c r="E11" s="11" t="s">
        <v>681</v>
      </c>
      <c r="F11" s="11" t="s">
        <v>334</v>
      </c>
      <c r="G11" s="12">
        <v>45861</v>
      </c>
      <c r="H11" s="12">
        <v>45873</v>
      </c>
      <c r="I11" s="11" t="s">
        <v>15</v>
      </c>
      <c r="J11" s="48" t="s">
        <v>60</v>
      </c>
      <c r="K11" s="57" t="s">
        <v>16</v>
      </c>
      <c r="L11" s="12">
        <v>45870</v>
      </c>
      <c r="M11" s="12">
        <v>45873</v>
      </c>
      <c r="N11" s="44">
        <f t="shared" si="1"/>
        <v>3</v>
      </c>
      <c r="O11" s="44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90873556</v>
      </c>
      <c r="B12" s="11" t="str">
        <f t="shared" si="0"/>
        <v>9.087.355-6</v>
      </c>
      <c r="C12" s="11" t="s">
        <v>14</v>
      </c>
      <c r="D12" s="11" t="s">
        <v>376</v>
      </c>
      <c r="E12" s="11" t="s">
        <v>681</v>
      </c>
      <c r="F12" s="11" t="s">
        <v>334</v>
      </c>
      <c r="G12" s="12">
        <v>45861</v>
      </c>
      <c r="H12" s="12">
        <v>45873</v>
      </c>
      <c r="I12" s="11" t="s">
        <v>15</v>
      </c>
      <c r="J12" s="48" t="s">
        <v>60</v>
      </c>
      <c r="K12" s="57" t="s">
        <v>17</v>
      </c>
      <c r="L12" s="12">
        <v>45870</v>
      </c>
      <c r="M12" s="12">
        <v>45873</v>
      </c>
      <c r="N12" s="44">
        <f t="shared" si="1"/>
        <v>3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115712454</v>
      </c>
      <c r="B13" s="11" t="str">
        <f t="shared" si="0"/>
        <v>11.571.245-4</v>
      </c>
      <c r="C13" s="11" t="s">
        <v>14</v>
      </c>
      <c r="D13" s="11" t="s">
        <v>229</v>
      </c>
      <c r="E13" s="11" t="s">
        <v>682</v>
      </c>
      <c r="F13" s="11" t="s">
        <v>683</v>
      </c>
      <c r="G13" s="12">
        <v>45863</v>
      </c>
      <c r="H13" s="12">
        <v>45874</v>
      </c>
      <c r="I13" s="11" t="s">
        <v>15</v>
      </c>
      <c r="J13" s="48" t="s">
        <v>28</v>
      </c>
      <c r="K13" s="57" t="s">
        <v>16</v>
      </c>
      <c r="L13" s="12">
        <v>45870</v>
      </c>
      <c r="M13" s="12">
        <v>45874</v>
      </c>
      <c r="N13" s="44">
        <f t="shared" si="1"/>
        <v>4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115712454</v>
      </c>
      <c r="B14" s="11" t="str">
        <f t="shared" si="0"/>
        <v>11.571.245-4</v>
      </c>
      <c r="C14" s="11" t="s">
        <v>14</v>
      </c>
      <c r="D14" s="11" t="s">
        <v>229</v>
      </c>
      <c r="E14" s="11" t="s">
        <v>682</v>
      </c>
      <c r="F14" s="11" t="s">
        <v>683</v>
      </c>
      <c r="G14" s="12">
        <v>45863</v>
      </c>
      <c r="H14" s="12">
        <v>45874</v>
      </c>
      <c r="I14" s="11" t="s">
        <v>15</v>
      </c>
      <c r="J14" s="48" t="s">
        <v>28</v>
      </c>
      <c r="K14" s="57" t="s">
        <v>17</v>
      </c>
      <c r="L14" s="12">
        <v>45870</v>
      </c>
      <c r="M14" s="12">
        <v>45874</v>
      </c>
      <c r="N14" s="44">
        <f t="shared" si="1"/>
        <v>4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75961677</v>
      </c>
      <c r="B15" s="11" t="str">
        <f t="shared" si="0"/>
        <v>7.596.167-7</v>
      </c>
      <c r="C15" s="11" t="s">
        <v>14</v>
      </c>
      <c r="D15" s="11" t="s">
        <v>159</v>
      </c>
      <c r="E15" s="11" t="s">
        <v>113</v>
      </c>
      <c r="F15" s="11" t="s">
        <v>171</v>
      </c>
      <c r="G15" s="12">
        <v>45866</v>
      </c>
      <c r="H15" s="12">
        <v>45874</v>
      </c>
      <c r="I15" s="11" t="s">
        <v>72</v>
      </c>
      <c r="J15" s="11" t="s">
        <v>75</v>
      </c>
      <c r="K15" s="56" t="s">
        <v>16</v>
      </c>
      <c r="L15" s="12">
        <v>45870</v>
      </c>
      <c r="M15" s="12">
        <v>45874</v>
      </c>
      <c r="N15" s="44">
        <f t="shared" si="1"/>
        <v>4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>
        <v>75961677</v>
      </c>
      <c r="B16" s="11" t="str">
        <f t="shared" si="0"/>
        <v>7.596.167-7</v>
      </c>
      <c r="C16" s="11" t="s">
        <v>14</v>
      </c>
      <c r="D16" s="11" t="s">
        <v>159</v>
      </c>
      <c r="E16" s="11" t="s">
        <v>113</v>
      </c>
      <c r="F16" s="11" t="s">
        <v>171</v>
      </c>
      <c r="G16" s="12">
        <v>45866</v>
      </c>
      <c r="H16" s="12">
        <v>45874</v>
      </c>
      <c r="I16" s="11" t="s">
        <v>72</v>
      </c>
      <c r="J16" s="64" t="s">
        <v>75</v>
      </c>
      <c r="K16" s="60" t="s">
        <v>17</v>
      </c>
      <c r="L16" s="38">
        <v>45870</v>
      </c>
      <c r="M16" s="38">
        <v>45874</v>
      </c>
      <c r="N16" s="44">
        <f t="shared" si="1"/>
        <v>4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>
        <v>66035077</v>
      </c>
      <c r="B17" s="11" t="str">
        <f t="shared" si="0"/>
        <v>6.603.507-7</v>
      </c>
      <c r="C17" s="11" t="s">
        <v>14</v>
      </c>
      <c r="D17" s="11" t="s">
        <v>700</v>
      </c>
      <c r="E17" s="11" t="s">
        <v>701</v>
      </c>
      <c r="F17" s="11" t="s">
        <v>414</v>
      </c>
      <c r="G17" s="12">
        <v>45869</v>
      </c>
      <c r="H17" s="12">
        <v>45878</v>
      </c>
      <c r="I17" s="48" t="s">
        <v>15</v>
      </c>
      <c r="J17" s="57" t="s">
        <v>42</v>
      </c>
      <c r="K17" s="57" t="s">
        <v>16</v>
      </c>
      <c r="L17" s="12">
        <v>45870</v>
      </c>
      <c r="M17" s="12">
        <v>45878</v>
      </c>
      <c r="N17" s="44">
        <f t="shared" si="1"/>
        <v>8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66035077</v>
      </c>
      <c r="B18" s="11" t="str">
        <f t="shared" si="0"/>
        <v>6.603.507-7</v>
      </c>
      <c r="C18" s="11" t="s">
        <v>14</v>
      </c>
      <c r="D18" s="11" t="s">
        <v>700</v>
      </c>
      <c r="E18" s="11" t="s">
        <v>701</v>
      </c>
      <c r="F18" s="11" t="s">
        <v>414</v>
      </c>
      <c r="G18" s="12">
        <v>45869</v>
      </c>
      <c r="H18" s="12">
        <v>45878</v>
      </c>
      <c r="I18" s="48" t="s">
        <v>15</v>
      </c>
      <c r="J18" s="57" t="s">
        <v>42</v>
      </c>
      <c r="K18" s="57" t="s">
        <v>17</v>
      </c>
      <c r="L18" s="38">
        <v>45870</v>
      </c>
      <c r="M18" s="12">
        <v>45878</v>
      </c>
      <c r="N18" s="44">
        <f t="shared" si="1"/>
        <v>8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244407978</v>
      </c>
      <c r="B19" s="11" t="str">
        <f t="shared" si="0"/>
        <v>24.440.797-8</v>
      </c>
      <c r="C19" s="11" t="s">
        <v>14</v>
      </c>
      <c r="D19" s="11" t="s">
        <v>551</v>
      </c>
      <c r="E19" s="11" t="s">
        <v>702</v>
      </c>
      <c r="F19" s="11" t="s">
        <v>703</v>
      </c>
      <c r="G19" s="12">
        <v>45870</v>
      </c>
      <c r="H19" s="12">
        <v>45880</v>
      </c>
      <c r="I19" s="48" t="s">
        <v>15</v>
      </c>
      <c r="J19" s="57" t="s">
        <v>60</v>
      </c>
      <c r="K19" s="57" t="s">
        <v>16</v>
      </c>
      <c r="L19" s="12">
        <v>45870</v>
      </c>
      <c r="M19" s="12">
        <v>45880</v>
      </c>
      <c r="N19" s="44">
        <f t="shared" si="1"/>
        <v>10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244407978</v>
      </c>
      <c r="B20" s="11" t="str">
        <f t="shared" si="0"/>
        <v>24.440.797-8</v>
      </c>
      <c r="C20" s="11" t="s">
        <v>14</v>
      </c>
      <c r="D20" s="11" t="s">
        <v>551</v>
      </c>
      <c r="E20" s="11" t="s">
        <v>702</v>
      </c>
      <c r="F20" s="11" t="s">
        <v>703</v>
      </c>
      <c r="G20" s="12">
        <v>45870</v>
      </c>
      <c r="H20" s="12">
        <v>45880</v>
      </c>
      <c r="I20" s="48" t="s">
        <v>15</v>
      </c>
      <c r="J20" s="57" t="s">
        <v>60</v>
      </c>
      <c r="K20" s="57" t="s">
        <v>17</v>
      </c>
      <c r="L20" s="12">
        <v>45870</v>
      </c>
      <c r="M20" s="12">
        <v>45880</v>
      </c>
      <c r="N20" s="44">
        <f t="shared" si="1"/>
        <v>10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244407978</v>
      </c>
      <c r="B21" s="11" t="str">
        <f t="shared" si="0"/>
        <v>24.440.797-8</v>
      </c>
      <c r="C21" s="11" t="s">
        <v>14</v>
      </c>
      <c r="D21" s="11" t="s">
        <v>551</v>
      </c>
      <c r="E21" s="11" t="s">
        <v>702</v>
      </c>
      <c r="F21" s="11" t="s">
        <v>703</v>
      </c>
      <c r="G21" s="12">
        <v>45870</v>
      </c>
      <c r="H21" s="12">
        <v>45880</v>
      </c>
      <c r="I21" s="48" t="s">
        <v>15</v>
      </c>
      <c r="J21" s="57" t="s">
        <v>60</v>
      </c>
      <c r="K21" s="57" t="s">
        <v>18</v>
      </c>
      <c r="L21" s="12">
        <v>45870</v>
      </c>
      <c r="M21" s="12">
        <v>45879</v>
      </c>
      <c r="N21" s="44">
        <f t="shared" si="1"/>
        <v>9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97810141</v>
      </c>
      <c r="B22" s="11" t="str">
        <f t="shared" si="0"/>
        <v>9.781.014-1</v>
      </c>
      <c r="C22" s="11" t="s">
        <v>14</v>
      </c>
      <c r="D22" s="11" t="s">
        <v>377</v>
      </c>
      <c r="E22" s="11" t="s">
        <v>236</v>
      </c>
      <c r="F22" s="11" t="s">
        <v>290</v>
      </c>
      <c r="G22" s="12">
        <v>45873</v>
      </c>
      <c r="H22" s="12">
        <v>45891</v>
      </c>
      <c r="I22" s="48" t="s">
        <v>72</v>
      </c>
      <c r="J22" s="57" t="s">
        <v>200</v>
      </c>
      <c r="K22" s="57" t="s">
        <v>16</v>
      </c>
      <c r="L22" s="12">
        <v>45873</v>
      </c>
      <c r="M22" s="12">
        <v>45891</v>
      </c>
      <c r="N22" s="44">
        <f t="shared" si="1"/>
        <v>18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97810141</v>
      </c>
      <c r="B23" s="11" t="str">
        <f t="shared" si="0"/>
        <v>9.781.014-1</v>
      </c>
      <c r="C23" s="11" t="s">
        <v>14</v>
      </c>
      <c r="D23" s="11" t="s">
        <v>377</v>
      </c>
      <c r="E23" s="11" t="s">
        <v>236</v>
      </c>
      <c r="F23" s="11" t="s">
        <v>290</v>
      </c>
      <c r="G23" s="12">
        <v>45873</v>
      </c>
      <c r="H23" s="12">
        <v>45891</v>
      </c>
      <c r="I23" s="48" t="s">
        <v>72</v>
      </c>
      <c r="J23" s="57" t="s">
        <v>200</v>
      </c>
      <c r="K23" s="57" t="s">
        <v>17</v>
      </c>
      <c r="L23" s="12">
        <v>45873</v>
      </c>
      <c r="M23" s="12">
        <v>45891</v>
      </c>
      <c r="N23" s="44">
        <f t="shared" si="1"/>
        <v>18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97810141</v>
      </c>
      <c r="B24" s="11" t="str">
        <f t="shared" si="0"/>
        <v>9.781.014-1</v>
      </c>
      <c r="C24" s="11" t="s">
        <v>14</v>
      </c>
      <c r="D24" s="11" t="s">
        <v>377</v>
      </c>
      <c r="E24" s="11" t="s">
        <v>236</v>
      </c>
      <c r="F24" s="11" t="s">
        <v>290</v>
      </c>
      <c r="G24" s="12">
        <v>45873</v>
      </c>
      <c r="H24" s="12">
        <v>45891</v>
      </c>
      <c r="I24" s="48" t="s">
        <v>72</v>
      </c>
      <c r="J24" s="57" t="s">
        <v>200</v>
      </c>
      <c r="K24" s="57" t="s">
        <v>18</v>
      </c>
      <c r="L24" s="12">
        <v>45873</v>
      </c>
      <c r="M24" s="35">
        <v>45884</v>
      </c>
      <c r="N24" s="44">
        <f t="shared" si="1"/>
        <v>11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30214447</v>
      </c>
      <c r="B25" s="11" t="str">
        <f t="shared" si="0"/>
        <v>3.021.444-7</v>
      </c>
      <c r="C25" s="11" t="s">
        <v>14</v>
      </c>
      <c r="D25" s="11" t="s">
        <v>183</v>
      </c>
      <c r="E25" s="11" t="s">
        <v>115</v>
      </c>
      <c r="F25" s="11" t="s">
        <v>704</v>
      </c>
      <c r="G25" s="12">
        <v>45868</v>
      </c>
      <c r="H25" s="12">
        <v>45874</v>
      </c>
      <c r="I25" s="11" t="s">
        <v>15</v>
      </c>
      <c r="J25" s="56" t="s">
        <v>106</v>
      </c>
      <c r="K25" s="65" t="s">
        <v>16</v>
      </c>
      <c r="L25" s="66">
        <v>45870</v>
      </c>
      <c r="M25" s="12">
        <v>45874</v>
      </c>
      <c r="N25" s="44">
        <f t="shared" si="1"/>
        <v>4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30214447</v>
      </c>
      <c r="B26" s="11" t="str">
        <f t="shared" si="0"/>
        <v>3.021.444-7</v>
      </c>
      <c r="C26" s="11" t="s">
        <v>14</v>
      </c>
      <c r="D26" s="11" t="s">
        <v>183</v>
      </c>
      <c r="E26" s="11" t="s">
        <v>115</v>
      </c>
      <c r="F26" s="11" t="s">
        <v>704</v>
      </c>
      <c r="G26" s="12">
        <v>45868</v>
      </c>
      <c r="H26" s="12">
        <v>45874</v>
      </c>
      <c r="I26" s="11" t="s">
        <v>15</v>
      </c>
      <c r="J26" s="56" t="s">
        <v>106</v>
      </c>
      <c r="K26" s="57" t="s">
        <v>17</v>
      </c>
      <c r="L26" s="35">
        <v>45870</v>
      </c>
      <c r="M26" s="12">
        <v>45874</v>
      </c>
      <c r="N26" s="44">
        <f t="shared" si="1"/>
        <v>4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171703662</v>
      </c>
      <c r="B27" s="11" t="str">
        <f t="shared" si="0"/>
        <v>17.170.366-2</v>
      </c>
      <c r="C27" s="11" t="s">
        <v>14</v>
      </c>
      <c r="D27" s="11" t="s">
        <v>145</v>
      </c>
      <c r="E27" s="11" t="s">
        <v>154</v>
      </c>
      <c r="F27" s="11" t="s">
        <v>572</v>
      </c>
      <c r="G27" s="12">
        <v>45869</v>
      </c>
      <c r="H27" s="12">
        <v>45875</v>
      </c>
      <c r="I27" s="11" t="s">
        <v>72</v>
      </c>
      <c r="J27" s="56" t="s">
        <v>106</v>
      </c>
      <c r="K27" s="57" t="s">
        <v>16</v>
      </c>
      <c r="L27" s="66">
        <v>45870</v>
      </c>
      <c r="M27" s="12">
        <v>45875</v>
      </c>
      <c r="N27" s="44">
        <f t="shared" si="1"/>
        <v>5</v>
      </c>
      <c r="O27" s="44"/>
      <c r="P27" t="s">
        <v>942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171703662</v>
      </c>
      <c r="B28" s="11" t="str">
        <f t="shared" si="0"/>
        <v>17.170.366-2</v>
      </c>
      <c r="C28" s="11" t="s">
        <v>14</v>
      </c>
      <c r="D28" s="11" t="s">
        <v>145</v>
      </c>
      <c r="E28" s="11" t="s">
        <v>154</v>
      </c>
      <c r="F28" s="11" t="s">
        <v>572</v>
      </c>
      <c r="G28" s="12">
        <v>45869</v>
      </c>
      <c r="H28" s="12">
        <v>45875</v>
      </c>
      <c r="I28" s="11" t="s">
        <v>72</v>
      </c>
      <c r="J28" s="56" t="s">
        <v>106</v>
      </c>
      <c r="K28" s="57" t="s">
        <v>17</v>
      </c>
      <c r="L28" s="35">
        <v>45870</v>
      </c>
      <c r="M28" s="12">
        <v>45875</v>
      </c>
      <c r="N28" s="44">
        <f t="shared" si="1"/>
        <v>5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171703662</v>
      </c>
      <c r="B29" s="11" t="str">
        <f t="shared" si="0"/>
        <v>17.170.366-2</v>
      </c>
      <c r="C29" s="11" t="s">
        <v>14</v>
      </c>
      <c r="D29" s="11" t="s">
        <v>145</v>
      </c>
      <c r="E29" s="11" t="s">
        <v>154</v>
      </c>
      <c r="F29" s="11" t="s">
        <v>572</v>
      </c>
      <c r="G29" s="12">
        <v>45869</v>
      </c>
      <c r="H29" s="12">
        <v>45875</v>
      </c>
      <c r="I29" s="11" t="s">
        <v>72</v>
      </c>
      <c r="J29" s="56" t="s">
        <v>106</v>
      </c>
      <c r="K29" s="57" t="s">
        <v>18</v>
      </c>
      <c r="L29" s="66">
        <v>45870</v>
      </c>
      <c r="M29" s="12">
        <v>45875</v>
      </c>
      <c r="N29" s="44">
        <f t="shared" si="1"/>
        <v>5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171703662</v>
      </c>
      <c r="B30" s="11" t="str">
        <f t="shared" si="0"/>
        <v>17.170.366-2</v>
      </c>
      <c r="C30" s="11" t="s">
        <v>14</v>
      </c>
      <c r="D30" s="11" t="s">
        <v>145</v>
      </c>
      <c r="E30" s="11" t="s">
        <v>154</v>
      </c>
      <c r="F30" s="11" t="s">
        <v>572</v>
      </c>
      <c r="G30" s="12">
        <v>45869</v>
      </c>
      <c r="H30" s="12">
        <v>45875</v>
      </c>
      <c r="I30" s="11" t="s">
        <v>72</v>
      </c>
      <c r="J30" s="56" t="s">
        <v>106</v>
      </c>
      <c r="K30" s="57" t="s">
        <v>349</v>
      </c>
      <c r="L30" s="35">
        <v>45870</v>
      </c>
      <c r="M30" s="12">
        <v>45873</v>
      </c>
      <c r="N30" s="44">
        <f t="shared" si="1"/>
        <v>3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75961677</v>
      </c>
      <c r="B31" s="11" t="str">
        <f t="shared" si="0"/>
        <v>7.596.167-7</v>
      </c>
      <c r="C31" s="11" t="s">
        <v>14</v>
      </c>
      <c r="D31" s="11" t="s">
        <v>159</v>
      </c>
      <c r="E31" s="11" t="s">
        <v>113</v>
      </c>
      <c r="F31" s="11" t="s">
        <v>171</v>
      </c>
      <c r="G31" s="12">
        <v>45866</v>
      </c>
      <c r="H31" s="12">
        <v>45874</v>
      </c>
      <c r="I31" s="11" t="s">
        <v>72</v>
      </c>
      <c r="J31" s="56" t="s">
        <v>75</v>
      </c>
      <c r="K31" s="57" t="s">
        <v>16</v>
      </c>
      <c r="L31" s="66">
        <v>45870</v>
      </c>
      <c r="M31" s="12">
        <v>45874</v>
      </c>
      <c r="N31" s="44">
        <f t="shared" si="1"/>
        <v>4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168975813</v>
      </c>
      <c r="B32" s="11" t="str">
        <f t="shared" si="0"/>
        <v>16.897.581-3</v>
      </c>
      <c r="C32" s="11" t="s">
        <v>14</v>
      </c>
      <c r="D32" s="11" t="s">
        <v>405</v>
      </c>
      <c r="E32" s="11" t="s">
        <v>707</v>
      </c>
      <c r="F32" s="11" t="s">
        <v>588</v>
      </c>
      <c r="G32" s="12">
        <v>45875</v>
      </c>
      <c r="H32" s="12">
        <v>45883</v>
      </c>
      <c r="I32" s="11" t="s">
        <v>15</v>
      </c>
      <c r="J32" s="56" t="s">
        <v>342</v>
      </c>
      <c r="K32" s="57" t="s">
        <v>16</v>
      </c>
      <c r="L32" s="12">
        <v>45875</v>
      </c>
      <c r="M32" s="12">
        <v>45883</v>
      </c>
      <c r="N32" s="44">
        <f t="shared" si="1"/>
        <v>8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168975813</v>
      </c>
      <c r="B33" s="11" t="str">
        <f t="shared" si="0"/>
        <v>16.897.581-3</v>
      </c>
      <c r="C33" s="11" t="s">
        <v>14</v>
      </c>
      <c r="D33" s="11" t="s">
        <v>405</v>
      </c>
      <c r="E33" s="11" t="s">
        <v>707</v>
      </c>
      <c r="F33" s="11" t="s">
        <v>588</v>
      </c>
      <c r="G33" s="12">
        <v>45875</v>
      </c>
      <c r="H33" s="12">
        <v>45883</v>
      </c>
      <c r="I33" s="11" t="s">
        <v>15</v>
      </c>
      <c r="J33" s="48" t="s">
        <v>342</v>
      </c>
      <c r="K33" s="57" t="s">
        <v>17</v>
      </c>
      <c r="L33" s="12">
        <v>45875</v>
      </c>
      <c r="M33" s="12">
        <v>45883</v>
      </c>
      <c r="N33" s="44">
        <f t="shared" si="1"/>
        <v>8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168975813</v>
      </c>
      <c r="B34" s="11" t="str">
        <f t="shared" si="0"/>
        <v>16.897.581-3</v>
      </c>
      <c r="C34" s="11" t="s">
        <v>14</v>
      </c>
      <c r="D34" s="11" t="s">
        <v>405</v>
      </c>
      <c r="E34" s="11" t="s">
        <v>707</v>
      </c>
      <c r="F34" s="11" t="s">
        <v>588</v>
      </c>
      <c r="G34" s="12">
        <v>45875</v>
      </c>
      <c r="H34" s="12">
        <v>45883</v>
      </c>
      <c r="I34" s="11" t="s">
        <v>15</v>
      </c>
      <c r="J34" s="48" t="s">
        <v>342</v>
      </c>
      <c r="K34" s="57" t="s">
        <v>18</v>
      </c>
      <c r="L34" s="12">
        <v>45875</v>
      </c>
      <c r="M34" s="12">
        <v>45878</v>
      </c>
      <c r="N34" s="44">
        <f t="shared" si="1"/>
        <v>3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90445286</v>
      </c>
      <c r="B35" s="11" t="str">
        <f t="shared" si="0"/>
        <v>9.044.528-6</v>
      </c>
      <c r="C35" s="11" t="s">
        <v>14</v>
      </c>
      <c r="D35" s="11" t="s">
        <v>708</v>
      </c>
      <c r="E35" s="11" t="s">
        <v>398</v>
      </c>
      <c r="F35" s="11" t="s">
        <v>99</v>
      </c>
      <c r="G35" s="12">
        <v>45873</v>
      </c>
      <c r="H35" s="12">
        <v>45884</v>
      </c>
      <c r="I35" s="11" t="s">
        <v>15</v>
      </c>
      <c r="J35" s="48" t="s">
        <v>42</v>
      </c>
      <c r="K35" s="57" t="s">
        <v>16</v>
      </c>
      <c r="L35" s="12">
        <v>45873</v>
      </c>
      <c r="M35" s="35">
        <v>45884</v>
      </c>
      <c r="N35" s="44">
        <f t="shared" si="1"/>
        <v>11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90445286</v>
      </c>
      <c r="B36" s="11" t="str">
        <f t="shared" si="0"/>
        <v>9.044.528-6</v>
      </c>
      <c r="C36" s="11" t="s">
        <v>14</v>
      </c>
      <c r="D36" s="11" t="s">
        <v>708</v>
      </c>
      <c r="E36" s="11" t="s">
        <v>398</v>
      </c>
      <c r="F36" s="11" t="s">
        <v>99</v>
      </c>
      <c r="G36" s="12">
        <v>45873</v>
      </c>
      <c r="H36" s="12">
        <v>45884</v>
      </c>
      <c r="I36" s="11" t="s">
        <v>15</v>
      </c>
      <c r="J36" s="48" t="s">
        <v>42</v>
      </c>
      <c r="K36" s="57" t="s">
        <v>17</v>
      </c>
      <c r="L36" s="12">
        <v>45873</v>
      </c>
      <c r="M36" s="35">
        <v>45876</v>
      </c>
      <c r="N36" s="44">
        <f t="shared" si="1"/>
        <v>3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90445286</v>
      </c>
      <c r="B37" s="11" t="str">
        <f t="shared" si="0"/>
        <v>9.044.528-6</v>
      </c>
      <c r="C37" s="11" t="s">
        <v>14</v>
      </c>
      <c r="D37" s="11" t="s">
        <v>708</v>
      </c>
      <c r="E37" s="11" t="s">
        <v>398</v>
      </c>
      <c r="F37" s="11" t="s">
        <v>99</v>
      </c>
      <c r="G37" s="12">
        <v>45873</v>
      </c>
      <c r="H37" s="12">
        <v>45884</v>
      </c>
      <c r="I37" s="11" t="s">
        <v>15</v>
      </c>
      <c r="J37" s="48" t="s">
        <v>42</v>
      </c>
      <c r="K37" s="57" t="s">
        <v>18</v>
      </c>
      <c r="L37" s="12">
        <v>45873</v>
      </c>
      <c r="M37" s="35">
        <v>45875</v>
      </c>
      <c r="N37" s="44">
        <f t="shared" si="1"/>
        <v>2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116782138</v>
      </c>
      <c r="B38" s="11" t="str">
        <f t="shared" si="0"/>
        <v>11.678.213-8</v>
      </c>
      <c r="C38" s="11" t="s">
        <v>14</v>
      </c>
      <c r="D38" s="11" t="s">
        <v>602</v>
      </c>
      <c r="E38" s="11" t="s">
        <v>602</v>
      </c>
      <c r="F38" s="11" t="s">
        <v>603</v>
      </c>
      <c r="G38" s="12">
        <v>45875</v>
      </c>
      <c r="H38" s="12">
        <v>45880</v>
      </c>
      <c r="I38" s="11" t="s">
        <v>15</v>
      </c>
      <c r="J38" s="48" t="s">
        <v>72</v>
      </c>
      <c r="K38" s="57" t="s">
        <v>16</v>
      </c>
      <c r="L38" s="12">
        <v>45875</v>
      </c>
      <c r="M38" s="12">
        <v>45880</v>
      </c>
      <c r="N38" s="44">
        <f t="shared" si="1"/>
        <v>5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117346331</v>
      </c>
      <c r="B39" s="11" t="str">
        <f t="shared" si="0"/>
        <v>11.734.633-1</v>
      </c>
      <c r="C39" s="11" t="s">
        <v>14</v>
      </c>
      <c r="D39" s="11" t="s">
        <v>712</v>
      </c>
      <c r="E39" s="11" t="s">
        <v>116</v>
      </c>
      <c r="F39" s="11" t="s">
        <v>184</v>
      </c>
      <c r="G39" s="12">
        <v>45880</v>
      </c>
      <c r="H39" s="12">
        <v>45885</v>
      </c>
      <c r="I39" s="11" t="s">
        <v>15</v>
      </c>
      <c r="J39" s="48" t="s">
        <v>28</v>
      </c>
      <c r="K39" s="57" t="s">
        <v>16</v>
      </c>
      <c r="L39" s="12">
        <v>45880</v>
      </c>
      <c r="M39" s="12">
        <v>45885</v>
      </c>
      <c r="N39" s="44">
        <f t="shared" si="1"/>
        <v>5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117346331</v>
      </c>
      <c r="B40" s="11" t="str">
        <f t="shared" si="0"/>
        <v>11.734.633-1</v>
      </c>
      <c r="C40" s="11" t="s">
        <v>14</v>
      </c>
      <c r="D40" s="11" t="s">
        <v>712</v>
      </c>
      <c r="E40" s="11" t="s">
        <v>116</v>
      </c>
      <c r="F40" s="11" t="s">
        <v>184</v>
      </c>
      <c r="G40" s="12">
        <v>45880</v>
      </c>
      <c r="H40" s="12">
        <v>45885</v>
      </c>
      <c r="I40" s="11" t="s">
        <v>15</v>
      </c>
      <c r="J40" s="48" t="s">
        <v>28</v>
      </c>
      <c r="K40" s="57" t="s">
        <v>17</v>
      </c>
      <c r="L40" s="12">
        <v>45880</v>
      </c>
      <c r="M40" s="12">
        <v>45885</v>
      </c>
      <c r="N40" s="44">
        <f t="shared" si="1"/>
        <v>5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117346331</v>
      </c>
      <c r="B41" s="11" t="str">
        <f t="shared" si="0"/>
        <v>11.734.633-1</v>
      </c>
      <c r="C41" s="11" t="s">
        <v>14</v>
      </c>
      <c r="D41" s="11" t="s">
        <v>712</v>
      </c>
      <c r="E41" s="11" t="s">
        <v>116</v>
      </c>
      <c r="F41" s="11" t="s">
        <v>184</v>
      </c>
      <c r="G41" s="12">
        <v>45880</v>
      </c>
      <c r="H41" s="12">
        <v>45885</v>
      </c>
      <c r="I41" s="11" t="s">
        <v>15</v>
      </c>
      <c r="J41" s="48" t="s">
        <v>28</v>
      </c>
      <c r="K41" s="57" t="s">
        <v>18</v>
      </c>
      <c r="L41" s="12">
        <v>45880</v>
      </c>
      <c r="M41" s="12">
        <v>45882</v>
      </c>
      <c r="N41" s="44">
        <f t="shared" si="1"/>
        <v>2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66555674</v>
      </c>
      <c r="B42" s="11" t="str">
        <f t="shared" si="0"/>
        <v>6.655.567-4</v>
      </c>
      <c r="C42" s="11" t="s">
        <v>14</v>
      </c>
      <c r="D42" s="11" t="s">
        <v>713</v>
      </c>
      <c r="E42" s="11" t="s">
        <v>101</v>
      </c>
      <c r="F42" s="11" t="s">
        <v>239</v>
      </c>
      <c r="G42" s="12">
        <v>45878</v>
      </c>
      <c r="H42" s="12">
        <v>45883</v>
      </c>
      <c r="I42" s="11" t="s">
        <v>15</v>
      </c>
      <c r="J42" s="48" t="s">
        <v>106</v>
      </c>
      <c r="K42" s="57" t="s">
        <v>16</v>
      </c>
      <c r="L42" s="12">
        <v>45878</v>
      </c>
      <c r="M42" s="12">
        <v>45883</v>
      </c>
      <c r="N42" s="44">
        <f t="shared" si="1"/>
        <v>5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66555674</v>
      </c>
      <c r="B43" s="11" t="str">
        <f t="shared" si="0"/>
        <v>6.655.567-4</v>
      </c>
      <c r="C43" s="11" t="s">
        <v>14</v>
      </c>
      <c r="D43" s="11" t="s">
        <v>713</v>
      </c>
      <c r="E43" s="11" t="s">
        <v>101</v>
      </c>
      <c r="F43" s="11" t="s">
        <v>239</v>
      </c>
      <c r="G43" s="12">
        <v>45878</v>
      </c>
      <c r="H43" s="12">
        <v>45883</v>
      </c>
      <c r="I43" s="11" t="s">
        <v>15</v>
      </c>
      <c r="J43" s="48" t="s">
        <v>106</v>
      </c>
      <c r="K43" s="57" t="s">
        <v>17</v>
      </c>
      <c r="L43" s="12">
        <v>45878</v>
      </c>
      <c r="M43" s="12">
        <v>45883</v>
      </c>
      <c r="N43" s="44">
        <f t="shared" si="1"/>
        <v>5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66555674</v>
      </c>
      <c r="B44" s="11" t="str">
        <f t="shared" si="0"/>
        <v>6.655.567-4</v>
      </c>
      <c r="C44" s="11" t="s">
        <v>14</v>
      </c>
      <c r="D44" s="11" t="s">
        <v>713</v>
      </c>
      <c r="E44" s="11" t="s">
        <v>101</v>
      </c>
      <c r="F44" s="11" t="s">
        <v>239</v>
      </c>
      <c r="G44" s="12">
        <v>45878</v>
      </c>
      <c r="H44" s="12">
        <v>45883</v>
      </c>
      <c r="I44" s="11" t="s">
        <v>15</v>
      </c>
      <c r="J44" s="48" t="s">
        <v>106</v>
      </c>
      <c r="K44" s="57" t="s">
        <v>18</v>
      </c>
      <c r="L44" s="12">
        <v>45878</v>
      </c>
      <c r="M44" s="12">
        <v>45883</v>
      </c>
      <c r="N44" s="44">
        <f t="shared" si="1"/>
        <v>5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155911565</v>
      </c>
      <c r="B45" s="11" t="str">
        <f t="shared" si="0"/>
        <v>15.591.156-5</v>
      </c>
      <c r="C45" s="11" t="s">
        <v>14</v>
      </c>
      <c r="D45" s="11" t="s">
        <v>398</v>
      </c>
      <c r="E45" s="11" t="s">
        <v>714</v>
      </c>
      <c r="F45" s="11" t="s">
        <v>239</v>
      </c>
      <c r="G45" s="12">
        <v>45875</v>
      </c>
      <c r="H45" s="12">
        <v>45880</v>
      </c>
      <c r="I45" s="11" t="s">
        <v>15</v>
      </c>
      <c r="J45" s="48" t="s">
        <v>60</v>
      </c>
      <c r="K45" s="57" t="s">
        <v>16</v>
      </c>
      <c r="L45" s="12">
        <v>45875</v>
      </c>
      <c r="M45" s="12">
        <v>45880</v>
      </c>
      <c r="N45" s="44">
        <f t="shared" si="1"/>
        <v>5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155911565</v>
      </c>
      <c r="B46" s="11" t="str">
        <f t="shared" si="0"/>
        <v>15.591.156-5</v>
      </c>
      <c r="C46" s="11" t="s">
        <v>14</v>
      </c>
      <c r="D46" s="11" t="s">
        <v>398</v>
      </c>
      <c r="E46" s="11" t="s">
        <v>714</v>
      </c>
      <c r="F46" s="11" t="s">
        <v>239</v>
      </c>
      <c r="G46" s="12">
        <v>45875</v>
      </c>
      <c r="H46" s="12">
        <v>45880</v>
      </c>
      <c r="I46" s="11" t="s">
        <v>15</v>
      </c>
      <c r="J46" s="48" t="s">
        <v>60</v>
      </c>
      <c r="K46" s="57" t="s">
        <v>17</v>
      </c>
      <c r="L46" s="12">
        <v>45875</v>
      </c>
      <c r="M46" s="12">
        <v>45880</v>
      </c>
      <c r="N46" s="44">
        <f t="shared" si="1"/>
        <v>5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57288035</v>
      </c>
      <c r="B47" s="11" t="str">
        <f t="shared" si="0"/>
        <v>5.728.803-5</v>
      </c>
      <c r="C47" s="11" t="s">
        <v>14</v>
      </c>
      <c r="D47" s="11" t="s">
        <v>718</v>
      </c>
      <c r="E47" s="11" t="s">
        <v>378</v>
      </c>
      <c r="F47" s="11" t="s">
        <v>328</v>
      </c>
      <c r="G47" s="12">
        <v>45880</v>
      </c>
      <c r="H47" s="12">
        <v>45883</v>
      </c>
      <c r="I47" s="11" t="s">
        <v>72</v>
      </c>
      <c r="J47" s="48" t="s">
        <v>106</v>
      </c>
      <c r="K47" s="57" t="s">
        <v>16</v>
      </c>
      <c r="L47" s="12">
        <v>45880</v>
      </c>
      <c r="M47" s="12">
        <v>45883</v>
      </c>
      <c r="N47" s="44">
        <f t="shared" si="1"/>
        <v>3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57288035</v>
      </c>
      <c r="B48" s="11" t="str">
        <f t="shared" si="0"/>
        <v>5.728.803-5</v>
      </c>
      <c r="C48" s="11" t="s">
        <v>14</v>
      </c>
      <c r="D48" s="11" t="s">
        <v>718</v>
      </c>
      <c r="E48" s="11" t="s">
        <v>378</v>
      </c>
      <c r="F48" s="11" t="s">
        <v>328</v>
      </c>
      <c r="G48" s="12">
        <v>45880</v>
      </c>
      <c r="H48" s="12">
        <v>45883</v>
      </c>
      <c r="I48" s="11" t="s">
        <v>72</v>
      </c>
      <c r="J48" s="48" t="s">
        <v>106</v>
      </c>
      <c r="K48" s="57" t="s">
        <v>17</v>
      </c>
      <c r="L48" s="12">
        <v>45880</v>
      </c>
      <c r="M48" s="12">
        <v>45883</v>
      </c>
      <c r="N48" s="44">
        <f t="shared" si="1"/>
        <v>3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57288035</v>
      </c>
      <c r="B49" s="11" t="str">
        <f t="shared" si="0"/>
        <v>5.728.803-5</v>
      </c>
      <c r="C49" s="11" t="s">
        <v>14</v>
      </c>
      <c r="D49" s="11" t="s">
        <v>718</v>
      </c>
      <c r="E49" s="11" t="s">
        <v>378</v>
      </c>
      <c r="F49" s="11" t="s">
        <v>328</v>
      </c>
      <c r="G49" s="12">
        <v>45880</v>
      </c>
      <c r="H49" s="12">
        <v>45883</v>
      </c>
      <c r="I49" s="11" t="s">
        <v>72</v>
      </c>
      <c r="J49" s="48" t="s">
        <v>106</v>
      </c>
      <c r="K49" s="58" t="s">
        <v>18</v>
      </c>
      <c r="L49" s="38">
        <v>45880</v>
      </c>
      <c r="M49" s="38">
        <v>45883</v>
      </c>
      <c r="N49" s="44">
        <f t="shared" si="1"/>
        <v>3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77971696</v>
      </c>
      <c r="B50" s="11" t="str">
        <f t="shared" si="0"/>
        <v>7.797.169-6</v>
      </c>
      <c r="C50" s="11" t="s">
        <v>14</v>
      </c>
      <c r="D50" s="11" t="s">
        <v>719</v>
      </c>
      <c r="E50" s="11" t="s">
        <v>720</v>
      </c>
      <c r="F50" s="11" t="s">
        <v>99</v>
      </c>
      <c r="G50" s="12">
        <v>45880</v>
      </c>
      <c r="H50" s="12">
        <v>45882</v>
      </c>
      <c r="I50" s="11" t="s">
        <v>15</v>
      </c>
      <c r="J50" s="48" t="s">
        <v>28</v>
      </c>
      <c r="K50" s="57" t="s">
        <v>16</v>
      </c>
      <c r="L50" s="12">
        <v>45880</v>
      </c>
      <c r="M50" s="12">
        <v>45882</v>
      </c>
      <c r="N50" s="44">
        <f t="shared" si="1"/>
        <v>2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77971696</v>
      </c>
      <c r="B51" s="11" t="str">
        <f t="shared" si="0"/>
        <v>7.797.169-6</v>
      </c>
      <c r="C51" s="11" t="s">
        <v>14</v>
      </c>
      <c r="D51" s="11" t="s">
        <v>719</v>
      </c>
      <c r="E51" s="11" t="s">
        <v>720</v>
      </c>
      <c r="F51" s="11" t="s">
        <v>99</v>
      </c>
      <c r="G51" s="12">
        <v>45880</v>
      </c>
      <c r="H51" s="12">
        <v>45882</v>
      </c>
      <c r="I51" s="11" t="s">
        <v>15</v>
      </c>
      <c r="J51" s="48" t="s">
        <v>28</v>
      </c>
      <c r="K51" s="57" t="s">
        <v>17</v>
      </c>
      <c r="L51" s="12">
        <v>45880</v>
      </c>
      <c r="M51" s="12">
        <v>45882</v>
      </c>
      <c r="N51" s="44">
        <f t="shared" si="1"/>
        <v>2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46374851</v>
      </c>
      <c r="B52" s="11" t="str">
        <f t="shared" si="0"/>
        <v>4.637.485-1</v>
      </c>
      <c r="C52" s="11" t="s">
        <v>14</v>
      </c>
      <c r="D52" s="11" t="s">
        <v>721</v>
      </c>
      <c r="E52" s="11" t="s">
        <v>722</v>
      </c>
      <c r="F52" s="11" t="s">
        <v>723</v>
      </c>
      <c r="G52" s="12">
        <v>45884</v>
      </c>
      <c r="H52" s="12">
        <v>45887</v>
      </c>
      <c r="I52" s="11" t="s">
        <v>15</v>
      </c>
      <c r="J52" s="48" t="s">
        <v>42</v>
      </c>
      <c r="K52" s="57" t="s">
        <v>16</v>
      </c>
      <c r="L52" s="12">
        <v>45884</v>
      </c>
      <c r="M52" s="12">
        <v>45887</v>
      </c>
      <c r="N52" s="44">
        <f t="shared" si="1"/>
        <v>3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86477394</v>
      </c>
      <c r="B53" s="11" t="str">
        <f t="shared" si="0"/>
        <v>8.647.739-4</v>
      </c>
      <c r="C53" s="11" t="s">
        <v>14</v>
      </c>
      <c r="D53" s="11" t="s">
        <v>724</v>
      </c>
      <c r="E53" s="11" t="s">
        <v>337</v>
      </c>
      <c r="F53" s="11" t="s">
        <v>604</v>
      </c>
      <c r="G53" s="12">
        <v>45887</v>
      </c>
      <c r="H53" s="12">
        <v>45895</v>
      </c>
      <c r="I53" s="11" t="s">
        <v>15</v>
      </c>
      <c r="J53" s="48" t="s">
        <v>72</v>
      </c>
      <c r="K53" s="57" t="s">
        <v>16</v>
      </c>
      <c r="L53" s="12">
        <v>45887</v>
      </c>
      <c r="M53" s="12">
        <v>45895</v>
      </c>
      <c r="N53" s="44">
        <f t="shared" si="1"/>
        <v>8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86477394</v>
      </c>
      <c r="B54" s="11" t="str">
        <f t="shared" si="0"/>
        <v>8.647.739-4</v>
      </c>
      <c r="C54" s="11" t="s">
        <v>14</v>
      </c>
      <c r="D54" s="11" t="s">
        <v>724</v>
      </c>
      <c r="E54" s="11" t="s">
        <v>337</v>
      </c>
      <c r="F54" s="11" t="s">
        <v>604</v>
      </c>
      <c r="G54" s="12">
        <v>45887</v>
      </c>
      <c r="H54" s="12">
        <v>45895</v>
      </c>
      <c r="I54" s="11" t="s">
        <v>15</v>
      </c>
      <c r="J54" s="48" t="s">
        <v>72</v>
      </c>
      <c r="K54" s="57" t="s">
        <v>17</v>
      </c>
      <c r="L54" s="12">
        <v>45887</v>
      </c>
      <c r="M54" s="12">
        <v>45895</v>
      </c>
      <c r="N54" s="44">
        <f t="shared" si="1"/>
        <v>8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86477394</v>
      </c>
      <c r="B55" s="11" t="str">
        <f t="shared" si="0"/>
        <v>8.647.739-4</v>
      </c>
      <c r="C55" s="11" t="s">
        <v>14</v>
      </c>
      <c r="D55" s="11" t="s">
        <v>724</v>
      </c>
      <c r="E55" s="11" t="s">
        <v>337</v>
      </c>
      <c r="F55" s="11" t="s">
        <v>604</v>
      </c>
      <c r="G55" s="12">
        <v>45887</v>
      </c>
      <c r="H55" s="12">
        <v>45895</v>
      </c>
      <c r="I55" s="11" t="s">
        <v>15</v>
      </c>
      <c r="J55" s="48" t="s">
        <v>72</v>
      </c>
      <c r="K55" s="57" t="s">
        <v>18</v>
      </c>
      <c r="L55" s="12">
        <v>45887</v>
      </c>
      <c r="M55" s="12">
        <v>45894</v>
      </c>
      <c r="N55" s="44">
        <f t="shared" si="1"/>
        <v>7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86585375</v>
      </c>
      <c r="B56" s="11" t="str">
        <f t="shared" si="0"/>
        <v>8.658.537-5</v>
      </c>
      <c r="C56" s="11" t="s">
        <v>14</v>
      </c>
      <c r="D56" s="11" t="s">
        <v>725</v>
      </c>
      <c r="E56" s="11" t="s">
        <v>559</v>
      </c>
      <c r="F56" s="11" t="s">
        <v>726</v>
      </c>
      <c r="G56" s="12">
        <v>45884</v>
      </c>
      <c r="H56" s="12">
        <v>45888</v>
      </c>
      <c r="I56" s="11" t="s">
        <v>15</v>
      </c>
      <c r="J56" s="48" t="s">
        <v>28</v>
      </c>
      <c r="K56" s="57" t="s">
        <v>16</v>
      </c>
      <c r="L56" s="12">
        <v>45884</v>
      </c>
      <c r="M56" s="12">
        <v>45888</v>
      </c>
      <c r="N56" s="44">
        <f t="shared" si="1"/>
        <v>4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75524706</v>
      </c>
      <c r="B57" s="11" t="str">
        <f t="shared" si="0"/>
        <v>7.552.470-6</v>
      </c>
      <c r="C57" s="11" t="s">
        <v>14</v>
      </c>
      <c r="D57" s="11" t="s">
        <v>727</v>
      </c>
      <c r="E57" s="11" t="s">
        <v>112</v>
      </c>
      <c r="F57" s="11" t="s">
        <v>105</v>
      </c>
      <c r="G57" s="12">
        <v>45882</v>
      </c>
      <c r="H57" s="12">
        <v>45887</v>
      </c>
      <c r="I57" s="11" t="s">
        <v>15</v>
      </c>
      <c r="J57" s="48" t="s">
        <v>72</v>
      </c>
      <c r="K57" s="57" t="s">
        <v>16</v>
      </c>
      <c r="L57" s="12">
        <v>45882</v>
      </c>
      <c r="M57" s="12">
        <v>45887</v>
      </c>
      <c r="N57" s="44">
        <f t="shared" si="1"/>
        <v>5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75524706</v>
      </c>
      <c r="B58" s="11" t="str">
        <f t="shared" si="0"/>
        <v>7.552.470-6</v>
      </c>
      <c r="C58" s="11" t="s">
        <v>14</v>
      </c>
      <c r="D58" s="11" t="s">
        <v>727</v>
      </c>
      <c r="E58" s="11" t="s">
        <v>112</v>
      </c>
      <c r="F58" s="11" t="s">
        <v>105</v>
      </c>
      <c r="G58" s="12">
        <v>45882</v>
      </c>
      <c r="H58" s="12">
        <v>45887</v>
      </c>
      <c r="I58" s="11" t="s">
        <v>15</v>
      </c>
      <c r="J58" s="48" t="s">
        <v>72</v>
      </c>
      <c r="K58" s="57" t="s">
        <v>17</v>
      </c>
      <c r="L58" s="12">
        <v>45882</v>
      </c>
      <c r="M58" s="12">
        <v>45887</v>
      </c>
      <c r="N58" s="44">
        <f t="shared" si="1"/>
        <v>5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499379773</v>
      </c>
      <c r="B59" s="11" t="str">
        <f t="shared" si="0"/>
        <v>49.937.977-3</v>
      </c>
      <c r="C59" s="11" t="s">
        <v>14</v>
      </c>
      <c r="D59" s="11" t="s">
        <v>144</v>
      </c>
      <c r="E59" s="11" t="s">
        <v>232</v>
      </c>
      <c r="F59" s="11" t="s">
        <v>728</v>
      </c>
      <c r="G59" s="12">
        <v>45883</v>
      </c>
      <c r="H59" s="12">
        <v>45891</v>
      </c>
      <c r="I59" s="11" t="s">
        <v>75</v>
      </c>
      <c r="J59" s="48" t="s">
        <v>60</v>
      </c>
      <c r="K59" s="57" t="s">
        <v>17</v>
      </c>
      <c r="L59" s="12">
        <v>45883</v>
      </c>
      <c r="M59" s="12">
        <v>45891</v>
      </c>
      <c r="N59" s="44">
        <f t="shared" si="1"/>
        <v>8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165158547</v>
      </c>
      <c r="B60" s="11" t="str">
        <f t="shared" si="0"/>
        <v>16.515.854-7</v>
      </c>
      <c r="C60" s="11" t="s">
        <v>14</v>
      </c>
      <c r="D60" s="11" t="s">
        <v>134</v>
      </c>
      <c r="E60" s="11" t="s">
        <v>729</v>
      </c>
      <c r="F60" s="11" t="s">
        <v>572</v>
      </c>
      <c r="G60" s="12">
        <v>45886</v>
      </c>
      <c r="H60" s="12">
        <v>45895</v>
      </c>
      <c r="I60" s="11" t="s">
        <v>28</v>
      </c>
      <c r="J60" s="48" t="s">
        <v>60</v>
      </c>
      <c r="K60" s="57" t="s">
        <v>16</v>
      </c>
      <c r="L60" s="12">
        <v>45886</v>
      </c>
      <c r="M60" s="12">
        <v>45895</v>
      </c>
      <c r="N60" s="44">
        <f t="shared" si="1"/>
        <v>9</v>
      </c>
      <c r="O60" s="125" t="s">
        <v>914</v>
      </c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165158547</v>
      </c>
      <c r="B61" s="11" t="str">
        <f t="shared" si="0"/>
        <v>16.515.854-7</v>
      </c>
      <c r="C61" s="11" t="s">
        <v>14</v>
      </c>
      <c r="D61" s="11" t="s">
        <v>134</v>
      </c>
      <c r="E61" s="11" t="s">
        <v>729</v>
      </c>
      <c r="F61" s="11" t="s">
        <v>572</v>
      </c>
      <c r="G61" s="12">
        <v>45886</v>
      </c>
      <c r="H61" s="12">
        <v>45895</v>
      </c>
      <c r="I61" s="11" t="s">
        <v>28</v>
      </c>
      <c r="J61" s="48" t="s">
        <v>60</v>
      </c>
      <c r="K61" s="57" t="s">
        <v>17</v>
      </c>
      <c r="L61" s="12">
        <v>45886</v>
      </c>
      <c r="M61" s="12">
        <v>45895</v>
      </c>
      <c r="N61" s="44">
        <f t="shared" si="1"/>
        <v>9</v>
      </c>
      <c r="O61" s="126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165158547</v>
      </c>
      <c r="B62" s="11" t="str">
        <f t="shared" si="0"/>
        <v>16.515.854-7</v>
      </c>
      <c r="C62" s="11" t="s">
        <v>14</v>
      </c>
      <c r="D62" s="11" t="s">
        <v>134</v>
      </c>
      <c r="E62" s="11" t="s">
        <v>729</v>
      </c>
      <c r="F62" s="11" t="s">
        <v>572</v>
      </c>
      <c r="G62" s="12">
        <v>45886</v>
      </c>
      <c r="H62" s="12">
        <v>45895</v>
      </c>
      <c r="I62" s="11" t="s">
        <v>28</v>
      </c>
      <c r="J62" s="48" t="s">
        <v>60</v>
      </c>
      <c r="K62" s="57" t="s">
        <v>18</v>
      </c>
      <c r="L62" s="12">
        <v>45886</v>
      </c>
      <c r="M62" s="12">
        <v>45887</v>
      </c>
      <c r="N62" s="44">
        <f t="shared" si="1"/>
        <v>1</v>
      </c>
      <c r="O62" s="126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165158547</v>
      </c>
      <c r="B63" s="11" t="str">
        <f t="shared" si="0"/>
        <v>16.515.854-7</v>
      </c>
      <c r="C63" s="11" t="s">
        <v>14</v>
      </c>
      <c r="D63" s="11" t="s">
        <v>134</v>
      </c>
      <c r="E63" s="11" t="s">
        <v>729</v>
      </c>
      <c r="F63" s="11" t="s">
        <v>572</v>
      </c>
      <c r="G63" s="12">
        <v>45886</v>
      </c>
      <c r="H63" s="12">
        <v>45895</v>
      </c>
      <c r="I63" s="11" t="s">
        <v>28</v>
      </c>
      <c r="J63" s="48" t="s">
        <v>60</v>
      </c>
      <c r="K63" s="57" t="s">
        <v>415</v>
      </c>
      <c r="L63" s="35">
        <v>45890</v>
      </c>
      <c r="M63" s="35">
        <v>45895</v>
      </c>
      <c r="N63" s="44">
        <f t="shared" si="1"/>
        <v>5</v>
      </c>
      <c r="O63" s="127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86477394</v>
      </c>
      <c r="B64" s="11" t="str">
        <f t="shared" si="0"/>
        <v>8.647.739-4</v>
      </c>
      <c r="C64" s="11" t="s">
        <v>14</v>
      </c>
      <c r="D64" s="11" t="s">
        <v>168</v>
      </c>
      <c r="E64" s="11" t="s">
        <v>736</v>
      </c>
      <c r="F64" s="11" t="s">
        <v>737</v>
      </c>
      <c r="G64" s="12">
        <v>45889</v>
      </c>
      <c r="H64" s="12">
        <v>45892</v>
      </c>
      <c r="I64" s="11" t="s">
        <v>74</v>
      </c>
      <c r="J64" s="48" t="s">
        <v>48</v>
      </c>
      <c r="K64" s="57" t="s">
        <v>16</v>
      </c>
      <c r="L64" s="12">
        <v>45889</v>
      </c>
      <c r="M64" s="12">
        <v>45892</v>
      </c>
      <c r="N64" s="44">
        <f t="shared" si="1"/>
        <v>3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59572512</v>
      </c>
      <c r="B65" s="11" t="str">
        <f t="shared" si="0"/>
        <v>5.957.251-2</v>
      </c>
      <c r="C65" s="11" t="s">
        <v>14</v>
      </c>
      <c r="D65" s="11" t="s">
        <v>154</v>
      </c>
      <c r="E65" s="11" t="s">
        <v>574</v>
      </c>
      <c r="F65" s="11" t="s">
        <v>738</v>
      </c>
      <c r="G65" s="12">
        <v>45889</v>
      </c>
      <c r="H65" s="12">
        <v>45905</v>
      </c>
      <c r="I65" s="11" t="s">
        <v>15</v>
      </c>
      <c r="J65" s="48" t="s">
        <v>106</v>
      </c>
      <c r="K65" s="57" t="s">
        <v>16</v>
      </c>
      <c r="L65" s="12">
        <v>45889</v>
      </c>
      <c r="M65" s="35">
        <v>45900</v>
      </c>
      <c r="N65" s="44">
        <f t="shared" si="1"/>
        <v>11</v>
      </c>
      <c r="O65" s="44"/>
      <c r="P65" t="s">
        <v>942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59572512</v>
      </c>
      <c r="B66" s="11" t="str">
        <f t="shared" si="0"/>
        <v>5.957.251-2</v>
      </c>
      <c r="C66" s="11" t="s">
        <v>14</v>
      </c>
      <c r="D66" s="11" t="s">
        <v>154</v>
      </c>
      <c r="E66" s="11" t="s">
        <v>574</v>
      </c>
      <c r="F66" s="11" t="s">
        <v>738</v>
      </c>
      <c r="G66" s="12">
        <v>45889</v>
      </c>
      <c r="H66" s="12">
        <v>45905</v>
      </c>
      <c r="I66" s="11" t="s">
        <v>15</v>
      </c>
      <c r="J66" s="48" t="s">
        <v>106</v>
      </c>
      <c r="K66" s="57" t="s">
        <v>17</v>
      </c>
      <c r="L66" s="12">
        <v>45889</v>
      </c>
      <c r="M66" s="35">
        <v>45900</v>
      </c>
      <c r="N66" s="44">
        <f t="shared" si="1"/>
        <v>11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59572512</v>
      </c>
      <c r="B67" s="11" t="str">
        <f t="shared" si="0"/>
        <v>5.957.251-2</v>
      </c>
      <c r="C67" s="11" t="s">
        <v>14</v>
      </c>
      <c r="D67" s="11" t="s">
        <v>154</v>
      </c>
      <c r="E67" s="11" t="s">
        <v>574</v>
      </c>
      <c r="F67" s="11" t="s">
        <v>738</v>
      </c>
      <c r="G67" s="12">
        <v>45889</v>
      </c>
      <c r="H67" s="12">
        <v>45905</v>
      </c>
      <c r="I67" s="11" t="s">
        <v>15</v>
      </c>
      <c r="J67" s="48" t="s">
        <v>106</v>
      </c>
      <c r="K67" s="57" t="s">
        <v>18</v>
      </c>
      <c r="L67" s="12">
        <v>45889</v>
      </c>
      <c r="M67" s="35">
        <v>45891</v>
      </c>
      <c r="N67" s="44">
        <f t="shared" si="1"/>
        <v>2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59572512</v>
      </c>
      <c r="B68" s="11" t="str">
        <f t="shared" si="0"/>
        <v>5.957.251-2</v>
      </c>
      <c r="C68" s="11" t="s">
        <v>14</v>
      </c>
      <c r="D68" s="11" t="s">
        <v>154</v>
      </c>
      <c r="E68" s="11" t="s">
        <v>574</v>
      </c>
      <c r="F68" s="11" t="s">
        <v>738</v>
      </c>
      <c r="G68" s="12">
        <v>45889</v>
      </c>
      <c r="H68" s="12"/>
      <c r="I68" s="11" t="s">
        <v>15</v>
      </c>
      <c r="J68" s="48" t="s">
        <v>106</v>
      </c>
      <c r="K68" s="57" t="s">
        <v>18</v>
      </c>
      <c r="L68" s="35">
        <v>45895</v>
      </c>
      <c r="M68" s="35">
        <v>45900</v>
      </c>
      <c r="N68" s="44">
        <f t="shared" si="1"/>
        <v>5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66647706</v>
      </c>
      <c r="B69" s="11" t="str">
        <f t="shared" si="0"/>
        <v>6.664.770-6</v>
      </c>
      <c r="C69" s="11" t="s">
        <v>14</v>
      </c>
      <c r="D69" s="11" t="s">
        <v>316</v>
      </c>
      <c r="E69" s="11" t="s">
        <v>701</v>
      </c>
      <c r="F69" s="11" t="s">
        <v>171</v>
      </c>
      <c r="G69" s="12">
        <v>45888</v>
      </c>
      <c r="H69" s="12">
        <v>45895</v>
      </c>
      <c r="I69" s="11" t="s">
        <v>15</v>
      </c>
      <c r="J69" s="48" t="s">
        <v>60</v>
      </c>
      <c r="K69" s="57" t="s">
        <v>16</v>
      </c>
      <c r="L69" s="12">
        <v>45888</v>
      </c>
      <c r="M69" s="12">
        <v>45895</v>
      </c>
      <c r="N69" s="44">
        <f t="shared" si="1"/>
        <v>7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66647706</v>
      </c>
      <c r="B70" s="11" t="str">
        <f t="shared" si="0"/>
        <v>6.664.770-6</v>
      </c>
      <c r="C70" s="11" t="s">
        <v>14</v>
      </c>
      <c r="D70" s="11" t="s">
        <v>316</v>
      </c>
      <c r="E70" s="11" t="s">
        <v>701</v>
      </c>
      <c r="F70" s="11" t="s">
        <v>171</v>
      </c>
      <c r="G70" s="12">
        <v>45888</v>
      </c>
      <c r="H70" s="12">
        <v>45895</v>
      </c>
      <c r="I70" s="11" t="s">
        <v>15</v>
      </c>
      <c r="J70" s="48" t="s">
        <v>60</v>
      </c>
      <c r="K70" s="57" t="s">
        <v>17</v>
      </c>
      <c r="L70" s="12">
        <v>45888</v>
      </c>
      <c r="M70" s="12">
        <v>45895</v>
      </c>
      <c r="N70" s="44">
        <f t="shared" si="1"/>
        <v>7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66647706</v>
      </c>
      <c r="B71" s="11" t="str">
        <f t="shared" si="0"/>
        <v>6.664.770-6</v>
      </c>
      <c r="C71" s="11" t="s">
        <v>14</v>
      </c>
      <c r="D71" s="11" t="s">
        <v>316</v>
      </c>
      <c r="E71" s="11" t="s">
        <v>701</v>
      </c>
      <c r="F71" s="11" t="s">
        <v>171</v>
      </c>
      <c r="G71" s="12">
        <v>45888</v>
      </c>
      <c r="H71" s="12">
        <v>45895</v>
      </c>
      <c r="I71" s="11" t="s">
        <v>15</v>
      </c>
      <c r="J71" s="48" t="s">
        <v>60</v>
      </c>
      <c r="K71" s="57" t="s">
        <v>18</v>
      </c>
      <c r="L71" s="12">
        <v>45888</v>
      </c>
      <c r="M71" s="12">
        <v>45893</v>
      </c>
      <c r="N71" s="44">
        <f t="shared" si="1"/>
        <v>5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92443647</v>
      </c>
      <c r="B72" s="11" t="str">
        <f t="shared" si="0"/>
        <v>9.244.364-7</v>
      </c>
      <c r="C72" s="11" t="s">
        <v>14</v>
      </c>
      <c r="D72" s="11" t="s">
        <v>202</v>
      </c>
      <c r="E72" s="11" t="s">
        <v>289</v>
      </c>
      <c r="F72" s="11" t="s">
        <v>739</v>
      </c>
      <c r="G72" s="12">
        <v>45889</v>
      </c>
      <c r="H72" s="12">
        <v>45891</v>
      </c>
      <c r="I72" s="11" t="s">
        <v>74</v>
      </c>
      <c r="J72" s="48" t="s">
        <v>200</v>
      </c>
      <c r="K72" s="57" t="s">
        <v>16</v>
      </c>
      <c r="L72" s="38">
        <v>45889</v>
      </c>
      <c r="M72" s="38">
        <v>45891</v>
      </c>
      <c r="N72" s="44">
        <f t="shared" si="1"/>
        <v>2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81802025</v>
      </c>
      <c r="B73" s="11" t="str">
        <f t="shared" si="0"/>
        <v>8.180.202-5</v>
      </c>
      <c r="C73" s="11" t="s">
        <v>14</v>
      </c>
      <c r="D73" s="11" t="s">
        <v>112</v>
      </c>
      <c r="E73" s="11" t="s">
        <v>740</v>
      </c>
      <c r="F73" s="11" t="s">
        <v>223</v>
      </c>
      <c r="G73" s="12">
        <v>45895</v>
      </c>
      <c r="H73" s="12">
        <v>45903</v>
      </c>
      <c r="I73" s="11" t="s">
        <v>15</v>
      </c>
      <c r="J73" s="48" t="s">
        <v>106</v>
      </c>
      <c r="K73" s="57" t="s">
        <v>16</v>
      </c>
      <c r="L73" s="35">
        <v>45895</v>
      </c>
      <c r="M73" s="35">
        <v>45900</v>
      </c>
      <c r="N73" s="44">
        <f t="shared" si="1"/>
        <v>5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81802025</v>
      </c>
      <c r="B74" s="11" t="str">
        <f t="shared" si="0"/>
        <v>8.180.202-5</v>
      </c>
      <c r="C74" s="11" t="s">
        <v>14</v>
      </c>
      <c r="D74" s="11" t="s">
        <v>112</v>
      </c>
      <c r="E74" s="11" t="s">
        <v>740</v>
      </c>
      <c r="F74" s="11" t="s">
        <v>223</v>
      </c>
      <c r="G74" s="12">
        <v>45895</v>
      </c>
      <c r="H74" s="12">
        <v>45903</v>
      </c>
      <c r="I74" s="11" t="s">
        <v>15</v>
      </c>
      <c r="J74" s="48" t="s">
        <v>106</v>
      </c>
      <c r="K74" s="57" t="s">
        <v>17</v>
      </c>
      <c r="L74" s="35">
        <v>45895</v>
      </c>
      <c r="M74" s="35">
        <v>45900</v>
      </c>
      <c r="N74" s="44">
        <f t="shared" si="1"/>
        <v>5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81802025</v>
      </c>
      <c r="B75" s="11" t="str">
        <f t="shared" si="0"/>
        <v>8.180.202-5</v>
      </c>
      <c r="C75" s="11" t="s">
        <v>14</v>
      </c>
      <c r="D75" s="11" t="s">
        <v>112</v>
      </c>
      <c r="E75" s="11" t="s">
        <v>740</v>
      </c>
      <c r="F75" s="11" t="s">
        <v>223</v>
      </c>
      <c r="G75" s="12">
        <v>45895</v>
      </c>
      <c r="H75" s="12">
        <v>45903</v>
      </c>
      <c r="I75" s="11" t="s">
        <v>15</v>
      </c>
      <c r="J75" s="48" t="s">
        <v>106</v>
      </c>
      <c r="K75" s="57" t="s">
        <v>18</v>
      </c>
      <c r="L75" s="35">
        <v>45895</v>
      </c>
      <c r="M75" s="35">
        <v>45900</v>
      </c>
      <c r="N75" s="44">
        <f t="shared" si="1"/>
        <v>5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89837316</v>
      </c>
      <c r="B76" s="11" t="str">
        <f t="shared" si="0"/>
        <v>8.983.731-6</v>
      </c>
      <c r="C76" s="11" t="s">
        <v>14</v>
      </c>
      <c r="D76" s="11" t="s">
        <v>120</v>
      </c>
      <c r="E76" s="11" t="s">
        <v>477</v>
      </c>
      <c r="F76" s="11" t="s">
        <v>328</v>
      </c>
      <c r="G76" s="12">
        <v>45893</v>
      </c>
      <c r="H76" s="12">
        <v>45898</v>
      </c>
      <c r="I76" s="11" t="s">
        <v>15</v>
      </c>
      <c r="J76" s="48" t="s">
        <v>72</v>
      </c>
      <c r="K76" s="57" t="s">
        <v>16</v>
      </c>
      <c r="L76" s="12">
        <v>45893</v>
      </c>
      <c r="M76" s="12">
        <v>45898</v>
      </c>
      <c r="N76" s="44">
        <f t="shared" si="1"/>
        <v>5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89837316</v>
      </c>
      <c r="B77" s="11" t="str">
        <f t="shared" si="0"/>
        <v>8.983.731-6</v>
      </c>
      <c r="C77" s="11" t="s">
        <v>14</v>
      </c>
      <c r="D77" s="11" t="s">
        <v>120</v>
      </c>
      <c r="E77" s="11" t="s">
        <v>477</v>
      </c>
      <c r="F77" s="11" t="s">
        <v>328</v>
      </c>
      <c r="G77" s="12">
        <v>45893</v>
      </c>
      <c r="H77" s="12">
        <v>45898</v>
      </c>
      <c r="I77" s="11" t="s">
        <v>15</v>
      </c>
      <c r="J77" s="48" t="s">
        <v>72</v>
      </c>
      <c r="K77" s="57" t="s">
        <v>17</v>
      </c>
      <c r="L77" s="12">
        <v>45893</v>
      </c>
      <c r="M77" s="12">
        <v>45898</v>
      </c>
      <c r="N77" s="44">
        <f t="shared" si="1"/>
        <v>5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66887448</v>
      </c>
      <c r="B78" s="11" t="str">
        <f t="shared" si="0"/>
        <v>6.688.744-8</v>
      </c>
      <c r="C78" s="11" t="s">
        <v>14</v>
      </c>
      <c r="D78" s="11" t="s">
        <v>229</v>
      </c>
      <c r="E78" s="11" t="s">
        <v>377</v>
      </c>
      <c r="F78" s="11" t="s">
        <v>105</v>
      </c>
      <c r="G78" s="12">
        <v>45893</v>
      </c>
      <c r="H78" s="12">
        <v>45897</v>
      </c>
      <c r="I78" s="11" t="s">
        <v>72</v>
      </c>
      <c r="J78" s="48" t="s">
        <v>200</v>
      </c>
      <c r="K78" s="57" t="s">
        <v>17</v>
      </c>
      <c r="L78" s="12">
        <v>45893</v>
      </c>
      <c r="M78" s="12">
        <v>45897</v>
      </c>
      <c r="N78" s="44">
        <f t="shared" si="1"/>
        <v>4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51723449</v>
      </c>
      <c r="B79" s="11" t="str">
        <f t="shared" si="0"/>
        <v>5.172.344-9</v>
      </c>
      <c r="C79" s="11" t="s">
        <v>14</v>
      </c>
      <c r="D79" s="11" t="s">
        <v>741</v>
      </c>
      <c r="E79" s="11" t="s">
        <v>695</v>
      </c>
      <c r="F79" s="11" t="s">
        <v>613</v>
      </c>
      <c r="G79" s="12">
        <v>45896</v>
      </c>
      <c r="H79" s="12">
        <v>45898</v>
      </c>
      <c r="I79" s="11" t="s">
        <v>15</v>
      </c>
      <c r="J79" s="48" t="s">
        <v>28</v>
      </c>
      <c r="K79" s="57" t="s">
        <v>16</v>
      </c>
      <c r="L79" s="12">
        <v>45896</v>
      </c>
      <c r="M79" s="38">
        <v>45898</v>
      </c>
      <c r="N79" s="44">
        <f t="shared" si="1"/>
        <v>2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51723449</v>
      </c>
      <c r="B80" s="11" t="str">
        <f t="shared" si="0"/>
        <v>5.172.344-9</v>
      </c>
      <c r="C80" s="11" t="s">
        <v>14</v>
      </c>
      <c r="D80" s="11" t="s">
        <v>741</v>
      </c>
      <c r="E80" s="11" t="s">
        <v>695</v>
      </c>
      <c r="F80" s="11" t="s">
        <v>613</v>
      </c>
      <c r="G80" s="12">
        <v>45896</v>
      </c>
      <c r="H80" s="12">
        <v>45898</v>
      </c>
      <c r="I80" s="11" t="s">
        <v>15</v>
      </c>
      <c r="J80" s="48" t="s">
        <v>28</v>
      </c>
      <c r="K80" s="57" t="s">
        <v>17</v>
      </c>
      <c r="L80" s="13">
        <v>45896</v>
      </c>
      <c r="M80" s="35">
        <v>45898</v>
      </c>
      <c r="N80" s="44">
        <f t="shared" si="1"/>
        <v>2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184103265</v>
      </c>
      <c r="B81" s="11" t="str">
        <f t="shared" si="0"/>
        <v>18.410.326-5</v>
      </c>
      <c r="C81" s="11" t="s">
        <v>14</v>
      </c>
      <c r="D81" s="11" t="s">
        <v>97</v>
      </c>
      <c r="E81" s="11" t="s">
        <v>700</v>
      </c>
      <c r="F81" s="11" t="s">
        <v>753</v>
      </c>
      <c r="G81" s="12">
        <v>45894</v>
      </c>
      <c r="H81" s="12">
        <v>45907</v>
      </c>
      <c r="I81" s="11" t="s">
        <v>15</v>
      </c>
      <c r="J81" s="48" t="s">
        <v>60</v>
      </c>
      <c r="K81" s="57" t="s">
        <v>16</v>
      </c>
      <c r="L81" s="13">
        <v>45894</v>
      </c>
      <c r="M81" s="35">
        <v>45900</v>
      </c>
      <c r="N81" s="44">
        <f t="shared" si="1"/>
        <v>6</v>
      </c>
      <c r="O81" s="44"/>
      <c r="P81" t="s">
        <v>942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184103265</v>
      </c>
      <c r="B82" s="11" t="str">
        <f t="shared" si="0"/>
        <v>18.410.326-5</v>
      </c>
      <c r="C82" s="11" t="s">
        <v>14</v>
      </c>
      <c r="D82" s="11" t="s">
        <v>97</v>
      </c>
      <c r="E82" s="11" t="s">
        <v>700</v>
      </c>
      <c r="F82" s="11" t="s">
        <v>753</v>
      </c>
      <c r="G82" s="12">
        <v>45894</v>
      </c>
      <c r="H82" s="12">
        <v>45907</v>
      </c>
      <c r="I82" s="11" t="s">
        <v>15</v>
      </c>
      <c r="J82" s="48" t="s">
        <v>60</v>
      </c>
      <c r="K82" s="57" t="s">
        <v>17</v>
      </c>
      <c r="L82" s="13">
        <v>45894</v>
      </c>
      <c r="M82" s="35">
        <v>45928</v>
      </c>
      <c r="N82" s="44">
        <f t="shared" si="1"/>
        <v>34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184103265</v>
      </c>
      <c r="B83" s="11" t="str">
        <f t="shared" si="0"/>
        <v>18.410.326-5</v>
      </c>
      <c r="C83" s="11" t="s">
        <v>14</v>
      </c>
      <c r="D83" s="11" t="s">
        <v>97</v>
      </c>
      <c r="E83" s="11" t="s">
        <v>700</v>
      </c>
      <c r="F83" s="11" t="s">
        <v>753</v>
      </c>
      <c r="G83" s="12">
        <v>45894</v>
      </c>
      <c r="H83" s="12">
        <v>45907</v>
      </c>
      <c r="I83" s="11" t="s">
        <v>15</v>
      </c>
      <c r="J83" s="48" t="s">
        <v>60</v>
      </c>
      <c r="K83" s="57" t="s">
        <v>18</v>
      </c>
      <c r="L83" s="13">
        <v>45894</v>
      </c>
      <c r="M83" s="35">
        <v>45900</v>
      </c>
      <c r="N83" s="44">
        <f t="shared" si="1"/>
        <v>6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104136974</v>
      </c>
      <c r="B84" s="11" t="str">
        <f t="shared" si="0"/>
        <v>10.413.697-4</v>
      </c>
      <c r="C84" s="11" t="s">
        <v>14</v>
      </c>
      <c r="D84" s="11" t="s">
        <v>742</v>
      </c>
      <c r="E84" s="11" t="s">
        <v>743</v>
      </c>
      <c r="F84" s="11" t="s">
        <v>171</v>
      </c>
      <c r="G84" s="12">
        <v>45892</v>
      </c>
      <c r="H84" s="12">
        <v>45898</v>
      </c>
      <c r="I84" s="11" t="s">
        <v>15</v>
      </c>
      <c r="J84" s="48" t="s">
        <v>106</v>
      </c>
      <c r="K84" s="57" t="s">
        <v>16</v>
      </c>
      <c r="L84" s="12">
        <v>45892</v>
      </c>
      <c r="M84" s="12">
        <v>45898</v>
      </c>
      <c r="N84" s="44">
        <f t="shared" si="1"/>
        <v>6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104136974</v>
      </c>
      <c r="B85" s="11" t="str">
        <f t="shared" si="0"/>
        <v>10.413.697-4</v>
      </c>
      <c r="C85" s="11" t="s">
        <v>14</v>
      </c>
      <c r="D85" s="11" t="s">
        <v>742</v>
      </c>
      <c r="E85" s="11" t="s">
        <v>743</v>
      </c>
      <c r="F85" s="11" t="s">
        <v>171</v>
      </c>
      <c r="G85" s="12">
        <v>45892</v>
      </c>
      <c r="H85" s="12">
        <v>45898</v>
      </c>
      <c r="I85" s="11" t="s">
        <v>15</v>
      </c>
      <c r="J85" s="48" t="s">
        <v>106</v>
      </c>
      <c r="K85" s="57" t="s">
        <v>17</v>
      </c>
      <c r="L85" s="12">
        <v>45892</v>
      </c>
      <c r="M85" s="12">
        <v>45898</v>
      </c>
      <c r="N85" s="44">
        <f t="shared" si="1"/>
        <v>6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104136974</v>
      </c>
      <c r="B86" s="11" t="str">
        <f t="shared" si="0"/>
        <v>10.413.697-4</v>
      </c>
      <c r="C86" s="11" t="s">
        <v>14</v>
      </c>
      <c r="D86" s="11" t="s">
        <v>742</v>
      </c>
      <c r="E86" s="11" t="s">
        <v>743</v>
      </c>
      <c r="F86" s="11" t="s">
        <v>171</v>
      </c>
      <c r="G86" s="12">
        <v>45892</v>
      </c>
      <c r="H86" s="12">
        <v>45898</v>
      </c>
      <c r="I86" s="11" t="s">
        <v>15</v>
      </c>
      <c r="J86" s="48" t="s">
        <v>106</v>
      </c>
      <c r="K86" s="57" t="s">
        <v>18</v>
      </c>
      <c r="L86" s="12">
        <v>45892</v>
      </c>
      <c r="M86" s="12">
        <v>45895</v>
      </c>
      <c r="N86" s="44">
        <f t="shared" si="1"/>
        <v>3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72628241</v>
      </c>
      <c r="B87" s="11" t="str">
        <f t="shared" si="0"/>
        <v>7.262.824-1</v>
      </c>
      <c r="C87" s="11" t="s">
        <v>14</v>
      </c>
      <c r="D87" s="11" t="s">
        <v>747</v>
      </c>
      <c r="E87" s="11" t="s">
        <v>748</v>
      </c>
      <c r="F87" s="11" t="s">
        <v>105</v>
      </c>
      <c r="G87" s="12">
        <v>45897</v>
      </c>
      <c r="H87" s="12">
        <v>45901</v>
      </c>
      <c r="I87" s="11" t="s">
        <v>15</v>
      </c>
      <c r="J87" s="48" t="s">
        <v>72</v>
      </c>
      <c r="K87" s="57" t="s">
        <v>16</v>
      </c>
      <c r="L87" s="12">
        <v>45897</v>
      </c>
      <c r="M87" s="12">
        <v>45901</v>
      </c>
      <c r="N87" s="44">
        <f t="shared" si="1"/>
        <v>4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72628241</v>
      </c>
      <c r="B88" s="11" t="str">
        <f t="shared" si="0"/>
        <v>7.262.824-1</v>
      </c>
      <c r="C88" s="11" t="s">
        <v>14</v>
      </c>
      <c r="D88" s="11" t="s">
        <v>747</v>
      </c>
      <c r="E88" s="11" t="s">
        <v>748</v>
      </c>
      <c r="F88" s="11" t="s">
        <v>105</v>
      </c>
      <c r="G88" s="12">
        <v>45897</v>
      </c>
      <c r="H88" s="12">
        <v>45901</v>
      </c>
      <c r="I88" s="11" t="s">
        <v>15</v>
      </c>
      <c r="J88" s="48" t="s">
        <v>72</v>
      </c>
      <c r="K88" s="57" t="s">
        <v>17</v>
      </c>
      <c r="L88" s="38">
        <v>45897</v>
      </c>
      <c r="M88" s="38">
        <v>45901</v>
      </c>
      <c r="N88" s="44">
        <f t="shared" si="1"/>
        <v>4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183879227</v>
      </c>
      <c r="B89" s="11" t="str">
        <f t="shared" si="0"/>
        <v>18.387.922-7</v>
      </c>
      <c r="C89" s="11" t="s">
        <v>14</v>
      </c>
      <c r="D89" s="11" t="s">
        <v>642</v>
      </c>
      <c r="E89" s="11" t="s">
        <v>749</v>
      </c>
      <c r="F89" s="11" t="s">
        <v>750</v>
      </c>
      <c r="G89" s="12">
        <v>45897</v>
      </c>
      <c r="H89" s="12">
        <v>45902</v>
      </c>
      <c r="I89" s="11" t="s">
        <v>15</v>
      </c>
      <c r="J89" s="48" t="s">
        <v>42</v>
      </c>
      <c r="K89" s="57" t="s">
        <v>16</v>
      </c>
      <c r="L89" s="35">
        <v>45897</v>
      </c>
      <c r="M89" s="35">
        <v>45900</v>
      </c>
      <c r="N89" s="44">
        <f t="shared" si="1"/>
        <v>3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183879227</v>
      </c>
      <c r="B90" s="11" t="str">
        <f t="shared" si="0"/>
        <v>18.387.922-7</v>
      </c>
      <c r="C90" s="11" t="s">
        <v>14</v>
      </c>
      <c r="D90" s="11" t="s">
        <v>642</v>
      </c>
      <c r="E90" s="11" t="s">
        <v>749</v>
      </c>
      <c r="F90" s="11" t="s">
        <v>750</v>
      </c>
      <c r="G90" s="12">
        <v>45897</v>
      </c>
      <c r="H90" s="12">
        <v>45902</v>
      </c>
      <c r="I90" s="11" t="s">
        <v>15</v>
      </c>
      <c r="J90" s="48" t="s">
        <v>42</v>
      </c>
      <c r="K90" s="57" t="s">
        <v>18</v>
      </c>
      <c r="L90" s="35">
        <v>45897</v>
      </c>
      <c r="M90" s="35">
        <v>45900</v>
      </c>
      <c r="N90" s="44">
        <f t="shared" si="1"/>
        <v>3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127309094</v>
      </c>
      <c r="B91" s="11" t="str">
        <f t="shared" si="0"/>
        <v>12.730.909-4</v>
      </c>
      <c r="C91" s="11" t="s">
        <v>14</v>
      </c>
      <c r="D91" s="11" t="s">
        <v>751</v>
      </c>
      <c r="E91" s="11" t="s">
        <v>695</v>
      </c>
      <c r="F91" s="11" t="s">
        <v>752</v>
      </c>
      <c r="G91" s="12">
        <v>45897</v>
      </c>
      <c r="H91" s="12">
        <v>45901</v>
      </c>
      <c r="I91" s="11" t="s">
        <v>15</v>
      </c>
      <c r="J91" s="48" t="s">
        <v>42</v>
      </c>
      <c r="K91" s="57" t="s">
        <v>16</v>
      </c>
      <c r="L91" s="12">
        <v>45897</v>
      </c>
      <c r="M91" s="12">
        <v>45901</v>
      </c>
      <c r="N91" s="44">
        <f t="shared" si="1"/>
        <v>4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5.75" customHeight="1" x14ac:dyDescent="0.45">
      <c r="A92" s="15">
        <v>72618939</v>
      </c>
      <c r="B92" s="16" t="str">
        <f t="shared" si="0"/>
        <v>7.261.893-9</v>
      </c>
      <c r="C92" s="16" t="s">
        <v>28</v>
      </c>
      <c r="D92" s="16" t="s">
        <v>104</v>
      </c>
      <c r="E92" s="16" t="s">
        <v>695</v>
      </c>
      <c r="F92" s="16" t="s">
        <v>696</v>
      </c>
      <c r="G92" s="17">
        <v>45862</v>
      </c>
      <c r="H92" s="17">
        <v>45874</v>
      </c>
      <c r="I92" s="16" t="s">
        <v>56</v>
      </c>
      <c r="J92" s="37" t="s">
        <v>62</v>
      </c>
      <c r="K92" s="53" t="s">
        <v>16</v>
      </c>
      <c r="L92" s="17">
        <v>45870</v>
      </c>
      <c r="M92" s="28">
        <v>45873</v>
      </c>
      <c r="N92" s="46">
        <f t="shared" si="1"/>
        <v>3</v>
      </c>
      <c r="O92" s="28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5.75" customHeight="1" x14ac:dyDescent="0.45">
      <c r="A93" s="15">
        <v>72618939</v>
      </c>
      <c r="B93" s="16" t="str">
        <f t="shared" si="0"/>
        <v>7.261.893-9</v>
      </c>
      <c r="C93" s="16" t="s">
        <v>28</v>
      </c>
      <c r="D93" s="16" t="s">
        <v>104</v>
      </c>
      <c r="E93" s="16" t="s">
        <v>695</v>
      </c>
      <c r="F93" s="16" t="s">
        <v>696</v>
      </c>
      <c r="G93" s="17">
        <v>45862</v>
      </c>
      <c r="H93" s="17">
        <v>45874</v>
      </c>
      <c r="I93" s="16" t="s">
        <v>56</v>
      </c>
      <c r="J93" s="37" t="s">
        <v>62</v>
      </c>
      <c r="K93" s="53" t="s">
        <v>17</v>
      </c>
      <c r="L93" s="17">
        <v>45870</v>
      </c>
      <c r="M93" s="28">
        <v>45874</v>
      </c>
      <c r="N93" s="46">
        <f t="shared" si="1"/>
        <v>4</v>
      </c>
      <c r="O93" s="28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5.75" customHeight="1" x14ac:dyDescent="0.45">
      <c r="A94" s="15">
        <v>130383416</v>
      </c>
      <c r="B94" s="16" t="str">
        <f t="shared" si="0"/>
        <v>13.038.341-6</v>
      </c>
      <c r="C94" s="16" t="s">
        <v>28</v>
      </c>
      <c r="D94" s="16" t="s">
        <v>698</v>
      </c>
      <c r="E94" s="16" t="s">
        <v>699</v>
      </c>
      <c r="F94" s="16" t="s">
        <v>576</v>
      </c>
      <c r="G94" s="17">
        <v>45868</v>
      </c>
      <c r="H94" s="17">
        <v>45881</v>
      </c>
      <c r="I94" s="16" t="s">
        <v>15</v>
      </c>
      <c r="J94" s="37" t="s">
        <v>165</v>
      </c>
      <c r="K94" s="53" t="s">
        <v>17</v>
      </c>
      <c r="L94" s="17">
        <v>45870</v>
      </c>
      <c r="M94" s="28">
        <v>45881</v>
      </c>
      <c r="N94" s="46">
        <f t="shared" si="1"/>
        <v>11</v>
      </c>
      <c r="O94" s="28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5.75" customHeight="1" x14ac:dyDescent="0.45">
      <c r="A95" s="15">
        <v>115712454</v>
      </c>
      <c r="B95" s="16" t="str">
        <f t="shared" si="0"/>
        <v>11.571.245-4</v>
      </c>
      <c r="C95" s="16" t="s">
        <v>28</v>
      </c>
      <c r="D95" s="16" t="s">
        <v>229</v>
      </c>
      <c r="E95" s="16" t="s">
        <v>682</v>
      </c>
      <c r="F95" s="16" t="s">
        <v>683</v>
      </c>
      <c r="G95" s="17">
        <v>45874</v>
      </c>
      <c r="H95" s="17">
        <v>45877</v>
      </c>
      <c r="I95" s="16" t="s">
        <v>14</v>
      </c>
      <c r="J95" s="37" t="s">
        <v>42</v>
      </c>
      <c r="K95" s="54" t="s">
        <v>16</v>
      </c>
      <c r="L95" s="51">
        <v>45874</v>
      </c>
      <c r="M95" s="51">
        <v>45877</v>
      </c>
      <c r="N95" s="46">
        <f t="shared" si="1"/>
        <v>3</v>
      </c>
      <c r="O95" s="28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5.75" customHeight="1" x14ac:dyDescent="0.45">
      <c r="A96" s="15">
        <v>58466980</v>
      </c>
      <c r="B96" s="16" t="str">
        <f t="shared" si="0"/>
        <v>5.846.698-0</v>
      </c>
      <c r="C96" s="16" t="s">
        <v>28</v>
      </c>
      <c r="D96" s="16" t="s">
        <v>709</v>
      </c>
      <c r="E96" s="16" t="s">
        <v>275</v>
      </c>
      <c r="F96" s="16" t="s">
        <v>414</v>
      </c>
      <c r="G96" s="17">
        <v>45873</v>
      </c>
      <c r="H96" s="17">
        <v>45877</v>
      </c>
      <c r="I96" s="16" t="s">
        <v>15</v>
      </c>
      <c r="J96" s="37" t="s">
        <v>62</v>
      </c>
      <c r="K96" s="53" t="s">
        <v>17</v>
      </c>
      <c r="L96" s="17">
        <v>45873</v>
      </c>
      <c r="M96" s="17">
        <v>45877</v>
      </c>
      <c r="N96" s="46">
        <f t="shared" si="1"/>
        <v>4</v>
      </c>
      <c r="O96" s="28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5.75" customHeight="1" x14ac:dyDescent="0.45">
      <c r="A97" s="15">
        <v>160391499</v>
      </c>
      <c r="B97" s="16" t="str">
        <f t="shared" si="0"/>
        <v>16.039.149-9</v>
      </c>
      <c r="C97" s="16" t="s">
        <v>28</v>
      </c>
      <c r="D97" s="16" t="s">
        <v>31</v>
      </c>
      <c r="E97" s="16" t="s">
        <v>643</v>
      </c>
      <c r="F97" s="16" t="s">
        <v>644</v>
      </c>
      <c r="G97" s="17">
        <v>45870</v>
      </c>
      <c r="H97" s="17">
        <v>45877</v>
      </c>
      <c r="I97" s="16" t="s">
        <v>60</v>
      </c>
      <c r="J97" s="52" t="s">
        <v>48</v>
      </c>
      <c r="K97" s="54" t="s">
        <v>17</v>
      </c>
      <c r="L97" s="17">
        <v>45870</v>
      </c>
      <c r="M97" s="17">
        <v>45877</v>
      </c>
      <c r="N97" s="46">
        <f t="shared" si="1"/>
        <v>7</v>
      </c>
      <c r="O97" s="28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5.75" customHeight="1" x14ac:dyDescent="0.45">
      <c r="A98" s="15">
        <v>186862686</v>
      </c>
      <c r="B98" s="16" t="str">
        <f t="shared" si="0"/>
        <v>18.686.268-6</v>
      </c>
      <c r="C98" s="16" t="s">
        <v>28</v>
      </c>
      <c r="D98" s="16" t="s">
        <v>222</v>
      </c>
      <c r="E98" s="16" t="s">
        <v>710</v>
      </c>
      <c r="F98" s="16" t="s">
        <v>711</v>
      </c>
      <c r="G98" s="17">
        <v>45874</v>
      </c>
      <c r="H98" s="17">
        <v>45880</v>
      </c>
      <c r="I98" s="37" t="s">
        <v>56</v>
      </c>
      <c r="J98" s="53" t="s">
        <v>42</v>
      </c>
      <c r="K98" s="53" t="s">
        <v>17</v>
      </c>
      <c r="L98" s="67">
        <v>45874</v>
      </c>
      <c r="M98" s="28">
        <v>45877</v>
      </c>
      <c r="N98" s="46">
        <f t="shared" si="1"/>
        <v>3</v>
      </c>
      <c r="O98" s="28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5.75" customHeight="1" x14ac:dyDescent="0.45">
      <c r="A99" s="15">
        <v>88992326</v>
      </c>
      <c r="B99" s="16" t="str">
        <f t="shared" si="0"/>
        <v>8.899.232-6</v>
      </c>
      <c r="C99" s="16" t="s">
        <v>28</v>
      </c>
      <c r="D99" s="16" t="s">
        <v>715</v>
      </c>
      <c r="E99" s="16" t="s">
        <v>494</v>
      </c>
      <c r="F99" s="16" t="s">
        <v>716</v>
      </c>
      <c r="G99" s="17">
        <v>45876</v>
      </c>
      <c r="H99" s="17">
        <v>45890</v>
      </c>
      <c r="I99" s="37" t="s">
        <v>15</v>
      </c>
      <c r="J99" s="53" t="s">
        <v>62</v>
      </c>
      <c r="K99" s="53" t="s">
        <v>17</v>
      </c>
      <c r="L99" s="68">
        <v>45876</v>
      </c>
      <c r="M99" s="28">
        <v>45890</v>
      </c>
      <c r="N99" s="46">
        <f t="shared" si="1"/>
        <v>14</v>
      </c>
      <c r="O99" s="28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5.75" customHeight="1" x14ac:dyDescent="0.45">
      <c r="A100" s="15">
        <v>66441466</v>
      </c>
      <c r="B100" s="16" t="str">
        <f t="shared" si="0"/>
        <v>6.644.146-6</v>
      </c>
      <c r="C100" s="16" t="s">
        <v>28</v>
      </c>
      <c r="D100" s="16" t="s">
        <v>578</v>
      </c>
      <c r="E100" s="16" t="s">
        <v>177</v>
      </c>
      <c r="F100" s="16" t="s">
        <v>454</v>
      </c>
      <c r="G100" s="17">
        <v>45882</v>
      </c>
      <c r="H100" s="17">
        <v>45887</v>
      </c>
      <c r="I100" s="37" t="s">
        <v>15</v>
      </c>
      <c r="J100" s="53" t="s">
        <v>62</v>
      </c>
      <c r="K100" s="53" t="s">
        <v>17</v>
      </c>
      <c r="L100" s="69">
        <v>45882</v>
      </c>
      <c r="M100" s="28">
        <v>45887</v>
      </c>
      <c r="N100" s="46">
        <f t="shared" si="1"/>
        <v>5</v>
      </c>
      <c r="O100" s="28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5.75" customHeight="1" x14ac:dyDescent="0.45">
      <c r="A101" s="15">
        <v>43043137</v>
      </c>
      <c r="B101" s="16" t="str">
        <f t="shared" si="0"/>
        <v>4.304.313-7</v>
      </c>
      <c r="C101" s="16" t="s">
        <v>28</v>
      </c>
      <c r="D101" s="16" t="s">
        <v>20</v>
      </c>
      <c r="E101" s="16" t="s">
        <v>144</v>
      </c>
      <c r="F101" s="16" t="s">
        <v>717</v>
      </c>
      <c r="G101" s="17">
        <v>45876</v>
      </c>
      <c r="H101" s="17">
        <v>45883</v>
      </c>
      <c r="I101" s="37" t="s">
        <v>15</v>
      </c>
      <c r="J101" s="53" t="s">
        <v>72</v>
      </c>
      <c r="K101" s="53" t="s">
        <v>17</v>
      </c>
      <c r="L101" s="51">
        <v>45876</v>
      </c>
      <c r="M101" s="51">
        <v>45883</v>
      </c>
      <c r="N101" s="46">
        <f t="shared" si="1"/>
        <v>7</v>
      </c>
      <c r="O101" s="28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5.75" customHeight="1" x14ac:dyDescent="0.45">
      <c r="A102" s="15">
        <v>53327052</v>
      </c>
      <c r="B102" s="16" t="str">
        <f t="shared" si="0"/>
        <v>5.332.705-2</v>
      </c>
      <c r="C102" s="16" t="s">
        <v>28</v>
      </c>
      <c r="D102" s="16" t="s">
        <v>177</v>
      </c>
      <c r="E102" s="16" t="s">
        <v>449</v>
      </c>
      <c r="F102" s="16" t="s">
        <v>414</v>
      </c>
      <c r="G102" s="17">
        <v>45884</v>
      </c>
      <c r="H102" s="17">
        <v>45899</v>
      </c>
      <c r="I102" s="37" t="s">
        <v>15</v>
      </c>
      <c r="J102" s="53" t="s">
        <v>200</v>
      </c>
      <c r="K102" s="53" t="s">
        <v>17</v>
      </c>
      <c r="L102" s="28">
        <v>45884</v>
      </c>
      <c r="M102" s="28">
        <v>45899</v>
      </c>
      <c r="N102" s="46">
        <f t="shared" si="1"/>
        <v>15</v>
      </c>
      <c r="O102" s="28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5.75" customHeight="1" x14ac:dyDescent="0.45">
      <c r="A103" s="15">
        <v>131390769</v>
      </c>
      <c r="B103" s="16" t="str">
        <f t="shared" si="0"/>
        <v>13.139.076-9</v>
      </c>
      <c r="C103" s="16" t="s">
        <v>28</v>
      </c>
      <c r="D103" s="16" t="s">
        <v>385</v>
      </c>
      <c r="E103" s="16" t="s">
        <v>244</v>
      </c>
      <c r="F103" s="16" t="s">
        <v>735</v>
      </c>
      <c r="G103" s="17">
        <v>45880</v>
      </c>
      <c r="H103" s="17">
        <v>45896</v>
      </c>
      <c r="I103" s="37" t="s">
        <v>15</v>
      </c>
      <c r="J103" s="53" t="s">
        <v>48</v>
      </c>
      <c r="K103" s="53" t="s">
        <v>24</v>
      </c>
      <c r="L103" s="28">
        <v>45890</v>
      </c>
      <c r="M103" s="28">
        <v>45896</v>
      </c>
      <c r="N103" s="46">
        <f t="shared" si="1"/>
        <v>6</v>
      </c>
      <c r="O103" s="28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5.75" customHeight="1" x14ac:dyDescent="0.45">
      <c r="A104" s="15">
        <v>117346331</v>
      </c>
      <c r="B104" s="16" t="str">
        <f t="shared" si="0"/>
        <v>11.734.633-1</v>
      </c>
      <c r="C104" s="16" t="s">
        <v>28</v>
      </c>
      <c r="D104" s="16" t="s">
        <v>712</v>
      </c>
      <c r="E104" s="16" t="s">
        <v>116</v>
      </c>
      <c r="F104" s="16" t="s">
        <v>184</v>
      </c>
      <c r="G104" s="17">
        <v>45885</v>
      </c>
      <c r="H104" s="17">
        <v>45892</v>
      </c>
      <c r="I104" s="37" t="s">
        <v>14</v>
      </c>
      <c r="J104" s="53" t="s">
        <v>42</v>
      </c>
      <c r="K104" s="54" t="s">
        <v>16</v>
      </c>
      <c r="L104" s="17">
        <v>45885</v>
      </c>
      <c r="M104" s="17">
        <v>45892</v>
      </c>
      <c r="N104" s="46">
        <f t="shared" si="1"/>
        <v>7</v>
      </c>
      <c r="O104" s="28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5.75" customHeight="1" x14ac:dyDescent="0.45">
      <c r="A105" s="15">
        <v>131330693</v>
      </c>
      <c r="B105" s="16" t="str">
        <f t="shared" si="0"/>
        <v>13.133.069-3</v>
      </c>
      <c r="C105" s="16" t="s">
        <v>28</v>
      </c>
      <c r="D105" s="16" t="s">
        <v>203</v>
      </c>
      <c r="E105" s="16" t="s">
        <v>658</v>
      </c>
      <c r="F105" s="16" t="s">
        <v>616</v>
      </c>
      <c r="G105" s="17">
        <v>45891</v>
      </c>
      <c r="H105" s="17">
        <v>45899</v>
      </c>
      <c r="I105" s="37" t="s">
        <v>15</v>
      </c>
      <c r="J105" s="53" t="s">
        <v>48</v>
      </c>
      <c r="K105" s="54" t="s">
        <v>17</v>
      </c>
      <c r="L105" s="17">
        <v>45891</v>
      </c>
      <c r="M105" s="17">
        <v>45899</v>
      </c>
      <c r="N105" s="46">
        <f t="shared" si="1"/>
        <v>8</v>
      </c>
      <c r="O105" s="28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5.75" customHeight="1" x14ac:dyDescent="0.45">
      <c r="A106" s="15">
        <v>74025269</v>
      </c>
      <c r="B106" s="16" t="str">
        <f t="shared" si="0"/>
        <v>7.402.526-9</v>
      </c>
      <c r="C106" s="16" t="s">
        <v>28</v>
      </c>
      <c r="D106" s="16" t="s">
        <v>631</v>
      </c>
      <c r="E106" s="16" t="s">
        <v>746</v>
      </c>
      <c r="F106" s="16" t="s">
        <v>99</v>
      </c>
      <c r="G106" s="17">
        <v>45895</v>
      </c>
      <c r="H106" s="17">
        <v>45901</v>
      </c>
      <c r="I106" s="37" t="s">
        <v>14</v>
      </c>
      <c r="J106" s="53" t="s">
        <v>62</v>
      </c>
      <c r="K106" s="54" t="s">
        <v>17</v>
      </c>
      <c r="L106" s="51">
        <v>45895</v>
      </c>
      <c r="M106" s="51">
        <v>45900</v>
      </c>
      <c r="N106" s="46">
        <f t="shared" si="1"/>
        <v>5</v>
      </c>
      <c r="O106" s="28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5.75" customHeight="1" x14ac:dyDescent="0.45">
      <c r="A107" s="19" t="s">
        <v>705</v>
      </c>
      <c r="B107" s="19" t="str">
        <f t="shared" ref="B107:B111" si="2"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12.795.982-k</v>
      </c>
      <c r="C107" s="19" t="s">
        <v>32</v>
      </c>
      <c r="D107" s="19" t="s">
        <v>706</v>
      </c>
      <c r="E107" s="19" t="s">
        <v>30</v>
      </c>
      <c r="F107" s="19" t="s">
        <v>171</v>
      </c>
      <c r="G107" s="20">
        <v>45870</v>
      </c>
      <c r="H107" s="20">
        <v>45873</v>
      </c>
      <c r="I107" s="19" t="s">
        <v>15</v>
      </c>
      <c r="J107" s="19" t="s">
        <v>72</v>
      </c>
      <c r="K107" s="19" t="s">
        <v>17</v>
      </c>
      <c r="L107" s="20">
        <v>45870</v>
      </c>
      <c r="M107" s="20">
        <v>45873</v>
      </c>
      <c r="N107" s="47">
        <f t="shared" si="1"/>
        <v>3</v>
      </c>
      <c r="O107" s="34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9" t="s">
        <v>730</v>
      </c>
      <c r="B108" s="19" t="str">
        <f t="shared" si="2"/>
        <v>2.957.877-K</v>
      </c>
      <c r="C108" s="19" t="s">
        <v>32</v>
      </c>
      <c r="D108" s="19" t="s">
        <v>731</v>
      </c>
      <c r="E108" s="19" t="s">
        <v>732</v>
      </c>
      <c r="F108" s="19" t="s">
        <v>733</v>
      </c>
      <c r="G108" s="20">
        <v>45884</v>
      </c>
      <c r="H108" s="20">
        <v>45891</v>
      </c>
      <c r="I108" s="19" t="s">
        <v>15</v>
      </c>
      <c r="J108" s="19" t="s">
        <v>72</v>
      </c>
      <c r="K108" s="21" t="s">
        <v>17</v>
      </c>
      <c r="L108" s="20">
        <v>45884</v>
      </c>
      <c r="M108" s="20">
        <v>45891</v>
      </c>
      <c r="N108" s="47">
        <f t="shared" si="1"/>
        <v>7</v>
      </c>
      <c r="O108" s="34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9">
        <v>61814183</v>
      </c>
      <c r="B109" s="19" t="str">
        <f t="shared" si="2"/>
        <v>6.181.418-3</v>
      </c>
      <c r="C109" s="19" t="s">
        <v>32</v>
      </c>
      <c r="D109" s="19" t="s">
        <v>125</v>
      </c>
      <c r="E109" s="19" t="s">
        <v>727</v>
      </c>
      <c r="F109" s="19" t="s">
        <v>734</v>
      </c>
      <c r="G109" s="20">
        <v>45883</v>
      </c>
      <c r="H109" s="20">
        <v>45887</v>
      </c>
      <c r="I109" s="19" t="s">
        <v>15</v>
      </c>
      <c r="J109" s="19" t="s">
        <v>62</v>
      </c>
      <c r="K109" s="19" t="s">
        <v>17</v>
      </c>
      <c r="L109" s="20">
        <v>45883</v>
      </c>
      <c r="M109" s="20">
        <v>45887</v>
      </c>
      <c r="N109" s="47">
        <f t="shared" si="1"/>
        <v>4</v>
      </c>
      <c r="O109" s="34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9">
        <v>101849120</v>
      </c>
      <c r="B110" s="19" t="str">
        <f t="shared" si="2"/>
        <v>10.184.912-0</v>
      </c>
      <c r="C110" s="19" t="s">
        <v>32</v>
      </c>
      <c r="D110" s="19" t="s">
        <v>744</v>
      </c>
      <c r="E110" s="19" t="s">
        <v>134</v>
      </c>
      <c r="F110" s="19" t="s">
        <v>171</v>
      </c>
      <c r="G110" s="20">
        <v>45896</v>
      </c>
      <c r="H110" s="20">
        <v>45898</v>
      </c>
      <c r="I110" s="19" t="s">
        <v>15</v>
      </c>
      <c r="J110" s="19" t="s">
        <v>200</v>
      </c>
      <c r="K110" s="21" t="s">
        <v>17</v>
      </c>
      <c r="L110" s="20">
        <v>45896</v>
      </c>
      <c r="M110" s="20">
        <v>45898</v>
      </c>
      <c r="N110" s="47">
        <f t="shared" si="1"/>
        <v>2</v>
      </c>
      <c r="O110" s="34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9">
        <v>75054904</v>
      </c>
      <c r="B111" s="19" t="str">
        <f t="shared" si="2"/>
        <v>7.505.490-4</v>
      </c>
      <c r="C111" s="19" t="s">
        <v>32</v>
      </c>
      <c r="D111" s="19" t="s">
        <v>745</v>
      </c>
      <c r="E111" s="19" t="s">
        <v>513</v>
      </c>
      <c r="F111" s="19" t="s">
        <v>111</v>
      </c>
      <c r="G111" s="20">
        <v>45895</v>
      </c>
      <c r="H111" s="20">
        <v>45897</v>
      </c>
      <c r="I111" s="19" t="s">
        <v>15</v>
      </c>
      <c r="J111" s="19" t="s">
        <v>62</v>
      </c>
      <c r="K111" s="21" t="s">
        <v>17</v>
      </c>
      <c r="L111" s="20">
        <v>45895</v>
      </c>
      <c r="M111" s="20">
        <v>45897</v>
      </c>
      <c r="N111" s="47">
        <f t="shared" si="1"/>
        <v>2</v>
      </c>
      <c r="O111" s="34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G112" s="4"/>
      <c r="H112" s="4"/>
      <c r="I112" s="23"/>
      <c r="J112" s="23"/>
      <c r="K112" s="23"/>
      <c r="L112" s="4"/>
      <c r="N112" s="36"/>
      <c r="U112">
        <f>COUNTIF(U8:U111,"si")</f>
        <v>0</v>
      </c>
    </row>
    <row r="113" spans="7:14" ht="15.75" customHeight="1" x14ac:dyDescent="0.45">
      <c r="G113" s="4"/>
      <c r="H113" s="4"/>
      <c r="I113" s="23"/>
      <c r="J113" s="23"/>
      <c r="K113" s="23"/>
      <c r="L113" s="4"/>
      <c r="N113" s="36"/>
    </row>
    <row r="114" spans="7:14" ht="15.75" customHeight="1" x14ac:dyDescent="0.45">
      <c r="G114" s="4"/>
      <c r="H114" s="4"/>
      <c r="I114" s="23"/>
      <c r="J114" s="23"/>
      <c r="K114" s="23"/>
      <c r="L114" s="4"/>
      <c r="N114" s="36"/>
    </row>
    <row r="115" spans="7:14" ht="15.75" customHeight="1" x14ac:dyDescent="0.45">
      <c r="G115" s="4"/>
      <c r="H115" s="4"/>
      <c r="I115" s="23"/>
      <c r="J115" s="23"/>
      <c r="K115" s="23"/>
      <c r="L115" s="4"/>
      <c r="N115" s="36"/>
    </row>
    <row r="116" spans="7:14" ht="15.75" customHeight="1" x14ac:dyDescent="0.45">
      <c r="G116" s="4"/>
      <c r="H116" s="4"/>
      <c r="I116" s="23"/>
      <c r="J116" s="23"/>
      <c r="K116" s="23"/>
      <c r="L116" s="4"/>
      <c r="N116" s="36"/>
    </row>
    <row r="117" spans="7:14" ht="15.75" customHeight="1" x14ac:dyDescent="0.45">
      <c r="G117" s="4"/>
      <c r="H117" s="4"/>
      <c r="I117" s="23"/>
      <c r="J117" s="23"/>
      <c r="K117" s="23"/>
      <c r="L117" s="4"/>
      <c r="N117" s="36"/>
    </row>
    <row r="118" spans="7:14" ht="15.75" customHeight="1" x14ac:dyDescent="0.45">
      <c r="G118" s="4"/>
      <c r="H118" s="4"/>
      <c r="I118" s="23"/>
      <c r="J118" s="23"/>
      <c r="K118" s="23"/>
      <c r="L118" s="4"/>
      <c r="N118" s="36"/>
    </row>
    <row r="119" spans="7:14" ht="15.75" customHeight="1" x14ac:dyDescent="0.45">
      <c r="G119" s="4"/>
      <c r="H119" s="4"/>
      <c r="I119" s="23"/>
      <c r="J119" s="23"/>
      <c r="K119" s="23"/>
      <c r="L119" s="4"/>
      <c r="N119" s="36"/>
    </row>
    <row r="120" spans="7:14" ht="15.75" customHeight="1" x14ac:dyDescent="0.45">
      <c r="G120" s="4"/>
      <c r="H120" s="4"/>
      <c r="I120" s="23"/>
      <c r="J120" s="23"/>
      <c r="K120" s="23"/>
      <c r="L120" s="4"/>
      <c r="N120" s="36"/>
    </row>
    <row r="121" spans="7:14" ht="15.75" customHeight="1" x14ac:dyDescent="0.45">
      <c r="G121" s="4"/>
      <c r="H121" s="4"/>
      <c r="I121" s="23"/>
      <c r="J121" s="23"/>
      <c r="K121" s="23"/>
      <c r="L121" s="4"/>
      <c r="N121" s="36"/>
    </row>
    <row r="122" spans="7:14" ht="15.75" customHeight="1" x14ac:dyDescent="0.45">
      <c r="G122" s="4"/>
      <c r="H122" s="4"/>
      <c r="I122" s="23"/>
      <c r="J122" s="23"/>
      <c r="K122" s="23"/>
      <c r="L122" s="4"/>
      <c r="N122" s="36"/>
    </row>
    <row r="123" spans="7:14" ht="15.75" customHeight="1" x14ac:dyDescent="0.45">
      <c r="G123" s="4"/>
      <c r="H123" s="4"/>
      <c r="I123" s="23"/>
      <c r="J123" s="23"/>
      <c r="K123" s="23"/>
      <c r="L123" s="4"/>
      <c r="N123" s="36"/>
    </row>
    <row r="124" spans="7:14" ht="15.75" customHeight="1" x14ac:dyDescent="0.45">
      <c r="G124" s="4"/>
      <c r="H124" s="4"/>
      <c r="I124" s="23"/>
      <c r="J124" s="23"/>
      <c r="K124" s="23"/>
      <c r="L124" s="4"/>
      <c r="N124" s="36"/>
    </row>
    <row r="125" spans="7:14" ht="15.75" customHeight="1" x14ac:dyDescent="0.45">
      <c r="G125" s="4"/>
      <c r="H125" s="4"/>
      <c r="I125" s="23"/>
      <c r="J125" s="23"/>
      <c r="K125" s="23"/>
      <c r="L125" s="4"/>
      <c r="N125" s="36"/>
    </row>
    <row r="126" spans="7:14" ht="15.75" customHeight="1" x14ac:dyDescent="0.45">
      <c r="G126" s="4"/>
      <c r="H126" s="4"/>
      <c r="I126" s="23"/>
      <c r="J126" s="23"/>
      <c r="K126" s="23"/>
      <c r="L126" s="4"/>
      <c r="N126" s="36"/>
    </row>
    <row r="127" spans="7:14" ht="15.75" customHeight="1" x14ac:dyDescent="0.45">
      <c r="G127" s="4"/>
      <c r="H127" s="4"/>
      <c r="I127" s="23"/>
      <c r="J127" s="23"/>
      <c r="K127" s="23"/>
      <c r="L127" s="4"/>
      <c r="N127" s="36"/>
    </row>
    <row r="128" spans="7:14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L171" s="4"/>
      <c r="N171" s="36"/>
    </row>
    <row r="172" spans="7:14" ht="15.75" customHeight="1" x14ac:dyDescent="0.45">
      <c r="G172" s="4"/>
      <c r="H172" s="4"/>
      <c r="I172" s="23"/>
      <c r="J172" s="23"/>
      <c r="L172" s="4"/>
      <c r="N172" s="36"/>
    </row>
    <row r="173" spans="7:14" ht="15.75" customHeight="1" x14ac:dyDescent="0.45">
      <c r="G173" s="4"/>
      <c r="H173" s="4"/>
      <c r="I173" s="23"/>
      <c r="J173" s="23"/>
      <c r="L173" s="4"/>
      <c r="N173" s="36"/>
    </row>
    <row r="174" spans="7:14" ht="15.75" customHeight="1" x14ac:dyDescent="0.45">
      <c r="G174" s="4"/>
      <c r="H174" s="4"/>
      <c r="I174" s="23"/>
      <c r="J174" s="23"/>
      <c r="L174" s="4"/>
      <c r="N174" s="36"/>
    </row>
    <row r="175" spans="7:14" ht="15.75" customHeight="1" x14ac:dyDescent="0.45">
      <c r="G175" s="4"/>
      <c r="H175" s="4"/>
      <c r="I175" s="23"/>
      <c r="J175" s="23"/>
      <c r="L175" s="4"/>
      <c r="N175" s="36"/>
    </row>
    <row r="176" spans="7:14" ht="15.75" customHeight="1" x14ac:dyDescent="0.45">
      <c r="G176" s="4"/>
      <c r="H176" s="4"/>
      <c r="I176" s="23"/>
      <c r="J176" s="23"/>
      <c r="L176" s="4"/>
      <c r="N176" s="36"/>
    </row>
    <row r="177" spans="7:14" ht="15.75" customHeight="1" x14ac:dyDescent="0.45">
      <c r="G177" s="4"/>
      <c r="H177" s="4"/>
      <c r="I177" s="23"/>
      <c r="J177" s="23"/>
      <c r="L177" s="4"/>
      <c r="N177" s="36"/>
    </row>
    <row r="178" spans="7:14" ht="15.75" customHeight="1" x14ac:dyDescent="0.45">
      <c r="G178" s="4"/>
      <c r="H178" s="4"/>
      <c r="I178" s="23"/>
      <c r="J178" s="23"/>
      <c r="L178" s="4"/>
      <c r="N178" s="36"/>
    </row>
    <row r="179" spans="7:14" ht="15.75" customHeight="1" x14ac:dyDescent="0.45">
      <c r="G179" s="4"/>
      <c r="H179" s="4"/>
      <c r="I179" s="23"/>
      <c r="J179" s="23"/>
      <c r="L179" s="4"/>
      <c r="N179" s="36"/>
    </row>
    <row r="180" spans="7:14" ht="15.75" customHeight="1" x14ac:dyDescent="0.45">
      <c r="G180" s="4"/>
      <c r="H180" s="4"/>
      <c r="I180" s="23"/>
      <c r="J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J243" s="23"/>
      <c r="L243" s="4"/>
      <c r="N243" s="36"/>
    </row>
    <row r="244" spans="7:14" ht="15.75" customHeight="1" x14ac:dyDescent="0.45">
      <c r="G244" s="4"/>
      <c r="H244" s="4"/>
      <c r="L244" s="4"/>
      <c r="N244" s="36"/>
    </row>
    <row r="245" spans="7:14" ht="15.75" customHeight="1" x14ac:dyDescent="0.45">
      <c r="G245" s="4"/>
      <c r="H245" s="4"/>
      <c r="L245" s="4"/>
      <c r="N245" s="36"/>
    </row>
    <row r="246" spans="7:14" ht="15.75" customHeight="1" x14ac:dyDescent="0.45">
      <c r="G246" s="4"/>
      <c r="H246" s="4"/>
      <c r="L246" s="4"/>
      <c r="N246" s="36"/>
    </row>
    <row r="247" spans="7:14" ht="15.75" customHeight="1" x14ac:dyDescent="0.45">
      <c r="G247" s="4"/>
      <c r="H247" s="4"/>
      <c r="L247" s="4"/>
      <c r="N247" s="36"/>
    </row>
    <row r="248" spans="7:14" ht="15.75" customHeight="1" x14ac:dyDescent="0.45">
      <c r="G248" s="4"/>
      <c r="H248" s="4"/>
      <c r="L248" s="4"/>
      <c r="N248" s="36"/>
    </row>
    <row r="249" spans="7:14" ht="15.75" customHeight="1" x14ac:dyDescent="0.45">
      <c r="G249" s="4"/>
      <c r="H249" s="4"/>
      <c r="L249" s="4"/>
      <c r="N249" s="36"/>
    </row>
    <row r="250" spans="7:14" ht="15.75" customHeight="1" x14ac:dyDescent="0.45">
      <c r="G250" s="4"/>
      <c r="H250" s="4"/>
      <c r="L250" s="4"/>
      <c r="N250" s="36"/>
    </row>
    <row r="251" spans="7:14" ht="15.75" customHeight="1" x14ac:dyDescent="0.45">
      <c r="G251" s="4"/>
      <c r="H251" s="4"/>
      <c r="L251" s="4"/>
      <c r="N251" s="36"/>
    </row>
    <row r="252" spans="7:14" ht="15.75" customHeight="1" x14ac:dyDescent="0.45">
      <c r="G252" s="4"/>
      <c r="H252" s="4"/>
      <c r="L252" s="4"/>
      <c r="N252" s="36"/>
    </row>
    <row r="253" spans="7:14" ht="15.75" customHeight="1" x14ac:dyDescent="0.45">
      <c r="G253" s="4"/>
      <c r="H253" s="4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</row>
    <row r="281" spans="7:14" ht="15.75" customHeight="1" x14ac:dyDescent="0.45">
      <c r="G281" s="4"/>
      <c r="H281" s="4"/>
      <c r="L281" s="4"/>
    </row>
    <row r="282" spans="7:14" ht="15.75" customHeight="1" x14ac:dyDescent="0.45">
      <c r="G282" s="4"/>
      <c r="H282" s="4"/>
      <c r="L282" s="4"/>
    </row>
    <row r="283" spans="7:14" ht="15.75" customHeight="1" x14ac:dyDescent="0.45">
      <c r="G283" s="4"/>
      <c r="H283" s="4"/>
      <c r="L283" s="4"/>
    </row>
    <row r="284" spans="7:14" ht="15.75" customHeight="1" x14ac:dyDescent="0.45">
      <c r="G284" s="4"/>
      <c r="H284" s="4"/>
      <c r="L284" s="4"/>
    </row>
    <row r="285" spans="7:14" ht="15.75" customHeight="1" x14ac:dyDescent="0.45">
      <c r="G285" s="4"/>
      <c r="H285" s="4"/>
      <c r="L285" s="4"/>
    </row>
    <row r="286" spans="7:14" ht="15.75" customHeight="1" x14ac:dyDescent="0.45">
      <c r="G286" s="4"/>
      <c r="H286" s="4"/>
      <c r="L286" s="4"/>
    </row>
    <row r="287" spans="7:14" ht="15.75" customHeight="1" x14ac:dyDescent="0.45">
      <c r="G287" s="4"/>
      <c r="H287" s="4"/>
      <c r="L287" s="4"/>
    </row>
    <row r="288" spans="7:14" ht="15.75" customHeight="1" x14ac:dyDescent="0.45">
      <c r="G288" s="4"/>
      <c r="H288" s="4"/>
      <c r="L288" s="4"/>
    </row>
    <row r="289" spans="7:12" ht="15.75" customHeight="1" x14ac:dyDescent="0.45">
      <c r="G289" s="4"/>
      <c r="H289" s="4"/>
      <c r="L289" s="4"/>
    </row>
    <row r="290" spans="7:12" ht="15.75" customHeight="1" x14ac:dyDescent="0.45">
      <c r="G290" s="4"/>
      <c r="H290" s="4"/>
      <c r="L290" s="4"/>
    </row>
    <row r="291" spans="7:12" ht="15.75" customHeight="1" x14ac:dyDescent="0.45">
      <c r="G291" s="4"/>
      <c r="H291" s="4"/>
      <c r="L291" s="4"/>
    </row>
    <row r="292" spans="7:12" ht="15.75" customHeight="1" x14ac:dyDescent="0.45">
      <c r="G292" s="4"/>
      <c r="H292" s="4"/>
      <c r="L292" s="4"/>
    </row>
    <row r="293" spans="7:12" ht="15.75" customHeight="1" x14ac:dyDescent="0.45">
      <c r="G293" s="4"/>
      <c r="H293" s="4"/>
      <c r="L293" s="4"/>
    </row>
    <row r="294" spans="7:12" ht="15.75" customHeight="1" x14ac:dyDescent="0.45">
      <c r="G294" s="4"/>
      <c r="H294" s="4"/>
      <c r="L294" s="4"/>
    </row>
    <row r="295" spans="7:12" ht="15.75" customHeight="1" x14ac:dyDescent="0.45">
      <c r="G295" s="4"/>
      <c r="H295" s="4"/>
      <c r="L295" s="4"/>
    </row>
    <row r="296" spans="7:12" ht="15.75" customHeight="1" x14ac:dyDescent="0.45">
      <c r="G296" s="4"/>
      <c r="H296" s="4"/>
      <c r="L296" s="4"/>
    </row>
    <row r="297" spans="7:12" ht="15.75" customHeight="1" x14ac:dyDescent="0.45">
      <c r="G297" s="4"/>
      <c r="H297" s="4"/>
      <c r="L297" s="4"/>
    </row>
    <row r="298" spans="7:12" ht="15.75" customHeight="1" x14ac:dyDescent="0.45">
      <c r="G298" s="4"/>
      <c r="H298" s="4"/>
      <c r="L298" s="4"/>
    </row>
    <row r="299" spans="7:12" ht="15.75" customHeight="1" x14ac:dyDescent="0.45">
      <c r="G299" s="4"/>
      <c r="H299" s="4"/>
      <c r="L299" s="4"/>
    </row>
    <row r="300" spans="7:12" ht="15.75" customHeight="1" x14ac:dyDescent="0.45">
      <c r="G300" s="4"/>
      <c r="H300" s="4"/>
      <c r="L300" s="4"/>
    </row>
    <row r="301" spans="7:12" ht="15.75" customHeight="1" x14ac:dyDescent="0.45">
      <c r="G301" s="4"/>
      <c r="H301" s="4"/>
      <c r="L301" s="4"/>
    </row>
    <row r="302" spans="7:12" ht="15.75" customHeight="1" x14ac:dyDescent="0.45">
      <c r="G302" s="4"/>
      <c r="H302" s="4"/>
      <c r="L302" s="4"/>
    </row>
    <row r="303" spans="7:12" ht="15.75" customHeight="1" x14ac:dyDescent="0.45">
      <c r="G303" s="4"/>
      <c r="H303" s="4"/>
      <c r="L303" s="4"/>
    </row>
    <row r="304" spans="7:12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/>
    <row r="312" spans="7:12" ht="15.75" customHeight="1" x14ac:dyDescent="0.45"/>
    <row r="313" spans="7:12" ht="15.75" customHeight="1" x14ac:dyDescent="0.45"/>
    <row r="314" spans="7:12" ht="15.75" customHeight="1" x14ac:dyDescent="0.45"/>
    <row r="315" spans="7:12" ht="15.75" customHeight="1" x14ac:dyDescent="0.45"/>
    <row r="316" spans="7:12" ht="15.75" customHeight="1" x14ac:dyDescent="0.45"/>
    <row r="317" spans="7:12" ht="15.75" customHeight="1" x14ac:dyDescent="0.45"/>
    <row r="318" spans="7:12" ht="15.75" customHeight="1" x14ac:dyDescent="0.45"/>
    <row r="319" spans="7:12" ht="15.75" customHeight="1" x14ac:dyDescent="0.45"/>
    <row r="320" spans="7:12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</sheetData>
  <mergeCells count="4">
    <mergeCell ref="O60:O63"/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C6F55FA-78D2-4969-815D-C4ED323BA446}">
          <x14:formula1>
            <xm:f>Criterios!$A$2:$A$128</xm:f>
          </x14:formula1>
          <xm:sqref>P8:T111</xm:sqref>
        </x14:dataValidation>
        <x14:dataValidation type="list" allowBlank="1" showInputMessage="1" showErrorMessage="1" xr:uid="{CF761D7D-463E-4A37-BF9F-65396989F33B}">
          <x14:formula1>
            <xm:f>Hoja1!$G$2:$G$3</xm:f>
          </x14:formula1>
          <xm:sqref>U8:U111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5A60-8749-45B8-B791-731F2080F00B}">
  <dimension ref="A1:U986"/>
  <sheetViews>
    <sheetView zoomScale="80" zoomScaleNormal="8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5" sqref="P15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4" max="14" width="7.796875" customWidth="1"/>
    <col min="15" max="15" width="8.46484375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755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28.5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59572512</v>
      </c>
      <c r="B8" s="11" t="str">
        <f t="shared" ref="B8:B11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5.957.251-2</v>
      </c>
      <c r="C8" s="11" t="s">
        <v>14</v>
      </c>
      <c r="D8" s="11" t="s">
        <v>154</v>
      </c>
      <c r="E8" s="11" t="s">
        <v>574</v>
      </c>
      <c r="F8" s="11" t="s">
        <v>738</v>
      </c>
      <c r="G8" s="12">
        <v>45889</v>
      </c>
      <c r="H8" s="12">
        <v>45905</v>
      </c>
      <c r="I8" s="11" t="s">
        <v>15</v>
      </c>
      <c r="J8" s="48" t="s">
        <v>106</v>
      </c>
      <c r="K8" s="57" t="s">
        <v>16</v>
      </c>
      <c r="L8" s="12">
        <v>45901</v>
      </c>
      <c r="M8" s="12">
        <v>45905</v>
      </c>
      <c r="N8" s="44">
        <f t="shared" ref="N8:N119" si="1">+M8-L8</f>
        <v>4</v>
      </c>
      <c r="O8" s="44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59572512</v>
      </c>
      <c r="B9" s="11" t="str">
        <f t="shared" si="0"/>
        <v>5.957.251-2</v>
      </c>
      <c r="C9" s="11" t="s">
        <v>14</v>
      </c>
      <c r="D9" s="11" t="s">
        <v>154</v>
      </c>
      <c r="E9" s="11" t="s">
        <v>574</v>
      </c>
      <c r="F9" s="11" t="s">
        <v>738</v>
      </c>
      <c r="G9" s="12">
        <v>45889</v>
      </c>
      <c r="H9" s="12">
        <v>45905</v>
      </c>
      <c r="I9" s="11" t="s">
        <v>15</v>
      </c>
      <c r="J9" s="48" t="s">
        <v>106</v>
      </c>
      <c r="K9" s="57" t="s">
        <v>17</v>
      </c>
      <c r="L9" s="12">
        <v>45901</v>
      </c>
      <c r="M9" s="12">
        <v>45905</v>
      </c>
      <c r="N9" s="44">
        <f t="shared" si="1"/>
        <v>4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59572512</v>
      </c>
      <c r="B10" s="11" t="str">
        <f t="shared" si="0"/>
        <v>5.957.251-2</v>
      </c>
      <c r="C10" s="11" t="s">
        <v>14</v>
      </c>
      <c r="D10" s="11" t="s">
        <v>154</v>
      </c>
      <c r="E10" s="11" t="s">
        <v>574</v>
      </c>
      <c r="F10" s="11" t="s">
        <v>738</v>
      </c>
      <c r="G10" s="12">
        <v>45889</v>
      </c>
      <c r="H10" s="12">
        <v>45905</v>
      </c>
      <c r="I10" s="11" t="s">
        <v>15</v>
      </c>
      <c r="J10" s="48" t="s">
        <v>106</v>
      </c>
      <c r="K10" s="57" t="s">
        <v>18</v>
      </c>
      <c r="L10" s="12">
        <v>45901</v>
      </c>
      <c r="M10" s="12">
        <v>45905</v>
      </c>
      <c r="N10" s="44">
        <f t="shared" si="1"/>
        <v>4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59572512</v>
      </c>
      <c r="B11" s="11" t="str">
        <f t="shared" si="0"/>
        <v>5.957.251-2</v>
      </c>
      <c r="C11" s="11" t="s">
        <v>14</v>
      </c>
      <c r="D11" s="11" t="s">
        <v>154</v>
      </c>
      <c r="E11" s="11" t="s">
        <v>574</v>
      </c>
      <c r="F11" s="11" t="s">
        <v>738</v>
      </c>
      <c r="G11" s="12">
        <v>45889</v>
      </c>
      <c r="H11" s="12">
        <v>45905</v>
      </c>
      <c r="I11" s="11" t="s">
        <v>15</v>
      </c>
      <c r="J11" s="48" t="s">
        <v>106</v>
      </c>
      <c r="K11" s="57" t="s">
        <v>18</v>
      </c>
      <c r="L11" s="12">
        <v>45901</v>
      </c>
      <c r="M11" s="12">
        <v>45905</v>
      </c>
      <c r="N11" s="44">
        <f t="shared" si="1"/>
        <v>4</v>
      </c>
      <c r="O11" s="44"/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81802025</v>
      </c>
      <c r="B12" s="11" t="str">
        <f t="shared" si="0"/>
        <v>8.180.202-5</v>
      </c>
      <c r="C12" s="11" t="s">
        <v>14</v>
      </c>
      <c r="D12" s="11" t="s">
        <v>112</v>
      </c>
      <c r="E12" s="11" t="s">
        <v>740</v>
      </c>
      <c r="F12" s="11" t="s">
        <v>223</v>
      </c>
      <c r="G12" s="12">
        <v>45895</v>
      </c>
      <c r="H12" s="12">
        <v>45903</v>
      </c>
      <c r="I12" s="11" t="s">
        <v>15</v>
      </c>
      <c r="J12" s="48" t="s">
        <v>106</v>
      </c>
      <c r="K12" s="57" t="s">
        <v>16</v>
      </c>
      <c r="L12" s="12">
        <v>45901</v>
      </c>
      <c r="M12" s="12">
        <v>45903</v>
      </c>
      <c r="N12" s="44">
        <f t="shared" si="1"/>
        <v>2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81802025</v>
      </c>
      <c r="B13" s="11" t="str">
        <f t="shared" si="0"/>
        <v>8.180.202-5</v>
      </c>
      <c r="C13" s="11" t="s">
        <v>14</v>
      </c>
      <c r="D13" s="11" t="s">
        <v>112</v>
      </c>
      <c r="E13" s="11" t="s">
        <v>740</v>
      </c>
      <c r="F13" s="11" t="s">
        <v>223</v>
      </c>
      <c r="G13" s="12">
        <v>45895</v>
      </c>
      <c r="H13" s="12">
        <v>45903</v>
      </c>
      <c r="I13" s="11" t="s">
        <v>15</v>
      </c>
      <c r="J13" s="48" t="s">
        <v>106</v>
      </c>
      <c r="K13" s="57" t="s">
        <v>17</v>
      </c>
      <c r="L13" s="12">
        <v>45901</v>
      </c>
      <c r="M13" s="12">
        <v>45903</v>
      </c>
      <c r="N13" s="44">
        <f t="shared" si="1"/>
        <v>2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81802025</v>
      </c>
      <c r="B14" s="11" t="str">
        <f t="shared" si="0"/>
        <v>8.180.202-5</v>
      </c>
      <c r="C14" s="11" t="s">
        <v>14</v>
      </c>
      <c r="D14" s="11" t="s">
        <v>112</v>
      </c>
      <c r="E14" s="11" t="s">
        <v>740</v>
      </c>
      <c r="F14" s="11" t="s">
        <v>223</v>
      </c>
      <c r="G14" s="12">
        <v>45895</v>
      </c>
      <c r="H14" s="12">
        <v>45903</v>
      </c>
      <c r="I14" s="11" t="s">
        <v>15</v>
      </c>
      <c r="J14" s="48" t="s">
        <v>106</v>
      </c>
      <c r="K14" s="57" t="s">
        <v>18</v>
      </c>
      <c r="L14" s="12">
        <v>45901</v>
      </c>
      <c r="M14" s="12">
        <v>45903</v>
      </c>
      <c r="N14" s="44">
        <f t="shared" si="1"/>
        <v>2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184103265</v>
      </c>
      <c r="B15" s="11" t="str">
        <f t="shared" si="0"/>
        <v>18.410.326-5</v>
      </c>
      <c r="C15" s="11" t="s">
        <v>14</v>
      </c>
      <c r="D15" s="11" t="s">
        <v>97</v>
      </c>
      <c r="E15" s="11" t="s">
        <v>700</v>
      </c>
      <c r="F15" s="11" t="s">
        <v>753</v>
      </c>
      <c r="G15" s="12">
        <v>45894</v>
      </c>
      <c r="H15" s="12">
        <v>45907</v>
      </c>
      <c r="I15" s="11" t="s">
        <v>15</v>
      </c>
      <c r="J15" s="48" t="s">
        <v>60</v>
      </c>
      <c r="K15" s="57" t="s">
        <v>16</v>
      </c>
      <c r="L15" s="12">
        <v>45901</v>
      </c>
      <c r="M15" s="12">
        <v>45907</v>
      </c>
      <c r="N15" s="44">
        <f t="shared" si="1"/>
        <v>6</v>
      </c>
      <c r="O15" s="44"/>
      <c r="P15" t="s">
        <v>942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>
        <v>184103265</v>
      </c>
      <c r="B16" s="11" t="str">
        <f t="shared" si="0"/>
        <v>18.410.326-5</v>
      </c>
      <c r="C16" s="11" t="s">
        <v>14</v>
      </c>
      <c r="D16" s="11" t="s">
        <v>97</v>
      </c>
      <c r="E16" s="11" t="s">
        <v>700</v>
      </c>
      <c r="F16" s="11" t="s">
        <v>753</v>
      </c>
      <c r="G16" s="12">
        <v>45894</v>
      </c>
      <c r="H16" s="12">
        <v>45907</v>
      </c>
      <c r="I16" s="11" t="s">
        <v>15</v>
      </c>
      <c r="J16" s="48" t="s">
        <v>60</v>
      </c>
      <c r="K16" s="57" t="s">
        <v>17</v>
      </c>
      <c r="L16" s="12">
        <v>45901</v>
      </c>
      <c r="M16" s="12">
        <v>45907</v>
      </c>
      <c r="N16" s="44">
        <f t="shared" si="1"/>
        <v>6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>
        <v>184103265</v>
      </c>
      <c r="B17" s="11" t="str">
        <f t="shared" si="0"/>
        <v>18.410.326-5</v>
      </c>
      <c r="C17" s="11" t="s">
        <v>14</v>
      </c>
      <c r="D17" s="11" t="s">
        <v>97</v>
      </c>
      <c r="E17" s="11" t="s">
        <v>700</v>
      </c>
      <c r="F17" s="11" t="s">
        <v>753</v>
      </c>
      <c r="G17" s="12">
        <v>45894</v>
      </c>
      <c r="H17" s="12">
        <v>45907</v>
      </c>
      <c r="I17" s="11" t="s">
        <v>15</v>
      </c>
      <c r="J17" s="48" t="s">
        <v>60</v>
      </c>
      <c r="K17" s="58" t="s">
        <v>18</v>
      </c>
      <c r="L17" s="38">
        <v>45901</v>
      </c>
      <c r="M17" s="38">
        <v>45907</v>
      </c>
      <c r="N17" s="44">
        <f t="shared" si="1"/>
        <v>6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110746121</v>
      </c>
      <c r="B18" s="11" t="str">
        <f t="shared" si="0"/>
        <v>11.074.612-1</v>
      </c>
      <c r="C18" s="11" t="s">
        <v>14</v>
      </c>
      <c r="D18" s="11" t="s">
        <v>157</v>
      </c>
      <c r="E18" s="11" t="s">
        <v>156</v>
      </c>
      <c r="F18" s="11" t="s">
        <v>761</v>
      </c>
      <c r="G18" s="12">
        <v>45900</v>
      </c>
      <c r="H18" s="12">
        <v>45904</v>
      </c>
      <c r="I18" s="11" t="s">
        <v>15</v>
      </c>
      <c r="J18" s="48" t="s">
        <v>60</v>
      </c>
      <c r="K18" s="57" t="s">
        <v>17</v>
      </c>
      <c r="L18" s="12">
        <v>45901</v>
      </c>
      <c r="M18" s="35">
        <v>45904</v>
      </c>
      <c r="N18" s="44">
        <f t="shared" si="1"/>
        <v>3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107340904</v>
      </c>
      <c r="B19" s="11" t="str">
        <f t="shared" si="0"/>
        <v>10.734.090-4</v>
      </c>
      <c r="C19" s="11" t="s">
        <v>14</v>
      </c>
      <c r="D19" s="11" t="s">
        <v>718</v>
      </c>
      <c r="E19" s="11" t="s">
        <v>762</v>
      </c>
      <c r="F19" s="11" t="s">
        <v>763</v>
      </c>
      <c r="G19" s="12">
        <v>45899</v>
      </c>
      <c r="H19" s="12">
        <v>45904</v>
      </c>
      <c r="I19" s="11" t="s">
        <v>74</v>
      </c>
      <c r="J19" s="48" t="s">
        <v>200</v>
      </c>
      <c r="K19" s="57" t="s">
        <v>16</v>
      </c>
      <c r="L19" s="38">
        <v>45901</v>
      </c>
      <c r="M19" s="12">
        <v>45904</v>
      </c>
      <c r="N19" s="44">
        <f t="shared" si="1"/>
        <v>3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107340904</v>
      </c>
      <c r="B20" s="11" t="str">
        <f t="shared" si="0"/>
        <v>10.734.090-4</v>
      </c>
      <c r="C20" s="11" t="s">
        <v>14</v>
      </c>
      <c r="D20" s="11" t="s">
        <v>718</v>
      </c>
      <c r="E20" s="11" t="s">
        <v>762</v>
      </c>
      <c r="F20" s="11" t="s">
        <v>763</v>
      </c>
      <c r="G20" s="12">
        <v>45899</v>
      </c>
      <c r="H20" s="12">
        <v>45904</v>
      </c>
      <c r="I20" s="11" t="s">
        <v>74</v>
      </c>
      <c r="J20" s="48" t="s">
        <v>200</v>
      </c>
      <c r="K20" s="57" t="s">
        <v>17</v>
      </c>
      <c r="L20" s="12">
        <v>45901</v>
      </c>
      <c r="M20" s="12">
        <v>45904</v>
      </c>
      <c r="N20" s="44">
        <f t="shared" si="1"/>
        <v>3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78587571</v>
      </c>
      <c r="B21" s="11" t="str">
        <f t="shared" si="0"/>
        <v>7.858.757-1</v>
      </c>
      <c r="C21" s="11" t="s">
        <v>14</v>
      </c>
      <c r="D21" s="11" t="s">
        <v>115</v>
      </c>
      <c r="E21" s="11" t="s">
        <v>346</v>
      </c>
      <c r="F21" s="11" t="s">
        <v>613</v>
      </c>
      <c r="G21" s="12">
        <v>45900</v>
      </c>
      <c r="H21" s="12">
        <v>45902</v>
      </c>
      <c r="I21" s="11" t="s">
        <v>15</v>
      </c>
      <c r="J21" s="48" t="s">
        <v>200</v>
      </c>
      <c r="K21" s="57" t="s">
        <v>16</v>
      </c>
      <c r="L21" s="38">
        <v>45901</v>
      </c>
      <c r="M21" s="35">
        <v>45902</v>
      </c>
      <c r="N21" s="44">
        <f t="shared" si="1"/>
        <v>1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183879227</v>
      </c>
      <c r="B22" s="11" t="str">
        <f t="shared" si="0"/>
        <v>18.387.922-7</v>
      </c>
      <c r="C22" s="11" t="s">
        <v>14</v>
      </c>
      <c r="D22" s="11" t="s">
        <v>642</v>
      </c>
      <c r="E22" s="11" t="s">
        <v>749</v>
      </c>
      <c r="F22" s="11" t="s">
        <v>750</v>
      </c>
      <c r="G22" s="12">
        <v>45898</v>
      </c>
      <c r="H22" s="12">
        <v>45902</v>
      </c>
      <c r="I22" s="11" t="s">
        <v>15</v>
      </c>
      <c r="J22" s="48" t="s">
        <v>42</v>
      </c>
      <c r="K22" s="57" t="s">
        <v>16</v>
      </c>
      <c r="L22" s="12">
        <v>45901</v>
      </c>
      <c r="M22" s="35">
        <v>45902</v>
      </c>
      <c r="N22" s="44">
        <f t="shared" si="1"/>
        <v>1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71590852</v>
      </c>
      <c r="B23" s="11" t="str">
        <f t="shared" si="0"/>
        <v>7.159.085-2</v>
      </c>
      <c r="C23" s="11" t="s">
        <v>14</v>
      </c>
      <c r="D23" s="11" t="s">
        <v>399</v>
      </c>
      <c r="E23" s="11" t="s">
        <v>614</v>
      </c>
      <c r="F23" s="11" t="s">
        <v>765</v>
      </c>
      <c r="G23" s="12">
        <v>45903</v>
      </c>
      <c r="H23" s="12">
        <v>45907</v>
      </c>
      <c r="I23" s="11" t="s">
        <v>15</v>
      </c>
      <c r="J23" s="48" t="s">
        <v>200</v>
      </c>
      <c r="K23" s="57" t="s">
        <v>16</v>
      </c>
      <c r="L23" s="12">
        <v>45903</v>
      </c>
      <c r="M23" s="12">
        <v>45907</v>
      </c>
      <c r="N23" s="44">
        <f t="shared" si="1"/>
        <v>4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86923564</v>
      </c>
      <c r="B24" s="11" t="str">
        <f t="shared" si="0"/>
        <v>8.692.356-4</v>
      </c>
      <c r="C24" s="11" t="s">
        <v>14</v>
      </c>
      <c r="D24" s="11" t="s">
        <v>365</v>
      </c>
      <c r="E24" s="11" t="s">
        <v>159</v>
      </c>
      <c r="F24" s="11" t="s">
        <v>438</v>
      </c>
      <c r="G24" s="12">
        <v>45904</v>
      </c>
      <c r="H24" s="12">
        <v>45911</v>
      </c>
      <c r="I24" s="11" t="s">
        <v>75</v>
      </c>
      <c r="J24" s="48" t="s">
        <v>60</v>
      </c>
      <c r="K24" s="57" t="s">
        <v>16</v>
      </c>
      <c r="L24" s="12">
        <v>45904</v>
      </c>
      <c r="M24" s="12">
        <v>45911</v>
      </c>
      <c r="N24" s="44">
        <f t="shared" si="1"/>
        <v>7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86923564</v>
      </c>
      <c r="B25" s="11" t="str">
        <f t="shared" si="0"/>
        <v>8.692.356-4</v>
      </c>
      <c r="C25" s="11" t="s">
        <v>14</v>
      </c>
      <c r="D25" s="11" t="s">
        <v>365</v>
      </c>
      <c r="E25" s="11" t="s">
        <v>159</v>
      </c>
      <c r="F25" s="11" t="s">
        <v>438</v>
      </c>
      <c r="G25" s="12">
        <v>45904</v>
      </c>
      <c r="H25" s="12">
        <v>45911</v>
      </c>
      <c r="I25" s="11" t="s">
        <v>75</v>
      </c>
      <c r="J25" s="48" t="s">
        <v>60</v>
      </c>
      <c r="K25" s="57" t="s">
        <v>17</v>
      </c>
      <c r="L25" s="12">
        <v>45904</v>
      </c>
      <c r="M25" s="12">
        <v>45911</v>
      </c>
      <c r="N25" s="44">
        <f t="shared" si="1"/>
        <v>7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188229190</v>
      </c>
      <c r="B26" s="11" t="str">
        <f t="shared" si="0"/>
        <v>18.822.919-0</v>
      </c>
      <c r="C26" s="11" t="s">
        <v>14</v>
      </c>
      <c r="D26" s="11" t="s">
        <v>559</v>
      </c>
      <c r="E26" s="11" t="s">
        <v>766</v>
      </c>
      <c r="F26" s="11" t="s">
        <v>767</v>
      </c>
      <c r="G26" s="12">
        <v>45904</v>
      </c>
      <c r="H26" s="12">
        <v>45912</v>
      </c>
      <c r="I26" s="11" t="s">
        <v>15</v>
      </c>
      <c r="J26" s="48" t="s">
        <v>28</v>
      </c>
      <c r="K26" s="57" t="s">
        <v>16</v>
      </c>
      <c r="L26" s="12">
        <v>45904</v>
      </c>
      <c r="M26" s="12">
        <v>45912</v>
      </c>
      <c r="N26" s="44">
        <f t="shared" si="1"/>
        <v>8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188229190</v>
      </c>
      <c r="B27" s="11" t="str">
        <f t="shared" si="0"/>
        <v>18.822.919-0</v>
      </c>
      <c r="C27" s="11" t="s">
        <v>14</v>
      </c>
      <c r="D27" s="11" t="s">
        <v>559</v>
      </c>
      <c r="E27" s="11" t="s">
        <v>766</v>
      </c>
      <c r="F27" s="11" t="s">
        <v>767</v>
      </c>
      <c r="G27" s="12">
        <v>45904</v>
      </c>
      <c r="H27" s="12">
        <v>45912</v>
      </c>
      <c r="I27" s="11" t="s">
        <v>15</v>
      </c>
      <c r="J27" s="48" t="s">
        <v>28</v>
      </c>
      <c r="K27" s="57" t="s">
        <v>17</v>
      </c>
      <c r="L27" s="12">
        <v>45904</v>
      </c>
      <c r="M27" s="12">
        <v>45912</v>
      </c>
      <c r="N27" s="44">
        <f t="shared" si="1"/>
        <v>8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188229190</v>
      </c>
      <c r="B28" s="11" t="str">
        <f t="shared" si="0"/>
        <v>18.822.919-0</v>
      </c>
      <c r="C28" s="11" t="s">
        <v>14</v>
      </c>
      <c r="D28" s="11" t="s">
        <v>559</v>
      </c>
      <c r="E28" s="11" t="s">
        <v>766</v>
      </c>
      <c r="F28" s="11" t="s">
        <v>767</v>
      </c>
      <c r="G28" s="12">
        <v>45904</v>
      </c>
      <c r="H28" s="12">
        <v>45912</v>
      </c>
      <c r="I28" s="11" t="s">
        <v>15</v>
      </c>
      <c r="J28" s="48" t="s">
        <v>28</v>
      </c>
      <c r="K28" s="57" t="s">
        <v>18</v>
      </c>
      <c r="L28" s="12">
        <v>45904</v>
      </c>
      <c r="M28" s="12">
        <v>45905</v>
      </c>
      <c r="N28" s="44">
        <f t="shared" si="1"/>
        <v>1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73049016</v>
      </c>
      <c r="B29" s="11" t="str">
        <f t="shared" si="0"/>
        <v>7.304.901-6</v>
      </c>
      <c r="C29" s="11" t="s">
        <v>14</v>
      </c>
      <c r="D29" s="11" t="s">
        <v>768</v>
      </c>
      <c r="E29" s="11" t="s">
        <v>769</v>
      </c>
      <c r="F29" s="11" t="s">
        <v>355</v>
      </c>
      <c r="G29" s="12">
        <v>45901</v>
      </c>
      <c r="H29" s="12">
        <v>45906</v>
      </c>
      <c r="I29" s="11" t="s">
        <v>47</v>
      </c>
      <c r="J29" s="48" t="s">
        <v>72</v>
      </c>
      <c r="K29" s="57" t="s">
        <v>16</v>
      </c>
      <c r="L29" s="12">
        <v>45901</v>
      </c>
      <c r="M29" s="12">
        <v>45906</v>
      </c>
      <c r="N29" s="44">
        <f t="shared" si="1"/>
        <v>5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72413857</v>
      </c>
      <c r="B30" s="11" t="str">
        <f t="shared" si="0"/>
        <v>7.241.385-7</v>
      </c>
      <c r="C30" s="11" t="s">
        <v>14</v>
      </c>
      <c r="D30" s="11" t="s">
        <v>191</v>
      </c>
      <c r="E30" s="11" t="s">
        <v>399</v>
      </c>
      <c r="F30" s="11" t="s">
        <v>467</v>
      </c>
      <c r="G30" s="12">
        <v>45902</v>
      </c>
      <c r="H30" s="12">
        <v>45907</v>
      </c>
      <c r="I30" s="11" t="s">
        <v>15</v>
      </c>
      <c r="J30" s="48" t="s">
        <v>72</v>
      </c>
      <c r="K30" s="57" t="s">
        <v>16</v>
      </c>
      <c r="L30" s="12">
        <v>45902</v>
      </c>
      <c r="M30" s="12">
        <v>45907</v>
      </c>
      <c r="N30" s="44">
        <f t="shared" si="1"/>
        <v>5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72413857</v>
      </c>
      <c r="B31" s="11" t="str">
        <f t="shared" si="0"/>
        <v>7.241.385-7</v>
      </c>
      <c r="C31" s="11" t="s">
        <v>14</v>
      </c>
      <c r="D31" s="11" t="s">
        <v>191</v>
      </c>
      <c r="E31" s="11" t="s">
        <v>399</v>
      </c>
      <c r="F31" s="11" t="s">
        <v>467</v>
      </c>
      <c r="G31" s="12">
        <v>45902</v>
      </c>
      <c r="H31" s="12">
        <v>45907</v>
      </c>
      <c r="I31" s="11" t="s">
        <v>15</v>
      </c>
      <c r="J31" s="48" t="s">
        <v>72</v>
      </c>
      <c r="K31" s="57" t="s">
        <v>17</v>
      </c>
      <c r="L31" s="38">
        <v>45902</v>
      </c>
      <c r="M31" s="38">
        <v>45907</v>
      </c>
      <c r="N31" s="44">
        <f t="shared" si="1"/>
        <v>5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64847120</v>
      </c>
      <c r="B32" s="11" t="str">
        <f t="shared" si="0"/>
        <v>6.484.712-0</v>
      </c>
      <c r="C32" s="11" t="s">
        <v>14</v>
      </c>
      <c r="D32" s="11" t="s">
        <v>550</v>
      </c>
      <c r="E32" s="11" t="s">
        <v>381</v>
      </c>
      <c r="F32" s="11" t="s">
        <v>770</v>
      </c>
      <c r="G32" s="12">
        <v>45906</v>
      </c>
      <c r="H32" s="12">
        <v>45929</v>
      </c>
      <c r="I32" s="11" t="s">
        <v>15</v>
      </c>
      <c r="J32" s="48" t="s">
        <v>60</v>
      </c>
      <c r="K32" s="57" t="s">
        <v>16</v>
      </c>
      <c r="L32" s="35">
        <v>45906</v>
      </c>
      <c r="M32" s="35">
        <v>45929</v>
      </c>
      <c r="N32" s="44">
        <f t="shared" si="1"/>
        <v>23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64847120</v>
      </c>
      <c r="B33" s="11" t="str">
        <f t="shared" si="0"/>
        <v>6.484.712-0</v>
      </c>
      <c r="C33" s="11" t="s">
        <v>14</v>
      </c>
      <c r="D33" s="11" t="s">
        <v>550</v>
      </c>
      <c r="E33" s="11" t="s">
        <v>381</v>
      </c>
      <c r="F33" s="11" t="s">
        <v>770</v>
      </c>
      <c r="G33" s="12">
        <v>45906</v>
      </c>
      <c r="H33" s="12">
        <v>45929</v>
      </c>
      <c r="I33" s="11" t="s">
        <v>15</v>
      </c>
      <c r="J33" s="48" t="s">
        <v>60</v>
      </c>
      <c r="K33" s="57" t="s">
        <v>17</v>
      </c>
      <c r="L33" s="35">
        <v>45906</v>
      </c>
      <c r="M33" s="35">
        <v>45922</v>
      </c>
      <c r="N33" s="44">
        <f t="shared" si="1"/>
        <v>16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64847120</v>
      </c>
      <c r="B34" s="11" t="str">
        <f t="shared" si="0"/>
        <v>6.484.712-0</v>
      </c>
      <c r="C34" s="11" t="s">
        <v>14</v>
      </c>
      <c r="D34" s="11" t="s">
        <v>550</v>
      </c>
      <c r="E34" s="11" t="s">
        <v>381</v>
      </c>
      <c r="F34" s="11" t="s">
        <v>770</v>
      </c>
      <c r="G34" s="12">
        <v>45906</v>
      </c>
      <c r="H34" s="12">
        <v>45929</v>
      </c>
      <c r="I34" s="11" t="s">
        <v>15</v>
      </c>
      <c r="J34" s="48" t="s">
        <v>60</v>
      </c>
      <c r="K34" s="57" t="s">
        <v>18</v>
      </c>
      <c r="L34" s="35">
        <v>45906</v>
      </c>
      <c r="M34" s="35">
        <v>45914</v>
      </c>
      <c r="N34" s="44">
        <f t="shared" si="1"/>
        <v>8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97376875</v>
      </c>
      <c r="B35" s="11" t="str">
        <f t="shared" si="0"/>
        <v>9.737.687-5</v>
      </c>
      <c r="C35" s="11" t="s">
        <v>14</v>
      </c>
      <c r="D35" s="11" t="s">
        <v>288</v>
      </c>
      <c r="E35" s="11" t="s">
        <v>235</v>
      </c>
      <c r="F35" s="11" t="s">
        <v>239</v>
      </c>
      <c r="G35" s="12">
        <v>45905</v>
      </c>
      <c r="H35" s="12">
        <v>45910</v>
      </c>
      <c r="I35" s="11" t="s">
        <v>28</v>
      </c>
      <c r="J35" s="48" t="s">
        <v>60</v>
      </c>
      <c r="K35" s="57" t="s">
        <v>17</v>
      </c>
      <c r="L35" s="12">
        <v>45905</v>
      </c>
      <c r="M35" s="12">
        <v>45910</v>
      </c>
      <c r="N35" s="44">
        <f t="shared" si="1"/>
        <v>5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103904455</v>
      </c>
      <c r="B36" s="11" t="str">
        <f t="shared" si="0"/>
        <v>10.390.445-5</v>
      </c>
      <c r="C36" s="11" t="s">
        <v>14</v>
      </c>
      <c r="D36" s="11" t="s">
        <v>398</v>
      </c>
      <c r="E36" s="11" t="s">
        <v>771</v>
      </c>
      <c r="F36" s="11" t="s">
        <v>772</v>
      </c>
      <c r="G36" s="12">
        <v>45905</v>
      </c>
      <c r="H36" s="12">
        <v>45920</v>
      </c>
      <c r="I36" s="11" t="s">
        <v>15</v>
      </c>
      <c r="J36" s="48" t="s">
        <v>60</v>
      </c>
      <c r="K36" s="57" t="s">
        <v>16</v>
      </c>
      <c r="L36" s="12">
        <v>45905</v>
      </c>
      <c r="M36" s="12">
        <v>45920</v>
      </c>
      <c r="N36" s="44">
        <f t="shared" si="1"/>
        <v>15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103904455</v>
      </c>
      <c r="B37" s="11" t="str">
        <f t="shared" si="0"/>
        <v>10.390.445-5</v>
      </c>
      <c r="C37" s="11" t="s">
        <v>14</v>
      </c>
      <c r="D37" s="11" t="s">
        <v>398</v>
      </c>
      <c r="E37" s="11" t="s">
        <v>771</v>
      </c>
      <c r="F37" s="11" t="s">
        <v>772</v>
      </c>
      <c r="G37" s="12">
        <v>45905</v>
      </c>
      <c r="H37" s="12">
        <v>45920</v>
      </c>
      <c r="I37" s="11" t="s">
        <v>15</v>
      </c>
      <c r="J37" s="48" t="s">
        <v>60</v>
      </c>
      <c r="K37" s="57" t="s">
        <v>17</v>
      </c>
      <c r="L37" s="12">
        <v>45905</v>
      </c>
      <c r="M37" s="12">
        <v>45920</v>
      </c>
      <c r="N37" s="44">
        <f t="shared" si="1"/>
        <v>15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103904455</v>
      </c>
      <c r="B38" s="11" t="str">
        <f t="shared" si="0"/>
        <v>10.390.445-5</v>
      </c>
      <c r="C38" s="11" t="s">
        <v>14</v>
      </c>
      <c r="D38" s="11" t="s">
        <v>398</v>
      </c>
      <c r="E38" s="11" t="s">
        <v>771</v>
      </c>
      <c r="F38" s="11" t="s">
        <v>772</v>
      </c>
      <c r="G38" s="12">
        <v>45905</v>
      </c>
      <c r="H38" s="12">
        <v>45920</v>
      </c>
      <c r="I38" s="11" t="s">
        <v>15</v>
      </c>
      <c r="J38" s="48" t="s">
        <v>60</v>
      </c>
      <c r="K38" s="57" t="s">
        <v>18</v>
      </c>
      <c r="L38" s="12">
        <v>45905</v>
      </c>
      <c r="M38" s="12">
        <v>45920</v>
      </c>
      <c r="N38" s="44">
        <f t="shared" si="1"/>
        <v>15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103296889</v>
      </c>
      <c r="B39" s="11" t="str">
        <f t="shared" si="0"/>
        <v>10.329.688-9</v>
      </c>
      <c r="C39" s="11" t="s">
        <v>14</v>
      </c>
      <c r="D39" s="11" t="s">
        <v>323</v>
      </c>
      <c r="E39" s="11" t="s">
        <v>773</v>
      </c>
      <c r="F39" s="11" t="s">
        <v>618</v>
      </c>
      <c r="G39" s="12">
        <v>45905</v>
      </c>
      <c r="H39" s="12">
        <v>45914</v>
      </c>
      <c r="I39" s="11" t="s">
        <v>60</v>
      </c>
      <c r="J39" s="48" t="s">
        <v>60</v>
      </c>
      <c r="K39" s="57" t="s">
        <v>16</v>
      </c>
      <c r="L39" s="12">
        <v>45905</v>
      </c>
      <c r="M39" s="12">
        <v>45914</v>
      </c>
      <c r="N39" s="44">
        <f t="shared" si="1"/>
        <v>9</v>
      </c>
      <c r="O39" s="131" t="s">
        <v>306</v>
      </c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103296889</v>
      </c>
      <c r="B40" s="11" t="str">
        <f t="shared" si="0"/>
        <v>10.329.688-9</v>
      </c>
      <c r="C40" s="11" t="s">
        <v>14</v>
      </c>
      <c r="D40" s="11" t="s">
        <v>323</v>
      </c>
      <c r="E40" s="11" t="s">
        <v>773</v>
      </c>
      <c r="F40" s="11" t="s">
        <v>618</v>
      </c>
      <c r="G40" s="12">
        <v>45905</v>
      </c>
      <c r="H40" s="12">
        <v>45914</v>
      </c>
      <c r="I40" s="11" t="s">
        <v>60</v>
      </c>
      <c r="J40" s="48" t="s">
        <v>60</v>
      </c>
      <c r="K40" s="57" t="s">
        <v>17</v>
      </c>
      <c r="L40" s="12">
        <v>45905</v>
      </c>
      <c r="M40" s="12">
        <v>45914</v>
      </c>
      <c r="N40" s="44">
        <f t="shared" si="1"/>
        <v>9</v>
      </c>
      <c r="O40" s="132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112911294</v>
      </c>
      <c r="B41" s="11" t="str">
        <f t="shared" si="0"/>
        <v>11.291.129-4</v>
      </c>
      <c r="C41" s="11" t="s">
        <v>14</v>
      </c>
      <c r="D41" s="11" t="s">
        <v>162</v>
      </c>
      <c r="E41" s="11" t="s">
        <v>162</v>
      </c>
      <c r="F41" s="11" t="s">
        <v>184</v>
      </c>
      <c r="G41" s="12">
        <v>45907</v>
      </c>
      <c r="H41" s="12">
        <v>45909</v>
      </c>
      <c r="I41" s="11" t="s">
        <v>15</v>
      </c>
      <c r="J41" s="48" t="s">
        <v>60</v>
      </c>
      <c r="K41" s="57" t="s">
        <v>16</v>
      </c>
      <c r="L41" s="12">
        <v>45907</v>
      </c>
      <c r="M41" s="12">
        <v>45909</v>
      </c>
      <c r="N41" s="44">
        <f t="shared" si="1"/>
        <v>2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112911294</v>
      </c>
      <c r="B42" s="11" t="str">
        <f t="shared" si="0"/>
        <v>11.291.129-4</v>
      </c>
      <c r="C42" s="11" t="s">
        <v>14</v>
      </c>
      <c r="D42" s="11" t="s">
        <v>162</v>
      </c>
      <c r="E42" s="11" t="s">
        <v>162</v>
      </c>
      <c r="F42" s="11" t="s">
        <v>184</v>
      </c>
      <c r="G42" s="12">
        <v>45907</v>
      </c>
      <c r="H42" s="12">
        <v>45909</v>
      </c>
      <c r="I42" s="11" t="s">
        <v>15</v>
      </c>
      <c r="J42" s="48" t="s">
        <v>60</v>
      </c>
      <c r="K42" s="57" t="s">
        <v>17</v>
      </c>
      <c r="L42" s="12">
        <v>45907</v>
      </c>
      <c r="M42" s="12">
        <v>45909</v>
      </c>
      <c r="N42" s="44">
        <f t="shared" si="1"/>
        <v>2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112911294</v>
      </c>
      <c r="B43" s="11" t="str">
        <f t="shared" si="0"/>
        <v>11.291.129-4</v>
      </c>
      <c r="C43" s="11" t="s">
        <v>14</v>
      </c>
      <c r="D43" s="11" t="s">
        <v>162</v>
      </c>
      <c r="E43" s="11" t="s">
        <v>162</v>
      </c>
      <c r="F43" s="11" t="s">
        <v>184</v>
      </c>
      <c r="G43" s="12">
        <v>45907</v>
      </c>
      <c r="H43" s="12">
        <v>45909</v>
      </c>
      <c r="I43" s="11" t="s">
        <v>15</v>
      </c>
      <c r="J43" s="48" t="s">
        <v>60</v>
      </c>
      <c r="K43" s="57" t="s">
        <v>18</v>
      </c>
      <c r="L43" s="12">
        <v>45907</v>
      </c>
      <c r="M43" s="12">
        <v>45908</v>
      </c>
      <c r="N43" s="44">
        <f t="shared" si="1"/>
        <v>1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131336268</v>
      </c>
      <c r="B44" s="11" t="str">
        <f t="shared" si="0"/>
        <v>13.133.626-8</v>
      </c>
      <c r="C44" s="11" t="s">
        <v>14</v>
      </c>
      <c r="D44" s="11" t="s">
        <v>774</v>
      </c>
      <c r="E44" s="11" t="s">
        <v>450</v>
      </c>
      <c r="F44" s="11" t="s">
        <v>153</v>
      </c>
      <c r="G44" s="12">
        <v>45908</v>
      </c>
      <c r="H44" s="12">
        <v>45911</v>
      </c>
      <c r="I44" s="11" t="s">
        <v>15</v>
      </c>
      <c r="J44" s="48" t="s">
        <v>28</v>
      </c>
      <c r="K44" s="57" t="s">
        <v>16</v>
      </c>
      <c r="L44" s="12">
        <v>45908</v>
      </c>
      <c r="M44" s="12">
        <v>45911</v>
      </c>
      <c r="N44" s="44">
        <f t="shared" si="1"/>
        <v>3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131336268</v>
      </c>
      <c r="B45" s="11" t="str">
        <f t="shared" si="0"/>
        <v>13.133.626-8</v>
      </c>
      <c r="C45" s="11" t="s">
        <v>14</v>
      </c>
      <c r="D45" s="11" t="s">
        <v>774</v>
      </c>
      <c r="E45" s="11" t="s">
        <v>450</v>
      </c>
      <c r="F45" s="11" t="s">
        <v>153</v>
      </c>
      <c r="G45" s="12">
        <v>45908</v>
      </c>
      <c r="H45" s="12">
        <v>45911</v>
      </c>
      <c r="I45" s="11" t="s">
        <v>15</v>
      </c>
      <c r="J45" s="48" t="s">
        <v>28</v>
      </c>
      <c r="K45" s="57" t="s">
        <v>17</v>
      </c>
      <c r="L45" s="12">
        <v>45908</v>
      </c>
      <c r="M45" s="12">
        <v>45911</v>
      </c>
      <c r="N45" s="44">
        <f t="shared" si="1"/>
        <v>3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131336268</v>
      </c>
      <c r="B46" s="11" t="str">
        <f t="shared" si="0"/>
        <v>13.133.626-8</v>
      </c>
      <c r="C46" s="11" t="s">
        <v>14</v>
      </c>
      <c r="D46" s="11" t="s">
        <v>774</v>
      </c>
      <c r="E46" s="11" t="s">
        <v>450</v>
      </c>
      <c r="F46" s="11" t="s">
        <v>153</v>
      </c>
      <c r="G46" s="12">
        <v>45908</v>
      </c>
      <c r="H46" s="12">
        <v>45911</v>
      </c>
      <c r="I46" s="11" t="s">
        <v>15</v>
      </c>
      <c r="J46" s="48" t="s">
        <v>28</v>
      </c>
      <c r="K46" s="57" t="s">
        <v>18</v>
      </c>
      <c r="L46" s="12">
        <v>45908</v>
      </c>
      <c r="M46" s="12">
        <v>45910</v>
      </c>
      <c r="N46" s="44">
        <f t="shared" si="1"/>
        <v>2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57796847</v>
      </c>
      <c r="B47" s="11" t="str">
        <f t="shared" si="0"/>
        <v>5.779.684-7</v>
      </c>
      <c r="C47" s="11" t="s">
        <v>14</v>
      </c>
      <c r="D47" s="11" t="s">
        <v>482</v>
      </c>
      <c r="E47" s="11" t="s">
        <v>775</v>
      </c>
      <c r="F47" s="11" t="s">
        <v>569</v>
      </c>
      <c r="G47" s="12">
        <v>45907</v>
      </c>
      <c r="H47" s="12">
        <v>45914</v>
      </c>
      <c r="I47" s="11" t="s">
        <v>15</v>
      </c>
      <c r="J47" s="48" t="s">
        <v>776</v>
      </c>
      <c r="K47" s="57" t="s">
        <v>16</v>
      </c>
      <c r="L47" s="12">
        <v>45907</v>
      </c>
      <c r="M47" s="12">
        <v>45914</v>
      </c>
      <c r="N47" s="44">
        <f t="shared" si="1"/>
        <v>7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57796847</v>
      </c>
      <c r="B48" s="11" t="str">
        <f t="shared" si="0"/>
        <v>5.779.684-7</v>
      </c>
      <c r="C48" s="11" t="s">
        <v>14</v>
      </c>
      <c r="D48" s="11" t="s">
        <v>482</v>
      </c>
      <c r="E48" s="11" t="s">
        <v>775</v>
      </c>
      <c r="F48" s="11" t="s">
        <v>569</v>
      </c>
      <c r="G48" s="12">
        <v>45907</v>
      </c>
      <c r="H48" s="12">
        <v>45914</v>
      </c>
      <c r="I48" s="11" t="s">
        <v>15</v>
      </c>
      <c r="J48" s="48" t="s">
        <v>776</v>
      </c>
      <c r="K48" s="57" t="s">
        <v>17</v>
      </c>
      <c r="L48" s="12">
        <v>45907</v>
      </c>
      <c r="M48" s="12">
        <v>45914</v>
      </c>
      <c r="N48" s="44">
        <f t="shared" si="1"/>
        <v>7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57796847</v>
      </c>
      <c r="B49" s="11" t="str">
        <f t="shared" si="0"/>
        <v>5.779.684-7</v>
      </c>
      <c r="C49" s="11" t="s">
        <v>14</v>
      </c>
      <c r="D49" s="11" t="s">
        <v>482</v>
      </c>
      <c r="E49" s="11" t="s">
        <v>775</v>
      </c>
      <c r="F49" s="11" t="s">
        <v>569</v>
      </c>
      <c r="G49" s="12">
        <v>45907</v>
      </c>
      <c r="H49" s="12">
        <v>45914</v>
      </c>
      <c r="I49" s="11" t="s">
        <v>15</v>
      </c>
      <c r="J49" s="48" t="s">
        <v>776</v>
      </c>
      <c r="K49" s="57" t="s">
        <v>18</v>
      </c>
      <c r="L49" s="38">
        <v>45907</v>
      </c>
      <c r="M49" s="38">
        <v>45914</v>
      </c>
      <c r="N49" s="44">
        <f t="shared" si="1"/>
        <v>7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 t="s">
        <v>777</v>
      </c>
      <c r="B50" s="11" t="str">
        <f t="shared" si="0"/>
        <v>10.326.880-K</v>
      </c>
      <c r="C50" s="11" t="s">
        <v>14</v>
      </c>
      <c r="D50" s="11" t="s">
        <v>447</v>
      </c>
      <c r="E50" s="11" t="s">
        <v>534</v>
      </c>
      <c r="F50" s="11" t="s">
        <v>164</v>
      </c>
      <c r="G50" s="12">
        <v>45911</v>
      </c>
      <c r="H50" s="12">
        <v>45923</v>
      </c>
      <c r="I50" s="11" t="s">
        <v>200</v>
      </c>
      <c r="J50" s="48" t="s">
        <v>200</v>
      </c>
      <c r="K50" s="57" t="s">
        <v>17</v>
      </c>
      <c r="L50" s="35">
        <v>45911</v>
      </c>
      <c r="M50" s="35">
        <v>45919</v>
      </c>
      <c r="N50" s="44">
        <f t="shared" si="1"/>
        <v>8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 t="s">
        <v>777</v>
      </c>
      <c r="B51" s="11" t="str">
        <f t="shared" si="0"/>
        <v>10.326.880-K</v>
      </c>
      <c r="C51" s="11" t="s">
        <v>14</v>
      </c>
      <c r="D51" s="11" t="s">
        <v>447</v>
      </c>
      <c r="E51" s="11" t="s">
        <v>534</v>
      </c>
      <c r="F51" s="11" t="s">
        <v>164</v>
      </c>
      <c r="G51" s="12">
        <v>45911</v>
      </c>
      <c r="H51" s="12">
        <v>45923</v>
      </c>
      <c r="I51" s="11" t="s">
        <v>200</v>
      </c>
      <c r="J51" s="48" t="s">
        <v>200</v>
      </c>
      <c r="K51" s="57" t="s">
        <v>349</v>
      </c>
      <c r="L51" s="49">
        <v>45911</v>
      </c>
      <c r="M51" s="49">
        <v>45923</v>
      </c>
      <c r="N51" s="44">
        <f t="shared" si="1"/>
        <v>12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43077619</v>
      </c>
      <c r="B52" s="11" t="str">
        <f t="shared" si="0"/>
        <v>4.307.761-9</v>
      </c>
      <c r="C52" s="11" t="s">
        <v>14</v>
      </c>
      <c r="D52" s="11" t="s">
        <v>778</v>
      </c>
      <c r="E52" s="11" t="s">
        <v>779</v>
      </c>
      <c r="F52" s="11" t="s">
        <v>312</v>
      </c>
      <c r="G52" s="12">
        <v>45910</v>
      </c>
      <c r="H52" s="12">
        <v>45912</v>
      </c>
      <c r="I52" s="11" t="s">
        <v>74</v>
      </c>
      <c r="J52" s="48" t="s">
        <v>200</v>
      </c>
      <c r="K52" s="57" t="s">
        <v>16</v>
      </c>
      <c r="L52" s="12">
        <v>45910</v>
      </c>
      <c r="M52" s="12">
        <v>45912</v>
      </c>
      <c r="N52" s="44">
        <f t="shared" si="1"/>
        <v>2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43077619</v>
      </c>
      <c r="B53" s="11" t="str">
        <f t="shared" si="0"/>
        <v>4.307.761-9</v>
      </c>
      <c r="C53" s="11" t="s">
        <v>14</v>
      </c>
      <c r="D53" s="11" t="s">
        <v>778</v>
      </c>
      <c r="E53" s="11" t="s">
        <v>779</v>
      </c>
      <c r="F53" s="11" t="s">
        <v>312</v>
      </c>
      <c r="G53" s="12">
        <v>45910</v>
      </c>
      <c r="H53" s="12">
        <v>45912</v>
      </c>
      <c r="I53" s="11" t="s">
        <v>74</v>
      </c>
      <c r="J53" s="48" t="s">
        <v>200</v>
      </c>
      <c r="K53" s="58" t="s">
        <v>17</v>
      </c>
      <c r="L53" s="38">
        <v>45910</v>
      </c>
      <c r="M53" s="38">
        <v>45912</v>
      </c>
      <c r="N53" s="44">
        <f t="shared" si="1"/>
        <v>2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146065252</v>
      </c>
      <c r="B54" s="11" t="str">
        <f t="shared" si="0"/>
        <v>14.606.525-2</v>
      </c>
      <c r="C54" s="11" t="s">
        <v>14</v>
      </c>
      <c r="D54" s="11" t="s">
        <v>120</v>
      </c>
      <c r="E54" s="11" t="s">
        <v>250</v>
      </c>
      <c r="F54" s="11" t="s">
        <v>230</v>
      </c>
      <c r="G54" s="12">
        <v>45909</v>
      </c>
      <c r="H54" s="12">
        <v>45916</v>
      </c>
      <c r="I54" s="11" t="s">
        <v>15</v>
      </c>
      <c r="J54" s="48" t="s">
        <v>200</v>
      </c>
      <c r="K54" s="57" t="s">
        <v>16</v>
      </c>
      <c r="L54" s="12">
        <v>45909</v>
      </c>
      <c r="M54" s="12">
        <v>45916</v>
      </c>
      <c r="N54" s="44">
        <f t="shared" si="1"/>
        <v>7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146065252</v>
      </c>
      <c r="B55" s="11" t="str">
        <f t="shared" si="0"/>
        <v>14.606.525-2</v>
      </c>
      <c r="C55" s="11" t="s">
        <v>14</v>
      </c>
      <c r="D55" s="11" t="s">
        <v>120</v>
      </c>
      <c r="E55" s="11" t="s">
        <v>250</v>
      </c>
      <c r="F55" s="11" t="s">
        <v>230</v>
      </c>
      <c r="G55" s="12">
        <v>45909</v>
      </c>
      <c r="H55" s="12">
        <v>45916</v>
      </c>
      <c r="I55" s="11" t="s">
        <v>15</v>
      </c>
      <c r="J55" s="48" t="s">
        <v>200</v>
      </c>
      <c r="K55" s="57" t="s">
        <v>17</v>
      </c>
      <c r="L55" s="12">
        <v>45909</v>
      </c>
      <c r="M55" s="12">
        <v>45916</v>
      </c>
      <c r="N55" s="44">
        <f t="shared" si="1"/>
        <v>7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146065252</v>
      </c>
      <c r="B56" s="11" t="str">
        <f t="shared" si="0"/>
        <v>14.606.525-2</v>
      </c>
      <c r="C56" s="11" t="s">
        <v>14</v>
      </c>
      <c r="D56" s="11" t="s">
        <v>120</v>
      </c>
      <c r="E56" s="11" t="s">
        <v>250</v>
      </c>
      <c r="F56" s="11" t="s">
        <v>230</v>
      </c>
      <c r="G56" s="12">
        <v>45909</v>
      </c>
      <c r="H56" s="12">
        <v>45916</v>
      </c>
      <c r="I56" s="11" t="s">
        <v>15</v>
      </c>
      <c r="J56" s="48" t="s">
        <v>200</v>
      </c>
      <c r="K56" s="57" t="s">
        <v>18</v>
      </c>
      <c r="L56" s="12">
        <v>45909</v>
      </c>
      <c r="M56" s="12">
        <v>45914</v>
      </c>
      <c r="N56" s="44">
        <f t="shared" si="1"/>
        <v>5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139544064</v>
      </c>
      <c r="B57" s="11" t="str">
        <f t="shared" si="0"/>
        <v>13.954.406-4</v>
      </c>
      <c r="C57" s="11" t="s">
        <v>14</v>
      </c>
      <c r="D57" s="11" t="s">
        <v>781</v>
      </c>
      <c r="E57" s="11" t="s">
        <v>222</v>
      </c>
      <c r="F57" s="11" t="s">
        <v>367</v>
      </c>
      <c r="G57" s="12">
        <v>45912</v>
      </c>
      <c r="H57" s="12">
        <v>45920</v>
      </c>
      <c r="I57" s="11" t="s">
        <v>15</v>
      </c>
      <c r="J57" s="48" t="s">
        <v>60</v>
      </c>
      <c r="K57" s="57" t="s">
        <v>16</v>
      </c>
      <c r="L57" s="12">
        <v>45912</v>
      </c>
      <c r="M57" s="12">
        <v>45920</v>
      </c>
      <c r="N57" s="44">
        <f t="shared" si="1"/>
        <v>8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139544064</v>
      </c>
      <c r="B58" s="11" t="str">
        <f t="shared" si="0"/>
        <v>13.954.406-4</v>
      </c>
      <c r="C58" s="11" t="s">
        <v>14</v>
      </c>
      <c r="D58" s="11" t="s">
        <v>781</v>
      </c>
      <c r="E58" s="11" t="s">
        <v>222</v>
      </c>
      <c r="F58" s="11" t="s">
        <v>367</v>
      </c>
      <c r="G58" s="12">
        <v>45912</v>
      </c>
      <c r="H58" s="12">
        <v>45920</v>
      </c>
      <c r="I58" s="11" t="s">
        <v>15</v>
      </c>
      <c r="J58" s="48" t="s">
        <v>60</v>
      </c>
      <c r="K58" s="57" t="s">
        <v>17</v>
      </c>
      <c r="L58" s="12">
        <v>45912</v>
      </c>
      <c r="M58" s="12">
        <v>45920</v>
      </c>
      <c r="N58" s="44">
        <f t="shared" si="1"/>
        <v>8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139544064</v>
      </c>
      <c r="B59" s="11" t="str">
        <f t="shared" si="0"/>
        <v>13.954.406-4</v>
      </c>
      <c r="C59" s="11" t="s">
        <v>14</v>
      </c>
      <c r="D59" s="11" t="s">
        <v>781</v>
      </c>
      <c r="E59" s="11" t="s">
        <v>222</v>
      </c>
      <c r="F59" s="11" t="s">
        <v>367</v>
      </c>
      <c r="G59" s="12">
        <v>45912</v>
      </c>
      <c r="H59" s="12">
        <v>45920</v>
      </c>
      <c r="I59" s="11" t="s">
        <v>15</v>
      </c>
      <c r="J59" s="48" t="s">
        <v>60</v>
      </c>
      <c r="K59" s="57" t="s">
        <v>18</v>
      </c>
      <c r="L59" s="12">
        <v>45912</v>
      </c>
      <c r="M59" s="12">
        <v>45920</v>
      </c>
      <c r="N59" s="44">
        <f t="shared" si="1"/>
        <v>8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75511973</v>
      </c>
      <c r="B60" s="11" t="str">
        <f t="shared" si="0"/>
        <v>7.551.197-3</v>
      </c>
      <c r="C60" s="11" t="s">
        <v>14</v>
      </c>
      <c r="D60" s="11" t="s">
        <v>782</v>
      </c>
      <c r="E60" s="11" t="s">
        <v>399</v>
      </c>
      <c r="F60" s="11" t="s">
        <v>756</v>
      </c>
      <c r="G60" s="12">
        <v>45913</v>
      </c>
      <c r="H60" s="12">
        <v>45915</v>
      </c>
      <c r="I60" s="11" t="s">
        <v>15</v>
      </c>
      <c r="J60" s="48" t="s">
        <v>75</v>
      </c>
      <c r="K60" s="57" t="s">
        <v>16</v>
      </c>
      <c r="L60" s="12">
        <v>45913</v>
      </c>
      <c r="M60" s="12">
        <v>45915</v>
      </c>
      <c r="N60" s="44">
        <f t="shared" si="1"/>
        <v>2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144247604</v>
      </c>
      <c r="B61" s="11" t="str">
        <f t="shared" si="0"/>
        <v>14.424.760-4</v>
      </c>
      <c r="C61" s="11" t="s">
        <v>14</v>
      </c>
      <c r="D61" s="11" t="s">
        <v>178</v>
      </c>
      <c r="E61" s="11" t="s">
        <v>126</v>
      </c>
      <c r="F61" s="11" t="s">
        <v>783</v>
      </c>
      <c r="G61" s="12">
        <v>45912</v>
      </c>
      <c r="H61" s="12">
        <v>45916</v>
      </c>
      <c r="I61" s="11" t="s">
        <v>15</v>
      </c>
      <c r="J61" s="48" t="s">
        <v>72</v>
      </c>
      <c r="K61" s="57" t="s">
        <v>16</v>
      </c>
      <c r="L61" s="12">
        <v>45912</v>
      </c>
      <c r="M61" s="12">
        <v>45916</v>
      </c>
      <c r="N61" s="44">
        <f t="shared" si="1"/>
        <v>4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144247604</v>
      </c>
      <c r="B62" s="11" t="str">
        <f t="shared" si="0"/>
        <v>14.424.760-4</v>
      </c>
      <c r="C62" s="11" t="s">
        <v>14</v>
      </c>
      <c r="D62" s="11" t="s">
        <v>178</v>
      </c>
      <c r="E62" s="11" t="s">
        <v>126</v>
      </c>
      <c r="F62" s="11" t="s">
        <v>783</v>
      </c>
      <c r="G62" s="12">
        <v>45912</v>
      </c>
      <c r="H62" s="12">
        <v>45916</v>
      </c>
      <c r="I62" s="11" t="s">
        <v>15</v>
      </c>
      <c r="J62" s="48" t="s">
        <v>72</v>
      </c>
      <c r="K62" s="57" t="s">
        <v>17</v>
      </c>
      <c r="L62" s="12">
        <v>45912</v>
      </c>
      <c r="M62" s="12">
        <v>45916</v>
      </c>
      <c r="N62" s="44">
        <f t="shared" si="1"/>
        <v>4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 t="s">
        <v>784</v>
      </c>
      <c r="B63" s="11" t="str">
        <f t="shared" si="0"/>
        <v>9.790.927-k</v>
      </c>
      <c r="C63" s="11" t="s">
        <v>14</v>
      </c>
      <c r="D63" s="11" t="s">
        <v>584</v>
      </c>
      <c r="E63" s="11" t="s">
        <v>162</v>
      </c>
      <c r="F63" s="11" t="s">
        <v>223</v>
      </c>
      <c r="G63" s="12">
        <v>45913</v>
      </c>
      <c r="H63" s="12">
        <v>45917</v>
      </c>
      <c r="I63" s="11" t="s">
        <v>15</v>
      </c>
      <c r="J63" s="48" t="s">
        <v>60</v>
      </c>
      <c r="K63" s="57" t="s">
        <v>16</v>
      </c>
      <c r="L63" s="12">
        <v>45913</v>
      </c>
      <c r="M63" s="12">
        <v>45917</v>
      </c>
      <c r="N63" s="44">
        <f t="shared" si="1"/>
        <v>4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123012712</v>
      </c>
      <c r="B64" s="11" t="str">
        <f t="shared" si="0"/>
        <v>12.301.271-2</v>
      </c>
      <c r="C64" s="11" t="s">
        <v>14</v>
      </c>
      <c r="D64" s="11" t="s">
        <v>381</v>
      </c>
      <c r="E64" s="11" t="s">
        <v>91</v>
      </c>
      <c r="F64" s="11" t="s">
        <v>135</v>
      </c>
      <c r="G64" s="12">
        <v>45914</v>
      </c>
      <c r="H64" s="12">
        <v>45922</v>
      </c>
      <c r="I64" s="11" t="s">
        <v>15</v>
      </c>
      <c r="J64" s="48" t="s">
        <v>72</v>
      </c>
      <c r="K64" s="57" t="s">
        <v>16</v>
      </c>
      <c r="L64" s="12">
        <v>45914</v>
      </c>
      <c r="M64" s="12">
        <v>45922</v>
      </c>
      <c r="N64" s="44">
        <f t="shared" si="1"/>
        <v>8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123012712</v>
      </c>
      <c r="B65" s="11" t="str">
        <f t="shared" si="0"/>
        <v>12.301.271-2</v>
      </c>
      <c r="C65" s="11" t="s">
        <v>14</v>
      </c>
      <c r="D65" s="11" t="s">
        <v>381</v>
      </c>
      <c r="E65" s="11" t="s">
        <v>91</v>
      </c>
      <c r="F65" s="11" t="s">
        <v>135</v>
      </c>
      <c r="G65" s="12">
        <v>45914</v>
      </c>
      <c r="H65" s="12">
        <v>45922</v>
      </c>
      <c r="I65" s="11" t="s">
        <v>15</v>
      </c>
      <c r="J65" s="48" t="s">
        <v>72</v>
      </c>
      <c r="K65" s="57" t="s">
        <v>17</v>
      </c>
      <c r="L65" s="12">
        <v>45914</v>
      </c>
      <c r="M65" s="12">
        <v>45922</v>
      </c>
      <c r="N65" s="44">
        <f t="shared" si="1"/>
        <v>8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123012712</v>
      </c>
      <c r="B66" s="11" t="str">
        <f t="shared" si="0"/>
        <v>12.301.271-2</v>
      </c>
      <c r="C66" s="11" t="s">
        <v>14</v>
      </c>
      <c r="D66" s="11" t="s">
        <v>381</v>
      </c>
      <c r="E66" s="11" t="s">
        <v>91</v>
      </c>
      <c r="F66" s="11" t="s">
        <v>135</v>
      </c>
      <c r="G66" s="12">
        <v>45914</v>
      </c>
      <c r="H66" s="12">
        <v>45922</v>
      </c>
      <c r="I66" s="11" t="s">
        <v>15</v>
      </c>
      <c r="J66" s="48" t="s">
        <v>72</v>
      </c>
      <c r="K66" s="58" t="s">
        <v>18</v>
      </c>
      <c r="L66" s="38">
        <v>45914</v>
      </c>
      <c r="M66" s="38">
        <v>45918</v>
      </c>
      <c r="N66" s="70">
        <f t="shared" si="1"/>
        <v>4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44469227</v>
      </c>
      <c r="B67" s="11" t="str">
        <f t="shared" si="0"/>
        <v>4.446.922-7</v>
      </c>
      <c r="C67" s="11" t="s">
        <v>14</v>
      </c>
      <c r="D67" s="11" t="s">
        <v>788</v>
      </c>
      <c r="E67" s="11" t="s">
        <v>789</v>
      </c>
      <c r="F67" s="11" t="s">
        <v>169</v>
      </c>
      <c r="G67" s="12">
        <v>45920</v>
      </c>
      <c r="H67" s="12">
        <v>45924</v>
      </c>
      <c r="I67" s="11" t="s">
        <v>15</v>
      </c>
      <c r="J67" s="48" t="s">
        <v>60</v>
      </c>
      <c r="K67" s="57" t="s">
        <v>16</v>
      </c>
      <c r="L67" s="12">
        <v>45920</v>
      </c>
      <c r="M67" s="12">
        <v>45924</v>
      </c>
      <c r="N67" s="44">
        <f t="shared" si="1"/>
        <v>4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44469227</v>
      </c>
      <c r="B68" s="11" t="str">
        <f t="shared" si="0"/>
        <v>4.446.922-7</v>
      </c>
      <c r="C68" s="11" t="s">
        <v>14</v>
      </c>
      <c r="D68" s="11" t="s">
        <v>788</v>
      </c>
      <c r="E68" s="11" t="s">
        <v>789</v>
      </c>
      <c r="F68" s="11" t="s">
        <v>169</v>
      </c>
      <c r="G68" s="12">
        <v>45920</v>
      </c>
      <c r="H68" s="12">
        <v>45924</v>
      </c>
      <c r="I68" s="11" t="s">
        <v>15</v>
      </c>
      <c r="J68" s="48" t="s">
        <v>60</v>
      </c>
      <c r="K68" s="57" t="s">
        <v>17</v>
      </c>
      <c r="L68" s="12">
        <v>45920</v>
      </c>
      <c r="M68" s="12">
        <v>45924</v>
      </c>
      <c r="N68" s="44">
        <f t="shared" si="1"/>
        <v>4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44469227</v>
      </c>
      <c r="B69" s="11" t="str">
        <f t="shared" si="0"/>
        <v>4.446.922-7</v>
      </c>
      <c r="C69" s="11" t="s">
        <v>14</v>
      </c>
      <c r="D69" s="11" t="s">
        <v>788</v>
      </c>
      <c r="E69" s="11" t="s">
        <v>789</v>
      </c>
      <c r="F69" s="11" t="s">
        <v>169</v>
      </c>
      <c r="G69" s="12">
        <v>45927</v>
      </c>
      <c r="H69" s="12">
        <v>45931</v>
      </c>
      <c r="I69" s="11" t="s">
        <v>60</v>
      </c>
      <c r="J69" s="48" t="s">
        <v>60</v>
      </c>
      <c r="K69" s="57" t="s">
        <v>16</v>
      </c>
      <c r="L69" s="12">
        <v>45927</v>
      </c>
      <c r="M69" s="12">
        <v>45930</v>
      </c>
      <c r="N69" s="44">
        <f t="shared" si="1"/>
        <v>3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44469227</v>
      </c>
      <c r="B70" s="11" t="str">
        <f t="shared" si="0"/>
        <v>4.446.922-7</v>
      </c>
      <c r="C70" s="11" t="s">
        <v>14</v>
      </c>
      <c r="D70" s="11" t="s">
        <v>788</v>
      </c>
      <c r="E70" s="11" t="s">
        <v>789</v>
      </c>
      <c r="F70" s="11" t="s">
        <v>169</v>
      </c>
      <c r="G70" s="12">
        <v>45927</v>
      </c>
      <c r="H70" s="12">
        <v>45931</v>
      </c>
      <c r="I70" s="11" t="s">
        <v>60</v>
      </c>
      <c r="J70" s="48" t="s">
        <v>60</v>
      </c>
      <c r="K70" s="57" t="s">
        <v>17</v>
      </c>
      <c r="L70" s="12">
        <v>45927</v>
      </c>
      <c r="M70" s="12">
        <v>45930</v>
      </c>
      <c r="N70" s="70">
        <f t="shared" si="1"/>
        <v>3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44469227</v>
      </c>
      <c r="B71" s="11" t="str">
        <f t="shared" si="0"/>
        <v>4.446.922-7</v>
      </c>
      <c r="C71" s="11" t="s">
        <v>14</v>
      </c>
      <c r="D71" s="11" t="s">
        <v>788</v>
      </c>
      <c r="E71" s="11" t="s">
        <v>789</v>
      </c>
      <c r="F71" s="11" t="s">
        <v>169</v>
      </c>
      <c r="G71" s="12">
        <v>45927</v>
      </c>
      <c r="H71" s="12">
        <v>45931</v>
      </c>
      <c r="I71" s="11" t="s">
        <v>60</v>
      </c>
      <c r="J71" s="48" t="s">
        <v>60</v>
      </c>
      <c r="K71" s="57" t="s">
        <v>18</v>
      </c>
      <c r="L71" s="12">
        <v>45927</v>
      </c>
      <c r="M71" s="12">
        <v>45928</v>
      </c>
      <c r="N71" s="44">
        <f t="shared" si="1"/>
        <v>1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 t="s">
        <v>790</v>
      </c>
      <c r="B72" s="11" t="str">
        <f t="shared" si="0"/>
        <v>9.454.128-k</v>
      </c>
      <c r="C72" s="11" t="s">
        <v>14</v>
      </c>
      <c r="D72" s="11" t="s">
        <v>275</v>
      </c>
      <c r="E72" s="11" t="s">
        <v>269</v>
      </c>
      <c r="F72" s="11" t="s">
        <v>438</v>
      </c>
      <c r="G72" s="12">
        <v>45921</v>
      </c>
      <c r="H72" s="12">
        <v>45924</v>
      </c>
      <c r="I72" s="11" t="s">
        <v>15</v>
      </c>
      <c r="J72" s="48" t="s">
        <v>60</v>
      </c>
      <c r="K72" s="57" t="s">
        <v>16</v>
      </c>
      <c r="L72" s="12">
        <v>45921</v>
      </c>
      <c r="M72" s="12">
        <v>45924</v>
      </c>
      <c r="N72" s="44">
        <f t="shared" si="1"/>
        <v>3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 t="s">
        <v>790</v>
      </c>
      <c r="B73" s="11" t="str">
        <f t="shared" si="0"/>
        <v>9.454.128-k</v>
      </c>
      <c r="C73" s="11" t="s">
        <v>14</v>
      </c>
      <c r="D73" s="11" t="s">
        <v>275</v>
      </c>
      <c r="E73" s="11" t="s">
        <v>269</v>
      </c>
      <c r="F73" s="11" t="s">
        <v>438</v>
      </c>
      <c r="G73" s="12">
        <v>45921</v>
      </c>
      <c r="H73" s="12">
        <v>45924</v>
      </c>
      <c r="I73" s="11" t="s">
        <v>15</v>
      </c>
      <c r="J73" s="48" t="s">
        <v>60</v>
      </c>
      <c r="K73" s="57" t="s">
        <v>17</v>
      </c>
      <c r="L73" s="12">
        <v>45921</v>
      </c>
      <c r="M73" s="12">
        <v>45924</v>
      </c>
      <c r="N73" s="44">
        <f t="shared" si="1"/>
        <v>3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61023224</v>
      </c>
      <c r="B74" s="11" t="str">
        <f t="shared" si="0"/>
        <v>6.102.322-4</v>
      </c>
      <c r="C74" s="11" t="s">
        <v>14</v>
      </c>
      <c r="D74" s="11" t="s">
        <v>551</v>
      </c>
      <c r="E74" s="11" t="s">
        <v>250</v>
      </c>
      <c r="F74" s="11" t="s">
        <v>99</v>
      </c>
      <c r="G74" s="12">
        <v>45919</v>
      </c>
      <c r="H74" s="12">
        <v>45923</v>
      </c>
      <c r="I74" s="11" t="s">
        <v>15</v>
      </c>
      <c r="J74" s="48" t="s">
        <v>28</v>
      </c>
      <c r="K74" s="57" t="s">
        <v>16</v>
      </c>
      <c r="L74" s="12">
        <v>45919</v>
      </c>
      <c r="M74" s="12">
        <v>45923</v>
      </c>
      <c r="N74" s="70">
        <f t="shared" si="1"/>
        <v>4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61023224</v>
      </c>
      <c r="B75" s="11" t="str">
        <f t="shared" si="0"/>
        <v>6.102.322-4</v>
      </c>
      <c r="C75" s="11" t="s">
        <v>14</v>
      </c>
      <c r="D75" s="11" t="s">
        <v>551</v>
      </c>
      <c r="E75" s="11" t="s">
        <v>250</v>
      </c>
      <c r="F75" s="11" t="s">
        <v>99</v>
      </c>
      <c r="G75" s="12">
        <v>45919</v>
      </c>
      <c r="H75" s="12">
        <v>45923</v>
      </c>
      <c r="I75" s="11" t="s">
        <v>15</v>
      </c>
      <c r="J75" s="48" t="s">
        <v>28</v>
      </c>
      <c r="K75" s="57" t="s">
        <v>17</v>
      </c>
      <c r="L75" s="12">
        <v>45919</v>
      </c>
      <c r="M75" s="12">
        <v>45923</v>
      </c>
      <c r="N75" s="44">
        <f t="shared" si="1"/>
        <v>4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224845855</v>
      </c>
      <c r="B76" s="11" t="str">
        <f t="shared" si="0"/>
        <v>22.484.585-5</v>
      </c>
      <c r="C76" s="11" t="s">
        <v>14</v>
      </c>
      <c r="D76" s="11" t="s">
        <v>154</v>
      </c>
      <c r="E76" s="11" t="s">
        <v>791</v>
      </c>
      <c r="F76" s="11" t="s">
        <v>792</v>
      </c>
      <c r="G76" s="12">
        <v>45918</v>
      </c>
      <c r="H76" s="12">
        <v>45923</v>
      </c>
      <c r="I76" s="11" t="s">
        <v>15</v>
      </c>
      <c r="J76" s="48"/>
      <c r="K76" s="57" t="s">
        <v>16</v>
      </c>
      <c r="L76" s="12">
        <v>45918</v>
      </c>
      <c r="M76" s="12">
        <v>45921</v>
      </c>
      <c r="N76" s="44">
        <f t="shared" si="1"/>
        <v>3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224845855</v>
      </c>
      <c r="B77" s="11" t="str">
        <f t="shared" si="0"/>
        <v>22.484.585-5</v>
      </c>
      <c r="C77" s="11" t="s">
        <v>14</v>
      </c>
      <c r="D77" s="11" t="s">
        <v>154</v>
      </c>
      <c r="E77" s="11" t="s">
        <v>791</v>
      </c>
      <c r="F77" s="11" t="s">
        <v>792</v>
      </c>
      <c r="G77" s="12">
        <v>45918</v>
      </c>
      <c r="H77" s="12">
        <v>45923</v>
      </c>
      <c r="I77" s="11" t="s">
        <v>15</v>
      </c>
      <c r="J77" s="48"/>
      <c r="K77" s="57" t="s">
        <v>17</v>
      </c>
      <c r="L77" s="12">
        <v>45918</v>
      </c>
      <c r="M77" s="12">
        <v>45921</v>
      </c>
      <c r="N77" s="70">
        <f t="shared" si="1"/>
        <v>3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151609244</v>
      </c>
      <c r="B78" s="11" t="str">
        <f t="shared" si="0"/>
        <v>15.160.924-4</v>
      </c>
      <c r="C78" s="11" t="s">
        <v>14</v>
      </c>
      <c r="D78" s="11" t="s">
        <v>118</v>
      </c>
      <c r="E78" s="11" t="s">
        <v>405</v>
      </c>
      <c r="F78" s="11" t="s">
        <v>793</v>
      </c>
      <c r="G78" s="12">
        <v>45917</v>
      </c>
      <c r="H78" s="12"/>
      <c r="I78" s="11" t="s">
        <v>74</v>
      </c>
      <c r="J78" s="48" t="s">
        <v>206</v>
      </c>
      <c r="K78" s="57" t="s">
        <v>16</v>
      </c>
      <c r="L78" s="12">
        <v>45917</v>
      </c>
      <c r="M78" s="35">
        <v>45930</v>
      </c>
      <c r="N78" s="44">
        <f t="shared" si="1"/>
        <v>13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151609244</v>
      </c>
      <c r="B79" s="11" t="str">
        <f t="shared" si="0"/>
        <v>15.160.924-4</v>
      </c>
      <c r="C79" s="11" t="s">
        <v>14</v>
      </c>
      <c r="D79" s="11" t="s">
        <v>118</v>
      </c>
      <c r="E79" s="11" t="s">
        <v>405</v>
      </c>
      <c r="F79" s="11" t="s">
        <v>793</v>
      </c>
      <c r="G79" s="12">
        <v>45917</v>
      </c>
      <c r="H79" s="12"/>
      <c r="I79" s="11" t="s">
        <v>74</v>
      </c>
      <c r="J79" s="48" t="s">
        <v>206</v>
      </c>
      <c r="K79" s="57" t="s">
        <v>17</v>
      </c>
      <c r="L79" s="12">
        <v>45917</v>
      </c>
      <c r="M79" s="35">
        <v>45930</v>
      </c>
      <c r="N79" s="44">
        <f t="shared" si="1"/>
        <v>13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151609244</v>
      </c>
      <c r="B80" s="11" t="str">
        <f t="shared" si="0"/>
        <v>15.160.924-4</v>
      </c>
      <c r="C80" s="11" t="s">
        <v>14</v>
      </c>
      <c r="D80" s="11" t="s">
        <v>118</v>
      </c>
      <c r="E80" s="11" t="s">
        <v>405</v>
      </c>
      <c r="F80" s="11" t="s">
        <v>793</v>
      </c>
      <c r="G80" s="12">
        <v>45917</v>
      </c>
      <c r="H80" s="12"/>
      <c r="I80" s="11" t="s">
        <v>74</v>
      </c>
      <c r="J80" s="48" t="s">
        <v>206</v>
      </c>
      <c r="K80" s="57" t="s">
        <v>18</v>
      </c>
      <c r="L80" s="12">
        <v>45917</v>
      </c>
      <c r="M80" s="35">
        <v>45930</v>
      </c>
      <c r="N80" s="44">
        <f t="shared" si="1"/>
        <v>13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94286395</v>
      </c>
      <c r="B81" s="11" t="str">
        <f t="shared" si="0"/>
        <v>9.428.639-5</v>
      </c>
      <c r="C81" s="11" t="s">
        <v>14</v>
      </c>
      <c r="D81" s="11" t="s">
        <v>144</v>
      </c>
      <c r="E81" s="11" t="s">
        <v>794</v>
      </c>
      <c r="F81" s="11" t="s">
        <v>486</v>
      </c>
      <c r="G81" s="12">
        <v>45920</v>
      </c>
      <c r="H81" s="12"/>
      <c r="I81" s="11" t="s">
        <v>74</v>
      </c>
      <c r="J81" s="48"/>
      <c r="K81" s="57" t="s">
        <v>16</v>
      </c>
      <c r="L81" s="35">
        <v>45920</v>
      </c>
      <c r="M81" s="35">
        <v>45922</v>
      </c>
      <c r="N81" s="44">
        <f t="shared" si="1"/>
        <v>2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151747884</v>
      </c>
      <c r="B82" s="11" t="str">
        <f t="shared" si="0"/>
        <v>15.174.788-4</v>
      </c>
      <c r="C82" s="11" t="s">
        <v>14</v>
      </c>
      <c r="D82" s="11" t="s">
        <v>183</v>
      </c>
      <c r="E82" s="11" t="s">
        <v>795</v>
      </c>
      <c r="F82" s="11" t="s">
        <v>594</v>
      </c>
      <c r="G82" s="12">
        <v>45922</v>
      </c>
      <c r="H82" s="12">
        <v>45929</v>
      </c>
      <c r="I82" s="11" t="s">
        <v>15</v>
      </c>
      <c r="J82" s="48" t="s">
        <v>42</v>
      </c>
      <c r="K82" s="57" t="s">
        <v>16</v>
      </c>
      <c r="L82" s="12">
        <v>45922</v>
      </c>
      <c r="M82" s="12">
        <v>45929</v>
      </c>
      <c r="N82" s="44">
        <f t="shared" si="1"/>
        <v>7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151747884</v>
      </c>
      <c r="B83" s="11" t="str">
        <f t="shared" si="0"/>
        <v>15.174.788-4</v>
      </c>
      <c r="C83" s="11" t="s">
        <v>14</v>
      </c>
      <c r="D83" s="11" t="s">
        <v>183</v>
      </c>
      <c r="E83" s="11" t="s">
        <v>795</v>
      </c>
      <c r="F83" s="11" t="s">
        <v>594</v>
      </c>
      <c r="G83" s="12">
        <v>45922</v>
      </c>
      <c r="H83" s="12">
        <v>45929</v>
      </c>
      <c r="I83" s="11" t="s">
        <v>15</v>
      </c>
      <c r="J83" s="48" t="s">
        <v>42</v>
      </c>
      <c r="K83" s="57" t="s">
        <v>17</v>
      </c>
      <c r="L83" s="12">
        <v>45922</v>
      </c>
      <c r="M83" s="12">
        <v>45928</v>
      </c>
      <c r="N83" s="44">
        <f t="shared" si="1"/>
        <v>6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83078332</v>
      </c>
      <c r="B84" s="11" t="str">
        <f t="shared" si="0"/>
        <v>8.307.833-2</v>
      </c>
      <c r="C84" s="11" t="s">
        <v>14</v>
      </c>
      <c r="D84" s="11" t="s">
        <v>509</v>
      </c>
      <c r="E84" s="11" t="s">
        <v>333</v>
      </c>
      <c r="F84" s="11" t="s">
        <v>594</v>
      </c>
      <c r="G84" s="12">
        <v>45925</v>
      </c>
      <c r="H84" s="12"/>
      <c r="I84" s="11" t="s">
        <v>15</v>
      </c>
      <c r="J84" s="48" t="s">
        <v>206</v>
      </c>
      <c r="K84" s="57" t="s">
        <v>16</v>
      </c>
      <c r="L84" s="12">
        <v>45925</v>
      </c>
      <c r="M84" s="35">
        <v>45930</v>
      </c>
      <c r="N84" s="44">
        <f t="shared" si="1"/>
        <v>5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83078332</v>
      </c>
      <c r="B85" s="11" t="str">
        <f t="shared" si="0"/>
        <v>8.307.833-2</v>
      </c>
      <c r="C85" s="11" t="s">
        <v>14</v>
      </c>
      <c r="D85" s="11" t="s">
        <v>509</v>
      </c>
      <c r="E85" s="11" t="s">
        <v>333</v>
      </c>
      <c r="F85" s="11" t="s">
        <v>594</v>
      </c>
      <c r="G85" s="12">
        <v>45925</v>
      </c>
      <c r="H85" s="12"/>
      <c r="I85" s="11" t="s">
        <v>15</v>
      </c>
      <c r="J85" s="48" t="s">
        <v>206</v>
      </c>
      <c r="K85" s="57" t="s">
        <v>17</v>
      </c>
      <c r="L85" s="12">
        <v>45925</v>
      </c>
      <c r="M85" s="35">
        <v>45930</v>
      </c>
      <c r="N85" s="44">
        <f t="shared" si="1"/>
        <v>5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83078332</v>
      </c>
      <c r="B86" s="11" t="str">
        <f t="shared" si="0"/>
        <v>8.307.833-2</v>
      </c>
      <c r="C86" s="11" t="s">
        <v>14</v>
      </c>
      <c r="D86" s="11" t="s">
        <v>509</v>
      </c>
      <c r="E86" s="11" t="s">
        <v>333</v>
      </c>
      <c r="F86" s="11" t="s">
        <v>594</v>
      </c>
      <c r="G86" s="12">
        <v>45925</v>
      </c>
      <c r="H86" s="12"/>
      <c r="I86" s="11" t="s">
        <v>15</v>
      </c>
      <c r="J86" s="48" t="s">
        <v>206</v>
      </c>
      <c r="K86" s="57" t="s">
        <v>18</v>
      </c>
      <c r="L86" s="12">
        <v>45925</v>
      </c>
      <c r="M86" s="35">
        <v>45930</v>
      </c>
      <c r="N86" s="44">
        <f t="shared" si="1"/>
        <v>5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195343276</v>
      </c>
      <c r="B87" s="11" t="str">
        <f t="shared" si="0"/>
        <v>19.534.327-6</v>
      </c>
      <c r="C87" s="11" t="s">
        <v>14</v>
      </c>
      <c r="D87" s="11" t="s">
        <v>137</v>
      </c>
      <c r="E87" s="11" t="s">
        <v>237</v>
      </c>
      <c r="F87" s="11" t="s">
        <v>796</v>
      </c>
      <c r="G87" s="12">
        <v>45924</v>
      </c>
      <c r="H87" s="12">
        <v>45927</v>
      </c>
      <c r="I87" s="11" t="s">
        <v>15</v>
      </c>
      <c r="J87" s="48" t="s">
        <v>60</v>
      </c>
      <c r="K87" s="57" t="s">
        <v>16</v>
      </c>
      <c r="L87" s="12">
        <v>45924</v>
      </c>
      <c r="M87" s="12">
        <v>45927</v>
      </c>
      <c r="N87" s="44">
        <f t="shared" si="1"/>
        <v>3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195343276</v>
      </c>
      <c r="B88" s="11" t="str">
        <f t="shared" si="0"/>
        <v>19.534.327-6</v>
      </c>
      <c r="C88" s="11" t="s">
        <v>14</v>
      </c>
      <c r="D88" s="11" t="s">
        <v>137</v>
      </c>
      <c r="E88" s="11" t="s">
        <v>237</v>
      </c>
      <c r="F88" s="11" t="s">
        <v>796</v>
      </c>
      <c r="G88" s="12">
        <v>45924</v>
      </c>
      <c r="H88" s="12">
        <v>45927</v>
      </c>
      <c r="I88" s="11" t="s">
        <v>15</v>
      </c>
      <c r="J88" s="48" t="s">
        <v>60</v>
      </c>
      <c r="K88" s="57" t="s">
        <v>17</v>
      </c>
      <c r="L88" s="12">
        <v>45924</v>
      </c>
      <c r="M88" s="12">
        <v>45927</v>
      </c>
      <c r="N88" s="44">
        <f t="shared" si="1"/>
        <v>3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195343276</v>
      </c>
      <c r="B89" s="11" t="str">
        <f t="shared" si="0"/>
        <v>19.534.327-6</v>
      </c>
      <c r="C89" s="11" t="s">
        <v>14</v>
      </c>
      <c r="D89" s="11" t="s">
        <v>137</v>
      </c>
      <c r="E89" s="11" t="s">
        <v>237</v>
      </c>
      <c r="F89" s="11" t="s">
        <v>796</v>
      </c>
      <c r="G89" s="12">
        <v>45924</v>
      </c>
      <c r="H89" s="12">
        <v>45927</v>
      </c>
      <c r="I89" s="11" t="s">
        <v>15</v>
      </c>
      <c r="J89" s="48" t="s">
        <v>60</v>
      </c>
      <c r="K89" s="58" t="s">
        <v>18</v>
      </c>
      <c r="L89" s="38">
        <v>45924</v>
      </c>
      <c r="M89" s="38">
        <v>45926</v>
      </c>
      <c r="N89" s="44">
        <f t="shared" si="1"/>
        <v>2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82135839</v>
      </c>
      <c r="B90" s="11" t="str">
        <f t="shared" si="0"/>
        <v>8.213.583-9</v>
      </c>
      <c r="C90" s="11" t="s">
        <v>14</v>
      </c>
      <c r="D90" s="11" t="s">
        <v>144</v>
      </c>
      <c r="E90" s="11" t="s">
        <v>680</v>
      </c>
      <c r="F90" s="11" t="s">
        <v>99</v>
      </c>
      <c r="G90" s="12">
        <v>45923</v>
      </c>
      <c r="H90" s="12"/>
      <c r="I90" s="11" t="s">
        <v>15</v>
      </c>
      <c r="J90" s="48" t="s">
        <v>206</v>
      </c>
      <c r="K90" s="57" t="s">
        <v>16</v>
      </c>
      <c r="L90" s="12">
        <v>45923</v>
      </c>
      <c r="M90" s="35">
        <v>45930</v>
      </c>
      <c r="N90" s="44">
        <f t="shared" si="1"/>
        <v>7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82135839</v>
      </c>
      <c r="B91" s="11" t="str">
        <f t="shared" si="0"/>
        <v>8.213.583-9</v>
      </c>
      <c r="C91" s="11" t="s">
        <v>14</v>
      </c>
      <c r="D91" s="11" t="s">
        <v>144</v>
      </c>
      <c r="E91" s="11" t="s">
        <v>680</v>
      </c>
      <c r="F91" s="11" t="s">
        <v>99</v>
      </c>
      <c r="G91" s="12">
        <v>45923</v>
      </c>
      <c r="H91" s="12"/>
      <c r="I91" s="11" t="s">
        <v>15</v>
      </c>
      <c r="J91" s="48" t="s">
        <v>206</v>
      </c>
      <c r="K91" s="57" t="s">
        <v>17</v>
      </c>
      <c r="L91" s="12">
        <v>45923</v>
      </c>
      <c r="M91" s="35">
        <v>45930</v>
      </c>
      <c r="N91" s="44">
        <f t="shared" si="1"/>
        <v>7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82135839</v>
      </c>
      <c r="B92" s="11" t="str">
        <f t="shared" si="0"/>
        <v>8.213.583-9</v>
      </c>
      <c r="C92" s="11" t="s">
        <v>14</v>
      </c>
      <c r="D92" s="11" t="s">
        <v>144</v>
      </c>
      <c r="E92" s="11" t="s">
        <v>680</v>
      </c>
      <c r="F92" s="11" t="s">
        <v>99</v>
      </c>
      <c r="G92" s="12">
        <v>45923</v>
      </c>
      <c r="H92" s="12"/>
      <c r="I92" s="11" t="s">
        <v>15</v>
      </c>
      <c r="J92" s="48" t="s">
        <v>206</v>
      </c>
      <c r="K92" s="57" t="s">
        <v>18</v>
      </c>
      <c r="L92" s="38">
        <v>45923</v>
      </c>
      <c r="M92" s="59">
        <v>45930</v>
      </c>
      <c r="N92" s="44">
        <f t="shared" si="1"/>
        <v>7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67961048</v>
      </c>
      <c r="B93" s="11" t="str">
        <f>IF(LEN(A93)=8,MID(A93,1,1)&amp;"."&amp;MID(A93,2,3)&amp;"."&amp;MID(A93,5,3)&amp;"-"&amp;RIGHT(A93,1),IF(LEFT(RIGHT(A93,2),1)="-",MID(A93,1,1)&amp;"."&amp;MID(A93,2,3)&amp;"."&amp;MID(A93,5,3)&amp;"-"&amp;RIGHT(A93,1),MID(A93,1,2)&amp;"."&amp;MID(A93,3,3)&amp;"."&amp;MID(A93,6,3)&amp;"-"&amp;MID(A93,9,1)))</f>
        <v>6.796.104-8</v>
      </c>
      <c r="C93" s="11" t="s">
        <v>14</v>
      </c>
      <c r="D93" s="11" t="s">
        <v>797</v>
      </c>
      <c r="E93" s="11" t="s">
        <v>798</v>
      </c>
      <c r="F93" s="11" t="s">
        <v>441</v>
      </c>
      <c r="G93" s="12">
        <v>45922</v>
      </c>
      <c r="H93" s="12">
        <v>45930</v>
      </c>
      <c r="I93" s="11" t="s">
        <v>15</v>
      </c>
      <c r="J93" s="48" t="s">
        <v>106</v>
      </c>
      <c r="K93" s="57" t="s">
        <v>16</v>
      </c>
      <c r="L93" s="12">
        <v>45922</v>
      </c>
      <c r="M93" s="12">
        <v>45930</v>
      </c>
      <c r="N93" s="44">
        <f t="shared" si="1"/>
        <v>8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67961048</v>
      </c>
      <c r="B94" s="11" t="str">
        <f>IF(LEN(A94)=8,MID(A94,1,1)&amp;"."&amp;MID(A94,2,3)&amp;"."&amp;MID(A94,5,3)&amp;"-"&amp;RIGHT(A94,1),IF(LEFT(RIGHT(A94,2),1)="-",MID(A94,1,1)&amp;"."&amp;MID(A94,2,3)&amp;"."&amp;MID(A94,5,3)&amp;"-"&amp;RIGHT(A94,1),MID(A94,1,2)&amp;"."&amp;MID(A94,3,3)&amp;"."&amp;MID(A94,6,3)&amp;"-"&amp;MID(A94,9,1)))</f>
        <v>6.796.104-8</v>
      </c>
      <c r="C94" s="11" t="s">
        <v>14</v>
      </c>
      <c r="D94" s="11" t="s">
        <v>797</v>
      </c>
      <c r="E94" s="11" t="s">
        <v>798</v>
      </c>
      <c r="F94" s="11" t="s">
        <v>441</v>
      </c>
      <c r="G94" s="12">
        <v>45922</v>
      </c>
      <c r="H94" s="12">
        <v>45930</v>
      </c>
      <c r="I94" s="11" t="s">
        <v>15</v>
      </c>
      <c r="J94" s="48" t="s">
        <v>106</v>
      </c>
      <c r="K94" s="57" t="s">
        <v>17</v>
      </c>
      <c r="L94" s="12">
        <v>45922</v>
      </c>
      <c r="M94" s="12">
        <v>45930</v>
      </c>
      <c r="N94" s="44">
        <f t="shared" si="1"/>
        <v>8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67961048</v>
      </c>
      <c r="B95" s="11" t="str">
        <f t="shared" si="0"/>
        <v>6.796.104-8</v>
      </c>
      <c r="C95" s="11" t="s">
        <v>14</v>
      </c>
      <c r="D95" s="11" t="s">
        <v>797</v>
      </c>
      <c r="E95" s="11" t="s">
        <v>798</v>
      </c>
      <c r="F95" s="11" t="s">
        <v>441</v>
      </c>
      <c r="G95" s="12">
        <v>45922</v>
      </c>
      <c r="H95" s="12">
        <v>45930</v>
      </c>
      <c r="I95" s="11" t="s">
        <v>15</v>
      </c>
      <c r="J95" s="48" t="s">
        <v>106</v>
      </c>
      <c r="K95" s="57" t="s">
        <v>18</v>
      </c>
      <c r="L95" s="12">
        <v>45922</v>
      </c>
      <c r="M95" s="35">
        <v>45925</v>
      </c>
      <c r="N95" s="44">
        <f t="shared" si="1"/>
        <v>3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>
        <v>68526604</v>
      </c>
      <c r="B96" s="11" t="str">
        <f t="shared" si="0"/>
        <v>6.852.660-4</v>
      </c>
      <c r="C96" s="11" t="s">
        <v>14</v>
      </c>
      <c r="D96" s="11" t="s">
        <v>445</v>
      </c>
      <c r="E96" s="11" t="s">
        <v>178</v>
      </c>
      <c r="F96" s="11" t="s">
        <v>300</v>
      </c>
      <c r="G96" s="12">
        <v>45925</v>
      </c>
      <c r="H96" s="12"/>
      <c r="I96" s="11" t="s">
        <v>47</v>
      </c>
      <c r="J96" s="48" t="s">
        <v>206</v>
      </c>
      <c r="K96" s="57" t="s">
        <v>16</v>
      </c>
      <c r="L96" s="12">
        <v>45925</v>
      </c>
      <c r="M96" s="35">
        <v>45930</v>
      </c>
      <c r="N96" s="44">
        <f t="shared" si="1"/>
        <v>5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68526604</v>
      </c>
      <c r="B97" s="11" t="str">
        <f t="shared" si="0"/>
        <v>6.852.660-4</v>
      </c>
      <c r="C97" s="11" t="s">
        <v>14</v>
      </c>
      <c r="D97" s="11" t="s">
        <v>445</v>
      </c>
      <c r="E97" s="11" t="s">
        <v>178</v>
      </c>
      <c r="F97" s="11" t="s">
        <v>300</v>
      </c>
      <c r="G97" s="12">
        <v>45925</v>
      </c>
      <c r="H97" s="12"/>
      <c r="I97" s="11" t="s">
        <v>47</v>
      </c>
      <c r="J97" s="48" t="s">
        <v>206</v>
      </c>
      <c r="K97" s="57" t="s">
        <v>17</v>
      </c>
      <c r="L97" s="12">
        <v>45925</v>
      </c>
      <c r="M97" s="35">
        <v>45930</v>
      </c>
      <c r="N97" s="44">
        <f t="shared" si="1"/>
        <v>5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68526604</v>
      </c>
      <c r="B98" s="11" t="str">
        <f t="shared" si="0"/>
        <v>6.852.660-4</v>
      </c>
      <c r="C98" s="11" t="s">
        <v>14</v>
      </c>
      <c r="D98" s="11" t="s">
        <v>445</v>
      </c>
      <c r="E98" s="11" t="s">
        <v>178</v>
      </c>
      <c r="F98" s="11" t="s">
        <v>300</v>
      </c>
      <c r="G98" s="12">
        <v>45925</v>
      </c>
      <c r="H98" s="12"/>
      <c r="I98" s="11" t="s">
        <v>47</v>
      </c>
      <c r="J98" s="48" t="s">
        <v>206</v>
      </c>
      <c r="K98" s="57" t="s">
        <v>18</v>
      </c>
      <c r="L98" s="12">
        <v>45925</v>
      </c>
      <c r="M98" s="35">
        <v>45930</v>
      </c>
      <c r="N98" s="44">
        <f t="shared" si="1"/>
        <v>5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66373630</v>
      </c>
      <c r="B99" s="11" t="str">
        <f t="shared" si="0"/>
        <v>6.637.363-0</v>
      </c>
      <c r="C99" s="11" t="s">
        <v>14</v>
      </c>
      <c r="D99" s="11" t="s">
        <v>799</v>
      </c>
      <c r="E99" s="11" t="s">
        <v>800</v>
      </c>
      <c r="F99" s="11" t="s">
        <v>454</v>
      </c>
      <c r="G99" s="12">
        <v>45922</v>
      </c>
      <c r="H99" s="12"/>
      <c r="I99" s="11" t="s">
        <v>15</v>
      </c>
      <c r="J99" s="48" t="s">
        <v>206</v>
      </c>
      <c r="K99" s="57" t="s">
        <v>16</v>
      </c>
      <c r="L99" s="12">
        <v>45922</v>
      </c>
      <c r="M99" s="35">
        <v>45930</v>
      </c>
      <c r="N99" s="44">
        <f t="shared" si="1"/>
        <v>8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66373630</v>
      </c>
      <c r="B100" s="11" t="str">
        <f t="shared" si="0"/>
        <v>6.637.363-0</v>
      </c>
      <c r="C100" s="11" t="s">
        <v>14</v>
      </c>
      <c r="D100" s="11" t="s">
        <v>799</v>
      </c>
      <c r="E100" s="11" t="s">
        <v>800</v>
      </c>
      <c r="F100" s="11" t="s">
        <v>454</v>
      </c>
      <c r="G100" s="12">
        <v>45922</v>
      </c>
      <c r="H100" s="12"/>
      <c r="I100" s="11" t="s">
        <v>15</v>
      </c>
      <c r="J100" s="48" t="s">
        <v>206</v>
      </c>
      <c r="K100" s="57" t="s">
        <v>17</v>
      </c>
      <c r="L100" s="12">
        <v>45922</v>
      </c>
      <c r="M100" s="35">
        <v>45930</v>
      </c>
      <c r="N100" s="44">
        <f t="shared" si="1"/>
        <v>8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66373630</v>
      </c>
      <c r="B101" s="11" t="str">
        <f t="shared" si="0"/>
        <v>6.637.363-0</v>
      </c>
      <c r="C101" s="11" t="s">
        <v>14</v>
      </c>
      <c r="D101" s="11" t="s">
        <v>799</v>
      </c>
      <c r="E101" s="11" t="s">
        <v>800</v>
      </c>
      <c r="F101" s="11" t="s">
        <v>454</v>
      </c>
      <c r="G101" s="12">
        <v>45922</v>
      </c>
      <c r="H101" s="12"/>
      <c r="I101" s="11" t="s">
        <v>15</v>
      </c>
      <c r="J101" s="48" t="s">
        <v>206</v>
      </c>
      <c r="K101" s="57" t="s">
        <v>18</v>
      </c>
      <c r="L101" s="12">
        <v>45922</v>
      </c>
      <c r="M101" s="35">
        <v>45930</v>
      </c>
      <c r="N101" s="44">
        <f t="shared" si="1"/>
        <v>8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89762405</v>
      </c>
      <c r="B102" s="11" t="str">
        <f t="shared" si="0"/>
        <v>8.976.240-5</v>
      </c>
      <c r="C102" s="11" t="s">
        <v>14</v>
      </c>
      <c r="D102" s="11" t="s">
        <v>680</v>
      </c>
      <c r="E102" s="11" t="s">
        <v>407</v>
      </c>
      <c r="F102" s="11" t="s">
        <v>111</v>
      </c>
      <c r="G102" s="12">
        <v>45928</v>
      </c>
      <c r="H102" s="12">
        <v>45931</v>
      </c>
      <c r="I102" s="11" t="s">
        <v>15</v>
      </c>
      <c r="J102" s="48" t="s">
        <v>60</v>
      </c>
      <c r="K102" s="58" t="s">
        <v>17</v>
      </c>
      <c r="L102" s="49">
        <v>45928</v>
      </c>
      <c r="M102" s="59">
        <v>45930</v>
      </c>
      <c r="N102" s="44">
        <f t="shared" si="1"/>
        <v>2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5.75" customHeight="1" x14ac:dyDescent="0.45">
      <c r="A103" s="15">
        <v>82497854</v>
      </c>
      <c r="B103" s="16" t="str">
        <f t="shared" si="0"/>
        <v>8.249.785-4</v>
      </c>
      <c r="C103" s="16" t="s">
        <v>28</v>
      </c>
      <c r="D103" s="16" t="s">
        <v>310</v>
      </c>
      <c r="E103" s="16" t="s">
        <v>128</v>
      </c>
      <c r="F103" s="16" t="s">
        <v>328</v>
      </c>
      <c r="G103" s="17">
        <v>45894</v>
      </c>
      <c r="H103" s="17">
        <v>45917</v>
      </c>
      <c r="I103" s="16" t="s">
        <v>15</v>
      </c>
      <c r="J103" s="37" t="s">
        <v>75</v>
      </c>
      <c r="K103" s="53" t="s">
        <v>349</v>
      </c>
      <c r="L103" s="17">
        <v>45901</v>
      </c>
      <c r="M103" s="28">
        <v>45917</v>
      </c>
      <c r="N103" s="46">
        <f t="shared" si="1"/>
        <v>16</v>
      </c>
      <c r="O103" s="28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5.75" customHeight="1" x14ac:dyDescent="0.45">
      <c r="A104" s="15">
        <v>47830281</v>
      </c>
      <c r="B104" s="16" t="str">
        <f t="shared" si="0"/>
        <v>4.783.028-1</v>
      </c>
      <c r="C104" s="16" t="s">
        <v>28</v>
      </c>
      <c r="D104" s="16" t="s">
        <v>269</v>
      </c>
      <c r="E104" s="16" t="s">
        <v>377</v>
      </c>
      <c r="F104" s="16" t="s">
        <v>758</v>
      </c>
      <c r="G104" s="17">
        <v>45905</v>
      </c>
      <c r="H104" s="17">
        <v>45909</v>
      </c>
      <c r="I104" s="16" t="s">
        <v>15</v>
      </c>
      <c r="J104" s="37" t="s">
        <v>42</v>
      </c>
      <c r="K104" s="53" t="s">
        <v>17</v>
      </c>
      <c r="L104" s="17">
        <v>45905</v>
      </c>
      <c r="M104" s="17">
        <v>45909</v>
      </c>
      <c r="N104" s="46">
        <f t="shared" si="1"/>
        <v>4</v>
      </c>
      <c r="O104" s="28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5.75" customHeight="1" x14ac:dyDescent="0.45">
      <c r="A105" s="15">
        <v>85566059</v>
      </c>
      <c r="B105" s="16" t="str">
        <f t="shared" si="0"/>
        <v>8.556.605-9</v>
      </c>
      <c r="C105" s="16" t="s">
        <v>28</v>
      </c>
      <c r="D105" s="16" t="s">
        <v>178</v>
      </c>
      <c r="E105" s="16" t="s">
        <v>551</v>
      </c>
      <c r="F105" s="16" t="s">
        <v>759</v>
      </c>
      <c r="G105" s="17">
        <v>45904</v>
      </c>
      <c r="H105" s="17">
        <v>45910</v>
      </c>
      <c r="I105" s="16" t="s">
        <v>15</v>
      </c>
      <c r="J105" s="37" t="s">
        <v>62</v>
      </c>
      <c r="K105" s="53" t="s">
        <v>17</v>
      </c>
      <c r="L105" s="17">
        <v>45904</v>
      </c>
      <c r="M105" s="17">
        <v>45910</v>
      </c>
      <c r="N105" s="46">
        <f t="shared" si="1"/>
        <v>6</v>
      </c>
      <c r="O105" s="28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5.75" customHeight="1" x14ac:dyDescent="0.45">
      <c r="A106" s="15">
        <v>123025792</v>
      </c>
      <c r="B106" s="16" t="str">
        <f t="shared" si="0"/>
        <v>12.302.579-2</v>
      </c>
      <c r="C106" s="16" t="s">
        <v>28</v>
      </c>
      <c r="D106" s="16" t="s">
        <v>178</v>
      </c>
      <c r="E106" s="16" t="s">
        <v>86</v>
      </c>
      <c r="F106" s="16" t="s">
        <v>149</v>
      </c>
      <c r="G106" s="17">
        <v>45899</v>
      </c>
      <c r="H106" s="17">
        <v>45902</v>
      </c>
      <c r="I106" s="16" t="s">
        <v>56</v>
      </c>
      <c r="J106" s="37" t="s">
        <v>42</v>
      </c>
      <c r="K106" s="54" t="s">
        <v>17</v>
      </c>
      <c r="L106" s="51">
        <v>45901</v>
      </c>
      <c r="M106" s="51">
        <v>45902</v>
      </c>
      <c r="N106" s="46">
        <f t="shared" si="1"/>
        <v>1</v>
      </c>
      <c r="O106" s="28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5.75" customHeight="1" x14ac:dyDescent="0.45">
      <c r="A107" s="15">
        <v>68997712</v>
      </c>
      <c r="B107" s="16" t="str">
        <f t="shared" si="0"/>
        <v>6.899.771-2</v>
      </c>
      <c r="C107" s="16" t="s">
        <v>28</v>
      </c>
      <c r="D107" s="16" t="s">
        <v>764</v>
      </c>
      <c r="E107" s="16" t="s">
        <v>244</v>
      </c>
      <c r="F107" s="16" t="s">
        <v>122</v>
      </c>
      <c r="G107" s="17">
        <v>45897</v>
      </c>
      <c r="H107" s="17">
        <v>45911</v>
      </c>
      <c r="I107" s="16" t="s">
        <v>60</v>
      </c>
      <c r="J107" s="37" t="s">
        <v>342</v>
      </c>
      <c r="K107" s="53" t="s">
        <v>17</v>
      </c>
      <c r="L107" s="17">
        <v>45901</v>
      </c>
      <c r="M107" s="17">
        <v>45911</v>
      </c>
      <c r="N107" s="46">
        <f t="shared" si="1"/>
        <v>10</v>
      </c>
      <c r="O107" s="28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5">
        <v>110746121</v>
      </c>
      <c r="B108" s="16" t="str">
        <f t="shared" si="0"/>
        <v>11.074.612-1</v>
      </c>
      <c r="C108" s="16" t="s">
        <v>28</v>
      </c>
      <c r="D108" s="16" t="s">
        <v>157</v>
      </c>
      <c r="E108" s="16" t="s">
        <v>156</v>
      </c>
      <c r="F108" s="16" t="s">
        <v>761</v>
      </c>
      <c r="G108" s="17">
        <v>45909</v>
      </c>
      <c r="H108" s="17">
        <v>45916</v>
      </c>
      <c r="I108" s="16" t="s">
        <v>60</v>
      </c>
      <c r="J108" s="52" t="s">
        <v>62</v>
      </c>
      <c r="K108" s="54" t="s">
        <v>17</v>
      </c>
      <c r="L108" s="17">
        <v>45909</v>
      </c>
      <c r="M108" s="17">
        <v>45916</v>
      </c>
      <c r="N108" s="46">
        <f t="shared" si="1"/>
        <v>7</v>
      </c>
      <c r="O108" s="28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188229190</v>
      </c>
      <c r="B109" s="16" t="str">
        <f t="shared" si="0"/>
        <v>18.822.919-0</v>
      </c>
      <c r="C109" s="16" t="s">
        <v>28</v>
      </c>
      <c r="D109" s="16" t="s">
        <v>559</v>
      </c>
      <c r="E109" s="16" t="s">
        <v>766</v>
      </c>
      <c r="F109" s="16" t="s">
        <v>767</v>
      </c>
      <c r="G109" s="17">
        <v>45912</v>
      </c>
      <c r="H109" s="17">
        <v>45927</v>
      </c>
      <c r="I109" s="37" t="s">
        <v>14</v>
      </c>
      <c r="J109" s="53" t="s">
        <v>42</v>
      </c>
      <c r="K109" s="53" t="s">
        <v>349</v>
      </c>
      <c r="L109" s="67">
        <v>45912</v>
      </c>
      <c r="M109" s="28">
        <v>45927</v>
      </c>
      <c r="N109" s="46">
        <f t="shared" si="1"/>
        <v>15</v>
      </c>
      <c r="O109" s="28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61023224</v>
      </c>
      <c r="B110" s="16" t="str">
        <f t="shared" si="0"/>
        <v>6.102.322-4</v>
      </c>
      <c r="C110" s="16" t="s">
        <v>28</v>
      </c>
      <c r="D110" s="16" t="s">
        <v>551</v>
      </c>
      <c r="E110" s="16" t="s">
        <v>250</v>
      </c>
      <c r="F110" s="16" t="s">
        <v>99</v>
      </c>
      <c r="G110" s="17">
        <v>45923</v>
      </c>
      <c r="H110" s="17">
        <v>45929</v>
      </c>
      <c r="I110" s="37" t="s">
        <v>14</v>
      </c>
      <c r="J110" s="53" t="s">
        <v>42</v>
      </c>
      <c r="K110" s="53" t="s">
        <v>16</v>
      </c>
      <c r="L110" s="68">
        <v>45923</v>
      </c>
      <c r="M110" s="28">
        <v>45927</v>
      </c>
      <c r="N110" s="46">
        <f t="shared" si="1"/>
        <v>4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165158547</v>
      </c>
      <c r="B111" s="16" t="str">
        <f t="shared" si="0"/>
        <v>16.515.854-7</v>
      </c>
      <c r="C111" s="16" t="s">
        <v>28</v>
      </c>
      <c r="D111" s="16" t="s">
        <v>134</v>
      </c>
      <c r="E111" s="16" t="s">
        <v>425</v>
      </c>
      <c r="F111" s="16" t="s">
        <v>572</v>
      </c>
      <c r="G111" s="17">
        <v>45924</v>
      </c>
      <c r="H111" s="17"/>
      <c r="I111" s="37" t="s">
        <v>60</v>
      </c>
      <c r="J111" s="53"/>
      <c r="K111" s="53" t="s">
        <v>16</v>
      </c>
      <c r="L111" s="17">
        <v>45924</v>
      </c>
      <c r="M111" s="28">
        <v>45927</v>
      </c>
      <c r="N111" s="46">
        <f t="shared" si="1"/>
        <v>3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>
        <v>165158547</v>
      </c>
      <c r="B112" s="16" t="str">
        <f t="shared" si="0"/>
        <v>16.515.854-7</v>
      </c>
      <c r="C112" s="16" t="s">
        <v>28</v>
      </c>
      <c r="D112" s="16" t="s">
        <v>134</v>
      </c>
      <c r="E112" s="16" t="s">
        <v>425</v>
      </c>
      <c r="F112" s="16" t="s">
        <v>572</v>
      </c>
      <c r="G112" s="17">
        <v>45924</v>
      </c>
      <c r="H112" s="17"/>
      <c r="I112" s="37" t="s">
        <v>60</v>
      </c>
      <c r="J112" s="53" t="s">
        <v>206</v>
      </c>
      <c r="K112" s="53" t="s">
        <v>17</v>
      </c>
      <c r="L112" s="17">
        <v>45924</v>
      </c>
      <c r="M112" s="51">
        <v>45930</v>
      </c>
      <c r="N112" s="46">
        <f t="shared" si="1"/>
        <v>6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9">
        <v>102142497</v>
      </c>
      <c r="B113" s="19" t="str">
        <f t="shared" ref="B113:B120" si="2">IF(LEN(A113)=8,MID(A113,1,1)&amp;"."&amp;MID(A113,2,3)&amp;"."&amp;MID(A113,5,3)&amp;"-"&amp;RIGHT(A113,1),IF(LEFT(RIGHT(A113,2),1)="-",MID(A113,1,1)&amp;"."&amp;MID(A113,2,3)&amp;"."&amp;MID(A113,5,3)&amp;"-"&amp;RIGHT(A113,1),MID(A113,1,2)&amp;"."&amp;MID(A113,3,3)&amp;"."&amp;MID(A113,6,3)&amp;"-"&amp;MID(A113,9,1)))</f>
        <v>10.214.249-7</v>
      </c>
      <c r="C113" s="19" t="s">
        <v>32</v>
      </c>
      <c r="D113" s="19" t="s">
        <v>608</v>
      </c>
      <c r="E113" s="19" t="s">
        <v>458</v>
      </c>
      <c r="F113" s="19" t="s">
        <v>756</v>
      </c>
      <c r="G113" s="20">
        <v>45907</v>
      </c>
      <c r="H113" s="20">
        <v>45909</v>
      </c>
      <c r="I113" s="19" t="s">
        <v>15</v>
      </c>
      <c r="J113" s="19" t="s">
        <v>72</v>
      </c>
      <c r="K113" s="19" t="s">
        <v>17</v>
      </c>
      <c r="L113" s="20">
        <v>45907</v>
      </c>
      <c r="M113" s="20">
        <v>45909</v>
      </c>
      <c r="N113" s="47">
        <f t="shared" si="1"/>
        <v>2</v>
      </c>
      <c r="O113" s="34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9">
        <v>27112323</v>
      </c>
      <c r="B114" s="19" t="str">
        <f t="shared" si="2"/>
        <v>2.711.232-3</v>
      </c>
      <c r="C114" s="19" t="s">
        <v>32</v>
      </c>
      <c r="D114" s="19" t="s">
        <v>140</v>
      </c>
      <c r="E114" s="19" t="s">
        <v>88</v>
      </c>
      <c r="F114" s="19" t="s">
        <v>171</v>
      </c>
      <c r="G114" s="20">
        <v>45905</v>
      </c>
      <c r="H114" s="20">
        <v>45909</v>
      </c>
      <c r="I114" s="19" t="s">
        <v>15</v>
      </c>
      <c r="J114" s="19" t="s">
        <v>75</v>
      </c>
      <c r="K114" s="21" t="s">
        <v>17</v>
      </c>
      <c r="L114" s="20">
        <v>45905</v>
      </c>
      <c r="M114" s="20">
        <v>45909</v>
      </c>
      <c r="N114" s="47">
        <f t="shared" si="1"/>
        <v>4</v>
      </c>
      <c r="O114" s="34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9">
        <v>54651864</v>
      </c>
      <c r="B115" s="19" t="str">
        <f t="shared" si="2"/>
        <v>5.465.186-4</v>
      </c>
      <c r="C115" s="19" t="s">
        <v>32</v>
      </c>
      <c r="D115" s="19" t="s">
        <v>534</v>
      </c>
      <c r="E115" s="19" t="s">
        <v>154</v>
      </c>
      <c r="F115" s="19" t="s">
        <v>99</v>
      </c>
      <c r="G115" s="20">
        <v>45908</v>
      </c>
      <c r="H115" s="20">
        <v>45910</v>
      </c>
      <c r="I115" s="19" t="s">
        <v>15</v>
      </c>
      <c r="J115" s="19" t="s">
        <v>42</v>
      </c>
      <c r="K115" s="19" t="s">
        <v>17</v>
      </c>
      <c r="L115" s="20">
        <v>45908</v>
      </c>
      <c r="M115" s="20">
        <v>45910</v>
      </c>
      <c r="N115" s="47">
        <f t="shared" si="1"/>
        <v>2</v>
      </c>
      <c r="O115" s="34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9">
        <v>111820600</v>
      </c>
      <c r="B116" s="19" t="str">
        <f t="shared" si="2"/>
        <v>11.182.060-0</v>
      </c>
      <c r="C116" s="19" t="s">
        <v>32</v>
      </c>
      <c r="D116" s="19" t="s">
        <v>137</v>
      </c>
      <c r="E116" s="19" t="s">
        <v>323</v>
      </c>
      <c r="F116" s="19" t="s">
        <v>757</v>
      </c>
      <c r="G116" s="20">
        <v>45905</v>
      </c>
      <c r="H116" s="20">
        <v>45909</v>
      </c>
      <c r="I116" s="19" t="s">
        <v>15</v>
      </c>
      <c r="J116" s="19" t="s">
        <v>62</v>
      </c>
      <c r="K116" s="21" t="s">
        <v>17</v>
      </c>
      <c r="L116" s="20">
        <v>45905</v>
      </c>
      <c r="M116" s="20">
        <v>45909</v>
      </c>
      <c r="N116" s="47">
        <f t="shared" si="1"/>
        <v>4</v>
      </c>
      <c r="O116" s="34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9">
        <v>53532152</v>
      </c>
      <c r="B117" s="19" t="str">
        <f t="shared" si="2"/>
        <v>5.353.215-2</v>
      </c>
      <c r="C117" s="19" t="s">
        <v>32</v>
      </c>
      <c r="D117" s="19" t="s">
        <v>450</v>
      </c>
      <c r="E117" s="19" t="s">
        <v>760</v>
      </c>
      <c r="F117" s="19" t="s">
        <v>609</v>
      </c>
      <c r="G117" s="20">
        <v>45898</v>
      </c>
      <c r="H117" s="20">
        <v>45901</v>
      </c>
      <c r="I117" s="19" t="s">
        <v>15</v>
      </c>
      <c r="J117" s="19" t="s">
        <v>72</v>
      </c>
      <c r="K117" s="21" t="s">
        <v>17</v>
      </c>
      <c r="L117" s="20">
        <v>45901</v>
      </c>
      <c r="M117" s="20">
        <v>45901</v>
      </c>
      <c r="N117" s="47">
        <f t="shared" si="1"/>
        <v>0</v>
      </c>
      <c r="O117" s="34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9">
        <v>95392148</v>
      </c>
      <c r="B118" s="19" t="str">
        <f t="shared" si="2"/>
        <v>9.539.214-8</v>
      </c>
      <c r="C118" s="19" t="s">
        <v>32</v>
      </c>
      <c r="D118" s="19" t="s">
        <v>534</v>
      </c>
      <c r="E118" s="19" t="s">
        <v>780</v>
      </c>
      <c r="F118" s="19" t="s">
        <v>576</v>
      </c>
      <c r="G118" s="20">
        <v>45913</v>
      </c>
      <c r="H118" s="20">
        <v>45916</v>
      </c>
      <c r="I118" s="19" t="s">
        <v>15</v>
      </c>
      <c r="J118" s="19" t="s">
        <v>72</v>
      </c>
      <c r="K118" s="19" t="s">
        <v>17</v>
      </c>
      <c r="L118" s="20">
        <v>45913</v>
      </c>
      <c r="M118" s="20">
        <v>45916</v>
      </c>
      <c r="N118" s="47">
        <f t="shared" si="1"/>
        <v>3</v>
      </c>
      <c r="O118" s="34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9">
        <v>68447321</v>
      </c>
      <c r="B119" s="19" t="str">
        <f t="shared" si="2"/>
        <v>6.844.732-1</v>
      </c>
      <c r="C119" s="19" t="s">
        <v>32</v>
      </c>
      <c r="D119" s="19" t="s">
        <v>785</v>
      </c>
      <c r="E119" s="19" t="s">
        <v>786</v>
      </c>
      <c r="F119" s="19" t="s">
        <v>211</v>
      </c>
      <c r="G119" s="20">
        <v>45921</v>
      </c>
      <c r="H119" s="20">
        <v>45923</v>
      </c>
      <c r="I119" s="19" t="s">
        <v>15</v>
      </c>
      <c r="J119" s="19" t="s">
        <v>62</v>
      </c>
      <c r="K119" s="19" t="s">
        <v>17</v>
      </c>
      <c r="L119" s="20">
        <v>45921</v>
      </c>
      <c r="M119" s="20">
        <v>45923</v>
      </c>
      <c r="N119" s="47">
        <f t="shared" si="1"/>
        <v>2</v>
      </c>
      <c r="O119" s="34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9">
        <v>91884194</v>
      </c>
      <c r="B120" s="19" t="str">
        <f t="shared" si="2"/>
        <v>9.188.419-4</v>
      </c>
      <c r="C120" s="19" t="s">
        <v>32</v>
      </c>
      <c r="D120" s="19" t="s">
        <v>564</v>
      </c>
      <c r="E120" s="19" t="s">
        <v>405</v>
      </c>
      <c r="F120" s="19" t="s">
        <v>355</v>
      </c>
      <c r="G120" s="20">
        <v>45922</v>
      </c>
      <c r="H120" s="20">
        <v>45923</v>
      </c>
      <c r="I120" s="19" t="s">
        <v>15</v>
      </c>
      <c r="J120" s="19" t="s">
        <v>787</v>
      </c>
      <c r="K120" s="19" t="s">
        <v>64</v>
      </c>
      <c r="L120" s="128" t="s">
        <v>108</v>
      </c>
      <c r="M120" s="129"/>
      <c r="N120" s="47"/>
      <c r="O120" s="34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G121" s="4"/>
      <c r="H121" s="4"/>
      <c r="I121" s="23"/>
      <c r="J121" s="23"/>
      <c r="K121" s="23"/>
      <c r="L121" s="4"/>
      <c r="N121" s="36"/>
      <c r="U121">
        <f>COUNTIF(U8:U120,"si")</f>
        <v>0</v>
      </c>
    </row>
    <row r="122" spans="1:21" ht="15.75" customHeight="1" x14ac:dyDescent="0.45">
      <c r="G122" s="4"/>
      <c r="H122" s="4"/>
      <c r="I122" s="23"/>
      <c r="J122" s="23"/>
      <c r="K122" s="23"/>
      <c r="L122" s="4"/>
      <c r="N122" s="36"/>
    </row>
    <row r="123" spans="1:21" ht="15.75" customHeight="1" x14ac:dyDescent="0.45">
      <c r="G123" s="4"/>
      <c r="H123" s="4"/>
      <c r="I123" s="23"/>
      <c r="J123" s="23"/>
      <c r="K123" s="23"/>
      <c r="L123" s="4"/>
      <c r="N123" s="36"/>
    </row>
    <row r="124" spans="1:21" ht="15.75" customHeight="1" x14ac:dyDescent="0.45">
      <c r="G124" s="4"/>
      <c r="H124" s="4"/>
      <c r="I124" s="23"/>
      <c r="J124" s="23"/>
      <c r="K124" s="23"/>
      <c r="L124" s="4"/>
      <c r="N124" s="36"/>
    </row>
    <row r="125" spans="1:21" ht="15.75" customHeight="1" x14ac:dyDescent="0.45">
      <c r="G125" s="4"/>
      <c r="H125" s="4"/>
      <c r="I125" s="23"/>
      <c r="J125" s="23"/>
      <c r="K125" s="23"/>
      <c r="L125" s="4"/>
      <c r="N125" s="36"/>
    </row>
    <row r="126" spans="1:21" ht="15.75" customHeight="1" x14ac:dyDescent="0.45">
      <c r="G126" s="4"/>
      <c r="H126" s="4"/>
      <c r="I126" s="23"/>
      <c r="J126" s="23"/>
      <c r="K126" s="23"/>
      <c r="L126" s="4"/>
      <c r="N126" s="36"/>
    </row>
    <row r="127" spans="1:21" ht="15.75" customHeight="1" x14ac:dyDescent="0.45">
      <c r="G127" s="4"/>
      <c r="H127" s="4"/>
      <c r="I127" s="23"/>
      <c r="J127" s="23"/>
      <c r="K127" s="23"/>
      <c r="L127" s="4"/>
      <c r="N127" s="36"/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L180" s="4"/>
      <c r="N180" s="36"/>
    </row>
    <row r="181" spans="7:14" ht="15.75" customHeight="1" x14ac:dyDescent="0.45">
      <c r="G181" s="4"/>
      <c r="H181" s="4"/>
      <c r="I181" s="23"/>
      <c r="J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J252" s="23"/>
      <c r="L252" s="4"/>
      <c r="N252" s="36"/>
    </row>
    <row r="253" spans="7:14" ht="15.75" customHeight="1" x14ac:dyDescent="0.45">
      <c r="G253" s="4"/>
      <c r="H253" s="4"/>
      <c r="L253" s="4"/>
      <c r="N253" s="36"/>
    </row>
    <row r="254" spans="7:14" ht="15.75" customHeight="1" x14ac:dyDescent="0.45">
      <c r="G254" s="4"/>
      <c r="H254" s="4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2" ht="15.75" customHeight="1" x14ac:dyDescent="0.45">
      <c r="G289" s="4"/>
      <c r="H289" s="4"/>
      <c r="L289" s="4"/>
    </row>
    <row r="290" spans="7:12" ht="15.75" customHeight="1" x14ac:dyDescent="0.45">
      <c r="G290" s="4"/>
      <c r="H290" s="4"/>
      <c r="L290" s="4"/>
    </row>
    <row r="291" spans="7:12" ht="15.75" customHeight="1" x14ac:dyDescent="0.45">
      <c r="G291" s="4"/>
      <c r="H291" s="4"/>
      <c r="L291" s="4"/>
    </row>
    <row r="292" spans="7:12" ht="15.75" customHeight="1" x14ac:dyDescent="0.45">
      <c r="G292" s="4"/>
      <c r="H292" s="4"/>
      <c r="L292" s="4"/>
    </row>
    <row r="293" spans="7:12" ht="15.75" customHeight="1" x14ac:dyDescent="0.45">
      <c r="G293" s="4"/>
      <c r="H293" s="4"/>
      <c r="L293" s="4"/>
    </row>
    <row r="294" spans="7:12" ht="15.75" customHeight="1" x14ac:dyDescent="0.45">
      <c r="G294" s="4"/>
      <c r="H294" s="4"/>
      <c r="L294" s="4"/>
    </row>
    <row r="295" spans="7:12" ht="15.75" customHeight="1" x14ac:dyDescent="0.45">
      <c r="G295" s="4"/>
      <c r="H295" s="4"/>
      <c r="L295" s="4"/>
    </row>
    <row r="296" spans="7:12" ht="15.75" customHeight="1" x14ac:dyDescent="0.45">
      <c r="G296" s="4"/>
      <c r="H296" s="4"/>
      <c r="L296" s="4"/>
    </row>
    <row r="297" spans="7:12" ht="15.75" customHeight="1" x14ac:dyDescent="0.45">
      <c r="G297" s="4"/>
      <c r="H297" s="4"/>
      <c r="L297" s="4"/>
    </row>
    <row r="298" spans="7:12" ht="15.75" customHeight="1" x14ac:dyDescent="0.45">
      <c r="G298" s="4"/>
      <c r="H298" s="4"/>
      <c r="L298" s="4"/>
    </row>
    <row r="299" spans="7:12" ht="15.75" customHeight="1" x14ac:dyDescent="0.45">
      <c r="G299" s="4"/>
      <c r="H299" s="4"/>
      <c r="L299" s="4"/>
    </row>
    <row r="300" spans="7:12" ht="15.75" customHeight="1" x14ac:dyDescent="0.45">
      <c r="G300" s="4"/>
      <c r="H300" s="4"/>
      <c r="L300" s="4"/>
    </row>
    <row r="301" spans="7:12" ht="15.75" customHeight="1" x14ac:dyDescent="0.45">
      <c r="G301" s="4"/>
      <c r="H301" s="4"/>
      <c r="L301" s="4"/>
    </row>
    <row r="302" spans="7:12" ht="15.75" customHeight="1" x14ac:dyDescent="0.45">
      <c r="G302" s="4"/>
      <c r="H302" s="4"/>
      <c r="L302" s="4"/>
    </row>
    <row r="303" spans="7:12" ht="15.75" customHeight="1" x14ac:dyDescent="0.45">
      <c r="G303" s="4"/>
      <c r="H303" s="4"/>
      <c r="L303" s="4"/>
    </row>
    <row r="304" spans="7:12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</sheetData>
  <mergeCells count="5">
    <mergeCell ref="A1:O1"/>
    <mergeCell ref="A2:O2"/>
    <mergeCell ref="A5:O5"/>
    <mergeCell ref="L120:M120"/>
    <mergeCell ref="O39:O40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AD7ED1-D8BE-42AE-904F-0075829330CF}">
          <x14:formula1>
            <xm:f>Criterios!$A$2:$A$128</xm:f>
          </x14:formula1>
          <xm:sqref>P8:T120</xm:sqref>
        </x14:dataValidation>
        <x14:dataValidation type="list" allowBlank="1" showInputMessage="1" showErrorMessage="1" xr:uid="{EA7AD784-94B2-4F0F-8F02-AC170F2EDCD3}">
          <x14:formula1>
            <xm:f>Hoja1!$G$2:$G$3</xm:f>
          </x14:formula1>
          <xm:sqref>U8:U120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8D4C-F2EA-4A46-8D46-6DAB90FA2961}">
  <dimension ref="A1:U988"/>
  <sheetViews>
    <sheetView zoomScale="70" zoomScaleNormal="70" workbookViewId="0">
      <pane xSplit="2" ySplit="2" topLeftCell="K62" activePane="bottomRight" state="frozen"/>
      <selection pane="topRight" activeCell="C1" sqref="C1"/>
      <selection pane="bottomLeft" activeCell="A3" sqref="A3"/>
      <selection pane="bottomRight" activeCell="P92" sqref="P92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3" max="13" width="13.73046875" customWidth="1"/>
    <col min="14" max="14" width="7.796875" customWidth="1"/>
    <col min="15" max="15" width="12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801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28.9" thickBot="1" x14ac:dyDescent="0.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151609244</v>
      </c>
      <c r="B8" s="11" t="str">
        <f t="shared" ref="B8:B118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15.160.924-4</v>
      </c>
      <c r="C8" s="11" t="s">
        <v>14</v>
      </c>
      <c r="D8" s="11" t="s">
        <v>118</v>
      </c>
      <c r="E8" s="11" t="s">
        <v>405</v>
      </c>
      <c r="F8" s="11" t="s">
        <v>793</v>
      </c>
      <c r="G8" s="12">
        <v>45917</v>
      </c>
      <c r="H8" s="12">
        <v>45948</v>
      </c>
      <c r="I8" s="11" t="s">
        <v>74</v>
      </c>
      <c r="J8" s="48" t="s">
        <v>106</v>
      </c>
      <c r="K8" s="57" t="s">
        <v>16</v>
      </c>
      <c r="L8" s="12">
        <v>45931</v>
      </c>
      <c r="M8" s="12">
        <v>45948</v>
      </c>
      <c r="N8" s="44">
        <f t="shared" ref="N8:N122" si="1">+M8-L8</f>
        <v>17</v>
      </c>
      <c r="O8" s="134" t="s">
        <v>914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151609244</v>
      </c>
      <c r="B9" s="11" t="str">
        <f t="shared" si="0"/>
        <v>15.160.924-4</v>
      </c>
      <c r="C9" s="11" t="s">
        <v>14</v>
      </c>
      <c r="D9" s="11" t="s">
        <v>118</v>
      </c>
      <c r="E9" s="11" t="s">
        <v>405</v>
      </c>
      <c r="F9" s="11" t="s">
        <v>793</v>
      </c>
      <c r="G9" s="12">
        <v>45917</v>
      </c>
      <c r="H9" s="12">
        <v>45948</v>
      </c>
      <c r="I9" s="11" t="s">
        <v>74</v>
      </c>
      <c r="J9" s="48" t="s">
        <v>106</v>
      </c>
      <c r="K9" s="57" t="s">
        <v>17</v>
      </c>
      <c r="L9" s="12">
        <v>45931</v>
      </c>
      <c r="M9" s="12">
        <v>45948</v>
      </c>
      <c r="N9" s="44">
        <f t="shared" si="1"/>
        <v>17</v>
      </c>
      <c r="O9" s="126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151609244</v>
      </c>
      <c r="B10" s="11" t="str">
        <f t="shared" si="0"/>
        <v>15.160.924-4</v>
      </c>
      <c r="C10" s="11" t="s">
        <v>14</v>
      </c>
      <c r="D10" s="11" t="s">
        <v>118</v>
      </c>
      <c r="E10" s="11" t="s">
        <v>405</v>
      </c>
      <c r="F10" s="11" t="s">
        <v>793</v>
      </c>
      <c r="G10" s="12">
        <v>45917</v>
      </c>
      <c r="H10" s="12">
        <v>45948</v>
      </c>
      <c r="I10" s="11" t="s">
        <v>74</v>
      </c>
      <c r="J10" s="48" t="s">
        <v>106</v>
      </c>
      <c r="K10" s="57" t="s">
        <v>18</v>
      </c>
      <c r="L10" s="12">
        <v>45931</v>
      </c>
      <c r="M10" s="12">
        <v>45948</v>
      </c>
      <c r="N10" s="44">
        <f t="shared" si="1"/>
        <v>17</v>
      </c>
      <c r="O10" s="127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83078332</v>
      </c>
      <c r="B11" s="11" t="str">
        <f t="shared" si="0"/>
        <v>8.307.833-2</v>
      </c>
      <c r="C11" s="11" t="s">
        <v>14</v>
      </c>
      <c r="D11" s="11" t="s">
        <v>509</v>
      </c>
      <c r="E11" s="11" t="s">
        <v>333</v>
      </c>
      <c r="F11" s="11" t="s">
        <v>594</v>
      </c>
      <c r="G11" s="12">
        <v>45925</v>
      </c>
      <c r="H11" s="12">
        <v>45934</v>
      </c>
      <c r="I11" s="11" t="s">
        <v>15</v>
      </c>
      <c r="J11" s="48" t="s">
        <v>60</v>
      </c>
      <c r="K11" s="57" t="s">
        <v>16</v>
      </c>
      <c r="L11" s="12">
        <v>45931</v>
      </c>
      <c r="M11" s="35">
        <v>45934</v>
      </c>
      <c r="N11" s="44">
        <f t="shared" si="1"/>
        <v>3</v>
      </c>
      <c r="O11" s="44"/>
      <c r="P11" t="s">
        <v>942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83078332</v>
      </c>
      <c r="B12" s="11" t="str">
        <f t="shared" si="0"/>
        <v>8.307.833-2</v>
      </c>
      <c r="C12" s="11" t="s">
        <v>14</v>
      </c>
      <c r="D12" s="11" t="s">
        <v>509</v>
      </c>
      <c r="E12" s="11" t="s">
        <v>333</v>
      </c>
      <c r="F12" s="11" t="s">
        <v>594</v>
      </c>
      <c r="G12" s="12">
        <v>45925</v>
      </c>
      <c r="H12" s="12">
        <v>45934</v>
      </c>
      <c r="I12" s="11" t="s">
        <v>15</v>
      </c>
      <c r="J12" s="48" t="s">
        <v>60</v>
      </c>
      <c r="K12" s="57" t="s">
        <v>17</v>
      </c>
      <c r="L12" s="12">
        <v>45931</v>
      </c>
      <c r="M12" s="12">
        <v>45934</v>
      </c>
      <c r="N12" s="44">
        <f t="shared" si="1"/>
        <v>3</v>
      </c>
      <c r="O12" s="44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83078332</v>
      </c>
      <c r="B13" s="11" t="str">
        <f t="shared" si="0"/>
        <v>8.307.833-2</v>
      </c>
      <c r="C13" s="11" t="s">
        <v>14</v>
      </c>
      <c r="D13" s="11" t="s">
        <v>509</v>
      </c>
      <c r="E13" s="11" t="s">
        <v>333</v>
      </c>
      <c r="F13" s="11" t="s">
        <v>594</v>
      </c>
      <c r="G13" s="12">
        <v>45925</v>
      </c>
      <c r="H13" s="12">
        <v>45934</v>
      </c>
      <c r="I13" s="11" t="s">
        <v>15</v>
      </c>
      <c r="J13" s="48" t="s">
        <v>60</v>
      </c>
      <c r="K13" s="57" t="s">
        <v>18</v>
      </c>
      <c r="L13" s="12">
        <v>45931</v>
      </c>
      <c r="M13" s="12">
        <v>45934</v>
      </c>
      <c r="N13" s="44">
        <f t="shared" si="1"/>
        <v>3</v>
      </c>
      <c r="O13" s="44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>
        <v>82135839</v>
      </c>
      <c r="B14" s="11" t="str">
        <f t="shared" si="0"/>
        <v>8.213.583-9</v>
      </c>
      <c r="C14" s="11" t="s">
        <v>14</v>
      </c>
      <c r="D14" s="11" t="s">
        <v>144</v>
      </c>
      <c r="E14" s="11" t="s">
        <v>680</v>
      </c>
      <c r="F14" s="11" t="s">
        <v>99</v>
      </c>
      <c r="G14" s="12">
        <v>45923</v>
      </c>
      <c r="H14" s="12">
        <v>45939</v>
      </c>
      <c r="I14" s="11" t="s">
        <v>15</v>
      </c>
      <c r="J14" s="48" t="s">
        <v>60</v>
      </c>
      <c r="K14" s="57" t="s">
        <v>16</v>
      </c>
      <c r="L14" s="12">
        <v>45931</v>
      </c>
      <c r="M14" s="12">
        <v>45939</v>
      </c>
      <c r="N14" s="44">
        <f t="shared" si="1"/>
        <v>8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>
        <v>82135839</v>
      </c>
      <c r="B15" s="11" t="str">
        <f t="shared" si="0"/>
        <v>8.213.583-9</v>
      </c>
      <c r="C15" s="11" t="s">
        <v>14</v>
      </c>
      <c r="D15" s="11" t="s">
        <v>144</v>
      </c>
      <c r="E15" s="11" t="s">
        <v>680</v>
      </c>
      <c r="F15" s="11" t="s">
        <v>99</v>
      </c>
      <c r="G15" s="12">
        <v>45923</v>
      </c>
      <c r="H15" s="12">
        <v>45939</v>
      </c>
      <c r="I15" s="11" t="s">
        <v>15</v>
      </c>
      <c r="J15" s="48" t="s">
        <v>60</v>
      </c>
      <c r="K15" s="57" t="s">
        <v>17</v>
      </c>
      <c r="L15" s="12">
        <v>45931</v>
      </c>
      <c r="M15" s="12">
        <v>45939</v>
      </c>
      <c r="N15" s="44">
        <f t="shared" si="1"/>
        <v>8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>
        <v>82135839</v>
      </c>
      <c r="B16" s="11" t="str">
        <f t="shared" si="0"/>
        <v>8.213.583-9</v>
      </c>
      <c r="C16" s="11" t="s">
        <v>14</v>
      </c>
      <c r="D16" s="11" t="s">
        <v>144</v>
      </c>
      <c r="E16" s="11" t="s">
        <v>680</v>
      </c>
      <c r="F16" s="11" t="s">
        <v>99</v>
      </c>
      <c r="G16" s="12">
        <v>45923</v>
      </c>
      <c r="H16" s="12">
        <v>45939</v>
      </c>
      <c r="I16" s="11" t="s">
        <v>15</v>
      </c>
      <c r="J16" s="48" t="s">
        <v>60</v>
      </c>
      <c r="K16" s="57" t="s">
        <v>18</v>
      </c>
      <c r="L16" s="12">
        <v>45931</v>
      </c>
      <c r="M16" s="12">
        <v>45934</v>
      </c>
      <c r="N16" s="44">
        <f t="shared" si="1"/>
        <v>3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>
        <v>68526604</v>
      </c>
      <c r="B17" s="11" t="str">
        <f t="shared" si="0"/>
        <v>6.852.660-4</v>
      </c>
      <c r="C17" s="11" t="s">
        <v>14</v>
      </c>
      <c r="D17" s="11" t="s">
        <v>445</v>
      </c>
      <c r="E17" s="11" t="s">
        <v>178</v>
      </c>
      <c r="F17" s="11" t="s">
        <v>300</v>
      </c>
      <c r="G17" s="12">
        <v>45925</v>
      </c>
      <c r="H17" s="12">
        <v>45936</v>
      </c>
      <c r="I17" s="11" t="s">
        <v>47</v>
      </c>
      <c r="J17" s="48" t="s">
        <v>106</v>
      </c>
      <c r="K17" s="57" t="s">
        <v>16</v>
      </c>
      <c r="L17" s="12">
        <v>45931</v>
      </c>
      <c r="M17" s="12">
        <v>45936</v>
      </c>
      <c r="N17" s="44">
        <f t="shared" si="1"/>
        <v>5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68526604</v>
      </c>
      <c r="B18" s="11" t="str">
        <f t="shared" si="0"/>
        <v>6.852.660-4</v>
      </c>
      <c r="C18" s="11" t="s">
        <v>14</v>
      </c>
      <c r="D18" s="11" t="s">
        <v>445</v>
      </c>
      <c r="E18" s="11" t="s">
        <v>178</v>
      </c>
      <c r="F18" s="11" t="s">
        <v>300</v>
      </c>
      <c r="G18" s="12">
        <v>45925</v>
      </c>
      <c r="H18" s="12">
        <v>45936</v>
      </c>
      <c r="I18" s="11" t="s">
        <v>47</v>
      </c>
      <c r="J18" s="48" t="s">
        <v>106</v>
      </c>
      <c r="K18" s="57" t="s">
        <v>17</v>
      </c>
      <c r="L18" s="12">
        <v>45931</v>
      </c>
      <c r="M18" s="12">
        <v>45936</v>
      </c>
      <c r="N18" s="44">
        <f t="shared" si="1"/>
        <v>5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68526604</v>
      </c>
      <c r="B19" s="11" t="str">
        <f t="shared" si="0"/>
        <v>6.852.660-4</v>
      </c>
      <c r="C19" s="11" t="s">
        <v>14</v>
      </c>
      <c r="D19" s="11" t="s">
        <v>445</v>
      </c>
      <c r="E19" s="11" t="s">
        <v>178</v>
      </c>
      <c r="F19" s="11" t="s">
        <v>300</v>
      </c>
      <c r="G19" s="12">
        <v>45925</v>
      </c>
      <c r="H19" s="12">
        <v>45936</v>
      </c>
      <c r="I19" s="11" t="s">
        <v>47</v>
      </c>
      <c r="J19" s="48" t="s">
        <v>106</v>
      </c>
      <c r="K19" s="57" t="s">
        <v>18</v>
      </c>
      <c r="L19" s="12">
        <v>45931</v>
      </c>
      <c r="M19" s="12">
        <v>45936</v>
      </c>
      <c r="N19" s="44">
        <f t="shared" si="1"/>
        <v>5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66373630</v>
      </c>
      <c r="B20" s="11" t="str">
        <f t="shared" si="0"/>
        <v>6.637.363-0</v>
      </c>
      <c r="C20" s="11" t="s">
        <v>14</v>
      </c>
      <c r="D20" s="11" t="s">
        <v>799</v>
      </c>
      <c r="E20" s="11" t="s">
        <v>800</v>
      </c>
      <c r="F20" s="11" t="s">
        <v>454</v>
      </c>
      <c r="G20" s="12">
        <v>45922</v>
      </c>
      <c r="H20" s="12">
        <v>45957</v>
      </c>
      <c r="I20" s="11" t="s">
        <v>15</v>
      </c>
      <c r="J20" s="48" t="s">
        <v>60</v>
      </c>
      <c r="K20" s="57" t="s">
        <v>16</v>
      </c>
      <c r="L20" s="12">
        <v>45931</v>
      </c>
      <c r="M20" s="35">
        <v>45957</v>
      </c>
      <c r="N20" s="44">
        <f t="shared" si="1"/>
        <v>26</v>
      </c>
      <c r="O20" s="131" t="s">
        <v>914</v>
      </c>
      <c r="P20" t="s">
        <v>942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66373630</v>
      </c>
      <c r="B21" s="11" t="str">
        <f t="shared" si="0"/>
        <v>6.637.363-0</v>
      </c>
      <c r="C21" s="11" t="s">
        <v>14</v>
      </c>
      <c r="D21" s="11" t="s">
        <v>799</v>
      </c>
      <c r="E21" s="11" t="s">
        <v>800</v>
      </c>
      <c r="F21" s="11" t="s">
        <v>454</v>
      </c>
      <c r="G21" s="12">
        <v>45922</v>
      </c>
      <c r="H21" s="12">
        <v>45957</v>
      </c>
      <c r="I21" s="11" t="s">
        <v>15</v>
      </c>
      <c r="J21" s="48" t="s">
        <v>60</v>
      </c>
      <c r="K21" s="57" t="s">
        <v>17</v>
      </c>
      <c r="L21" s="12">
        <v>45931</v>
      </c>
      <c r="M21" s="35">
        <v>45951</v>
      </c>
      <c r="N21" s="44">
        <f t="shared" si="1"/>
        <v>20</v>
      </c>
      <c r="O21" s="133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66373630</v>
      </c>
      <c r="B22" s="11" t="str">
        <f t="shared" si="0"/>
        <v>6.637.363-0</v>
      </c>
      <c r="C22" s="11" t="s">
        <v>14</v>
      </c>
      <c r="D22" s="11" t="s">
        <v>799</v>
      </c>
      <c r="E22" s="11" t="s">
        <v>800</v>
      </c>
      <c r="F22" s="11" t="s">
        <v>454</v>
      </c>
      <c r="G22" s="12">
        <v>45922</v>
      </c>
      <c r="H22" s="12">
        <v>45957</v>
      </c>
      <c r="I22" s="11" t="s">
        <v>15</v>
      </c>
      <c r="J22" s="48" t="s">
        <v>60</v>
      </c>
      <c r="K22" s="57" t="s">
        <v>18</v>
      </c>
      <c r="L22" s="12">
        <v>45931</v>
      </c>
      <c r="M22" s="35">
        <v>45957</v>
      </c>
      <c r="N22" s="44">
        <f t="shared" si="1"/>
        <v>26</v>
      </c>
      <c r="O22" s="132"/>
      <c r="P22" t="s">
        <v>981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143533646</v>
      </c>
      <c r="B23" s="11" t="str">
        <f t="shared" si="0"/>
        <v>14.353.364-6</v>
      </c>
      <c r="C23" s="11" t="s">
        <v>14</v>
      </c>
      <c r="D23" s="11" t="s">
        <v>398</v>
      </c>
      <c r="E23" s="11" t="s">
        <v>435</v>
      </c>
      <c r="F23" s="11" t="s">
        <v>460</v>
      </c>
      <c r="G23" s="12">
        <v>45932</v>
      </c>
      <c r="H23" s="12">
        <v>45936</v>
      </c>
      <c r="I23" s="11" t="s">
        <v>15</v>
      </c>
      <c r="J23" s="48" t="s">
        <v>42</v>
      </c>
      <c r="K23" s="57" t="s">
        <v>16</v>
      </c>
      <c r="L23" s="12">
        <v>45932</v>
      </c>
      <c r="M23" s="12">
        <v>45935</v>
      </c>
      <c r="N23" s="44">
        <f t="shared" si="1"/>
        <v>3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143533646</v>
      </c>
      <c r="B24" s="11" t="str">
        <f t="shared" si="0"/>
        <v>14.353.364-6</v>
      </c>
      <c r="C24" s="11" t="s">
        <v>14</v>
      </c>
      <c r="D24" s="11" t="s">
        <v>398</v>
      </c>
      <c r="E24" s="11" t="s">
        <v>435</v>
      </c>
      <c r="F24" s="11" t="s">
        <v>460</v>
      </c>
      <c r="G24" s="12">
        <v>45932</v>
      </c>
      <c r="H24" s="12">
        <v>45936</v>
      </c>
      <c r="I24" s="11" t="s">
        <v>15</v>
      </c>
      <c r="J24" s="48" t="s">
        <v>42</v>
      </c>
      <c r="K24" s="57" t="s">
        <v>17</v>
      </c>
      <c r="L24" s="12">
        <v>45932</v>
      </c>
      <c r="M24" s="12">
        <v>45934</v>
      </c>
      <c r="N24" s="44">
        <f t="shared" si="1"/>
        <v>2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143533646</v>
      </c>
      <c r="B25" s="11" t="str">
        <f t="shared" si="0"/>
        <v>14.353.364-6</v>
      </c>
      <c r="C25" s="11" t="s">
        <v>14</v>
      </c>
      <c r="D25" s="11" t="s">
        <v>398</v>
      </c>
      <c r="E25" s="11" t="s">
        <v>435</v>
      </c>
      <c r="F25" s="11" t="s">
        <v>460</v>
      </c>
      <c r="G25" s="12">
        <v>45932</v>
      </c>
      <c r="H25" s="12">
        <v>45936</v>
      </c>
      <c r="I25" s="11" t="s">
        <v>15</v>
      </c>
      <c r="J25" s="48" t="s">
        <v>42</v>
      </c>
      <c r="K25" s="57" t="s">
        <v>18</v>
      </c>
      <c r="L25" s="12">
        <v>45932</v>
      </c>
      <c r="M25" s="12">
        <v>45934</v>
      </c>
      <c r="N25" s="44">
        <f t="shared" si="1"/>
        <v>2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81930198</v>
      </c>
      <c r="B26" s="11" t="str">
        <f t="shared" si="0"/>
        <v>8.193.019-8</v>
      </c>
      <c r="C26" s="11" t="s">
        <v>14</v>
      </c>
      <c r="D26" s="11" t="s">
        <v>151</v>
      </c>
      <c r="E26" s="11" t="s">
        <v>803</v>
      </c>
      <c r="F26" s="11" t="s">
        <v>414</v>
      </c>
      <c r="G26" s="12">
        <v>45931</v>
      </c>
      <c r="H26" s="12">
        <v>45936</v>
      </c>
      <c r="I26" s="11" t="s">
        <v>15</v>
      </c>
      <c r="J26" s="48" t="s">
        <v>106</v>
      </c>
      <c r="K26" s="57" t="s">
        <v>16</v>
      </c>
      <c r="L26" s="12">
        <v>45931</v>
      </c>
      <c r="M26" s="12">
        <v>45936</v>
      </c>
      <c r="N26" s="44">
        <f t="shared" si="1"/>
        <v>5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81930198</v>
      </c>
      <c r="B27" s="11" t="str">
        <f t="shared" si="0"/>
        <v>8.193.019-8</v>
      </c>
      <c r="C27" s="11" t="s">
        <v>14</v>
      </c>
      <c r="D27" s="11" t="s">
        <v>151</v>
      </c>
      <c r="E27" s="11" t="s">
        <v>803</v>
      </c>
      <c r="F27" s="11" t="s">
        <v>414</v>
      </c>
      <c r="G27" s="12">
        <v>45931</v>
      </c>
      <c r="H27" s="12">
        <v>45936</v>
      </c>
      <c r="I27" s="11" t="s">
        <v>15</v>
      </c>
      <c r="J27" s="48" t="s">
        <v>106</v>
      </c>
      <c r="K27" s="57" t="s">
        <v>17</v>
      </c>
      <c r="L27" s="12">
        <v>45931</v>
      </c>
      <c r="M27" s="12">
        <v>45936</v>
      </c>
      <c r="N27" s="44">
        <f t="shared" si="1"/>
        <v>5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81930198</v>
      </c>
      <c r="B28" s="11" t="str">
        <f t="shared" si="0"/>
        <v>8.193.019-8</v>
      </c>
      <c r="C28" s="11" t="s">
        <v>14</v>
      </c>
      <c r="D28" s="11" t="s">
        <v>151</v>
      </c>
      <c r="E28" s="11" t="s">
        <v>803</v>
      </c>
      <c r="F28" s="11" t="s">
        <v>414</v>
      </c>
      <c r="G28" s="12">
        <v>45931</v>
      </c>
      <c r="H28" s="12">
        <v>45936</v>
      </c>
      <c r="I28" s="11" t="s">
        <v>15</v>
      </c>
      <c r="J28" s="48" t="s">
        <v>106</v>
      </c>
      <c r="K28" s="57" t="s">
        <v>18</v>
      </c>
      <c r="L28" s="12">
        <v>45931</v>
      </c>
      <c r="M28" s="12">
        <v>45936</v>
      </c>
      <c r="N28" s="44">
        <f t="shared" si="1"/>
        <v>5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71291502</v>
      </c>
      <c r="B29" s="11" t="str">
        <f t="shared" si="0"/>
        <v>7.129.150-2</v>
      </c>
      <c r="C29" s="11" t="s">
        <v>14</v>
      </c>
      <c r="D29" s="11" t="s">
        <v>383</v>
      </c>
      <c r="E29" s="11" t="s">
        <v>804</v>
      </c>
      <c r="F29" s="11" t="s">
        <v>805</v>
      </c>
      <c r="G29" s="12">
        <v>45931</v>
      </c>
      <c r="H29" s="12">
        <v>45933</v>
      </c>
      <c r="I29" s="11" t="s">
        <v>15</v>
      </c>
      <c r="J29" s="48" t="s">
        <v>60</v>
      </c>
      <c r="K29" s="57" t="s">
        <v>16</v>
      </c>
      <c r="L29" s="12">
        <v>45931</v>
      </c>
      <c r="M29" s="12">
        <v>45933</v>
      </c>
      <c r="N29" s="44">
        <f t="shared" si="1"/>
        <v>2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71291502</v>
      </c>
      <c r="B30" s="11" t="str">
        <f t="shared" si="0"/>
        <v>7.129.150-2</v>
      </c>
      <c r="C30" s="11" t="s">
        <v>14</v>
      </c>
      <c r="D30" s="11" t="s">
        <v>383</v>
      </c>
      <c r="E30" s="11" t="s">
        <v>804</v>
      </c>
      <c r="F30" s="11" t="s">
        <v>805</v>
      </c>
      <c r="G30" s="12">
        <v>45931</v>
      </c>
      <c r="H30" s="12">
        <v>45933</v>
      </c>
      <c r="I30" s="11" t="s">
        <v>15</v>
      </c>
      <c r="J30" s="48" t="s">
        <v>60</v>
      </c>
      <c r="K30" s="58" t="s">
        <v>17</v>
      </c>
      <c r="L30" s="38">
        <v>45931</v>
      </c>
      <c r="M30" s="38">
        <v>45933</v>
      </c>
      <c r="N30" s="44">
        <f t="shared" si="1"/>
        <v>2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78820381</v>
      </c>
      <c r="B31" s="11" t="str">
        <f t="shared" si="0"/>
        <v>7.882.038-1</v>
      </c>
      <c r="C31" s="11" t="s">
        <v>14</v>
      </c>
      <c r="D31" s="11" t="s">
        <v>551</v>
      </c>
      <c r="E31" s="11" t="s">
        <v>325</v>
      </c>
      <c r="F31" s="11" t="s">
        <v>806</v>
      </c>
      <c r="G31" s="12">
        <v>45933</v>
      </c>
      <c r="H31" s="12">
        <v>45936</v>
      </c>
      <c r="I31" s="11" t="s">
        <v>60</v>
      </c>
      <c r="J31" s="48" t="s">
        <v>106</v>
      </c>
      <c r="K31" s="57" t="s">
        <v>16</v>
      </c>
      <c r="L31" s="12">
        <v>45933</v>
      </c>
      <c r="M31" s="12">
        <v>45936</v>
      </c>
      <c r="N31" s="44">
        <f t="shared" si="1"/>
        <v>3</v>
      </c>
      <c r="O31" s="44"/>
      <c r="P31" t="s">
        <v>947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78820381</v>
      </c>
      <c r="B32" s="11" t="str">
        <f t="shared" si="0"/>
        <v>7.882.038-1</v>
      </c>
      <c r="C32" s="11" t="s">
        <v>14</v>
      </c>
      <c r="D32" s="11" t="s">
        <v>551</v>
      </c>
      <c r="E32" s="11" t="s">
        <v>325</v>
      </c>
      <c r="F32" s="11" t="s">
        <v>806</v>
      </c>
      <c r="G32" s="12">
        <v>45933</v>
      </c>
      <c r="H32" s="12">
        <v>45936</v>
      </c>
      <c r="I32" s="11" t="s">
        <v>60</v>
      </c>
      <c r="J32" s="48" t="s">
        <v>106</v>
      </c>
      <c r="K32" s="57" t="s">
        <v>17</v>
      </c>
      <c r="L32" s="12">
        <v>45933</v>
      </c>
      <c r="M32" s="12">
        <v>45936</v>
      </c>
      <c r="N32" s="44">
        <f t="shared" si="1"/>
        <v>3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78820381</v>
      </c>
      <c r="B33" s="11" t="str">
        <f t="shared" si="0"/>
        <v>7.882.038-1</v>
      </c>
      <c r="C33" s="11" t="s">
        <v>14</v>
      </c>
      <c r="D33" s="11" t="s">
        <v>551</v>
      </c>
      <c r="E33" s="11" t="s">
        <v>325</v>
      </c>
      <c r="F33" s="11" t="s">
        <v>806</v>
      </c>
      <c r="G33" s="12">
        <v>45933</v>
      </c>
      <c r="H33" s="12">
        <v>45936</v>
      </c>
      <c r="I33" s="11" t="s">
        <v>60</v>
      </c>
      <c r="J33" s="48" t="s">
        <v>106</v>
      </c>
      <c r="K33" s="57" t="s">
        <v>18</v>
      </c>
      <c r="L33" s="12">
        <v>45933</v>
      </c>
      <c r="M33" s="12">
        <v>45936</v>
      </c>
      <c r="N33" s="44">
        <f t="shared" si="1"/>
        <v>3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66452794</v>
      </c>
      <c r="B34" s="11" t="str">
        <f t="shared" si="0"/>
        <v>6.645.279-4</v>
      </c>
      <c r="C34" s="11" t="s">
        <v>14</v>
      </c>
      <c r="D34" s="11" t="s">
        <v>30</v>
      </c>
      <c r="E34" s="11" t="s">
        <v>405</v>
      </c>
      <c r="F34" s="11" t="s">
        <v>379</v>
      </c>
      <c r="G34" s="12">
        <v>45931</v>
      </c>
      <c r="H34" s="12">
        <v>45934</v>
      </c>
      <c r="I34" s="11" t="s">
        <v>15</v>
      </c>
      <c r="J34" s="48" t="s">
        <v>47</v>
      </c>
      <c r="K34" s="57" t="s">
        <v>16</v>
      </c>
      <c r="L34" s="12">
        <v>45931</v>
      </c>
      <c r="M34" s="12">
        <v>45934</v>
      </c>
      <c r="N34" s="44">
        <f t="shared" si="1"/>
        <v>3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66452794</v>
      </c>
      <c r="B35" s="11" t="str">
        <f t="shared" si="0"/>
        <v>6.645.279-4</v>
      </c>
      <c r="C35" s="11" t="s">
        <v>14</v>
      </c>
      <c r="D35" s="11" t="s">
        <v>30</v>
      </c>
      <c r="E35" s="11" t="s">
        <v>405</v>
      </c>
      <c r="F35" s="11" t="s">
        <v>379</v>
      </c>
      <c r="G35" s="12">
        <v>45931</v>
      </c>
      <c r="H35" s="12">
        <v>45934</v>
      </c>
      <c r="I35" s="11" t="s">
        <v>15</v>
      </c>
      <c r="J35" s="48" t="s">
        <v>47</v>
      </c>
      <c r="K35" s="57" t="s">
        <v>17</v>
      </c>
      <c r="L35" s="12">
        <v>45931</v>
      </c>
      <c r="M35" s="12">
        <v>45934</v>
      </c>
      <c r="N35" s="44">
        <f t="shared" si="1"/>
        <v>3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66452794</v>
      </c>
      <c r="B36" s="11" t="str">
        <f t="shared" si="0"/>
        <v>6.645.279-4</v>
      </c>
      <c r="C36" s="11" t="s">
        <v>14</v>
      </c>
      <c r="D36" s="11" t="s">
        <v>30</v>
      </c>
      <c r="E36" s="11" t="s">
        <v>405</v>
      </c>
      <c r="F36" s="11" t="s">
        <v>379</v>
      </c>
      <c r="G36" s="12">
        <v>45931</v>
      </c>
      <c r="H36" s="12">
        <v>45934</v>
      </c>
      <c r="I36" s="11" t="s">
        <v>15</v>
      </c>
      <c r="J36" s="48" t="s">
        <v>47</v>
      </c>
      <c r="K36" s="57" t="s">
        <v>18</v>
      </c>
      <c r="L36" s="12">
        <v>45931</v>
      </c>
      <c r="M36" s="12">
        <v>45932</v>
      </c>
      <c r="N36" s="44">
        <f t="shared" si="1"/>
        <v>1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100001586</v>
      </c>
      <c r="B37" s="11" t="str">
        <f t="shared" si="0"/>
        <v>10.000.158-6</v>
      </c>
      <c r="C37" s="11" t="s">
        <v>14</v>
      </c>
      <c r="D37" s="11" t="s">
        <v>512</v>
      </c>
      <c r="E37" s="11" t="s">
        <v>807</v>
      </c>
      <c r="F37" s="11" t="s">
        <v>566</v>
      </c>
      <c r="G37" s="12">
        <v>45935</v>
      </c>
      <c r="H37" s="12">
        <v>45937</v>
      </c>
      <c r="I37" s="11" t="s">
        <v>200</v>
      </c>
      <c r="J37" s="48" t="s">
        <v>106</v>
      </c>
      <c r="K37" s="57" t="s">
        <v>16</v>
      </c>
      <c r="L37" s="12">
        <v>45935</v>
      </c>
      <c r="M37" s="12">
        <v>45937</v>
      </c>
      <c r="N37" s="44">
        <f t="shared" si="1"/>
        <v>2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100001586</v>
      </c>
      <c r="B38" s="11" t="str">
        <f t="shared" si="0"/>
        <v>10.000.158-6</v>
      </c>
      <c r="C38" s="11" t="s">
        <v>14</v>
      </c>
      <c r="D38" s="11" t="s">
        <v>512</v>
      </c>
      <c r="E38" s="11" t="s">
        <v>807</v>
      </c>
      <c r="F38" s="11" t="s">
        <v>566</v>
      </c>
      <c r="G38" s="12">
        <v>45935</v>
      </c>
      <c r="H38" s="12">
        <v>45937</v>
      </c>
      <c r="I38" s="11" t="s">
        <v>200</v>
      </c>
      <c r="J38" s="48" t="s">
        <v>106</v>
      </c>
      <c r="K38" s="57" t="s">
        <v>17</v>
      </c>
      <c r="L38" s="12">
        <v>45935</v>
      </c>
      <c r="M38" s="12">
        <v>45937</v>
      </c>
      <c r="N38" s="44">
        <f t="shared" si="1"/>
        <v>2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100001586</v>
      </c>
      <c r="B39" s="11" t="str">
        <f t="shared" si="0"/>
        <v>10.000.158-6</v>
      </c>
      <c r="C39" s="11" t="s">
        <v>14</v>
      </c>
      <c r="D39" s="11" t="s">
        <v>512</v>
      </c>
      <c r="E39" s="11" t="s">
        <v>807</v>
      </c>
      <c r="F39" s="11" t="s">
        <v>566</v>
      </c>
      <c r="G39" s="12">
        <v>45935</v>
      </c>
      <c r="H39" s="12">
        <v>45937</v>
      </c>
      <c r="I39" s="11" t="s">
        <v>200</v>
      </c>
      <c r="J39" s="48" t="s">
        <v>106</v>
      </c>
      <c r="K39" s="58" t="s">
        <v>18</v>
      </c>
      <c r="L39" s="38">
        <v>45935</v>
      </c>
      <c r="M39" s="38">
        <v>45937</v>
      </c>
      <c r="N39" s="44">
        <f t="shared" si="1"/>
        <v>2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113009020</v>
      </c>
      <c r="B40" s="11" t="str">
        <f t="shared" si="0"/>
        <v>11.300.902-0</v>
      </c>
      <c r="C40" s="11" t="s">
        <v>14</v>
      </c>
      <c r="D40" s="11" t="s">
        <v>131</v>
      </c>
      <c r="E40" s="11" t="s">
        <v>237</v>
      </c>
      <c r="F40" s="11" t="s">
        <v>460</v>
      </c>
      <c r="G40" s="12">
        <v>45940</v>
      </c>
      <c r="H40" s="12">
        <v>45942</v>
      </c>
      <c r="I40" s="11" t="s">
        <v>15</v>
      </c>
      <c r="J40" s="48" t="s">
        <v>42</v>
      </c>
      <c r="K40" s="57" t="s">
        <v>17</v>
      </c>
      <c r="L40" s="12">
        <v>45940</v>
      </c>
      <c r="M40" s="12">
        <v>45941</v>
      </c>
      <c r="N40" s="44">
        <f t="shared" si="1"/>
        <v>1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113009020</v>
      </c>
      <c r="B41" s="11" t="str">
        <f t="shared" si="0"/>
        <v>11.300.902-0</v>
      </c>
      <c r="C41" s="11" t="s">
        <v>14</v>
      </c>
      <c r="D41" s="11" t="s">
        <v>131</v>
      </c>
      <c r="E41" s="11" t="s">
        <v>237</v>
      </c>
      <c r="F41" s="11" t="s">
        <v>460</v>
      </c>
      <c r="G41" s="12">
        <v>45940</v>
      </c>
      <c r="H41" s="12">
        <v>45942</v>
      </c>
      <c r="I41" s="11" t="s">
        <v>15</v>
      </c>
      <c r="J41" s="48" t="s">
        <v>42</v>
      </c>
      <c r="K41" s="57" t="s">
        <v>16</v>
      </c>
      <c r="L41" s="12">
        <v>45940</v>
      </c>
      <c r="M41" s="12">
        <v>45941</v>
      </c>
      <c r="N41" s="44">
        <f t="shared" si="1"/>
        <v>1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113009020</v>
      </c>
      <c r="B42" s="11" t="str">
        <f t="shared" si="0"/>
        <v>11.300.902-0</v>
      </c>
      <c r="C42" s="11" t="s">
        <v>14</v>
      </c>
      <c r="D42" s="11" t="s">
        <v>131</v>
      </c>
      <c r="E42" s="11" t="s">
        <v>237</v>
      </c>
      <c r="F42" s="11" t="s">
        <v>460</v>
      </c>
      <c r="G42" s="12">
        <v>45940</v>
      </c>
      <c r="H42" s="12">
        <v>45942</v>
      </c>
      <c r="I42" s="11" t="s">
        <v>15</v>
      </c>
      <c r="J42" s="48" t="s">
        <v>42</v>
      </c>
      <c r="K42" s="57" t="s">
        <v>18</v>
      </c>
      <c r="L42" s="12">
        <v>45940</v>
      </c>
      <c r="M42" s="12">
        <v>45940</v>
      </c>
      <c r="N42" s="44">
        <f t="shared" si="1"/>
        <v>0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 t="s">
        <v>811</v>
      </c>
      <c r="B43" s="11" t="str">
        <f t="shared" si="0"/>
        <v>5.485.210-k</v>
      </c>
      <c r="C43" s="11" t="s">
        <v>14</v>
      </c>
      <c r="D43" s="11" t="s">
        <v>172</v>
      </c>
      <c r="E43" s="11" t="s">
        <v>812</v>
      </c>
      <c r="F43" s="11" t="s">
        <v>135</v>
      </c>
      <c r="G43" s="12">
        <v>45938</v>
      </c>
      <c r="H43" s="12">
        <v>45942</v>
      </c>
      <c r="I43" s="11" t="s">
        <v>15</v>
      </c>
      <c r="J43" s="48" t="s">
        <v>47</v>
      </c>
      <c r="K43" s="57" t="s">
        <v>17</v>
      </c>
      <c r="L43" s="12">
        <v>45938</v>
      </c>
      <c r="M43" s="12">
        <v>45942</v>
      </c>
      <c r="N43" s="44">
        <f t="shared" si="1"/>
        <v>4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101848736</v>
      </c>
      <c r="B44" s="11" t="str">
        <f t="shared" si="0"/>
        <v>10.184.873-6</v>
      </c>
      <c r="C44" s="11" t="s">
        <v>14</v>
      </c>
      <c r="D44" s="11" t="s">
        <v>813</v>
      </c>
      <c r="E44" s="11" t="s">
        <v>407</v>
      </c>
      <c r="F44" s="11" t="s">
        <v>414</v>
      </c>
      <c r="G44" s="12">
        <v>45939</v>
      </c>
      <c r="H44" s="12">
        <v>45943</v>
      </c>
      <c r="I44" s="11" t="s">
        <v>15</v>
      </c>
      <c r="J44" s="48" t="s">
        <v>28</v>
      </c>
      <c r="K44" s="57" t="s">
        <v>16</v>
      </c>
      <c r="L44" s="12">
        <v>45939</v>
      </c>
      <c r="M44" s="12">
        <v>45943</v>
      </c>
      <c r="N44" s="44">
        <f t="shared" si="1"/>
        <v>4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101848736</v>
      </c>
      <c r="B45" s="11" t="str">
        <f t="shared" si="0"/>
        <v>10.184.873-6</v>
      </c>
      <c r="C45" s="11" t="s">
        <v>14</v>
      </c>
      <c r="D45" s="11" t="s">
        <v>813</v>
      </c>
      <c r="E45" s="11" t="s">
        <v>407</v>
      </c>
      <c r="F45" s="11" t="s">
        <v>414</v>
      </c>
      <c r="G45" s="12">
        <v>45939</v>
      </c>
      <c r="H45" s="12">
        <v>45943</v>
      </c>
      <c r="I45" s="11" t="s">
        <v>15</v>
      </c>
      <c r="J45" s="48" t="s">
        <v>28</v>
      </c>
      <c r="K45" s="57" t="s">
        <v>17</v>
      </c>
      <c r="L45" s="12">
        <v>45939</v>
      </c>
      <c r="M45" s="12">
        <v>45943</v>
      </c>
      <c r="N45" s="44">
        <f t="shared" si="1"/>
        <v>4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101848736</v>
      </c>
      <c r="B46" s="11" t="str">
        <f t="shared" si="0"/>
        <v>10.184.873-6</v>
      </c>
      <c r="C46" s="11" t="s">
        <v>14</v>
      </c>
      <c r="D46" s="11" t="s">
        <v>813</v>
      </c>
      <c r="E46" s="11" t="s">
        <v>407</v>
      </c>
      <c r="F46" s="11" t="s">
        <v>414</v>
      </c>
      <c r="G46" s="12">
        <v>45939</v>
      </c>
      <c r="H46" s="12">
        <v>45943</v>
      </c>
      <c r="I46" s="11" t="s">
        <v>15</v>
      </c>
      <c r="J46" s="48" t="s">
        <v>28</v>
      </c>
      <c r="K46" s="58" t="s">
        <v>18</v>
      </c>
      <c r="L46" s="38">
        <v>45939</v>
      </c>
      <c r="M46" s="38">
        <v>45941</v>
      </c>
      <c r="N46" s="44">
        <f t="shared" si="1"/>
        <v>2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106593701</v>
      </c>
      <c r="B47" s="11" t="str">
        <f t="shared" si="0"/>
        <v>10.659.370-1</v>
      </c>
      <c r="C47" s="11" t="s">
        <v>14</v>
      </c>
      <c r="D47" s="11" t="s">
        <v>814</v>
      </c>
      <c r="E47" s="11" t="s">
        <v>121</v>
      </c>
      <c r="F47" s="11" t="s">
        <v>414</v>
      </c>
      <c r="G47" s="12">
        <v>45942</v>
      </c>
      <c r="H47" s="12">
        <v>45947</v>
      </c>
      <c r="I47" s="11" t="s">
        <v>15</v>
      </c>
      <c r="J47" s="48" t="s">
        <v>28</v>
      </c>
      <c r="K47" s="57" t="s">
        <v>16</v>
      </c>
      <c r="L47" s="12">
        <v>45942</v>
      </c>
      <c r="M47" s="12">
        <v>45947</v>
      </c>
      <c r="N47" s="44">
        <f t="shared" si="1"/>
        <v>5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106593701</v>
      </c>
      <c r="B48" s="11" t="str">
        <f t="shared" si="0"/>
        <v>10.659.370-1</v>
      </c>
      <c r="C48" s="11" t="s">
        <v>14</v>
      </c>
      <c r="D48" s="11" t="s">
        <v>814</v>
      </c>
      <c r="E48" s="11" t="s">
        <v>121</v>
      </c>
      <c r="F48" s="11" t="s">
        <v>414</v>
      </c>
      <c r="G48" s="12">
        <v>45942</v>
      </c>
      <c r="H48" s="12">
        <v>45947</v>
      </c>
      <c r="I48" s="11" t="s">
        <v>15</v>
      </c>
      <c r="J48" s="48" t="s">
        <v>28</v>
      </c>
      <c r="K48" s="57" t="s">
        <v>17</v>
      </c>
      <c r="L48" s="12">
        <v>45942</v>
      </c>
      <c r="M48" s="12">
        <v>45947</v>
      </c>
      <c r="N48" s="44">
        <f t="shared" si="1"/>
        <v>5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106593701</v>
      </c>
      <c r="B49" s="11" t="str">
        <f t="shared" si="0"/>
        <v>10.659.370-1</v>
      </c>
      <c r="C49" s="11" t="s">
        <v>14</v>
      </c>
      <c r="D49" s="11" t="s">
        <v>814</v>
      </c>
      <c r="E49" s="11" t="s">
        <v>121</v>
      </c>
      <c r="F49" s="11" t="s">
        <v>414</v>
      </c>
      <c r="G49" s="12">
        <v>45942</v>
      </c>
      <c r="H49" s="12">
        <v>45947</v>
      </c>
      <c r="I49" s="11" t="s">
        <v>15</v>
      </c>
      <c r="J49" s="48" t="s">
        <v>28</v>
      </c>
      <c r="K49" s="57" t="s">
        <v>18</v>
      </c>
      <c r="L49" s="12">
        <v>45942</v>
      </c>
      <c r="M49" s="35">
        <v>45945</v>
      </c>
      <c r="N49" s="44">
        <f t="shared" si="1"/>
        <v>3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78587571</v>
      </c>
      <c r="B50" s="11" t="str">
        <f t="shared" si="0"/>
        <v>7.858.757-1</v>
      </c>
      <c r="C50" s="11" t="s">
        <v>14</v>
      </c>
      <c r="D50" s="11" t="s">
        <v>115</v>
      </c>
      <c r="E50" s="11" t="s">
        <v>346</v>
      </c>
      <c r="F50" s="11" t="s">
        <v>613</v>
      </c>
      <c r="G50" s="12">
        <v>45940</v>
      </c>
      <c r="H50" s="12">
        <v>45943</v>
      </c>
      <c r="I50" s="11" t="s">
        <v>15</v>
      </c>
      <c r="J50" s="48" t="s">
        <v>106</v>
      </c>
      <c r="K50" s="57" t="s">
        <v>16</v>
      </c>
      <c r="L50" s="12">
        <v>45940</v>
      </c>
      <c r="M50" s="12">
        <v>45943</v>
      </c>
      <c r="N50" s="44">
        <f t="shared" si="1"/>
        <v>3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78587571</v>
      </c>
      <c r="B51" s="11" t="str">
        <f t="shared" si="0"/>
        <v>7.858.757-1</v>
      </c>
      <c r="C51" s="11" t="s">
        <v>14</v>
      </c>
      <c r="D51" s="11" t="s">
        <v>115</v>
      </c>
      <c r="E51" s="11" t="s">
        <v>346</v>
      </c>
      <c r="F51" s="11" t="s">
        <v>613</v>
      </c>
      <c r="G51" s="12">
        <v>45940</v>
      </c>
      <c r="H51" s="12">
        <v>45943</v>
      </c>
      <c r="I51" s="11" t="s">
        <v>15</v>
      </c>
      <c r="J51" s="48" t="s">
        <v>106</v>
      </c>
      <c r="K51" s="57" t="s">
        <v>18</v>
      </c>
      <c r="L51" s="12">
        <v>45940</v>
      </c>
      <c r="M51" s="12">
        <v>45943</v>
      </c>
      <c r="N51" s="44">
        <f t="shared" si="1"/>
        <v>3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83078332</v>
      </c>
      <c r="B52" s="11" t="str">
        <f t="shared" si="0"/>
        <v>8.307.833-2</v>
      </c>
      <c r="C52" s="11" t="s">
        <v>14</v>
      </c>
      <c r="D52" s="11" t="s">
        <v>509</v>
      </c>
      <c r="E52" s="11" t="s">
        <v>333</v>
      </c>
      <c r="F52" s="11" t="s">
        <v>594</v>
      </c>
      <c r="G52" s="12">
        <v>45936</v>
      </c>
      <c r="H52" s="12"/>
      <c r="I52" s="11" t="s">
        <v>60</v>
      </c>
      <c r="J52" s="48" t="s">
        <v>843</v>
      </c>
      <c r="K52" s="57" t="s">
        <v>16</v>
      </c>
      <c r="L52" s="12">
        <v>45936</v>
      </c>
      <c r="M52" s="35">
        <v>45961</v>
      </c>
      <c r="N52" s="44">
        <f t="shared" si="1"/>
        <v>25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83078332</v>
      </c>
      <c r="B53" s="11" t="str">
        <f t="shared" si="0"/>
        <v>8.307.833-2</v>
      </c>
      <c r="C53" s="11" t="s">
        <v>14</v>
      </c>
      <c r="D53" s="11" t="s">
        <v>509</v>
      </c>
      <c r="E53" s="11" t="s">
        <v>333</v>
      </c>
      <c r="F53" s="11" t="s">
        <v>594</v>
      </c>
      <c r="G53" s="12">
        <v>45936</v>
      </c>
      <c r="H53" s="12"/>
      <c r="I53" s="11" t="s">
        <v>60</v>
      </c>
      <c r="J53" s="48" t="s">
        <v>843</v>
      </c>
      <c r="K53" s="57" t="s">
        <v>17</v>
      </c>
      <c r="L53" s="12">
        <v>45936</v>
      </c>
      <c r="M53" s="35">
        <v>45961</v>
      </c>
      <c r="N53" s="44">
        <f t="shared" si="1"/>
        <v>25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83078332</v>
      </c>
      <c r="B54" s="11" t="str">
        <f t="shared" si="0"/>
        <v>8.307.833-2</v>
      </c>
      <c r="C54" s="11" t="s">
        <v>14</v>
      </c>
      <c r="D54" s="11" t="s">
        <v>509</v>
      </c>
      <c r="E54" s="11" t="s">
        <v>333</v>
      </c>
      <c r="F54" s="11" t="s">
        <v>594</v>
      </c>
      <c r="G54" s="12">
        <v>45936</v>
      </c>
      <c r="H54" s="12"/>
      <c r="I54" s="11" t="s">
        <v>60</v>
      </c>
      <c r="J54" s="48" t="s">
        <v>843</v>
      </c>
      <c r="K54" s="57" t="s">
        <v>18</v>
      </c>
      <c r="L54" s="12">
        <v>45936</v>
      </c>
      <c r="M54" s="35">
        <v>45961</v>
      </c>
      <c r="N54" s="44">
        <f t="shared" si="1"/>
        <v>25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68760194</v>
      </c>
      <c r="B55" s="11" t="str">
        <f t="shared" si="0"/>
        <v>6.876.019-4</v>
      </c>
      <c r="C55" s="11" t="s">
        <v>14</v>
      </c>
      <c r="D55" s="11" t="s">
        <v>815</v>
      </c>
      <c r="E55" s="11" t="s">
        <v>816</v>
      </c>
      <c r="F55" s="11" t="s">
        <v>438</v>
      </c>
      <c r="G55" s="12">
        <v>45942</v>
      </c>
      <c r="H55" s="12">
        <v>45952</v>
      </c>
      <c r="I55" s="11" t="s">
        <v>15</v>
      </c>
      <c r="J55" s="48" t="s">
        <v>165</v>
      </c>
      <c r="K55" s="57" t="s">
        <v>16</v>
      </c>
      <c r="L55" s="12">
        <v>45942</v>
      </c>
      <c r="M55" s="12">
        <v>45952</v>
      </c>
      <c r="N55" s="44">
        <f t="shared" si="1"/>
        <v>10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68760194</v>
      </c>
      <c r="B56" s="11" t="str">
        <f t="shared" si="0"/>
        <v>6.876.019-4</v>
      </c>
      <c r="C56" s="11" t="s">
        <v>14</v>
      </c>
      <c r="D56" s="11" t="s">
        <v>815</v>
      </c>
      <c r="E56" s="11" t="s">
        <v>816</v>
      </c>
      <c r="F56" s="11" t="s">
        <v>438</v>
      </c>
      <c r="G56" s="12">
        <v>45942</v>
      </c>
      <c r="H56" s="12">
        <v>45952</v>
      </c>
      <c r="I56" s="11" t="s">
        <v>15</v>
      </c>
      <c r="J56" s="48" t="s">
        <v>165</v>
      </c>
      <c r="K56" s="57" t="s">
        <v>17</v>
      </c>
      <c r="L56" s="12">
        <v>45942</v>
      </c>
      <c r="M56" s="12">
        <v>45952</v>
      </c>
      <c r="N56" s="44">
        <f t="shared" si="1"/>
        <v>10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68760194</v>
      </c>
      <c r="B57" s="11" t="str">
        <f t="shared" si="0"/>
        <v>6.876.019-4</v>
      </c>
      <c r="C57" s="11" t="s">
        <v>14</v>
      </c>
      <c r="D57" s="11" t="s">
        <v>815</v>
      </c>
      <c r="E57" s="11" t="s">
        <v>816</v>
      </c>
      <c r="F57" s="11" t="s">
        <v>438</v>
      </c>
      <c r="G57" s="12">
        <v>45942</v>
      </c>
      <c r="H57" s="12">
        <v>45952</v>
      </c>
      <c r="I57" s="11" t="s">
        <v>15</v>
      </c>
      <c r="J57" s="48" t="s">
        <v>165</v>
      </c>
      <c r="K57" s="58" t="s">
        <v>18</v>
      </c>
      <c r="L57" s="38">
        <v>45942</v>
      </c>
      <c r="M57" s="59">
        <v>45945</v>
      </c>
      <c r="N57" s="44">
        <f t="shared" si="1"/>
        <v>3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125244793</v>
      </c>
      <c r="B58" s="11" t="str">
        <f t="shared" si="0"/>
        <v>12.524.479-3</v>
      </c>
      <c r="C58" s="11" t="s">
        <v>14</v>
      </c>
      <c r="D58" s="11" t="s">
        <v>482</v>
      </c>
      <c r="E58" s="11" t="s">
        <v>160</v>
      </c>
      <c r="F58" s="11" t="s">
        <v>372</v>
      </c>
      <c r="G58" s="12">
        <v>45941</v>
      </c>
      <c r="H58" s="12">
        <v>45947</v>
      </c>
      <c r="I58" s="11" t="s">
        <v>200</v>
      </c>
      <c r="J58" s="48" t="s">
        <v>60</v>
      </c>
      <c r="K58" s="57" t="s">
        <v>16</v>
      </c>
      <c r="L58" s="12">
        <v>45941</v>
      </c>
      <c r="M58" s="12">
        <v>45947</v>
      </c>
      <c r="N58" s="44">
        <f t="shared" si="1"/>
        <v>6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125244793</v>
      </c>
      <c r="B59" s="11" t="str">
        <f t="shared" si="0"/>
        <v>12.524.479-3</v>
      </c>
      <c r="C59" s="11" t="s">
        <v>14</v>
      </c>
      <c r="D59" s="11" t="s">
        <v>482</v>
      </c>
      <c r="E59" s="11" t="s">
        <v>160</v>
      </c>
      <c r="F59" s="11" t="s">
        <v>372</v>
      </c>
      <c r="G59" s="12">
        <v>45941</v>
      </c>
      <c r="H59" s="12">
        <v>45947</v>
      </c>
      <c r="I59" s="11" t="s">
        <v>200</v>
      </c>
      <c r="J59" s="48" t="s">
        <v>60</v>
      </c>
      <c r="K59" s="57" t="s">
        <v>17</v>
      </c>
      <c r="L59" s="12">
        <v>45941</v>
      </c>
      <c r="M59" s="12">
        <v>45947</v>
      </c>
      <c r="N59" s="44">
        <f t="shared" si="1"/>
        <v>6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125244793</v>
      </c>
      <c r="B60" s="11" t="str">
        <f t="shared" si="0"/>
        <v>12.524.479-3</v>
      </c>
      <c r="C60" s="11" t="s">
        <v>14</v>
      </c>
      <c r="D60" s="11" t="s">
        <v>482</v>
      </c>
      <c r="E60" s="11" t="s">
        <v>160</v>
      </c>
      <c r="F60" s="11" t="s">
        <v>372</v>
      </c>
      <c r="G60" s="12">
        <v>45941</v>
      </c>
      <c r="H60" s="12">
        <v>45947</v>
      </c>
      <c r="I60" s="11" t="s">
        <v>200</v>
      </c>
      <c r="J60" s="48" t="s">
        <v>60</v>
      </c>
      <c r="K60" s="57" t="s">
        <v>18</v>
      </c>
      <c r="L60" s="12">
        <v>45941</v>
      </c>
      <c r="M60" s="12">
        <v>45946</v>
      </c>
      <c r="N60" s="44">
        <f t="shared" si="1"/>
        <v>5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121829185</v>
      </c>
      <c r="B61" s="11" t="str">
        <f t="shared" si="0"/>
        <v>12.182.918-5</v>
      </c>
      <c r="C61" s="11" t="s">
        <v>14</v>
      </c>
      <c r="D61" s="11" t="s">
        <v>817</v>
      </c>
      <c r="E61" s="11" t="s">
        <v>497</v>
      </c>
      <c r="F61" s="11" t="s">
        <v>153</v>
      </c>
      <c r="G61" s="12">
        <v>45942</v>
      </c>
      <c r="H61" s="12">
        <v>45944</v>
      </c>
      <c r="I61" s="11" t="s">
        <v>15</v>
      </c>
      <c r="J61" s="48" t="s">
        <v>106</v>
      </c>
      <c r="K61" s="57" t="s">
        <v>16</v>
      </c>
      <c r="L61" s="12">
        <v>45942</v>
      </c>
      <c r="M61" s="12">
        <v>45944</v>
      </c>
      <c r="N61" s="44">
        <f t="shared" si="1"/>
        <v>2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121829185</v>
      </c>
      <c r="B62" s="11" t="str">
        <f t="shared" si="0"/>
        <v>12.182.918-5</v>
      </c>
      <c r="C62" s="11" t="s">
        <v>14</v>
      </c>
      <c r="D62" s="11" t="s">
        <v>817</v>
      </c>
      <c r="E62" s="11" t="s">
        <v>497</v>
      </c>
      <c r="F62" s="11" t="s">
        <v>153</v>
      </c>
      <c r="G62" s="12">
        <v>45942</v>
      </c>
      <c r="H62" s="12">
        <v>45944</v>
      </c>
      <c r="I62" s="11" t="s">
        <v>15</v>
      </c>
      <c r="J62" s="48" t="s">
        <v>106</v>
      </c>
      <c r="K62" s="57" t="s">
        <v>17</v>
      </c>
      <c r="L62" s="12">
        <v>45942</v>
      </c>
      <c r="M62" s="12">
        <v>45944</v>
      </c>
      <c r="N62" s="44">
        <f t="shared" si="1"/>
        <v>2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121829185</v>
      </c>
      <c r="B63" s="11" t="str">
        <f t="shared" si="0"/>
        <v>12.182.918-5</v>
      </c>
      <c r="C63" s="11" t="s">
        <v>14</v>
      </c>
      <c r="D63" s="11" t="s">
        <v>817</v>
      </c>
      <c r="E63" s="11" t="s">
        <v>497</v>
      </c>
      <c r="F63" s="11" t="s">
        <v>153</v>
      </c>
      <c r="G63" s="12">
        <v>45942</v>
      </c>
      <c r="H63" s="12">
        <v>45944</v>
      </c>
      <c r="I63" s="11" t="s">
        <v>15</v>
      </c>
      <c r="J63" s="48" t="s">
        <v>106</v>
      </c>
      <c r="K63" s="58" t="s">
        <v>18</v>
      </c>
      <c r="L63" s="38">
        <v>45942</v>
      </c>
      <c r="M63" s="38">
        <v>45944</v>
      </c>
      <c r="N63" s="44">
        <f t="shared" si="1"/>
        <v>2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79926000</v>
      </c>
      <c r="B64" s="11" t="str">
        <f t="shared" si="0"/>
        <v>7.992.600-0</v>
      </c>
      <c r="C64" s="11" t="s">
        <v>14</v>
      </c>
      <c r="D64" s="11" t="s">
        <v>818</v>
      </c>
      <c r="E64" s="11" t="s">
        <v>20</v>
      </c>
      <c r="F64" s="11" t="s">
        <v>819</v>
      </c>
      <c r="G64" s="12">
        <v>45941</v>
      </c>
      <c r="H64" s="12">
        <v>45944</v>
      </c>
      <c r="I64" s="11" t="s">
        <v>74</v>
      </c>
      <c r="J64" s="48" t="s">
        <v>60</v>
      </c>
      <c r="K64" s="57" t="s">
        <v>16</v>
      </c>
      <c r="L64" s="12">
        <v>45941</v>
      </c>
      <c r="M64" s="12">
        <v>45944</v>
      </c>
      <c r="N64" s="44">
        <f t="shared" si="1"/>
        <v>3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79926000</v>
      </c>
      <c r="B65" s="11" t="str">
        <f t="shared" si="0"/>
        <v>7.992.600-0</v>
      </c>
      <c r="C65" s="11" t="s">
        <v>14</v>
      </c>
      <c r="D65" s="11" t="s">
        <v>818</v>
      </c>
      <c r="E65" s="11" t="s">
        <v>20</v>
      </c>
      <c r="F65" s="11" t="s">
        <v>819</v>
      </c>
      <c r="G65" s="12">
        <v>45941</v>
      </c>
      <c r="H65" s="12">
        <v>45944</v>
      </c>
      <c r="I65" s="11" t="s">
        <v>74</v>
      </c>
      <c r="J65" s="48" t="s">
        <v>60</v>
      </c>
      <c r="K65" s="57" t="s">
        <v>17</v>
      </c>
      <c r="L65" s="12">
        <v>45941</v>
      </c>
      <c r="M65" s="12">
        <v>45944</v>
      </c>
      <c r="N65" s="44">
        <f t="shared" si="1"/>
        <v>3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98877657</v>
      </c>
      <c r="B66" s="11" t="str">
        <f t="shared" si="0"/>
        <v>9.887.765-7</v>
      </c>
      <c r="C66" s="11" t="s">
        <v>14</v>
      </c>
      <c r="D66" s="11" t="s">
        <v>708</v>
      </c>
      <c r="E66" s="11" t="s">
        <v>396</v>
      </c>
      <c r="F66" s="11" t="s">
        <v>820</v>
      </c>
      <c r="G66" s="12">
        <v>45948</v>
      </c>
      <c r="H66" s="12"/>
      <c r="I66" s="11" t="s">
        <v>200</v>
      </c>
      <c r="J66" s="48" t="s">
        <v>843</v>
      </c>
      <c r="K66" s="57" t="s">
        <v>16</v>
      </c>
      <c r="L66" s="12">
        <v>45948</v>
      </c>
      <c r="M66" s="35">
        <v>45961</v>
      </c>
      <c r="N66" s="44">
        <f t="shared" si="1"/>
        <v>13</v>
      </c>
      <c r="O66" s="131" t="s">
        <v>914</v>
      </c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98877657</v>
      </c>
      <c r="B67" s="11" t="str">
        <f t="shared" si="0"/>
        <v>9.887.765-7</v>
      </c>
      <c r="C67" s="11" t="s">
        <v>14</v>
      </c>
      <c r="D67" s="11" t="s">
        <v>708</v>
      </c>
      <c r="E67" s="11" t="s">
        <v>396</v>
      </c>
      <c r="F67" s="11" t="s">
        <v>820</v>
      </c>
      <c r="G67" s="12">
        <v>45948</v>
      </c>
      <c r="H67" s="12"/>
      <c r="I67" s="11" t="s">
        <v>200</v>
      </c>
      <c r="J67" s="48" t="s">
        <v>843</v>
      </c>
      <c r="K67" s="57" t="s">
        <v>17</v>
      </c>
      <c r="L67" s="12">
        <v>45948</v>
      </c>
      <c r="M67" s="35">
        <v>45961</v>
      </c>
      <c r="N67" s="44">
        <f t="shared" si="1"/>
        <v>13</v>
      </c>
      <c r="O67" s="133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98877657</v>
      </c>
      <c r="B68" s="11" t="str">
        <f t="shared" si="0"/>
        <v>9.887.765-7</v>
      </c>
      <c r="C68" s="11" t="s">
        <v>14</v>
      </c>
      <c r="D68" s="11" t="s">
        <v>708</v>
      </c>
      <c r="E68" s="11" t="s">
        <v>396</v>
      </c>
      <c r="F68" s="11" t="s">
        <v>820</v>
      </c>
      <c r="G68" s="12">
        <v>45948</v>
      </c>
      <c r="H68" s="12"/>
      <c r="I68" s="11" t="s">
        <v>200</v>
      </c>
      <c r="J68" s="48" t="s">
        <v>843</v>
      </c>
      <c r="K68" s="57" t="s">
        <v>18</v>
      </c>
      <c r="L68" s="12">
        <v>45948</v>
      </c>
      <c r="M68" s="35">
        <v>45961</v>
      </c>
      <c r="N68" s="44">
        <f t="shared" si="1"/>
        <v>13</v>
      </c>
      <c r="O68" s="132"/>
      <c r="P68" t="s">
        <v>981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209986116</v>
      </c>
      <c r="B69" s="11" t="str">
        <f t="shared" si="0"/>
        <v>20.998.611-6</v>
      </c>
      <c r="C69" s="11" t="s">
        <v>14</v>
      </c>
      <c r="D69" s="11" t="s">
        <v>821</v>
      </c>
      <c r="E69" s="11" t="s">
        <v>822</v>
      </c>
      <c r="F69" s="11" t="s">
        <v>823</v>
      </c>
      <c r="G69" s="12">
        <v>45950</v>
      </c>
      <c r="H69" s="12">
        <v>45953</v>
      </c>
      <c r="I69" s="11" t="s">
        <v>15</v>
      </c>
      <c r="J69" s="48" t="s">
        <v>388</v>
      </c>
      <c r="K69" s="57" t="s">
        <v>16</v>
      </c>
      <c r="L69" s="12">
        <v>45950</v>
      </c>
      <c r="M69" s="12">
        <v>45953</v>
      </c>
      <c r="N69" s="44">
        <f t="shared" si="1"/>
        <v>3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>
        <v>209986116</v>
      </c>
      <c r="B70" s="11" t="str">
        <f t="shared" si="0"/>
        <v>20.998.611-6</v>
      </c>
      <c r="C70" s="11" t="s">
        <v>14</v>
      </c>
      <c r="D70" s="11" t="s">
        <v>821</v>
      </c>
      <c r="E70" s="11" t="s">
        <v>822</v>
      </c>
      <c r="F70" s="11" t="s">
        <v>823</v>
      </c>
      <c r="G70" s="12">
        <v>45950</v>
      </c>
      <c r="H70" s="12">
        <v>45953</v>
      </c>
      <c r="I70" s="11" t="s">
        <v>15</v>
      </c>
      <c r="J70" s="48" t="s">
        <v>388</v>
      </c>
      <c r="K70" s="57" t="s">
        <v>17</v>
      </c>
      <c r="L70" s="12">
        <v>45950</v>
      </c>
      <c r="M70" s="12">
        <v>45953</v>
      </c>
      <c r="N70" s="44">
        <f t="shared" si="1"/>
        <v>3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209986116</v>
      </c>
      <c r="B71" s="11" t="str">
        <f t="shared" si="0"/>
        <v>20.998.611-6</v>
      </c>
      <c r="C71" s="11" t="s">
        <v>14</v>
      </c>
      <c r="D71" s="11" t="s">
        <v>821</v>
      </c>
      <c r="E71" s="11" t="s">
        <v>822</v>
      </c>
      <c r="F71" s="11" t="s">
        <v>823</v>
      </c>
      <c r="G71" s="12">
        <v>45950</v>
      </c>
      <c r="H71" s="12">
        <v>45953</v>
      </c>
      <c r="I71" s="11" t="s">
        <v>15</v>
      </c>
      <c r="J71" s="48" t="s">
        <v>388</v>
      </c>
      <c r="K71" s="57" t="s">
        <v>18</v>
      </c>
      <c r="L71" s="12">
        <v>45950</v>
      </c>
      <c r="M71" s="35">
        <v>45952</v>
      </c>
      <c r="N71" s="44">
        <f t="shared" si="1"/>
        <v>2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143917134</v>
      </c>
      <c r="B72" s="11" t="str">
        <f t="shared" si="0"/>
        <v>14.391.713-4</v>
      </c>
      <c r="C72" s="11" t="s">
        <v>14</v>
      </c>
      <c r="D72" s="11" t="s">
        <v>564</v>
      </c>
      <c r="E72" s="11" t="s">
        <v>548</v>
      </c>
      <c r="F72" s="11" t="s">
        <v>397</v>
      </c>
      <c r="G72" s="12">
        <v>45948</v>
      </c>
      <c r="H72" s="12">
        <v>45951</v>
      </c>
      <c r="I72" s="11" t="s">
        <v>15</v>
      </c>
      <c r="J72" s="48" t="s">
        <v>47</v>
      </c>
      <c r="K72" s="57" t="s">
        <v>16</v>
      </c>
      <c r="L72" s="12">
        <v>45948</v>
      </c>
      <c r="M72" s="12">
        <v>45951</v>
      </c>
      <c r="N72" s="44">
        <f t="shared" si="1"/>
        <v>3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143917134</v>
      </c>
      <c r="B73" s="11" t="str">
        <f t="shared" si="0"/>
        <v>14.391.713-4</v>
      </c>
      <c r="C73" s="11" t="s">
        <v>14</v>
      </c>
      <c r="D73" s="11" t="s">
        <v>564</v>
      </c>
      <c r="E73" s="11" t="s">
        <v>548</v>
      </c>
      <c r="F73" s="11" t="s">
        <v>397</v>
      </c>
      <c r="G73" s="12">
        <v>45948</v>
      </c>
      <c r="H73" s="12">
        <v>45951</v>
      </c>
      <c r="I73" s="11" t="s">
        <v>15</v>
      </c>
      <c r="J73" s="48" t="s">
        <v>47</v>
      </c>
      <c r="K73" s="57" t="s">
        <v>17</v>
      </c>
      <c r="L73" s="12">
        <v>45948</v>
      </c>
      <c r="M73" s="12">
        <v>45950</v>
      </c>
      <c r="N73" s="44">
        <f t="shared" si="1"/>
        <v>2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143917134</v>
      </c>
      <c r="B74" s="11" t="str">
        <f t="shared" si="0"/>
        <v>14.391.713-4</v>
      </c>
      <c r="C74" s="11" t="s">
        <v>14</v>
      </c>
      <c r="D74" s="11" t="s">
        <v>564</v>
      </c>
      <c r="E74" s="11" t="s">
        <v>548</v>
      </c>
      <c r="F74" s="11" t="s">
        <v>397</v>
      </c>
      <c r="G74" s="12">
        <v>45948</v>
      </c>
      <c r="H74" s="12">
        <v>45951</v>
      </c>
      <c r="I74" s="11" t="s">
        <v>15</v>
      </c>
      <c r="J74" s="55" t="s">
        <v>47</v>
      </c>
      <c r="K74" s="58" t="s">
        <v>18</v>
      </c>
      <c r="L74" s="38">
        <v>45948</v>
      </c>
      <c r="M74" s="38">
        <v>45949</v>
      </c>
      <c r="N74" s="44">
        <f t="shared" si="1"/>
        <v>1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 t="s">
        <v>824</v>
      </c>
      <c r="B75" s="11" t="str">
        <f t="shared" si="0"/>
        <v>82.042.527-k</v>
      </c>
      <c r="C75" s="11" t="s">
        <v>14</v>
      </c>
      <c r="D75" s="11" t="s">
        <v>825</v>
      </c>
      <c r="E75" s="11" t="s">
        <v>663</v>
      </c>
      <c r="F75" s="11" t="s">
        <v>826</v>
      </c>
      <c r="G75" s="12">
        <v>45946</v>
      </c>
      <c r="H75" s="12"/>
      <c r="I75" s="48" t="s">
        <v>15</v>
      </c>
      <c r="J75" s="57" t="s">
        <v>843</v>
      </c>
      <c r="K75" s="57" t="s">
        <v>16</v>
      </c>
      <c r="L75" s="12">
        <v>45946</v>
      </c>
      <c r="M75" s="35">
        <v>45961</v>
      </c>
      <c r="N75" s="44">
        <f t="shared" si="1"/>
        <v>15</v>
      </c>
      <c r="O75" s="131" t="s">
        <v>914</v>
      </c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 t="s">
        <v>824</v>
      </c>
      <c r="B76" s="11" t="str">
        <f t="shared" si="0"/>
        <v>82.042.527-k</v>
      </c>
      <c r="C76" s="11" t="s">
        <v>14</v>
      </c>
      <c r="D76" s="11" t="s">
        <v>825</v>
      </c>
      <c r="E76" s="11" t="s">
        <v>663</v>
      </c>
      <c r="F76" s="11" t="s">
        <v>826</v>
      </c>
      <c r="G76" s="12">
        <v>45946</v>
      </c>
      <c r="H76" s="12"/>
      <c r="I76" s="48" t="s">
        <v>15</v>
      </c>
      <c r="J76" s="57" t="s">
        <v>843</v>
      </c>
      <c r="K76" s="57" t="s">
        <v>17</v>
      </c>
      <c r="L76" s="12">
        <v>45946</v>
      </c>
      <c r="M76" s="35">
        <v>45961</v>
      </c>
      <c r="N76" s="44">
        <f t="shared" si="1"/>
        <v>15</v>
      </c>
      <c r="O76" s="133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 t="s">
        <v>824</v>
      </c>
      <c r="B77" s="11" t="str">
        <f t="shared" si="0"/>
        <v>82.042.527-k</v>
      </c>
      <c r="C77" s="11" t="s">
        <v>14</v>
      </c>
      <c r="D77" s="11" t="s">
        <v>825</v>
      </c>
      <c r="E77" s="11" t="s">
        <v>663</v>
      </c>
      <c r="F77" s="11" t="s">
        <v>826</v>
      </c>
      <c r="G77" s="12">
        <v>45946</v>
      </c>
      <c r="H77" s="12"/>
      <c r="I77" s="48" t="s">
        <v>15</v>
      </c>
      <c r="J77" s="57" t="s">
        <v>843</v>
      </c>
      <c r="K77" s="57" t="s">
        <v>18</v>
      </c>
      <c r="L77" s="12">
        <v>45946</v>
      </c>
      <c r="M77" s="35">
        <v>45961</v>
      </c>
      <c r="N77" s="44">
        <f t="shared" si="1"/>
        <v>15</v>
      </c>
      <c r="O77" s="132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69173799</v>
      </c>
      <c r="B78" s="11" t="str">
        <f t="shared" si="0"/>
        <v>6.917.379-9</v>
      </c>
      <c r="C78" s="11" t="s">
        <v>14</v>
      </c>
      <c r="D78" s="11" t="s">
        <v>827</v>
      </c>
      <c r="E78" s="11" t="s">
        <v>540</v>
      </c>
      <c r="F78" s="11" t="s">
        <v>828</v>
      </c>
      <c r="G78" s="12">
        <v>45945</v>
      </c>
      <c r="H78" s="12">
        <v>45952</v>
      </c>
      <c r="I78" s="48" t="s">
        <v>60</v>
      </c>
      <c r="J78" s="57" t="s">
        <v>60</v>
      </c>
      <c r="K78" s="57" t="s">
        <v>16</v>
      </c>
      <c r="L78" s="12">
        <v>45945</v>
      </c>
      <c r="M78" s="12">
        <v>45952</v>
      </c>
      <c r="N78" s="44">
        <f t="shared" si="1"/>
        <v>7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69173799</v>
      </c>
      <c r="B79" s="11" t="str">
        <f t="shared" si="0"/>
        <v>6.917.379-9</v>
      </c>
      <c r="C79" s="11" t="s">
        <v>14</v>
      </c>
      <c r="D79" s="11" t="s">
        <v>827</v>
      </c>
      <c r="E79" s="11" t="s">
        <v>540</v>
      </c>
      <c r="F79" s="11" t="s">
        <v>828</v>
      </c>
      <c r="G79" s="12">
        <v>45945</v>
      </c>
      <c r="H79" s="12">
        <v>45952</v>
      </c>
      <c r="I79" s="48" t="s">
        <v>60</v>
      </c>
      <c r="J79" s="57" t="s">
        <v>60</v>
      </c>
      <c r="K79" s="57" t="s">
        <v>17</v>
      </c>
      <c r="L79" s="12">
        <v>45945</v>
      </c>
      <c r="M79" s="12">
        <v>45952</v>
      </c>
      <c r="N79" s="44">
        <f t="shared" si="1"/>
        <v>7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 t="s">
        <v>829</v>
      </c>
      <c r="B80" s="11" t="str">
        <f t="shared" si="0"/>
        <v>8.746.007-K</v>
      </c>
      <c r="C80" s="11" t="s">
        <v>14</v>
      </c>
      <c r="D80" s="11" t="s">
        <v>343</v>
      </c>
      <c r="E80" s="11" t="s">
        <v>323</v>
      </c>
      <c r="F80" s="11" t="s">
        <v>414</v>
      </c>
      <c r="G80" s="12">
        <v>45943</v>
      </c>
      <c r="H80" s="12"/>
      <c r="I80" s="48" t="s">
        <v>15</v>
      </c>
      <c r="J80" s="57" t="s">
        <v>843</v>
      </c>
      <c r="K80" s="57" t="s">
        <v>16</v>
      </c>
      <c r="L80" s="12">
        <v>45943</v>
      </c>
      <c r="M80" s="35">
        <v>45961</v>
      </c>
      <c r="N80" s="44">
        <f t="shared" si="1"/>
        <v>18</v>
      </c>
      <c r="O80" s="44"/>
      <c r="P80" t="s">
        <v>942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 t="s">
        <v>829</v>
      </c>
      <c r="B81" s="11" t="str">
        <f t="shared" si="0"/>
        <v>8.746.007-K</v>
      </c>
      <c r="C81" s="11" t="s">
        <v>14</v>
      </c>
      <c r="D81" s="11" t="s">
        <v>343</v>
      </c>
      <c r="E81" s="11" t="s">
        <v>323</v>
      </c>
      <c r="F81" s="11" t="s">
        <v>414</v>
      </c>
      <c r="G81" s="12">
        <v>45943</v>
      </c>
      <c r="H81" s="12"/>
      <c r="I81" s="48" t="s">
        <v>15</v>
      </c>
      <c r="J81" s="57" t="s">
        <v>843</v>
      </c>
      <c r="K81" s="57" t="s">
        <v>17</v>
      </c>
      <c r="L81" s="12">
        <v>45943</v>
      </c>
      <c r="M81" s="35">
        <v>45961</v>
      </c>
      <c r="N81" s="44">
        <f t="shared" si="1"/>
        <v>18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 t="s">
        <v>829</v>
      </c>
      <c r="B82" s="11" t="str">
        <f t="shared" si="0"/>
        <v>8.746.007-K</v>
      </c>
      <c r="C82" s="11" t="s">
        <v>14</v>
      </c>
      <c r="D82" s="11" t="s">
        <v>343</v>
      </c>
      <c r="E82" s="11" t="s">
        <v>323</v>
      </c>
      <c r="F82" s="11" t="s">
        <v>414</v>
      </c>
      <c r="G82" s="12">
        <v>45943</v>
      </c>
      <c r="H82" s="12"/>
      <c r="I82" s="48" t="s">
        <v>15</v>
      </c>
      <c r="J82" s="57" t="s">
        <v>843</v>
      </c>
      <c r="K82" s="57" t="s">
        <v>18</v>
      </c>
      <c r="L82" s="12">
        <v>45943</v>
      </c>
      <c r="M82" s="35">
        <v>45961</v>
      </c>
      <c r="N82" s="44">
        <f t="shared" si="1"/>
        <v>18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58064114</v>
      </c>
      <c r="B83" s="11" t="str">
        <f t="shared" si="0"/>
        <v>5.806.411-4</v>
      </c>
      <c r="C83" s="11" t="s">
        <v>14</v>
      </c>
      <c r="D83" s="11" t="s">
        <v>144</v>
      </c>
      <c r="E83" s="11" t="s">
        <v>834</v>
      </c>
      <c r="F83" s="11" t="s">
        <v>835</v>
      </c>
      <c r="G83" s="12">
        <v>45953</v>
      </c>
      <c r="H83" s="12">
        <v>45960</v>
      </c>
      <c r="I83" s="48" t="s">
        <v>200</v>
      </c>
      <c r="J83" s="57" t="s">
        <v>22</v>
      </c>
      <c r="K83" s="57" t="s">
        <v>16</v>
      </c>
      <c r="L83" s="12">
        <v>45953</v>
      </c>
      <c r="M83" s="35">
        <v>45960</v>
      </c>
      <c r="N83" s="44">
        <f t="shared" si="1"/>
        <v>7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58064114</v>
      </c>
      <c r="B84" s="11" t="str">
        <f t="shared" si="0"/>
        <v>5.806.411-4</v>
      </c>
      <c r="C84" s="11" t="s">
        <v>14</v>
      </c>
      <c r="D84" s="11" t="s">
        <v>144</v>
      </c>
      <c r="E84" s="11" t="s">
        <v>834</v>
      </c>
      <c r="F84" s="11" t="s">
        <v>835</v>
      </c>
      <c r="G84" s="12">
        <v>45953</v>
      </c>
      <c r="H84" s="12">
        <v>45960</v>
      </c>
      <c r="I84" s="48" t="s">
        <v>200</v>
      </c>
      <c r="J84" s="57" t="s">
        <v>22</v>
      </c>
      <c r="K84" s="58" t="s">
        <v>17</v>
      </c>
      <c r="L84" s="38">
        <v>45953</v>
      </c>
      <c r="M84" s="59">
        <v>45960</v>
      </c>
      <c r="N84" s="44">
        <f t="shared" si="1"/>
        <v>7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131365624</v>
      </c>
      <c r="B85" s="11" t="str">
        <f t="shared" si="0"/>
        <v>13.136.562-4</v>
      </c>
      <c r="C85" s="11" t="s">
        <v>14</v>
      </c>
      <c r="D85" s="11" t="s">
        <v>173</v>
      </c>
      <c r="E85" s="11" t="s">
        <v>317</v>
      </c>
      <c r="F85" s="11" t="s">
        <v>149</v>
      </c>
      <c r="G85" s="12">
        <v>45950</v>
      </c>
      <c r="H85" s="12">
        <v>45958</v>
      </c>
      <c r="I85" s="48" t="s">
        <v>15</v>
      </c>
      <c r="J85" s="57" t="s">
        <v>106</v>
      </c>
      <c r="K85" s="57" t="s">
        <v>16</v>
      </c>
      <c r="L85" s="12">
        <v>45950</v>
      </c>
      <c r="M85" s="12">
        <v>45958</v>
      </c>
      <c r="N85" s="44">
        <f t="shared" si="1"/>
        <v>8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131365624</v>
      </c>
      <c r="B86" s="11" t="str">
        <f t="shared" si="0"/>
        <v>13.136.562-4</v>
      </c>
      <c r="C86" s="11" t="s">
        <v>14</v>
      </c>
      <c r="D86" s="11" t="s">
        <v>173</v>
      </c>
      <c r="E86" s="11" t="s">
        <v>317</v>
      </c>
      <c r="F86" s="11" t="s">
        <v>149</v>
      </c>
      <c r="G86" s="12">
        <v>45950</v>
      </c>
      <c r="H86" s="12">
        <v>45958</v>
      </c>
      <c r="I86" s="48" t="s">
        <v>15</v>
      </c>
      <c r="J86" s="57" t="s">
        <v>106</v>
      </c>
      <c r="K86" s="57" t="s">
        <v>17</v>
      </c>
      <c r="L86" s="12">
        <v>45950</v>
      </c>
      <c r="M86" s="12">
        <v>45958</v>
      </c>
      <c r="N86" s="44">
        <f t="shared" si="1"/>
        <v>8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131365624</v>
      </c>
      <c r="B87" s="11" t="str">
        <f t="shared" si="0"/>
        <v>13.136.562-4</v>
      </c>
      <c r="C87" s="11" t="s">
        <v>14</v>
      </c>
      <c r="D87" s="11" t="s">
        <v>173</v>
      </c>
      <c r="E87" s="11" t="s">
        <v>317</v>
      </c>
      <c r="F87" s="11" t="s">
        <v>149</v>
      </c>
      <c r="G87" s="12">
        <v>45950</v>
      </c>
      <c r="H87" s="12">
        <v>45958</v>
      </c>
      <c r="I87" s="48" t="s">
        <v>15</v>
      </c>
      <c r="J87" s="57" t="s">
        <v>106</v>
      </c>
      <c r="K87" s="57" t="s">
        <v>18</v>
      </c>
      <c r="L87" s="12">
        <v>45950</v>
      </c>
      <c r="M87" s="35">
        <v>45952</v>
      </c>
      <c r="N87" s="44">
        <f t="shared" si="1"/>
        <v>2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80871279</v>
      </c>
      <c r="B88" s="11" t="str">
        <f t="shared" si="0"/>
        <v>8.087.127-9</v>
      </c>
      <c r="C88" s="11" t="s">
        <v>14</v>
      </c>
      <c r="D88" s="11" t="s">
        <v>168</v>
      </c>
      <c r="E88" s="11" t="s">
        <v>88</v>
      </c>
      <c r="F88" s="11" t="s">
        <v>414</v>
      </c>
      <c r="G88" s="12">
        <v>45954</v>
      </c>
      <c r="H88" s="12">
        <v>45957</v>
      </c>
      <c r="I88" s="48" t="s">
        <v>15</v>
      </c>
      <c r="J88" s="57" t="s">
        <v>342</v>
      </c>
      <c r="K88" s="57" t="s">
        <v>16</v>
      </c>
      <c r="L88" s="35">
        <v>45954</v>
      </c>
      <c r="M88" s="35">
        <v>45957</v>
      </c>
      <c r="N88" s="44">
        <f t="shared" si="1"/>
        <v>3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129751533</v>
      </c>
      <c r="B89" s="11" t="str">
        <f t="shared" si="0"/>
        <v>12.975.153-3</v>
      </c>
      <c r="C89" s="11" t="s">
        <v>14</v>
      </c>
      <c r="D89" s="11" t="s">
        <v>368</v>
      </c>
      <c r="E89" s="11" t="s">
        <v>502</v>
      </c>
      <c r="F89" s="11" t="s">
        <v>503</v>
      </c>
      <c r="G89" s="12">
        <v>45952</v>
      </c>
      <c r="H89" s="12"/>
      <c r="I89" s="48" t="s">
        <v>15</v>
      </c>
      <c r="J89" s="57" t="s">
        <v>843</v>
      </c>
      <c r="K89" s="57" t="s">
        <v>16</v>
      </c>
      <c r="L89" s="12">
        <v>45952</v>
      </c>
      <c r="M89" s="35">
        <v>45961</v>
      </c>
      <c r="N89" s="44">
        <f t="shared" si="1"/>
        <v>9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129751533</v>
      </c>
      <c r="B90" s="11" t="str">
        <f t="shared" si="0"/>
        <v>12.975.153-3</v>
      </c>
      <c r="C90" s="11" t="s">
        <v>14</v>
      </c>
      <c r="D90" s="11" t="s">
        <v>368</v>
      </c>
      <c r="E90" s="11" t="s">
        <v>502</v>
      </c>
      <c r="F90" s="11" t="s">
        <v>503</v>
      </c>
      <c r="G90" s="12">
        <v>45952</v>
      </c>
      <c r="H90" s="12"/>
      <c r="I90" s="48" t="s">
        <v>15</v>
      </c>
      <c r="J90" s="57" t="s">
        <v>843</v>
      </c>
      <c r="K90" s="57" t="s">
        <v>17</v>
      </c>
      <c r="L90" s="12">
        <v>45952</v>
      </c>
      <c r="M90" s="35">
        <v>45961</v>
      </c>
      <c r="N90" s="44">
        <f t="shared" si="1"/>
        <v>9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129751533</v>
      </c>
      <c r="B91" s="11" t="str">
        <f t="shared" si="0"/>
        <v>12.975.153-3</v>
      </c>
      <c r="C91" s="11" t="s">
        <v>14</v>
      </c>
      <c r="D91" s="11" t="s">
        <v>368</v>
      </c>
      <c r="E91" s="11" t="s">
        <v>502</v>
      </c>
      <c r="F91" s="11" t="s">
        <v>503</v>
      </c>
      <c r="G91" s="12">
        <v>45952</v>
      </c>
      <c r="H91" s="12"/>
      <c r="I91" s="48" t="s">
        <v>15</v>
      </c>
      <c r="J91" s="57" t="s">
        <v>843</v>
      </c>
      <c r="K91" s="58" t="s">
        <v>18</v>
      </c>
      <c r="L91" s="38">
        <v>45952</v>
      </c>
      <c r="M91" s="59">
        <v>45961</v>
      </c>
      <c r="N91" s="44">
        <f t="shared" si="1"/>
        <v>9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129751533</v>
      </c>
      <c r="B92" s="11" t="str">
        <f t="shared" ref="B92" si="2">IF(LEN(A92)=8,MID(A92,1,1)&amp;"."&amp;MID(A92,2,3)&amp;"."&amp;MID(A92,5,3)&amp;"-"&amp;RIGHT(A92,1),IF(LEFT(RIGHT(A92,2),1)="-",MID(A92,1,1)&amp;"."&amp;MID(A92,2,3)&amp;"."&amp;MID(A92,5,3)&amp;"-"&amp;RIGHT(A92,1),MID(A92,1,2)&amp;"."&amp;MID(A92,3,3)&amp;"."&amp;MID(A92,6,3)&amp;"-"&amp;MID(A92,9,1)))</f>
        <v>12.975.153-3</v>
      </c>
      <c r="C92" s="11" t="s">
        <v>14</v>
      </c>
      <c r="D92" s="11" t="s">
        <v>368</v>
      </c>
      <c r="E92" s="11" t="s">
        <v>502</v>
      </c>
      <c r="F92" s="11" t="s">
        <v>503</v>
      </c>
      <c r="G92" s="12">
        <v>45952</v>
      </c>
      <c r="H92" s="12"/>
      <c r="I92" s="48" t="s">
        <v>15</v>
      </c>
      <c r="J92" s="57" t="s">
        <v>843</v>
      </c>
      <c r="K92" s="58" t="s">
        <v>1076</v>
      </c>
      <c r="L92" s="38">
        <v>45952</v>
      </c>
      <c r="M92" s="59">
        <v>45961</v>
      </c>
      <c r="N92" s="44">
        <f t="shared" ref="N92" si="3">+M92-L92</f>
        <v>9</v>
      </c>
      <c r="O92" s="44"/>
      <c r="P92" t="s">
        <v>972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231152407</v>
      </c>
      <c r="B93" s="11" t="str">
        <f t="shared" si="0"/>
        <v>23.115.240-7</v>
      </c>
      <c r="C93" s="11" t="s">
        <v>14</v>
      </c>
      <c r="D93" s="11" t="s">
        <v>91</v>
      </c>
      <c r="E93" s="11" t="s">
        <v>480</v>
      </c>
      <c r="F93" s="11" t="s">
        <v>366</v>
      </c>
      <c r="G93" s="12">
        <v>45955</v>
      </c>
      <c r="H93" s="12">
        <v>45958</v>
      </c>
      <c r="I93" s="48" t="s">
        <v>15</v>
      </c>
      <c r="J93" s="57" t="s">
        <v>47</v>
      </c>
      <c r="K93" s="57" t="s">
        <v>16</v>
      </c>
      <c r="L93" s="35">
        <v>45955</v>
      </c>
      <c r="M93" s="59">
        <v>45958</v>
      </c>
      <c r="N93" s="44">
        <f t="shared" si="1"/>
        <v>3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97577714</v>
      </c>
      <c r="B94" s="11" t="str">
        <f t="shared" si="0"/>
        <v>9.757.771-4</v>
      </c>
      <c r="C94" s="11" t="s">
        <v>14</v>
      </c>
      <c r="D94" s="11" t="s">
        <v>236</v>
      </c>
      <c r="E94" s="11" t="s">
        <v>236</v>
      </c>
      <c r="F94" s="11" t="s">
        <v>460</v>
      </c>
      <c r="G94" s="12">
        <v>45957</v>
      </c>
      <c r="H94" s="12"/>
      <c r="I94" s="48" t="s">
        <v>15</v>
      </c>
      <c r="J94" s="57" t="s">
        <v>843</v>
      </c>
      <c r="K94" s="57" t="s">
        <v>16</v>
      </c>
      <c r="L94" s="12">
        <v>45957</v>
      </c>
      <c r="M94" s="59">
        <v>45960</v>
      </c>
      <c r="N94" s="44">
        <f t="shared" si="1"/>
        <v>3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97577714</v>
      </c>
      <c r="B95" s="11" t="str">
        <f t="shared" si="0"/>
        <v>9.757.771-4</v>
      </c>
      <c r="C95" s="11" t="s">
        <v>14</v>
      </c>
      <c r="D95" s="11" t="s">
        <v>236</v>
      </c>
      <c r="E95" s="11" t="s">
        <v>236</v>
      </c>
      <c r="F95" s="11" t="s">
        <v>460</v>
      </c>
      <c r="G95" s="12">
        <v>45957</v>
      </c>
      <c r="H95" s="12"/>
      <c r="I95" s="48" t="s">
        <v>15</v>
      </c>
      <c r="J95" s="57" t="s">
        <v>843</v>
      </c>
      <c r="K95" s="57" t="s">
        <v>17</v>
      </c>
      <c r="L95" s="12">
        <v>45957</v>
      </c>
      <c r="M95" s="59">
        <v>45960</v>
      </c>
      <c r="N95" s="44">
        <f t="shared" si="1"/>
        <v>3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>
        <v>123753518</v>
      </c>
      <c r="B96" s="11" t="str">
        <f t="shared" si="0"/>
        <v>12.375.351-8</v>
      </c>
      <c r="C96" s="11" t="s">
        <v>14</v>
      </c>
      <c r="D96" s="11" t="s">
        <v>235</v>
      </c>
      <c r="E96" s="11" t="s">
        <v>125</v>
      </c>
      <c r="F96" s="11" t="s">
        <v>332</v>
      </c>
      <c r="G96" s="12">
        <v>45959</v>
      </c>
      <c r="H96" s="12"/>
      <c r="I96" s="48" t="s">
        <v>15</v>
      </c>
      <c r="J96" s="57" t="s">
        <v>843</v>
      </c>
      <c r="K96" s="57" t="s">
        <v>16</v>
      </c>
      <c r="L96" s="12">
        <v>45959</v>
      </c>
      <c r="M96" s="59">
        <v>45961</v>
      </c>
      <c r="N96" s="44">
        <f t="shared" si="1"/>
        <v>2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123753518</v>
      </c>
      <c r="B97" s="11" t="str">
        <f t="shared" si="0"/>
        <v>12.375.351-8</v>
      </c>
      <c r="C97" s="11" t="s">
        <v>14</v>
      </c>
      <c r="D97" s="11" t="s">
        <v>235</v>
      </c>
      <c r="E97" s="11" t="s">
        <v>125</v>
      </c>
      <c r="F97" s="11" t="s">
        <v>332</v>
      </c>
      <c r="G97" s="12">
        <v>45959</v>
      </c>
      <c r="H97" s="12"/>
      <c r="I97" s="48" t="s">
        <v>15</v>
      </c>
      <c r="J97" s="57" t="s">
        <v>843</v>
      </c>
      <c r="K97" s="57" t="s">
        <v>17</v>
      </c>
      <c r="L97" s="12">
        <v>45959</v>
      </c>
      <c r="M97" s="59">
        <v>45961</v>
      </c>
      <c r="N97" s="44">
        <f t="shared" si="1"/>
        <v>2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103303834</v>
      </c>
      <c r="B98" s="11" t="str">
        <f t="shared" si="0"/>
        <v>10.330.383-4</v>
      </c>
      <c r="C98" s="11" t="s">
        <v>14</v>
      </c>
      <c r="D98" s="11" t="s">
        <v>358</v>
      </c>
      <c r="E98" s="11" t="s">
        <v>844</v>
      </c>
      <c r="F98" s="11" t="s">
        <v>752</v>
      </c>
      <c r="G98" s="12">
        <v>45957</v>
      </c>
      <c r="H98" s="12"/>
      <c r="I98" s="48" t="s">
        <v>28</v>
      </c>
      <c r="J98" s="57" t="s">
        <v>843</v>
      </c>
      <c r="K98" s="57" t="s">
        <v>16</v>
      </c>
      <c r="L98" s="12">
        <v>45957</v>
      </c>
      <c r="M98" s="59">
        <v>45961</v>
      </c>
      <c r="N98" s="44">
        <f t="shared" si="1"/>
        <v>4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103303834</v>
      </c>
      <c r="B99" s="11" t="str">
        <f t="shared" si="0"/>
        <v>10.330.383-4</v>
      </c>
      <c r="C99" s="11" t="s">
        <v>14</v>
      </c>
      <c r="D99" s="11" t="s">
        <v>358</v>
      </c>
      <c r="E99" s="11" t="s">
        <v>844</v>
      </c>
      <c r="F99" s="11" t="s">
        <v>752</v>
      </c>
      <c r="G99" s="12">
        <v>45957</v>
      </c>
      <c r="H99" s="12"/>
      <c r="I99" s="48" t="s">
        <v>28</v>
      </c>
      <c r="J99" s="57" t="s">
        <v>843</v>
      </c>
      <c r="K99" s="57" t="s">
        <v>17</v>
      </c>
      <c r="L99" s="12">
        <v>45957</v>
      </c>
      <c r="M99" s="59">
        <v>45961</v>
      </c>
      <c r="N99" s="44">
        <f t="shared" si="1"/>
        <v>4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103303834</v>
      </c>
      <c r="B100" s="11" t="str">
        <f t="shared" si="0"/>
        <v>10.330.383-4</v>
      </c>
      <c r="C100" s="11" t="s">
        <v>14</v>
      </c>
      <c r="D100" s="11" t="s">
        <v>358</v>
      </c>
      <c r="E100" s="11" t="s">
        <v>844</v>
      </c>
      <c r="F100" s="11" t="s">
        <v>752</v>
      </c>
      <c r="G100" s="12">
        <v>45957</v>
      </c>
      <c r="H100" s="12"/>
      <c r="I100" s="48" t="s">
        <v>28</v>
      </c>
      <c r="J100" s="57" t="s">
        <v>843</v>
      </c>
      <c r="K100" s="57" t="s">
        <v>415</v>
      </c>
      <c r="L100" s="35">
        <v>45960</v>
      </c>
      <c r="M100" s="59">
        <v>45961</v>
      </c>
      <c r="N100" s="44">
        <f t="shared" si="1"/>
        <v>1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5.75" customHeight="1" x14ac:dyDescent="0.45">
      <c r="A101" s="15">
        <v>165158547</v>
      </c>
      <c r="B101" s="16" t="str">
        <f t="shared" si="0"/>
        <v>16.515.854-7</v>
      </c>
      <c r="C101" s="16" t="s">
        <v>28</v>
      </c>
      <c r="D101" s="16" t="s">
        <v>134</v>
      </c>
      <c r="E101" s="16" t="s">
        <v>425</v>
      </c>
      <c r="F101" s="16" t="s">
        <v>572</v>
      </c>
      <c r="G101" s="17">
        <v>45924</v>
      </c>
      <c r="H101" s="17">
        <v>45960</v>
      </c>
      <c r="I101" s="37" t="s">
        <v>60</v>
      </c>
      <c r="J101" s="53" t="s">
        <v>62</v>
      </c>
      <c r="K101" s="53" t="s">
        <v>17</v>
      </c>
      <c r="L101" s="17">
        <v>45931</v>
      </c>
      <c r="M101" s="51">
        <v>45960</v>
      </c>
      <c r="N101" s="46">
        <f t="shared" si="1"/>
        <v>29</v>
      </c>
      <c r="O101" s="28" t="s">
        <v>914</v>
      </c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5.75" customHeight="1" x14ac:dyDescent="0.45">
      <c r="A102" s="15">
        <v>59030345</v>
      </c>
      <c r="B102" s="16" t="str">
        <f t="shared" si="0"/>
        <v>5.903.034-5</v>
      </c>
      <c r="C102" s="16" t="s">
        <v>28</v>
      </c>
      <c r="D102" s="16" t="s">
        <v>802</v>
      </c>
      <c r="E102" s="16" t="s">
        <v>418</v>
      </c>
      <c r="F102" s="16" t="s">
        <v>601</v>
      </c>
      <c r="G102" s="17">
        <v>45927</v>
      </c>
      <c r="H102" s="17">
        <v>45936</v>
      </c>
      <c r="I102" s="37" t="s">
        <v>15</v>
      </c>
      <c r="J102" s="53" t="s">
        <v>56</v>
      </c>
      <c r="K102" s="53" t="s">
        <v>17</v>
      </c>
      <c r="L102" s="28">
        <v>45931</v>
      </c>
      <c r="M102" s="28">
        <v>45936</v>
      </c>
      <c r="N102" s="46">
        <f t="shared" si="1"/>
        <v>5</v>
      </c>
      <c r="O102" s="28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5.75" customHeight="1" x14ac:dyDescent="0.45">
      <c r="A103" s="15">
        <v>48050522</v>
      </c>
      <c r="B103" s="16" t="str">
        <f t="shared" si="0"/>
        <v>4.805.052-2</v>
      </c>
      <c r="C103" s="16" t="s">
        <v>28</v>
      </c>
      <c r="D103" s="16" t="s">
        <v>350</v>
      </c>
      <c r="E103" s="16" t="s">
        <v>407</v>
      </c>
      <c r="F103" s="16" t="s">
        <v>171</v>
      </c>
      <c r="G103" s="17">
        <v>45938</v>
      </c>
      <c r="H103" s="17">
        <v>45943</v>
      </c>
      <c r="I103" s="37" t="s">
        <v>15</v>
      </c>
      <c r="J103" s="53" t="s">
        <v>47</v>
      </c>
      <c r="K103" s="53" t="s">
        <v>17</v>
      </c>
      <c r="L103" s="17">
        <v>45938</v>
      </c>
      <c r="M103" s="17">
        <v>45943</v>
      </c>
      <c r="N103" s="46">
        <f t="shared" si="1"/>
        <v>5</v>
      </c>
      <c r="O103" s="28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5.75" customHeight="1" x14ac:dyDescent="0.45">
      <c r="A104" s="15">
        <v>72515099</v>
      </c>
      <c r="B104" s="16" t="str">
        <f t="shared" si="0"/>
        <v>7.251.509-9</v>
      </c>
      <c r="C104" s="16" t="s">
        <v>28</v>
      </c>
      <c r="D104" s="16" t="s">
        <v>809</v>
      </c>
      <c r="E104" s="16" t="s">
        <v>160</v>
      </c>
      <c r="F104" s="16" t="s">
        <v>810</v>
      </c>
      <c r="G104" s="17">
        <v>45934</v>
      </c>
      <c r="H104" s="17">
        <v>45947</v>
      </c>
      <c r="I104" s="37" t="s">
        <v>15</v>
      </c>
      <c r="J104" s="53" t="s">
        <v>62</v>
      </c>
      <c r="K104" s="54" t="s">
        <v>17</v>
      </c>
      <c r="L104" s="17">
        <v>45934</v>
      </c>
      <c r="M104" s="17">
        <v>45947</v>
      </c>
      <c r="N104" s="46">
        <f t="shared" si="1"/>
        <v>13</v>
      </c>
      <c r="O104" s="28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5.75" customHeight="1" x14ac:dyDescent="0.45">
      <c r="A105" s="15">
        <v>72515099</v>
      </c>
      <c r="B105" s="16" t="str">
        <f t="shared" si="0"/>
        <v>7.251.509-9</v>
      </c>
      <c r="C105" s="16" t="s">
        <v>28</v>
      </c>
      <c r="D105" s="16" t="s">
        <v>809</v>
      </c>
      <c r="E105" s="16" t="s">
        <v>160</v>
      </c>
      <c r="F105" s="16" t="s">
        <v>810</v>
      </c>
      <c r="G105" s="17">
        <v>45934</v>
      </c>
      <c r="H105" s="17">
        <v>45947</v>
      </c>
      <c r="I105" s="37" t="s">
        <v>15</v>
      </c>
      <c r="J105" s="53" t="s">
        <v>62</v>
      </c>
      <c r="K105" s="54" t="s">
        <v>16</v>
      </c>
      <c r="L105" s="17">
        <v>45913</v>
      </c>
      <c r="M105" s="17">
        <v>45946</v>
      </c>
      <c r="N105" s="46">
        <f t="shared" si="1"/>
        <v>33</v>
      </c>
      <c r="O105" s="28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5.75" customHeight="1" x14ac:dyDescent="0.45">
      <c r="A106" s="15">
        <v>71692159</v>
      </c>
      <c r="B106" s="16" t="str">
        <f t="shared" si="0"/>
        <v>7.169.215-9</v>
      </c>
      <c r="C106" s="16" t="s">
        <v>28</v>
      </c>
      <c r="D106" s="16" t="s">
        <v>639</v>
      </c>
      <c r="E106" s="16" t="s">
        <v>112</v>
      </c>
      <c r="F106" s="16" t="s">
        <v>184</v>
      </c>
      <c r="G106" s="17">
        <v>45934</v>
      </c>
      <c r="H106" s="17">
        <v>45940</v>
      </c>
      <c r="I106" s="37" t="s">
        <v>15</v>
      </c>
      <c r="J106" s="53" t="s">
        <v>75</v>
      </c>
      <c r="K106" s="54" t="s">
        <v>17</v>
      </c>
      <c r="L106" s="51">
        <v>45934</v>
      </c>
      <c r="M106" s="51">
        <v>45940</v>
      </c>
      <c r="N106" s="46">
        <f t="shared" si="1"/>
        <v>6</v>
      </c>
      <c r="O106" s="28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5.75" customHeight="1" x14ac:dyDescent="0.45">
      <c r="A107" s="15">
        <v>66867463</v>
      </c>
      <c r="B107" s="16" t="str">
        <f t="shared" si="0"/>
        <v>6.686.746-3</v>
      </c>
      <c r="C107" s="16" t="s">
        <v>28</v>
      </c>
      <c r="D107" s="16" t="s">
        <v>103</v>
      </c>
      <c r="E107" s="16" t="s">
        <v>103</v>
      </c>
      <c r="F107" s="16" t="s">
        <v>273</v>
      </c>
      <c r="G107" s="17">
        <v>45939</v>
      </c>
      <c r="H107" s="17">
        <v>45953</v>
      </c>
      <c r="I107" s="37" t="s">
        <v>15</v>
      </c>
      <c r="J107" s="53" t="s">
        <v>342</v>
      </c>
      <c r="K107" s="53" t="s">
        <v>16</v>
      </c>
      <c r="L107" s="17">
        <v>45939</v>
      </c>
      <c r="M107" s="17">
        <v>45953</v>
      </c>
      <c r="N107" s="46">
        <f t="shared" si="1"/>
        <v>14</v>
      </c>
      <c r="O107" s="28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5">
        <v>66867463</v>
      </c>
      <c r="B108" s="16" t="str">
        <f t="shared" si="0"/>
        <v>6.686.746-3</v>
      </c>
      <c r="C108" s="16" t="s">
        <v>28</v>
      </c>
      <c r="D108" s="16" t="s">
        <v>103</v>
      </c>
      <c r="E108" s="16" t="s">
        <v>103</v>
      </c>
      <c r="F108" s="16" t="s">
        <v>273</v>
      </c>
      <c r="G108" s="17">
        <v>45939</v>
      </c>
      <c r="H108" s="17">
        <v>45953</v>
      </c>
      <c r="I108" s="37" t="s">
        <v>15</v>
      </c>
      <c r="J108" s="53" t="s">
        <v>342</v>
      </c>
      <c r="K108" s="53" t="s">
        <v>17</v>
      </c>
      <c r="L108" s="17">
        <v>45939</v>
      </c>
      <c r="M108" s="17">
        <v>45953</v>
      </c>
      <c r="N108" s="46">
        <f t="shared" si="1"/>
        <v>14</v>
      </c>
      <c r="O108" s="28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95525547</v>
      </c>
      <c r="B109" s="16" t="str">
        <f t="shared" si="0"/>
        <v>9.552.554-7</v>
      </c>
      <c r="C109" s="16" t="s">
        <v>28</v>
      </c>
      <c r="D109" s="16" t="s">
        <v>201</v>
      </c>
      <c r="E109" s="16" t="s">
        <v>201</v>
      </c>
      <c r="F109" s="16" t="s">
        <v>111</v>
      </c>
      <c r="G109" s="17">
        <v>45936</v>
      </c>
      <c r="H109" s="17">
        <v>45953</v>
      </c>
      <c r="I109" s="37" t="s">
        <v>15</v>
      </c>
      <c r="J109" s="53" t="s">
        <v>200</v>
      </c>
      <c r="K109" s="53" t="s">
        <v>17</v>
      </c>
      <c r="L109" s="28">
        <v>45936</v>
      </c>
      <c r="M109" s="28">
        <v>45953</v>
      </c>
      <c r="N109" s="46">
        <f t="shared" si="1"/>
        <v>17</v>
      </c>
      <c r="O109" s="28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103904455</v>
      </c>
      <c r="B110" s="16" t="str">
        <f t="shared" si="0"/>
        <v>10.390.445-5</v>
      </c>
      <c r="C110" s="16" t="s">
        <v>28</v>
      </c>
      <c r="D110" s="16" t="s">
        <v>398</v>
      </c>
      <c r="E110" s="16" t="s">
        <v>771</v>
      </c>
      <c r="F110" s="16" t="s">
        <v>772</v>
      </c>
      <c r="G110" s="17">
        <v>45945</v>
      </c>
      <c r="H110" s="17">
        <v>45958</v>
      </c>
      <c r="I110" s="37" t="s">
        <v>60</v>
      </c>
      <c r="J110" s="53" t="s">
        <v>342</v>
      </c>
      <c r="K110" s="53" t="s">
        <v>349</v>
      </c>
      <c r="L110" s="17">
        <v>45945</v>
      </c>
      <c r="M110" s="28">
        <v>45958</v>
      </c>
      <c r="N110" s="46">
        <f t="shared" si="1"/>
        <v>13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103904455</v>
      </c>
      <c r="B111" s="16" t="str">
        <f t="shared" si="0"/>
        <v>10.390.445-5</v>
      </c>
      <c r="C111" s="16" t="s">
        <v>28</v>
      </c>
      <c r="D111" s="16" t="s">
        <v>398</v>
      </c>
      <c r="E111" s="16" t="s">
        <v>771</v>
      </c>
      <c r="F111" s="16" t="s">
        <v>772</v>
      </c>
      <c r="G111" s="17">
        <v>45945</v>
      </c>
      <c r="H111" s="17">
        <v>45958</v>
      </c>
      <c r="I111" s="37" t="s">
        <v>60</v>
      </c>
      <c r="J111" s="53" t="s">
        <v>342</v>
      </c>
      <c r="K111" s="54" t="s">
        <v>17</v>
      </c>
      <c r="L111" s="51">
        <v>45945</v>
      </c>
      <c r="M111" s="72">
        <v>45958</v>
      </c>
      <c r="N111" s="46">
        <f t="shared" si="1"/>
        <v>13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>
        <v>50663108</v>
      </c>
      <c r="B112" s="16" t="str">
        <f t="shared" si="0"/>
        <v>5.066.310-8</v>
      </c>
      <c r="C112" s="16" t="s">
        <v>28</v>
      </c>
      <c r="D112" s="16" t="s">
        <v>830</v>
      </c>
      <c r="E112" s="16" t="s">
        <v>450</v>
      </c>
      <c r="F112" s="16" t="s">
        <v>831</v>
      </c>
      <c r="G112" s="17">
        <v>45943</v>
      </c>
      <c r="H112" s="17"/>
      <c r="I112" s="37" t="s">
        <v>15</v>
      </c>
      <c r="J112" s="53" t="s">
        <v>841</v>
      </c>
      <c r="K112" s="53" t="s">
        <v>17</v>
      </c>
      <c r="L112" s="28">
        <v>45948</v>
      </c>
      <c r="M112" s="28">
        <v>45960</v>
      </c>
      <c r="N112" s="46">
        <f t="shared" si="1"/>
        <v>12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62011483</v>
      </c>
      <c r="B113" s="16" t="str">
        <f t="shared" si="0"/>
        <v>6.201.148-3</v>
      </c>
      <c r="C113" s="16" t="s">
        <v>28</v>
      </c>
      <c r="D113" s="16" t="s">
        <v>202</v>
      </c>
      <c r="E113" s="16" t="s">
        <v>381</v>
      </c>
      <c r="F113" s="16" t="s">
        <v>99</v>
      </c>
      <c r="G113" s="17">
        <v>45951</v>
      </c>
      <c r="H113" s="17"/>
      <c r="I113" s="37" t="s">
        <v>60</v>
      </c>
      <c r="J113" s="53" t="s">
        <v>841</v>
      </c>
      <c r="K113" s="53" t="s">
        <v>16</v>
      </c>
      <c r="L113" s="17">
        <v>45951</v>
      </c>
      <c r="M113" s="28">
        <v>45960</v>
      </c>
      <c r="N113" s="46">
        <f t="shared" si="1"/>
        <v>9</v>
      </c>
      <c r="O113" s="28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5">
        <v>62011483</v>
      </c>
      <c r="B114" s="16" t="str">
        <f t="shared" si="0"/>
        <v>6.201.148-3</v>
      </c>
      <c r="C114" s="16" t="s">
        <v>28</v>
      </c>
      <c r="D114" s="16" t="s">
        <v>202</v>
      </c>
      <c r="E114" s="16" t="s">
        <v>381</v>
      </c>
      <c r="F114" s="16" t="s">
        <v>99</v>
      </c>
      <c r="G114" s="17">
        <v>45951</v>
      </c>
      <c r="H114" s="17"/>
      <c r="I114" s="37" t="s">
        <v>60</v>
      </c>
      <c r="J114" s="53" t="s">
        <v>841</v>
      </c>
      <c r="K114" s="53" t="s">
        <v>17</v>
      </c>
      <c r="L114" s="17">
        <v>45951</v>
      </c>
      <c r="M114" s="28">
        <v>45960</v>
      </c>
      <c r="N114" s="46">
        <f t="shared" si="1"/>
        <v>9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158086158</v>
      </c>
      <c r="B115" s="16" t="str">
        <f t="shared" si="0"/>
        <v>15.808.615-8</v>
      </c>
      <c r="C115" s="16" t="s">
        <v>28</v>
      </c>
      <c r="D115" s="16" t="s">
        <v>480</v>
      </c>
      <c r="E115" s="16" t="s">
        <v>832</v>
      </c>
      <c r="F115" s="16" t="s">
        <v>833</v>
      </c>
      <c r="G115" s="17">
        <v>45952</v>
      </c>
      <c r="H115" s="17"/>
      <c r="I115" s="37" t="s">
        <v>60</v>
      </c>
      <c r="J115" s="53" t="s">
        <v>841</v>
      </c>
      <c r="K115" s="53" t="s">
        <v>16</v>
      </c>
      <c r="L115" s="28">
        <v>45952</v>
      </c>
      <c r="M115" s="28">
        <v>45960</v>
      </c>
      <c r="N115" s="46">
        <f t="shared" si="1"/>
        <v>8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110618360</v>
      </c>
      <c r="B116" s="16" t="str">
        <f t="shared" si="0"/>
        <v>11.061.836-0</v>
      </c>
      <c r="C116" s="16" t="s">
        <v>28</v>
      </c>
      <c r="D116" s="16" t="s">
        <v>493</v>
      </c>
      <c r="E116" s="16" t="s">
        <v>97</v>
      </c>
      <c r="F116" s="16" t="s">
        <v>133</v>
      </c>
      <c r="G116" s="17">
        <v>45946</v>
      </c>
      <c r="H116" s="17">
        <v>45954</v>
      </c>
      <c r="I116" s="37" t="s">
        <v>15</v>
      </c>
      <c r="J116" s="28">
        <v>45959</v>
      </c>
      <c r="K116" s="53" t="s">
        <v>16</v>
      </c>
      <c r="L116" s="28">
        <v>45946</v>
      </c>
      <c r="M116" s="28">
        <v>45954</v>
      </c>
      <c r="N116" s="46">
        <f t="shared" si="1"/>
        <v>8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5">
        <v>68422523</v>
      </c>
      <c r="B117" s="16" t="str">
        <f t="shared" si="0"/>
        <v>6.842.252-3</v>
      </c>
      <c r="C117" s="16" t="s">
        <v>28</v>
      </c>
      <c r="D117" s="16" t="s">
        <v>235</v>
      </c>
      <c r="E117" s="16" t="s">
        <v>112</v>
      </c>
      <c r="F117" s="16" t="s">
        <v>842</v>
      </c>
      <c r="G117" s="17">
        <v>45957</v>
      </c>
      <c r="H117" s="17"/>
      <c r="I117" s="37" t="s">
        <v>56</v>
      </c>
      <c r="J117" s="53" t="s">
        <v>841</v>
      </c>
      <c r="K117" s="53" t="s">
        <v>16</v>
      </c>
      <c r="L117" s="17">
        <v>45957</v>
      </c>
      <c r="M117" s="28">
        <v>45960</v>
      </c>
      <c r="N117" s="46">
        <f t="shared" si="1"/>
        <v>3</v>
      </c>
      <c r="O117" s="28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>
        <v>68422523</v>
      </c>
      <c r="B118" s="16" t="str">
        <f t="shared" si="0"/>
        <v>6.842.252-3</v>
      </c>
      <c r="C118" s="16" t="s">
        <v>28</v>
      </c>
      <c r="D118" s="16" t="s">
        <v>235</v>
      </c>
      <c r="E118" s="16" t="s">
        <v>112</v>
      </c>
      <c r="F118" s="16" t="s">
        <v>842</v>
      </c>
      <c r="G118" s="17">
        <v>45957</v>
      </c>
      <c r="H118" s="17"/>
      <c r="I118" s="37" t="s">
        <v>56</v>
      </c>
      <c r="J118" s="53" t="s">
        <v>841</v>
      </c>
      <c r="K118" s="53" t="s">
        <v>17</v>
      </c>
      <c r="L118" s="17">
        <v>45957</v>
      </c>
      <c r="M118" s="28">
        <v>45960</v>
      </c>
      <c r="N118" s="46">
        <f t="shared" si="1"/>
        <v>3</v>
      </c>
      <c r="O118" s="28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9">
        <v>33267126</v>
      </c>
      <c r="B119" s="19" t="str">
        <f t="shared" ref="B119:B122" si="4">IF(LEN(A119)=8,MID(A119,1,1)&amp;"."&amp;MID(A119,2,3)&amp;"."&amp;MID(A119,5,3)&amp;"-"&amp;RIGHT(A119,1),IF(LEFT(RIGHT(A119,2),1)="-",MID(A119,1,1)&amp;"."&amp;MID(A119,2,3)&amp;"."&amp;MID(A119,5,3)&amp;"-"&amp;RIGHT(A119,1),MID(A119,1,2)&amp;"."&amp;MID(A119,3,3)&amp;"."&amp;MID(A119,6,3)&amp;"-"&amp;MID(A119,9,1)))</f>
        <v>3.326.712-6</v>
      </c>
      <c r="C119" s="19" t="s">
        <v>32</v>
      </c>
      <c r="D119" s="19" t="s">
        <v>808</v>
      </c>
      <c r="E119" s="19" t="s">
        <v>103</v>
      </c>
      <c r="F119" s="19" t="s">
        <v>367</v>
      </c>
      <c r="G119" s="20">
        <v>45934</v>
      </c>
      <c r="H119" s="20">
        <v>45939</v>
      </c>
      <c r="I119" s="19" t="s">
        <v>15</v>
      </c>
      <c r="J119" s="19" t="s">
        <v>165</v>
      </c>
      <c r="K119" s="19" t="s">
        <v>17</v>
      </c>
      <c r="L119" s="20">
        <v>45934</v>
      </c>
      <c r="M119" s="20">
        <v>45939</v>
      </c>
      <c r="N119" s="47">
        <f t="shared" si="1"/>
        <v>5</v>
      </c>
      <c r="O119" s="34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9">
        <v>59121731</v>
      </c>
      <c r="B120" s="19" t="str">
        <f t="shared" si="4"/>
        <v>5.912.173-1</v>
      </c>
      <c r="C120" s="19" t="s">
        <v>32</v>
      </c>
      <c r="D120" s="19" t="s">
        <v>538</v>
      </c>
      <c r="E120" s="19" t="s">
        <v>719</v>
      </c>
      <c r="F120" s="19" t="s">
        <v>223</v>
      </c>
      <c r="G120" s="20">
        <v>45942</v>
      </c>
      <c r="H120" s="20">
        <v>45951</v>
      </c>
      <c r="I120" s="19" t="s">
        <v>15</v>
      </c>
      <c r="J120" s="19" t="s">
        <v>75</v>
      </c>
      <c r="K120" s="21" t="s">
        <v>17</v>
      </c>
      <c r="L120" s="20">
        <v>45942</v>
      </c>
      <c r="M120" s="20">
        <v>45951</v>
      </c>
      <c r="N120" s="47">
        <f t="shared" si="1"/>
        <v>9</v>
      </c>
      <c r="O120" s="34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9" t="s">
        <v>836</v>
      </c>
      <c r="B121" s="19" t="str">
        <f t="shared" si="4"/>
        <v>8.055.740-k</v>
      </c>
      <c r="C121" s="19" t="s">
        <v>32</v>
      </c>
      <c r="D121" s="19" t="s">
        <v>174</v>
      </c>
      <c r="E121" s="19" t="s">
        <v>20</v>
      </c>
      <c r="F121" s="19" t="s">
        <v>837</v>
      </c>
      <c r="G121" s="20">
        <v>45955</v>
      </c>
      <c r="H121" s="20">
        <v>45957</v>
      </c>
      <c r="I121" s="19" t="s">
        <v>15</v>
      </c>
      <c r="J121" s="19" t="s">
        <v>56</v>
      </c>
      <c r="K121" s="19" t="s">
        <v>17</v>
      </c>
      <c r="L121" s="20">
        <v>45955</v>
      </c>
      <c r="M121" s="20">
        <v>45957</v>
      </c>
      <c r="N121" s="47">
        <f t="shared" si="1"/>
        <v>2</v>
      </c>
      <c r="O121" s="34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9">
        <v>213517821</v>
      </c>
      <c r="B122" s="19" t="str">
        <f t="shared" si="4"/>
        <v>21.351.782-1</v>
      </c>
      <c r="C122" s="19" t="s">
        <v>32</v>
      </c>
      <c r="D122" s="19" t="s">
        <v>838</v>
      </c>
      <c r="E122" s="19" t="s">
        <v>839</v>
      </c>
      <c r="F122" s="19" t="s">
        <v>840</v>
      </c>
      <c r="G122" s="20">
        <v>45956</v>
      </c>
      <c r="H122" s="20">
        <v>45959</v>
      </c>
      <c r="I122" s="19" t="s">
        <v>15</v>
      </c>
      <c r="J122" s="19" t="s">
        <v>47</v>
      </c>
      <c r="K122" s="21" t="s">
        <v>16</v>
      </c>
      <c r="L122" s="20">
        <v>45957</v>
      </c>
      <c r="M122" s="20">
        <v>45959</v>
      </c>
      <c r="N122" s="47">
        <f t="shared" si="1"/>
        <v>2</v>
      </c>
      <c r="O122" s="34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G123" s="4"/>
      <c r="H123" s="4"/>
      <c r="I123" s="23"/>
      <c r="J123" s="23"/>
      <c r="K123" s="23"/>
      <c r="L123" s="4"/>
      <c r="N123" s="36"/>
      <c r="U123">
        <f>COUNTIF(U8:U122,"si")</f>
        <v>0</v>
      </c>
    </row>
    <row r="124" spans="1:21" ht="15.75" customHeight="1" x14ac:dyDescent="0.45">
      <c r="G124" s="4"/>
      <c r="H124" s="4"/>
      <c r="I124" s="23"/>
      <c r="J124" s="23"/>
      <c r="K124" s="23"/>
      <c r="L124" s="4"/>
      <c r="N124" s="36"/>
    </row>
    <row r="125" spans="1:21" ht="15.75" customHeight="1" x14ac:dyDescent="0.45">
      <c r="G125" s="4"/>
      <c r="H125" s="4"/>
      <c r="I125" s="23"/>
      <c r="J125" s="23"/>
      <c r="K125" s="23"/>
      <c r="L125" s="4"/>
      <c r="N125" s="36"/>
    </row>
    <row r="126" spans="1:21" ht="15.75" customHeight="1" x14ac:dyDescent="0.45">
      <c r="G126" s="4"/>
      <c r="H126" s="4"/>
      <c r="I126" s="23"/>
      <c r="J126" s="23"/>
      <c r="K126" s="23"/>
      <c r="L126" s="4"/>
      <c r="N126" s="36"/>
    </row>
    <row r="127" spans="1:21" ht="15.75" customHeight="1" x14ac:dyDescent="0.45">
      <c r="G127" s="4"/>
      <c r="H127" s="4"/>
      <c r="I127" s="23"/>
      <c r="J127" s="23"/>
      <c r="K127" s="23"/>
      <c r="L127" s="4"/>
      <c r="N127" s="36"/>
    </row>
    <row r="128" spans="1:21" ht="15.75" customHeight="1" x14ac:dyDescent="0.45">
      <c r="G128" s="4"/>
      <c r="H128" s="4"/>
      <c r="I128" s="23"/>
      <c r="J128" s="23"/>
      <c r="K128" s="23"/>
      <c r="L128" s="4"/>
      <c r="N128" s="36"/>
    </row>
    <row r="129" spans="7:14" ht="15.75" customHeight="1" x14ac:dyDescent="0.45">
      <c r="G129" s="4"/>
      <c r="H129" s="4"/>
      <c r="I129" s="23"/>
      <c r="J129" s="23"/>
      <c r="K129" s="23"/>
      <c r="L129" s="4"/>
      <c r="N129" s="36"/>
    </row>
    <row r="130" spans="7:14" ht="15.75" customHeight="1" x14ac:dyDescent="0.45">
      <c r="G130" s="4"/>
      <c r="H130" s="4"/>
      <c r="I130" s="23"/>
      <c r="J130" s="23"/>
      <c r="K130" s="23"/>
      <c r="L130" s="4"/>
      <c r="N130" s="36"/>
    </row>
    <row r="131" spans="7:14" ht="15.75" customHeight="1" x14ac:dyDescent="0.45">
      <c r="G131" s="4"/>
      <c r="H131" s="4"/>
      <c r="I131" s="23"/>
      <c r="J131" s="23"/>
      <c r="K131" s="23"/>
      <c r="L131" s="4"/>
      <c r="N131" s="36"/>
    </row>
    <row r="132" spans="7:14" ht="15.75" customHeight="1" x14ac:dyDescent="0.45">
      <c r="G132" s="4"/>
      <c r="H132" s="4"/>
      <c r="I132" s="23"/>
      <c r="J132" s="23"/>
      <c r="K132" s="23"/>
      <c r="L132" s="4"/>
      <c r="N132" s="36"/>
    </row>
    <row r="133" spans="7:14" ht="15.75" customHeight="1" x14ac:dyDescent="0.45">
      <c r="G133" s="4"/>
      <c r="H133" s="4"/>
      <c r="I133" s="23"/>
      <c r="J133" s="23"/>
      <c r="K133" s="23"/>
      <c r="L133" s="4"/>
      <c r="N133" s="36"/>
    </row>
    <row r="134" spans="7:14" ht="15.75" customHeight="1" x14ac:dyDescent="0.45">
      <c r="G134" s="4"/>
      <c r="H134" s="4"/>
      <c r="I134" s="23"/>
      <c r="J134" s="23"/>
      <c r="K134" s="23"/>
      <c r="L134" s="4"/>
      <c r="N134" s="36"/>
    </row>
    <row r="135" spans="7:14" ht="15.75" customHeight="1" x14ac:dyDescent="0.45">
      <c r="G135" s="4"/>
      <c r="H135" s="4"/>
      <c r="I135" s="23"/>
      <c r="J135" s="23"/>
      <c r="K135" s="23"/>
      <c r="L135" s="4"/>
      <c r="N135" s="36"/>
    </row>
    <row r="136" spans="7:14" ht="15.75" customHeight="1" x14ac:dyDescent="0.45">
      <c r="G136" s="4"/>
      <c r="H136" s="4"/>
      <c r="I136" s="23"/>
      <c r="J136" s="23"/>
      <c r="K136" s="23"/>
      <c r="L136" s="4"/>
      <c r="N136" s="36"/>
    </row>
    <row r="137" spans="7:14" ht="15.75" customHeight="1" x14ac:dyDescent="0.45">
      <c r="G137" s="4"/>
      <c r="H137" s="4"/>
      <c r="I137" s="23"/>
      <c r="J137" s="23"/>
      <c r="K137" s="23"/>
      <c r="L137" s="4"/>
      <c r="N137" s="36"/>
    </row>
    <row r="138" spans="7:14" ht="15.75" customHeight="1" x14ac:dyDescent="0.45">
      <c r="G138" s="4"/>
      <c r="H138" s="4"/>
      <c r="I138" s="23"/>
      <c r="J138" s="23"/>
      <c r="K138" s="23"/>
      <c r="L138" s="4"/>
      <c r="N138" s="36"/>
    </row>
    <row r="139" spans="7:14" ht="15.75" customHeight="1" x14ac:dyDescent="0.45">
      <c r="G139" s="4"/>
      <c r="H139" s="4"/>
      <c r="I139" s="23"/>
      <c r="J139" s="23"/>
      <c r="K139" s="23"/>
      <c r="L139" s="4"/>
      <c r="N139" s="36"/>
    </row>
    <row r="140" spans="7:14" ht="15.75" customHeight="1" x14ac:dyDescent="0.45">
      <c r="G140" s="4"/>
      <c r="H140" s="4"/>
      <c r="I140" s="23"/>
      <c r="J140" s="23"/>
      <c r="K140" s="23"/>
      <c r="L140" s="4"/>
      <c r="N140" s="36"/>
    </row>
    <row r="141" spans="7:14" ht="15.75" customHeight="1" x14ac:dyDescent="0.45">
      <c r="G141" s="4"/>
      <c r="H141" s="4"/>
      <c r="I141" s="23"/>
      <c r="J141" s="23"/>
      <c r="K141" s="23"/>
      <c r="L141" s="4"/>
      <c r="N141" s="36"/>
    </row>
    <row r="142" spans="7:14" ht="15.75" customHeight="1" x14ac:dyDescent="0.45">
      <c r="G142" s="4"/>
      <c r="H142" s="4"/>
      <c r="I142" s="23"/>
      <c r="J142" s="23"/>
      <c r="K142" s="23"/>
      <c r="L142" s="4"/>
      <c r="N142" s="36"/>
    </row>
    <row r="143" spans="7:14" ht="15.75" customHeight="1" x14ac:dyDescent="0.45">
      <c r="G143" s="4"/>
      <c r="H143" s="4"/>
      <c r="I143" s="23"/>
      <c r="J143" s="23"/>
      <c r="K143" s="23"/>
      <c r="L143" s="4"/>
      <c r="N143" s="36"/>
    </row>
    <row r="144" spans="7:14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L182" s="4"/>
      <c r="N182" s="36"/>
    </row>
    <row r="183" spans="7:14" ht="15.75" customHeight="1" x14ac:dyDescent="0.45">
      <c r="G183" s="4"/>
      <c r="H183" s="4"/>
      <c r="I183" s="23"/>
      <c r="J183" s="23"/>
      <c r="L183" s="4"/>
      <c r="N183" s="36"/>
    </row>
    <row r="184" spans="7:14" ht="15.75" customHeight="1" x14ac:dyDescent="0.45">
      <c r="G184" s="4"/>
      <c r="H184" s="4"/>
      <c r="I184" s="23"/>
      <c r="J184" s="23"/>
      <c r="L184" s="4"/>
      <c r="N184" s="36"/>
    </row>
    <row r="185" spans="7:14" ht="15.75" customHeight="1" x14ac:dyDescent="0.45">
      <c r="G185" s="4"/>
      <c r="H185" s="4"/>
      <c r="I185" s="23"/>
      <c r="J185" s="23"/>
      <c r="L185" s="4"/>
      <c r="N185" s="36"/>
    </row>
    <row r="186" spans="7:14" ht="15.75" customHeight="1" x14ac:dyDescent="0.45">
      <c r="G186" s="4"/>
      <c r="H186" s="4"/>
      <c r="I186" s="23"/>
      <c r="J186" s="23"/>
      <c r="L186" s="4"/>
      <c r="N186" s="36"/>
    </row>
    <row r="187" spans="7:14" ht="15.75" customHeight="1" x14ac:dyDescent="0.45">
      <c r="G187" s="4"/>
      <c r="H187" s="4"/>
      <c r="I187" s="23"/>
      <c r="J187" s="23"/>
      <c r="L187" s="4"/>
      <c r="N187" s="36"/>
    </row>
    <row r="188" spans="7:14" ht="15.75" customHeight="1" x14ac:dyDescent="0.45">
      <c r="G188" s="4"/>
      <c r="H188" s="4"/>
      <c r="I188" s="23"/>
      <c r="J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J254" s="23"/>
      <c r="L254" s="4"/>
      <c r="N254" s="36"/>
    </row>
    <row r="255" spans="7:14" ht="15.75" customHeight="1" x14ac:dyDescent="0.45">
      <c r="G255" s="4"/>
      <c r="H255" s="4"/>
      <c r="L255" s="4"/>
      <c r="N255" s="36"/>
    </row>
    <row r="256" spans="7:14" ht="15.75" customHeight="1" x14ac:dyDescent="0.45">
      <c r="G256" s="4"/>
      <c r="H256" s="4"/>
      <c r="L256" s="4"/>
      <c r="N256" s="36"/>
    </row>
    <row r="257" spans="7:14" ht="15.75" customHeight="1" x14ac:dyDescent="0.45">
      <c r="G257" s="4"/>
      <c r="H257" s="4"/>
      <c r="L257" s="4"/>
      <c r="N257" s="36"/>
    </row>
    <row r="258" spans="7:14" ht="15.75" customHeight="1" x14ac:dyDescent="0.45">
      <c r="G258" s="4"/>
      <c r="H258" s="4"/>
      <c r="L258" s="4"/>
      <c r="N258" s="36"/>
    </row>
    <row r="259" spans="7:14" ht="15.75" customHeight="1" x14ac:dyDescent="0.45">
      <c r="G259" s="4"/>
      <c r="H259" s="4"/>
      <c r="L259" s="4"/>
      <c r="N259" s="36"/>
    </row>
    <row r="260" spans="7:14" ht="15.75" customHeight="1" x14ac:dyDescent="0.45">
      <c r="G260" s="4"/>
      <c r="H260" s="4"/>
      <c r="L260" s="4"/>
      <c r="N260" s="36"/>
    </row>
    <row r="261" spans="7:14" ht="15.75" customHeight="1" x14ac:dyDescent="0.45">
      <c r="G261" s="4"/>
      <c r="H261" s="4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</row>
    <row r="292" spans="7:14" ht="15.75" customHeight="1" x14ac:dyDescent="0.45">
      <c r="G292" s="4"/>
      <c r="H292" s="4"/>
      <c r="L292" s="4"/>
    </row>
    <row r="293" spans="7:14" ht="15.75" customHeight="1" x14ac:dyDescent="0.45">
      <c r="G293" s="4"/>
      <c r="H293" s="4"/>
      <c r="L293" s="4"/>
    </row>
    <row r="294" spans="7:14" ht="15.75" customHeight="1" x14ac:dyDescent="0.45">
      <c r="G294" s="4"/>
      <c r="H294" s="4"/>
      <c r="L294" s="4"/>
    </row>
    <row r="295" spans="7:14" ht="15.75" customHeight="1" x14ac:dyDescent="0.45">
      <c r="G295" s="4"/>
      <c r="H295" s="4"/>
      <c r="L295" s="4"/>
    </row>
    <row r="296" spans="7:14" ht="15.75" customHeight="1" x14ac:dyDescent="0.45">
      <c r="G296" s="4"/>
      <c r="H296" s="4"/>
      <c r="L296" s="4"/>
    </row>
    <row r="297" spans="7:14" ht="15.75" customHeight="1" x14ac:dyDescent="0.45">
      <c r="G297" s="4"/>
      <c r="H297" s="4"/>
      <c r="L297" s="4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/>
    <row r="323" spans="7:12" ht="15.75" customHeight="1" x14ac:dyDescent="0.45"/>
    <row r="324" spans="7:12" ht="15.75" customHeight="1" x14ac:dyDescent="0.45"/>
    <row r="325" spans="7:12" ht="15.75" customHeight="1" x14ac:dyDescent="0.45"/>
    <row r="326" spans="7:12" ht="15.75" customHeight="1" x14ac:dyDescent="0.45"/>
    <row r="327" spans="7:12" ht="15.75" customHeight="1" x14ac:dyDescent="0.45"/>
    <row r="328" spans="7:12" ht="15.75" customHeight="1" x14ac:dyDescent="0.45"/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</sheetData>
  <mergeCells count="7">
    <mergeCell ref="O66:O68"/>
    <mergeCell ref="O75:O77"/>
    <mergeCell ref="O8:O10"/>
    <mergeCell ref="O20:O22"/>
    <mergeCell ref="A1:O1"/>
    <mergeCell ref="A2:O2"/>
    <mergeCell ref="A5:O5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7E0AA3-D976-41B9-BDAE-838511B2EFB1}">
          <x14:formula1>
            <xm:f>Criterios!$A$2:$A$128</xm:f>
          </x14:formula1>
          <xm:sqref>P8:T122</xm:sqref>
        </x14:dataValidation>
        <x14:dataValidation type="list" allowBlank="1" showInputMessage="1" showErrorMessage="1" xr:uid="{836B3354-B7B8-4D2A-80A6-F14726AF83D6}">
          <x14:formula1>
            <xm:f>Hoja1!$G$2:$G$3</xm:f>
          </x14:formula1>
          <xm:sqref>U8:U122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DDDF-61B1-4E08-87F3-FE853F90E8F6}">
  <dimension ref="A1:U1004"/>
  <sheetViews>
    <sheetView zoomScale="70" zoomScaleNormal="70" workbookViewId="0">
      <pane xSplit="2" ySplit="2" topLeftCell="L42" activePane="bottomRight" state="frozen"/>
      <selection pane="topRight" activeCell="C1" sqref="C1"/>
      <selection pane="bottomLeft" activeCell="A3" sqref="A3"/>
      <selection pane="bottomRight" activeCell="S90" sqref="S90"/>
    </sheetView>
  </sheetViews>
  <sheetFormatPr baseColWidth="10" defaultRowHeight="14.25" x14ac:dyDescent="0.45"/>
  <cols>
    <col min="2" max="2" width="11.796875" bestFit="1" customWidth="1"/>
    <col min="4" max="4" width="14.796875" bestFit="1" customWidth="1"/>
    <col min="11" max="11" width="21.46484375" customWidth="1"/>
    <col min="13" max="13" width="13.73046875" customWidth="1"/>
    <col min="14" max="14" width="8.6640625" bestFit="1" customWidth="1"/>
    <col min="15" max="15" width="12" customWidth="1"/>
    <col min="16" max="20" width="15.59765625" bestFit="1" customWidth="1"/>
  </cols>
  <sheetData>
    <row r="1" spans="1:21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1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1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1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1" x14ac:dyDescent="0.45">
      <c r="A5" s="117" t="s">
        <v>845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1" ht="14.65" thickBot="1" x14ac:dyDescent="0.5">
      <c r="G6" s="4"/>
      <c r="H6" s="4"/>
      <c r="L6" s="4"/>
    </row>
    <row r="7" spans="1:21" ht="28.5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</row>
    <row r="8" spans="1:21" ht="16.5" customHeight="1" x14ac:dyDescent="0.45">
      <c r="A8" s="10">
        <v>83078332</v>
      </c>
      <c r="B8" s="11" t="str">
        <f t="shared" ref="B8:B13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8.307.833-2</v>
      </c>
      <c r="C8" s="11" t="s">
        <v>14</v>
      </c>
      <c r="D8" s="11" t="s">
        <v>509</v>
      </c>
      <c r="E8" s="11" t="s">
        <v>333</v>
      </c>
      <c r="F8" s="11" t="s">
        <v>594</v>
      </c>
      <c r="G8" s="12">
        <v>45936</v>
      </c>
      <c r="H8" s="12">
        <v>45965</v>
      </c>
      <c r="I8" s="11" t="s">
        <v>60</v>
      </c>
      <c r="J8" s="11" t="s">
        <v>60</v>
      </c>
      <c r="K8" s="57" t="s">
        <v>16</v>
      </c>
      <c r="L8" s="12">
        <v>45962</v>
      </c>
      <c r="M8" s="12">
        <v>45965</v>
      </c>
      <c r="N8" s="44">
        <f t="shared" ref="N8:N138" si="1">+M8-L8</f>
        <v>3</v>
      </c>
      <c r="O8" s="44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1" ht="16.5" customHeight="1" x14ac:dyDescent="0.45">
      <c r="A9" s="10">
        <v>83078332</v>
      </c>
      <c r="B9" s="11" t="str">
        <f t="shared" si="0"/>
        <v>8.307.833-2</v>
      </c>
      <c r="C9" s="11" t="s">
        <v>14</v>
      </c>
      <c r="D9" s="11" t="s">
        <v>509</v>
      </c>
      <c r="E9" s="11" t="s">
        <v>333</v>
      </c>
      <c r="F9" s="11" t="s">
        <v>594</v>
      </c>
      <c r="G9" s="12">
        <v>45936</v>
      </c>
      <c r="H9" s="12">
        <v>45965</v>
      </c>
      <c r="I9" s="11" t="s">
        <v>60</v>
      </c>
      <c r="J9" s="11" t="s">
        <v>60</v>
      </c>
      <c r="K9" s="57" t="s">
        <v>17</v>
      </c>
      <c r="L9" s="12">
        <v>45962</v>
      </c>
      <c r="M9" s="12">
        <v>45965</v>
      </c>
      <c r="N9" s="44">
        <f t="shared" si="1"/>
        <v>3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1" ht="16.5" customHeight="1" x14ac:dyDescent="0.45">
      <c r="A10" s="10">
        <v>83078332</v>
      </c>
      <c r="B10" s="11" t="str">
        <f t="shared" si="0"/>
        <v>8.307.833-2</v>
      </c>
      <c r="C10" s="11" t="s">
        <v>14</v>
      </c>
      <c r="D10" s="11" t="s">
        <v>509</v>
      </c>
      <c r="E10" s="11" t="s">
        <v>333</v>
      </c>
      <c r="F10" s="11" t="s">
        <v>594</v>
      </c>
      <c r="G10" s="12">
        <v>45936</v>
      </c>
      <c r="H10" s="12">
        <v>45965</v>
      </c>
      <c r="I10" s="11" t="s">
        <v>60</v>
      </c>
      <c r="J10" s="11" t="s">
        <v>60</v>
      </c>
      <c r="K10" s="57" t="s">
        <v>18</v>
      </c>
      <c r="L10" s="12">
        <v>45962</v>
      </c>
      <c r="M10" s="12">
        <v>45962</v>
      </c>
      <c r="N10" s="44">
        <f t="shared" si="1"/>
        <v>0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1" ht="16.5" customHeight="1" x14ac:dyDescent="0.45">
      <c r="A11" s="10">
        <v>98877657</v>
      </c>
      <c r="B11" s="11" t="str">
        <f t="shared" si="0"/>
        <v>9.887.765-7</v>
      </c>
      <c r="C11" s="11" t="s">
        <v>14</v>
      </c>
      <c r="D11" s="11" t="s">
        <v>708</v>
      </c>
      <c r="E11" s="11" t="s">
        <v>396</v>
      </c>
      <c r="F11" s="11" t="s">
        <v>820</v>
      </c>
      <c r="G11" s="12">
        <v>45948</v>
      </c>
      <c r="H11" s="12">
        <v>45962</v>
      </c>
      <c r="I11" s="11" t="s">
        <v>200</v>
      </c>
      <c r="J11" s="48" t="s">
        <v>106</v>
      </c>
      <c r="K11" s="57" t="s">
        <v>16</v>
      </c>
      <c r="L11" s="12">
        <v>45962</v>
      </c>
      <c r="M11" s="35">
        <v>45962</v>
      </c>
      <c r="N11" s="44">
        <f t="shared" si="1"/>
        <v>0</v>
      </c>
      <c r="O11" s="131" t="s">
        <v>914</v>
      </c>
      <c r="P11" t="s">
        <v>83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1" ht="16.5" customHeight="1" x14ac:dyDescent="0.45">
      <c r="A12" s="10">
        <v>98877657</v>
      </c>
      <c r="B12" s="11" t="str">
        <f t="shared" si="0"/>
        <v>9.887.765-7</v>
      </c>
      <c r="C12" s="11" t="s">
        <v>14</v>
      </c>
      <c r="D12" s="11" t="s">
        <v>708</v>
      </c>
      <c r="E12" s="11" t="s">
        <v>396</v>
      </c>
      <c r="F12" s="11" t="s">
        <v>820</v>
      </c>
      <c r="G12" s="12">
        <v>45948</v>
      </c>
      <c r="H12" s="12">
        <v>45962</v>
      </c>
      <c r="I12" s="11" t="s">
        <v>200</v>
      </c>
      <c r="J12" s="48" t="s">
        <v>106</v>
      </c>
      <c r="K12" s="57" t="s">
        <v>17</v>
      </c>
      <c r="L12" s="12">
        <v>45962</v>
      </c>
      <c r="M12" s="12">
        <v>45962</v>
      </c>
      <c r="N12" s="44">
        <f t="shared" si="1"/>
        <v>0</v>
      </c>
      <c r="O12" s="133"/>
      <c r="P12" t="s">
        <v>83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1" ht="16.5" customHeight="1" x14ac:dyDescent="0.45">
      <c r="A13" s="10">
        <v>98877657</v>
      </c>
      <c r="B13" s="11" t="str">
        <f t="shared" si="0"/>
        <v>9.887.765-7</v>
      </c>
      <c r="C13" s="11" t="s">
        <v>14</v>
      </c>
      <c r="D13" s="11" t="s">
        <v>708</v>
      </c>
      <c r="E13" s="11" t="s">
        <v>396</v>
      </c>
      <c r="F13" s="11" t="s">
        <v>820</v>
      </c>
      <c r="G13" s="12">
        <v>45948</v>
      </c>
      <c r="H13" s="12">
        <v>45962</v>
      </c>
      <c r="I13" s="11" t="s">
        <v>200</v>
      </c>
      <c r="J13" s="48" t="s">
        <v>106</v>
      </c>
      <c r="K13" s="57" t="s">
        <v>18</v>
      </c>
      <c r="L13" s="12">
        <v>45962</v>
      </c>
      <c r="M13" s="35">
        <v>45962</v>
      </c>
      <c r="N13" s="44">
        <f t="shared" si="1"/>
        <v>0</v>
      </c>
      <c r="O13" s="132"/>
      <c r="P13" t="s">
        <v>83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1" ht="16.5" customHeight="1" x14ac:dyDescent="0.45">
      <c r="A14" s="10" t="s">
        <v>853</v>
      </c>
      <c r="B14" s="11" t="str">
        <f t="shared" si="0"/>
        <v>8.204.227-k</v>
      </c>
      <c r="C14" s="11" t="s">
        <v>14</v>
      </c>
      <c r="D14" s="11" t="s">
        <v>825</v>
      </c>
      <c r="E14" s="11" t="s">
        <v>663</v>
      </c>
      <c r="F14" s="11" t="s">
        <v>826</v>
      </c>
      <c r="G14" s="12">
        <v>45946</v>
      </c>
      <c r="H14" s="12">
        <v>45970</v>
      </c>
      <c r="I14" s="48" t="s">
        <v>15</v>
      </c>
      <c r="J14" s="57" t="s">
        <v>106</v>
      </c>
      <c r="K14" s="57" t="s">
        <v>16</v>
      </c>
      <c r="L14" s="12">
        <v>45962</v>
      </c>
      <c r="M14" s="12">
        <v>45970</v>
      </c>
      <c r="N14" s="44">
        <f t="shared" si="1"/>
        <v>8</v>
      </c>
      <c r="O14" s="131" t="s">
        <v>914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1" ht="16.5" customHeight="1" x14ac:dyDescent="0.45">
      <c r="A15" s="10" t="s">
        <v>853</v>
      </c>
      <c r="B15" s="11" t="str">
        <f t="shared" si="0"/>
        <v>8.204.227-k</v>
      </c>
      <c r="C15" s="11" t="s">
        <v>14</v>
      </c>
      <c r="D15" s="11" t="s">
        <v>825</v>
      </c>
      <c r="E15" s="11" t="s">
        <v>663</v>
      </c>
      <c r="F15" s="11" t="s">
        <v>826</v>
      </c>
      <c r="G15" s="12">
        <v>45946</v>
      </c>
      <c r="H15" s="12">
        <v>45970</v>
      </c>
      <c r="I15" s="48" t="s">
        <v>15</v>
      </c>
      <c r="J15" s="57" t="s">
        <v>106</v>
      </c>
      <c r="K15" s="57" t="s">
        <v>17</v>
      </c>
      <c r="L15" s="12">
        <v>45962</v>
      </c>
      <c r="M15" s="12">
        <v>45970</v>
      </c>
      <c r="N15" s="44">
        <f t="shared" si="1"/>
        <v>8</v>
      </c>
      <c r="O15" s="133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1" ht="16.5" customHeight="1" x14ac:dyDescent="0.45">
      <c r="A16" s="10" t="s">
        <v>853</v>
      </c>
      <c r="B16" s="11" t="str">
        <f t="shared" si="0"/>
        <v>8.204.227-k</v>
      </c>
      <c r="C16" s="11" t="s">
        <v>14</v>
      </c>
      <c r="D16" s="11" t="s">
        <v>825</v>
      </c>
      <c r="E16" s="11" t="s">
        <v>663</v>
      </c>
      <c r="F16" s="11" t="s">
        <v>826</v>
      </c>
      <c r="G16" s="12">
        <v>45946</v>
      </c>
      <c r="H16" s="12">
        <v>45970</v>
      </c>
      <c r="I16" s="48" t="s">
        <v>15</v>
      </c>
      <c r="J16" s="57" t="s">
        <v>106</v>
      </c>
      <c r="K16" s="57" t="s">
        <v>18</v>
      </c>
      <c r="L16" s="12">
        <v>45962</v>
      </c>
      <c r="M16" s="12">
        <v>45970</v>
      </c>
      <c r="N16" s="44">
        <f t="shared" si="1"/>
        <v>8</v>
      </c>
      <c r="O16" s="132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 t="s">
        <v>829</v>
      </c>
      <c r="B17" s="11" t="str">
        <f t="shared" si="0"/>
        <v>8.746.007-K</v>
      </c>
      <c r="C17" s="11" t="s">
        <v>14</v>
      </c>
      <c r="D17" s="11" t="s">
        <v>343</v>
      </c>
      <c r="E17" s="11" t="s">
        <v>323</v>
      </c>
      <c r="F17" s="11" t="s">
        <v>414</v>
      </c>
      <c r="G17" s="12">
        <v>45943</v>
      </c>
      <c r="H17" s="12">
        <v>45963</v>
      </c>
      <c r="I17" s="48" t="s">
        <v>15</v>
      </c>
      <c r="J17" s="57" t="s">
        <v>72</v>
      </c>
      <c r="K17" s="57" t="s">
        <v>16</v>
      </c>
      <c r="L17" s="12">
        <v>45962</v>
      </c>
      <c r="M17" s="12">
        <v>45963</v>
      </c>
      <c r="N17" s="44">
        <f t="shared" si="1"/>
        <v>1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 t="s">
        <v>829</v>
      </c>
      <c r="B18" s="11" t="str">
        <f t="shared" si="0"/>
        <v>8.746.007-K</v>
      </c>
      <c r="C18" s="11" t="s">
        <v>14</v>
      </c>
      <c r="D18" s="11" t="s">
        <v>343</v>
      </c>
      <c r="E18" s="11" t="s">
        <v>323</v>
      </c>
      <c r="F18" s="11" t="s">
        <v>414</v>
      </c>
      <c r="G18" s="12">
        <v>45943</v>
      </c>
      <c r="H18" s="12">
        <v>45963</v>
      </c>
      <c r="I18" s="48" t="s">
        <v>15</v>
      </c>
      <c r="J18" s="57" t="s">
        <v>72</v>
      </c>
      <c r="K18" s="57" t="s">
        <v>17</v>
      </c>
      <c r="L18" s="12">
        <v>45962</v>
      </c>
      <c r="M18" s="12">
        <v>45963</v>
      </c>
      <c r="N18" s="44">
        <f t="shared" si="1"/>
        <v>1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 t="s">
        <v>829</v>
      </c>
      <c r="B19" s="11" t="str">
        <f t="shared" si="0"/>
        <v>8.746.007-K</v>
      </c>
      <c r="C19" s="11" t="s">
        <v>14</v>
      </c>
      <c r="D19" s="11" t="s">
        <v>343</v>
      </c>
      <c r="E19" s="11" t="s">
        <v>323</v>
      </c>
      <c r="F19" s="11" t="s">
        <v>414</v>
      </c>
      <c r="G19" s="12">
        <v>45943</v>
      </c>
      <c r="H19" s="12">
        <v>45963</v>
      </c>
      <c r="I19" s="48" t="s">
        <v>15</v>
      </c>
      <c r="J19" s="57" t="s">
        <v>72</v>
      </c>
      <c r="K19" s="57" t="s">
        <v>18</v>
      </c>
      <c r="L19" s="12">
        <v>45962</v>
      </c>
      <c r="M19" s="12">
        <v>45962</v>
      </c>
      <c r="N19" s="44">
        <f t="shared" si="1"/>
        <v>0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>
        <v>129751533</v>
      </c>
      <c r="B20" s="11" t="str">
        <f t="shared" si="0"/>
        <v>12.975.153-3</v>
      </c>
      <c r="C20" s="11" t="s">
        <v>14</v>
      </c>
      <c r="D20" s="11" t="s">
        <v>368</v>
      </c>
      <c r="E20" s="11" t="s">
        <v>502</v>
      </c>
      <c r="F20" s="11" t="s">
        <v>503</v>
      </c>
      <c r="G20" s="12">
        <v>45952</v>
      </c>
      <c r="H20" s="12">
        <v>45965</v>
      </c>
      <c r="I20" s="48" t="s">
        <v>15</v>
      </c>
      <c r="J20" s="57" t="s">
        <v>75</v>
      </c>
      <c r="K20" s="57" t="s">
        <v>16</v>
      </c>
      <c r="L20" s="12">
        <v>45962</v>
      </c>
      <c r="M20" s="12">
        <v>45965</v>
      </c>
      <c r="N20" s="44">
        <f t="shared" si="1"/>
        <v>3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>
        <v>129751533</v>
      </c>
      <c r="B21" s="11" t="str">
        <f t="shared" si="0"/>
        <v>12.975.153-3</v>
      </c>
      <c r="C21" s="11" t="s">
        <v>14</v>
      </c>
      <c r="D21" s="11" t="s">
        <v>368</v>
      </c>
      <c r="E21" s="11" t="s">
        <v>502</v>
      </c>
      <c r="F21" s="11" t="s">
        <v>503</v>
      </c>
      <c r="G21" s="12">
        <v>45952</v>
      </c>
      <c r="H21" s="12">
        <v>45965</v>
      </c>
      <c r="I21" s="48" t="s">
        <v>15</v>
      </c>
      <c r="J21" s="57" t="s">
        <v>75</v>
      </c>
      <c r="K21" s="57" t="s">
        <v>17</v>
      </c>
      <c r="L21" s="12">
        <v>45962</v>
      </c>
      <c r="M21" s="12">
        <v>45965</v>
      </c>
      <c r="N21" s="44">
        <f t="shared" si="1"/>
        <v>3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>
        <v>123753518</v>
      </c>
      <c r="B22" s="11" t="str">
        <f t="shared" si="0"/>
        <v>12.375.351-8</v>
      </c>
      <c r="C22" s="11" t="s">
        <v>14</v>
      </c>
      <c r="D22" s="11" t="s">
        <v>235</v>
      </c>
      <c r="E22" s="11" t="s">
        <v>125</v>
      </c>
      <c r="F22" s="11" t="s">
        <v>332</v>
      </c>
      <c r="G22" s="12">
        <v>45959</v>
      </c>
      <c r="H22" s="12">
        <v>45964</v>
      </c>
      <c r="I22" s="48" t="s">
        <v>15</v>
      </c>
      <c r="J22" s="57" t="s">
        <v>74</v>
      </c>
      <c r="K22" s="57" t="s">
        <v>16</v>
      </c>
      <c r="L22" s="12">
        <v>45962</v>
      </c>
      <c r="M22" s="12">
        <v>45964</v>
      </c>
      <c r="N22" s="44">
        <f t="shared" si="1"/>
        <v>2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123753518</v>
      </c>
      <c r="B23" s="11" t="str">
        <f t="shared" si="0"/>
        <v>12.375.351-8</v>
      </c>
      <c r="C23" s="11" t="s">
        <v>14</v>
      </c>
      <c r="D23" s="11" t="s">
        <v>235</v>
      </c>
      <c r="E23" s="11" t="s">
        <v>125</v>
      </c>
      <c r="F23" s="11" t="s">
        <v>332</v>
      </c>
      <c r="G23" s="12">
        <v>45959</v>
      </c>
      <c r="H23" s="12">
        <v>45964</v>
      </c>
      <c r="I23" s="48" t="s">
        <v>15</v>
      </c>
      <c r="J23" s="57" t="s">
        <v>74</v>
      </c>
      <c r="K23" s="57" t="s">
        <v>17</v>
      </c>
      <c r="L23" s="12">
        <v>45962</v>
      </c>
      <c r="M23" s="12">
        <v>45964</v>
      </c>
      <c r="N23" s="44">
        <f t="shared" si="1"/>
        <v>2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103303834</v>
      </c>
      <c r="B24" s="11" t="str">
        <f t="shared" si="0"/>
        <v>10.330.383-4</v>
      </c>
      <c r="C24" s="11" t="s">
        <v>14</v>
      </c>
      <c r="D24" s="11" t="s">
        <v>358</v>
      </c>
      <c r="E24" s="11" t="s">
        <v>844</v>
      </c>
      <c r="F24" s="11" t="s">
        <v>752</v>
      </c>
      <c r="G24" s="12">
        <v>45957</v>
      </c>
      <c r="H24" s="12">
        <v>45969</v>
      </c>
      <c r="I24" s="48" t="s">
        <v>28</v>
      </c>
      <c r="J24" s="57" t="s">
        <v>60</v>
      </c>
      <c r="K24" s="57" t="s">
        <v>16</v>
      </c>
      <c r="L24" s="12">
        <v>45962</v>
      </c>
      <c r="M24" s="12">
        <v>45969</v>
      </c>
      <c r="N24" s="44">
        <f t="shared" si="1"/>
        <v>7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103303834</v>
      </c>
      <c r="B25" s="11" t="str">
        <f t="shared" si="0"/>
        <v>10.330.383-4</v>
      </c>
      <c r="C25" s="11" t="s">
        <v>14</v>
      </c>
      <c r="D25" s="11" t="s">
        <v>358</v>
      </c>
      <c r="E25" s="11" t="s">
        <v>844</v>
      </c>
      <c r="F25" s="11" t="s">
        <v>752</v>
      </c>
      <c r="G25" s="12">
        <v>45957</v>
      </c>
      <c r="H25" s="12">
        <v>45969</v>
      </c>
      <c r="I25" s="48" t="s">
        <v>28</v>
      </c>
      <c r="J25" s="57" t="s">
        <v>60</v>
      </c>
      <c r="K25" s="57" t="s">
        <v>17</v>
      </c>
      <c r="L25" s="12">
        <v>45962</v>
      </c>
      <c r="M25" s="12">
        <v>45969</v>
      </c>
      <c r="N25" s="44">
        <f t="shared" si="1"/>
        <v>7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103303834</v>
      </c>
      <c r="B26" s="11" t="str">
        <f t="shared" si="0"/>
        <v>10.330.383-4</v>
      </c>
      <c r="C26" s="11" t="s">
        <v>14</v>
      </c>
      <c r="D26" s="11" t="s">
        <v>358</v>
      </c>
      <c r="E26" s="11" t="s">
        <v>844</v>
      </c>
      <c r="F26" s="11" t="s">
        <v>752</v>
      </c>
      <c r="G26" s="12">
        <v>45957</v>
      </c>
      <c r="H26" s="12">
        <v>45969</v>
      </c>
      <c r="I26" s="48" t="s">
        <v>28</v>
      </c>
      <c r="J26" s="57" t="s">
        <v>60</v>
      </c>
      <c r="K26" s="58" t="s">
        <v>415</v>
      </c>
      <c r="L26" s="38">
        <v>45962</v>
      </c>
      <c r="M26" s="12">
        <v>45969</v>
      </c>
      <c r="N26" s="44">
        <f t="shared" si="1"/>
        <v>7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53335861</v>
      </c>
      <c r="B27" s="11" t="str">
        <f t="shared" si="0"/>
        <v>5.333.586-1</v>
      </c>
      <c r="C27" s="11" t="s">
        <v>14</v>
      </c>
      <c r="D27" s="11" t="s">
        <v>410</v>
      </c>
      <c r="E27" s="11" t="s">
        <v>848</v>
      </c>
      <c r="F27" s="11" t="s">
        <v>321</v>
      </c>
      <c r="G27" s="12">
        <v>45966</v>
      </c>
      <c r="H27" s="12">
        <v>45971</v>
      </c>
      <c r="I27" s="48" t="s">
        <v>15</v>
      </c>
      <c r="J27" s="57" t="s">
        <v>72</v>
      </c>
      <c r="K27" s="57" t="s">
        <v>16</v>
      </c>
      <c r="L27" s="12">
        <v>45966</v>
      </c>
      <c r="M27" s="12">
        <v>45971</v>
      </c>
      <c r="N27" s="44">
        <f t="shared" si="1"/>
        <v>5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53335861</v>
      </c>
      <c r="B28" s="11" t="str">
        <f t="shared" si="0"/>
        <v>5.333.586-1</v>
      </c>
      <c r="C28" s="11" t="s">
        <v>14</v>
      </c>
      <c r="D28" s="11" t="s">
        <v>410</v>
      </c>
      <c r="E28" s="11" t="s">
        <v>848</v>
      </c>
      <c r="F28" s="11" t="s">
        <v>321</v>
      </c>
      <c r="G28" s="12">
        <v>45966</v>
      </c>
      <c r="H28" s="12">
        <v>45971</v>
      </c>
      <c r="I28" s="48" t="s">
        <v>15</v>
      </c>
      <c r="J28" s="57" t="s">
        <v>72</v>
      </c>
      <c r="K28" s="57" t="s">
        <v>17</v>
      </c>
      <c r="L28" s="12">
        <v>45966</v>
      </c>
      <c r="M28" s="12">
        <v>45971</v>
      </c>
      <c r="N28" s="44">
        <f t="shared" si="1"/>
        <v>5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53335861</v>
      </c>
      <c r="B29" s="11" t="str">
        <f t="shared" si="0"/>
        <v>5.333.586-1</v>
      </c>
      <c r="C29" s="11" t="s">
        <v>14</v>
      </c>
      <c r="D29" s="11" t="s">
        <v>410</v>
      </c>
      <c r="E29" s="11" t="s">
        <v>848</v>
      </c>
      <c r="F29" s="11" t="s">
        <v>321</v>
      </c>
      <c r="G29" s="12">
        <v>45966</v>
      </c>
      <c r="H29" s="12">
        <v>45971</v>
      </c>
      <c r="I29" s="48" t="s">
        <v>15</v>
      </c>
      <c r="J29" s="57" t="s">
        <v>72</v>
      </c>
      <c r="K29" s="57" t="s">
        <v>18</v>
      </c>
      <c r="L29" s="12">
        <v>45966</v>
      </c>
      <c r="M29" s="12">
        <v>45968</v>
      </c>
      <c r="N29" s="44">
        <f t="shared" si="1"/>
        <v>2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ht="16.5" customHeight="1" x14ac:dyDescent="0.45">
      <c r="A30" s="10">
        <v>105685963</v>
      </c>
      <c r="B30" s="11" t="str">
        <f t="shared" si="0"/>
        <v>10.568.596-3</v>
      </c>
      <c r="C30" s="11" t="s">
        <v>14</v>
      </c>
      <c r="D30" s="11" t="s">
        <v>849</v>
      </c>
      <c r="E30" s="11" t="s">
        <v>432</v>
      </c>
      <c r="F30" s="11" t="s">
        <v>105</v>
      </c>
      <c r="G30" s="12">
        <v>45967</v>
      </c>
      <c r="H30" s="12">
        <v>45989</v>
      </c>
      <c r="I30" s="48" t="s">
        <v>200</v>
      </c>
      <c r="J30" s="57" t="s">
        <v>200</v>
      </c>
      <c r="K30" s="57" t="s">
        <v>16</v>
      </c>
      <c r="L30" s="35">
        <v>45967</v>
      </c>
      <c r="M30" s="12">
        <v>45989</v>
      </c>
      <c r="N30" s="44">
        <f t="shared" si="1"/>
        <v>22</v>
      </c>
      <c r="O30" s="44"/>
      <c r="P30" t="s">
        <v>83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105685963</v>
      </c>
      <c r="B31" s="11" t="str">
        <f t="shared" si="0"/>
        <v>10.568.596-3</v>
      </c>
      <c r="C31" s="11" t="s">
        <v>14</v>
      </c>
      <c r="D31" s="11" t="s">
        <v>849</v>
      </c>
      <c r="E31" s="11" t="s">
        <v>432</v>
      </c>
      <c r="F31" s="11" t="s">
        <v>105</v>
      </c>
      <c r="G31" s="12">
        <v>45967</v>
      </c>
      <c r="H31" s="12">
        <v>45989</v>
      </c>
      <c r="I31" s="48" t="s">
        <v>200</v>
      </c>
      <c r="J31" s="57" t="s">
        <v>200</v>
      </c>
      <c r="K31" s="57" t="s">
        <v>17</v>
      </c>
      <c r="L31" s="35">
        <v>45967</v>
      </c>
      <c r="M31" s="12">
        <v>45989</v>
      </c>
      <c r="N31" s="44">
        <f t="shared" si="1"/>
        <v>22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105685963</v>
      </c>
      <c r="B32" s="11" t="str">
        <f t="shared" si="0"/>
        <v>10.568.596-3</v>
      </c>
      <c r="C32" s="11" t="s">
        <v>14</v>
      </c>
      <c r="D32" s="11" t="s">
        <v>849</v>
      </c>
      <c r="E32" s="11" t="s">
        <v>432</v>
      </c>
      <c r="F32" s="11" t="s">
        <v>105</v>
      </c>
      <c r="G32" s="12">
        <v>45967</v>
      </c>
      <c r="H32" s="12">
        <v>45989</v>
      </c>
      <c r="I32" s="48" t="s">
        <v>200</v>
      </c>
      <c r="J32" s="57" t="s">
        <v>200</v>
      </c>
      <c r="K32" s="57" t="s">
        <v>18</v>
      </c>
      <c r="L32" s="35">
        <v>45967</v>
      </c>
      <c r="M32" s="35">
        <v>45969</v>
      </c>
      <c r="N32" s="44">
        <f t="shared" si="1"/>
        <v>2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104271529</v>
      </c>
      <c r="B33" s="11" t="str">
        <f t="shared" si="0"/>
        <v>10.427.152-9</v>
      </c>
      <c r="C33" s="11" t="s">
        <v>14</v>
      </c>
      <c r="D33" s="11" t="s">
        <v>426</v>
      </c>
      <c r="E33" s="11" t="s">
        <v>35</v>
      </c>
      <c r="F33" s="11" t="s">
        <v>850</v>
      </c>
      <c r="G33" s="12">
        <v>45965</v>
      </c>
      <c r="H33" s="12">
        <v>45968</v>
      </c>
      <c r="I33" s="48" t="s">
        <v>15</v>
      </c>
      <c r="J33" s="57" t="s">
        <v>72</v>
      </c>
      <c r="K33" s="57" t="s">
        <v>16</v>
      </c>
      <c r="L33" s="12">
        <v>45965</v>
      </c>
      <c r="M33" s="12">
        <v>45968</v>
      </c>
      <c r="N33" s="44">
        <f t="shared" si="1"/>
        <v>3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104271529</v>
      </c>
      <c r="B34" s="11" t="str">
        <f t="shared" si="0"/>
        <v>10.427.152-9</v>
      </c>
      <c r="C34" s="11" t="s">
        <v>14</v>
      </c>
      <c r="D34" s="11" t="s">
        <v>426</v>
      </c>
      <c r="E34" s="11" t="s">
        <v>35</v>
      </c>
      <c r="F34" s="11" t="s">
        <v>850</v>
      </c>
      <c r="G34" s="12">
        <v>45965</v>
      </c>
      <c r="H34" s="12">
        <v>45968</v>
      </c>
      <c r="I34" s="48" t="s">
        <v>15</v>
      </c>
      <c r="J34" s="57" t="s">
        <v>72</v>
      </c>
      <c r="K34" s="57" t="s">
        <v>17</v>
      </c>
      <c r="L34" s="12">
        <v>45965</v>
      </c>
      <c r="M34" s="12">
        <v>45968</v>
      </c>
      <c r="N34" s="44">
        <f t="shared" si="1"/>
        <v>3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74221394</v>
      </c>
      <c r="B35" s="11" t="str">
        <f t="shared" si="0"/>
        <v>7.422.139-4</v>
      </c>
      <c r="C35" s="11" t="s">
        <v>14</v>
      </c>
      <c r="D35" s="11" t="s">
        <v>425</v>
      </c>
      <c r="E35" s="11" t="s">
        <v>736</v>
      </c>
      <c r="F35" s="11" t="s">
        <v>851</v>
      </c>
      <c r="G35" s="12">
        <v>45965</v>
      </c>
      <c r="H35" s="12">
        <v>45973</v>
      </c>
      <c r="I35" s="48" t="s">
        <v>72</v>
      </c>
      <c r="J35" s="57" t="s">
        <v>60</v>
      </c>
      <c r="K35" s="57" t="s">
        <v>16</v>
      </c>
      <c r="L35" s="12">
        <v>45965</v>
      </c>
      <c r="M35" s="12">
        <v>45973</v>
      </c>
      <c r="N35" s="44">
        <f t="shared" si="1"/>
        <v>8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74221394</v>
      </c>
      <c r="B36" s="11" t="str">
        <f t="shared" si="0"/>
        <v>7.422.139-4</v>
      </c>
      <c r="C36" s="11" t="s">
        <v>14</v>
      </c>
      <c r="D36" s="11" t="s">
        <v>425</v>
      </c>
      <c r="E36" s="11" t="s">
        <v>736</v>
      </c>
      <c r="F36" s="11" t="s">
        <v>851</v>
      </c>
      <c r="G36" s="12">
        <v>45965</v>
      </c>
      <c r="H36" s="12">
        <v>45973</v>
      </c>
      <c r="I36" s="48" t="s">
        <v>72</v>
      </c>
      <c r="J36" s="57" t="s">
        <v>60</v>
      </c>
      <c r="K36" s="57" t="s">
        <v>17</v>
      </c>
      <c r="L36" s="12">
        <v>45965</v>
      </c>
      <c r="M36" s="12">
        <v>45973</v>
      </c>
      <c r="N36" s="44">
        <f t="shared" si="1"/>
        <v>8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74221394</v>
      </c>
      <c r="B37" s="11" t="str">
        <f t="shared" si="0"/>
        <v>7.422.139-4</v>
      </c>
      <c r="C37" s="11" t="s">
        <v>14</v>
      </c>
      <c r="D37" s="11" t="s">
        <v>425</v>
      </c>
      <c r="E37" s="11" t="s">
        <v>736</v>
      </c>
      <c r="F37" s="11" t="s">
        <v>851</v>
      </c>
      <c r="G37" s="12">
        <v>45965</v>
      </c>
      <c r="H37" s="12">
        <v>45973</v>
      </c>
      <c r="I37" s="48" t="s">
        <v>72</v>
      </c>
      <c r="J37" s="57" t="s">
        <v>60</v>
      </c>
      <c r="K37" s="57" t="s">
        <v>18</v>
      </c>
      <c r="L37" s="12">
        <v>45965</v>
      </c>
      <c r="M37" s="35">
        <v>45968</v>
      </c>
      <c r="N37" s="44">
        <f t="shared" si="1"/>
        <v>3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108133503</v>
      </c>
      <c r="B38" s="11" t="str">
        <f t="shared" si="0"/>
        <v>10.813.350-3</v>
      </c>
      <c r="C38" s="11" t="s">
        <v>14</v>
      </c>
      <c r="D38" s="11" t="s">
        <v>405</v>
      </c>
      <c r="E38" s="11" t="s">
        <v>817</v>
      </c>
      <c r="F38" s="11" t="s">
        <v>852</v>
      </c>
      <c r="G38" s="12">
        <v>45967</v>
      </c>
      <c r="H38" s="12">
        <v>45969</v>
      </c>
      <c r="I38" s="48" t="s">
        <v>15</v>
      </c>
      <c r="J38" s="57" t="s">
        <v>48</v>
      </c>
      <c r="K38" s="57" t="s">
        <v>16</v>
      </c>
      <c r="L38" s="12">
        <v>45967</v>
      </c>
      <c r="M38" s="12">
        <v>45969</v>
      </c>
      <c r="N38" s="44">
        <f t="shared" si="1"/>
        <v>2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>
        <v>108133503</v>
      </c>
      <c r="B39" s="11" t="str">
        <f t="shared" si="0"/>
        <v>10.813.350-3</v>
      </c>
      <c r="C39" s="11" t="s">
        <v>14</v>
      </c>
      <c r="D39" s="11" t="s">
        <v>405</v>
      </c>
      <c r="E39" s="11" t="s">
        <v>817</v>
      </c>
      <c r="F39" s="11" t="s">
        <v>852</v>
      </c>
      <c r="G39" s="12">
        <v>45967</v>
      </c>
      <c r="H39" s="12">
        <v>45969</v>
      </c>
      <c r="I39" s="48" t="s">
        <v>15</v>
      </c>
      <c r="J39" s="57" t="s">
        <v>48</v>
      </c>
      <c r="K39" s="57" t="s">
        <v>17</v>
      </c>
      <c r="L39" s="12">
        <v>45967</v>
      </c>
      <c r="M39" s="12">
        <v>45969</v>
      </c>
      <c r="N39" s="44">
        <f t="shared" si="1"/>
        <v>2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>
        <v>108133503</v>
      </c>
      <c r="B40" s="11" t="str">
        <f t="shared" si="0"/>
        <v>10.813.350-3</v>
      </c>
      <c r="C40" s="11" t="s">
        <v>14</v>
      </c>
      <c r="D40" s="11" t="s">
        <v>405</v>
      </c>
      <c r="E40" s="11" t="s">
        <v>817</v>
      </c>
      <c r="F40" s="11" t="s">
        <v>852</v>
      </c>
      <c r="G40" s="12">
        <v>45967</v>
      </c>
      <c r="H40" s="12">
        <v>45969</v>
      </c>
      <c r="I40" s="48" t="s">
        <v>15</v>
      </c>
      <c r="J40" s="57" t="s">
        <v>48</v>
      </c>
      <c r="K40" s="57" t="s">
        <v>18</v>
      </c>
      <c r="L40" s="12">
        <v>45967</v>
      </c>
      <c r="M40" s="12">
        <v>45969</v>
      </c>
      <c r="N40" s="44">
        <f t="shared" si="1"/>
        <v>2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108133503</v>
      </c>
      <c r="B41" s="11" t="str">
        <f t="shared" si="0"/>
        <v>10.813.350-3</v>
      </c>
      <c r="C41" s="11" t="s">
        <v>14</v>
      </c>
      <c r="D41" s="11" t="s">
        <v>405</v>
      </c>
      <c r="E41" s="11" t="s">
        <v>817</v>
      </c>
      <c r="F41" s="11" t="s">
        <v>852</v>
      </c>
      <c r="G41" s="12">
        <v>45967</v>
      </c>
      <c r="H41" s="12">
        <v>45969</v>
      </c>
      <c r="I41" s="48" t="s">
        <v>15</v>
      </c>
      <c r="J41" s="57" t="s">
        <v>48</v>
      </c>
      <c r="K41" s="57" t="s">
        <v>415</v>
      </c>
      <c r="L41" s="12">
        <v>45967</v>
      </c>
      <c r="M41" s="12">
        <v>45969</v>
      </c>
      <c r="N41" s="44">
        <f t="shared" si="1"/>
        <v>2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79139491</v>
      </c>
      <c r="B42" s="11" t="str">
        <f t="shared" si="0"/>
        <v>7.913.949-1</v>
      </c>
      <c r="C42" s="11" t="s">
        <v>14</v>
      </c>
      <c r="D42" s="11" t="s">
        <v>452</v>
      </c>
      <c r="E42" s="11" t="s">
        <v>351</v>
      </c>
      <c r="F42" s="11" t="s">
        <v>854</v>
      </c>
      <c r="G42" s="12">
        <v>45966</v>
      </c>
      <c r="H42" s="12">
        <v>45975</v>
      </c>
      <c r="I42" s="48" t="s">
        <v>15</v>
      </c>
      <c r="J42" s="57" t="s">
        <v>60</v>
      </c>
      <c r="K42" s="57" t="s">
        <v>16</v>
      </c>
      <c r="L42" s="12">
        <v>45966</v>
      </c>
      <c r="M42" s="12">
        <v>45975</v>
      </c>
      <c r="N42" s="44">
        <f t="shared" si="1"/>
        <v>9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79139491</v>
      </c>
      <c r="B43" s="11" t="str">
        <f t="shared" si="0"/>
        <v>7.913.949-1</v>
      </c>
      <c r="C43" s="11" t="s">
        <v>14</v>
      </c>
      <c r="D43" s="11" t="s">
        <v>452</v>
      </c>
      <c r="E43" s="11" t="s">
        <v>351</v>
      </c>
      <c r="F43" s="11" t="s">
        <v>854</v>
      </c>
      <c r="G43" s="12">
        <v>45966</v>
      </c>
      <c r="H43" s="12">
        <v>45975</v>
      </c>
      <c r="I43" s="48" t="s">
        <v>15</v>
      </c>
      <c r="J43" s="57" t="s">
        <v>60</v>
      </c>
      <c r="K43" s="57" t="s">
        <v>17</v>
      </c>
      <c r="L43" s="12">
        <v>45966</v>
      </c>
      <c r="M43" s="12">
        <v>45975</v>
      </c>
      <c r="N43" s="44">
        <f t="shared" si="1"/>
        <v>9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79139491</v>
      </c>
      <c r="B44" s="11" t="str">
        <f t="shared" si="0"/>
        <v>7.913.949-1</v>
      </c>
      <c r="C44" s="11" t="s">
        <v>14</v>
      </c>
      <c r="D44" s="11" t="s">
        <v>452</v>
      </c>
      <c r="E44" s="11" t="s">
        <v>351</v>
      </c>
      <c r="F44" s="11" t="s">
        <v>854</v>
      </c>
      <c r="G44" s="12">
        <v>45966</v>
      </c>
      <c r="H44" s="12">
        <v>45975</v>
      </c>
      <c r="I44" s="48" t="s">
        <v>15</v>
      </c>
      <c r="J44" s="57" t="s">
        <v>60</v>
      </c>
      <c r="K44" s="58" t="s">
        <v>18</v>
      </c>
      <c r="L44" s="38">
        <v>45966</v>
      </c>
      <c r="M44" s="38">
        <v>45968</v>
      </c>
      <c r="N44" s="44">
        <f t="shared" si="1"/>
        <v>2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68197848</v>
      </c>
      <c r="B45" s="11" t="str">
        <f t="shared" si="0"/>
        <v>6.819.784-8</v>
      </c>
      <c r="C45" s="11" t="s">
        <v>14</v>
      </c>
      <c r="D45" s="11" t="s">
        <v>858</v>
      </c>
      <c r="E45" s="11" t="s">
        <v>859</v>
      </c>
      <c r="F45" s="11" t="s">
        <v>460</v>
      </c>
      <c r="G45" s="12">
        <v>45970</v>
      </c>
      <c r="H45" s="12">
        <v>45976</v>
      </c>
      <c r="I45" s="48" t="s">
        <v>15</v>
      </c>
      <c r="J45" s="57" t="s">
        <v>72</v>
      </c>
      <c r="K45" s="57" t="s">
        <v>16</v>
      </c>
      <c r="L45" s="12">
        <v>45970</v>
      </c>
      <c r="M45" s="12">
        <v>45976</v>
      </c>
      <c r="N45" s="44">
        <f t="shared" si="1"/>
        <v>6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68197848</v>
      </c>
      <c r="B46" s="11" t="str">
        <f t="shared" si="0"/>
        <v>6.819.784-8</v>
      </c>
      <c r="C46" s="11" t="s">
        <v>14</v>
      </c>
      <c r="D46" s="11" t="s">
        <v>858</v>
      </c>
      <c r="E46" s="11" t="s">
        <v>859</v>
      </c>
      <c r="F46" s="11" t="s">
        <v>460</v>
      </c>
      <c r="G46" s="12">
        <v>45970</v>
      </c>
      <c r="H46" s="12">
        <v>45976</v>
      </c>
      <c r="I46" s="48" t="s">
        <v>15</v>
      </c>
      <c r="J46" s="57" t="s">
        <v>72</v>
      </c>
      <c r="K46" s="57" t="s">
        <v>17</v>
      </c>
      <c r="L46" s="12">
        <v>45970</v>
      </c>
      <c r="M46" s="12">
        <v>45976</v>
      </c>
      <c r="N46" s="44">
        <f t="shared" si="1"/>
        <v>6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66766640</v>
      </c>
      <c r="B47" s="11" t="str">
        <f t="shared" si="0"/>
        <v>6.676.664-0</v>
      </c>
      <c r="C47" s="11" t="s">
        <v>14</v>
      </c>
      <c r="D47" s="11" t="s">
        <v>860</v>
      </c>
      <c r="E47" s="11" t="s">
        <v>655</v>
      </c>
      <c r="F47" s="11" t="s">
        <v>102</v>
      </c>
      <c r="G47" s="12">
        <v>45971</v>
      </c>
      <c r="H47" s="12">
        <v>45975</v>
      </c>
      <c r="I47" s="48" t="s">
        <v>15</v>
      </c>
      <c r="J47" s="57" t="s">
        <v>28</v>
      </c>
      <c r="K47" s="57" t="s">
        <v>16</v>
      </c>
      <c r="L47" s="12">
        <v>45971</v>
      </c>
      <c r="M47" s="12">
        <v>45975</v>
      </c>
      <c r="N47" s="44">
        <f t="shared" si="1"/>
        <v>4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66766640</v>
      </c>
      <c r="B48" s="11" t="str">
        <f t="shared" si="0"/>
        <v>6.676.664-0</v>
      </c>
      <c r="C48" s="11" t="s">
        <v>14</v>
      </c>
      <c r="D48" s="11" t="s">
        <v>860</v>
      </c>
      <c r="E48" s="11" t="s">
        <v>655</v>
      </c>
      <c r="F48" s="11" t="s">
        <v>102</v>
      </c>
      <c r="G48" s="12">
        <v>45971</v>
      </c>
      <c r="H48" s="12">
        <v>45975</v>
      </c>
      <c r="I48" s="48" t="s">
        <v>15</v>
      </c>
      <c r="J48" s="57" t="s">
        <v>28</v>
      </c>
      <c r="K48" s="57" t="s">
        <v>17</v>
      </c>
      <c r="L48" s="12">
        <v>45971</v>
      </c>
      <c r="M48" s="12">
        <v>45975</v>
      </c>
      <c r="N48" s="44">
        <f t="shared" si="1"/>
        <v>4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66766640</v>
      </c>
      <c r="B49" s="11" t="str">
        <f t="shared" si="0"/>
        <v>6.676.664-0</v>
      </c>
      <c r="C49" s="11" t="s">
        <v>14</v>
      </c>
      <c r="D49" s="11" t="s">
        <v>860</v>
      </c>
      <c r="E49" s="11" t="s">
        <v>655</v>
      </c>
      <c r="F49" s="11" t="s">
        <v>102</v>
      </c>
      <c r="G49" s="12">
        <v>45971</v>
      </c>
      <c r="H49" s="12">
        <v>45975</v>
      </c>
      <c r="I49" s="48" t="s">
        <v>15</v>
      </c>
      <c r="J49" s="57" t="s">
        <v>28</v>
      </c>
      <c r="K49" s="57" t="s">
        <v>18</v>
      </c>
      <c r="L49" s="12">
        <v>45971</v>
      </c>
      <c r="M49" s="12">
        <v>45973</v>
      </c>
      <c r="N49" s="44">
        <f t="shared" si="1"/>
        <v>2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>
        <v>180679944</v>
      </c>
      <c r="B50" s="11" t="str">
        <f t="shared" si="0"/>
        <v>18.067.994-4</v>
      </c>
      <c r="C50" s="11" t="s">
        <v>14</v>
      </c>
      <c r="D50" s="11" t="s">
        <v>103</v>
      </c>
      <c r="E50" s="11" t="s">
        <v>515</v>
      </c>
      <c r="F50" s="11" t="s">
        <v>861</v>
      </c>
      <c r="G50" s="12">
        <v>45970</v>
      </c>
      <c r="H50" s="12">
        <v>45973</v>
      </c>
      <c r="I50" s="48" t="s">
        <v>15</v>
      </c>
      <c r="J50" s="57" t="s">
        <v>200</v>
      </c>
      <c r="K50" s="57" t="s">
        <v>16</v>
      </c>
      <c r="L50" s="12">
        <v>45970</v>
      </c>
      <c r="M50" s="12">
        <v>45973</v>
      </c>
      <c r="N50" s="44">
        <f t="shared" si="1"/>
        <v>3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>
        <v>180679944</v>
      </c>
      <c r="B51" s="11" t="str">
        <f t="shared" si="0"/>
        <v>18.067.994-4</v>
      </c>
      <c r="C51" s="11" t="s">
        <v>14</v>
      </c>
      <c r="D51" s="11" t="s">
        <v>103</v>
      </c>
      <c r="E51" s="11" t="s">
        <v>515</v>
      </c>
      <c r="F51" s="11" t="s">
        <v>861</v>
      </c>
      <c r="G51" s="12">
        <v>45970</v>
      </c>
      <c r="H51" s="12">
        <v>45973</v>
      </c>
      <c r="I51" s="48" t="s">
        <v>15</v>
      </c>
      <c r="J51" s="57" t="s">
        <v>200</v>
      </c>
      <c r="K51" s="58" t="s">
        <v>17</v>
      </c>
      <c r="L51" s="38">
        <v>45970</v>
      </c>
      <c r="M51" s="38">
        <v>45973</v>
      </c>
      <c r="N51" s="44">
        <f t="shared" si="1"/>
        <v>3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66766640</v>
      </c>
      <c r="B52" s="11" t="str">
        <f t="shared" si="0"/>
        <v>6.676.664-0</v>
      </c>
      <c r="C52" s="11" t="s">
        <v>14</v>
      </c>
      <c r="D52" s="11" t="s">
        <v>862</v>
      </c>
      <c r="E52" s="11" t="s">
        <v>655</v>
      </c>
      <c r="F52" s="11" t="s">
        <v>102</v>
      </c>
      <c r="G52" s="12">
        <v>45971</v>
      </c>
      <c r="H52" s="12">
        <v>45975</v>
      </c>
      <c r="I52" s="48" t="s">
        <v>15</v>
      </c>
      <c r="J52" s="57" t="s">
        <v>28</v>
      </c>
      <c r="K52" s="57" t="s">
        <v>16</v>
      </c>
      <c r="L52" s="12">
        <v>45971</v>
      </c>
      <c r="M52" s="12">
        <v>45975</v>
      </c>
      <c r="N52" s="44">
        <f t="shared" si="1"/>
        <v>4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66766640</v>
      </c>
      <c r="B53" s="11" t="str">
        <f t="shared" si="0"/>
        <v>6.676.664-0</v>
      </c>
      <c r="C53" s="11" t="s">
        <v>14</v>
      </c>
      <c r="D53" s="11" t="s">
        <v>862</v>
      </c>
      <c r="E53" s="11" t="s">
        <v>655</v>
      </c>
      <c r="F53" s="11" t="s">
        <v>102</v>
      </c>
      <c r="G53" s="12">
        <v>45971</v>
      </c>
      <c r="H53" s="12">
        <v>45975</v>
      </c>
      <c r="I53" s="48" t="s">
        <v>15</v>
      </c>
      <c r="J53" s="57" t="s">
        <v>28</v>
      </c>
      <c r="K53" s="57" t="s">
        <v>17</v>
      </c>
      <c r="L53" s="12">
        <v>45971</v>
      </c>
      <c r="M53" s="12">
        <v>45975</v>
      </c>
      <c r="N53" s="44">
        <f t="shared" si="1"/>
        <v>4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66766640</v>
      </c>
      <c r="B54" s="11" t="str">
        <f t="shared" si="0"/>
        <v>6.676.664-0</v>
      </c>
      <c r="C54" s="11" t="s">
        <v>14</v>
      </c>
      <c r="D54" s="11" t="s">
        <v>862</v>
      </c>
      <c r="E54" s="11" t="s">
        <v>655</v>
      </c>
      <c r="F54" s="11" t="s">
        <v>102</v>
      </c>
      <c r="G54" s="12">
        <v>45971</v>
      </c>
      <c r="H54" s="12">
        <v>45975</v>
      </c>
      <c r="I54" s="48" t="s">
        <v>15</v>
      </c>
      <c r="J54" s="57" t="s">
        <v>28</v>
      </c>
      <c r="K54" s="57" t="s">
        <v>18</v>
      </c>
      <c r="L54" s="12">
        <v>45971</v>
      </c>
      <c r="M54" s="12">
        <v>45973</v>
      </c>
      <c r="N54" s="44">
        <f t="shared" si="1"/>
        <v>2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57383739</v>
      </c>
      <c r="B55" s="11" t="str">
        <f t="shared" si="0"/>
        <v>5.738.373-9</v>
      </c>
      <c r="C55" s="11" t="s">
        <v>14</v>
      </c>
      <c r="D55" s="11" t="s">
        <v>863</v>
      </c>
      <c r="E55" s="11" t="s">
        <v>396</v>
      </c>
      <c r="F55" s="11" t="s">
        <v>328</v>
      </c>
      <c r="G55" s="12">
        <v>45972</v>
      </c>
      <c r="H55" s="12">
        <v>45974</v>
      </c>
      <c r="I55" s="48" t="s">
        <v>15</v>
      </c>
      <c r="J55" s="57" t="s">
        <v>200</v>
      </c>
      <c r="K55" s="57" t="s">
        <v>16</v>
      </c>
      <c r="L55" s="12">
        <v>45972</v>
      </c>
      <c r="M55" s="12">
        <v>45974</v>
      </c>
      <c r="N55" s="44">
        <f t="shared" si="1"/>
        <v>2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57383739</v>
      </c>
      <c r="B56" s="11" t="str">
        <f t="shared" si="0"/>
        <v>5.738.373-9</v>
      </c>
      <c r="C56" s="11" t="s">
        <v>14</v>
      </c>
      <c r="D56" s="11" t="s">
        <v>863</v>
      </c>
      <c r="E56" s="11" t="s">
        <v>396</v>
      </c>
      <c r="F56" s="11" t="s">
        <v>328</v>
      </c>
      <c r="G56" s="12">
        <v>45972</v>
      </c>
      <c r="H56" s="12">
        <v>45974</v>
      </c>
      <c r="I56" s="48" t="s">
        <v>15</v>
      </c>
      <c r="J56" s="57" t="s">
        <v>200</v>
      </c>
      <c r="K56" s="58" t="s">
        <v>17</v>
      </c>
      <c r="L56" s="38">
        <v>45972</v>
      </c>
      <c r="M56" s="38">
        <v>45974</v>
      </c>
      <c r="N56" s="44">
        <f t="shared" si="1"/>
        <v>2</v>
      </c>
      <c r="O56" s="44"/>
      <c r="P56" t="s">
        <v>83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94514428</v>
      </c>
      <c r="B57" s="11" t="str">
        <f t="shared" si="0"/>
        <v>9.451.442-8</v>
      </c>
      <c r="C57" s="11" t="s">
        <v>14</v>
      </c>
      <c r="D57" s="11" t="s">
        <v>749</v>
      </c>
      <c r="E57" s="11" t="s">
        <v>322</v>
      </c>
      <c r="F57" s="11" t="s">
        <v>442</v>
      </c>
      <c r="G57" s="12">
        <v>45971</v>
      </c>
      <c r="H57" s="12">
        <v>45993</v>
      </c>
      <c r="I57" s="48" t="s">
        <v>15</v>
      </c>
      <c r="J57" s="57" t="s">
        <v>106</v>
      </c>
      <c r="K57" s="57" t="s">
        <v>16</v>
      </c>
      <c r="L57" s="12">
        <v>45971</v>
      </c>
      <c r="M57" s="12">
        <v>45993</v>
      </c>
      <c r="N57" s="44">
        <f t="shared" si="1"/>
        <v>22</v>
      </c>
      <c r="O57" s="44"/>
      <c r="P57" t="s">
        <v>942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94514428</v>
      </c>
      <c r="B58" s="11" t="str">
        <f t="shared" si="0"/>
        <v>9.451.442-8</v>
      </c>
      <c r="C58" s="11" t="s">
        <v>14</v>
      </c>
      <c r="D58" s="11" t="s">
        <v>749</v>
      </c>
      <c r="E58" s="11" t="s">
        <v>322</v>
      </c>
      <c r="F58" s="11" t="s">
        <v>442</v>
      </c>
      <c r="G58" s="12">
        <v>45971</v>
      </c>
      <c r="H58" s="12">
        <v>45993</v>
      </c>
      <c r="I58" s="48" t="s">
        <v>15</v>
      </c>
      <c r="J58" s="57" t="s">
        <v>106</v>
      </c>
      <c r="K58" s="57" t="s">
        <v>17</v>
      </c>
      <c r="L58" s="12">
        <v>45971</v>
      </c>
      <c r="M58" s="12">
        <v>45993</v>
      </c>
      <c r="N58" s="44">
        <f t="shared" si="1"/>
        <v>22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94514428</v>
      </c>
      <c r="B59" s="11" t="str">
        <f>IF(LEN(A59)=8,MID(A59,1,1)&amp;"."&amp;MID(A59,2,3)&amp;"."&amp;MID(A59,5,3)&amp;"-"&amp;RIGHT(A59,1),IF(LEFT(RIGHT(A59,2),1)="-",MID(A59,1,1)&amp;"."&amp;MID(A59,2,3)&amp;"."&amp;MID(A59,5,3)&amp;"-"&amp;RIGHT(A59,1),MID(A59,1,2)&amp;"."&amp;MID(A59,3,3)&amp;"."&amp;MID(A59,6,3)&amp;"-"&amp;MID(A59,9,1)))</f>
        <v>9.451.442-8</v>
      </c>
      <c r="C59" s="11" t="s">
        <v>14</v>
      </c>
      <c r="D59" s="11" t="s">
        <v>749</v>
      </c>
      <c r="E59" s="11" t="s">
        <v>322</v>
      </c>
      <c r="F59" s="11" t="s">
        <v>442</v>
      </c>
      <c r="G59" s="12">
        <v>45971</v>
      </c>
      <c r="H59" s="12">
        <v>45993</v>
      </c>
      <c r="I59" s="48" t="s">
        <v>15</v>
      </c>
      <c r="J59" s="57" t="s">
        <v>106</v>
      </c>
      <c r="K59" s="57" t="s">
        <v>18</v>
      </c>
      <c r="L59" s="12">
        <v>45971</v>
      </c>
      <c r="M59" s="12">
        <v>45993</v>
      </c>
      <c r="N59" s="44">
        <f t="shared" si="1"/>
        <v>22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94514428</v>
      </c>
      <c r="B60" s="11" t="str">
        <f t="shared" si="0"/>
        <v>9.451.442-8</v>
      </c>
      <c r="C60" s="11" t="s">
        <v>14</v>
      </c>
      <c r="D60" s="11" t="s">
        <v>749</v>
      </c>
      <c r="E60" s="11" t="s">
        <v>322</v>
      </c>
      <c r="F60" s="11" t="s">
        <v>442</v>
      </c>
      <c r="G60" s="12">
        <v>45971</v>
      </c>
      <c r="H60" s="12">
        <v>45993</v>
      </c>
      <c r="I60" s="48" t="s">
        <v>15</v>
      </c>
      <c r="J60" s="57" t="s">
        <v>106</v>
      </c>
      <c r="K60" s="58" t="s">
        <v>415</v>
      </c>
      <c r="L60" s="38">
        <v>45971</v>
      </c>
      <c r="M60" s="59">
        <v>45978</v>
      </c>
      <c r="N60" s="44">
        <f t="shared" si="1"/>
        <v>7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62127503</v>
      </c>
      <c r="B61" s="11" t="str">
        <f t="shared" si="0"/>
        <v>6.212.750-3</v>
      </c>
      <c r="C61" s="11" t="s">
        <v>14</v>
      </c>
      <c r="D61" s="11" t="s">
        <v>154</v>
      </c>
      <c r="E61" s="11" t="s">
        <v>144</v>
      </c>
      <c r="F61" s="11" t="s">
        <v>526</v>
      </c>
      <c r="G61" s="12">
        <v>45962</v>
      </c>
      <c r="H61" s="12">
        <v>45965</v>
      </c>
      <c r="I61" s="48" t="s">
        <v>15</v>
      </c>
      <c r="J61" s="57" t="s">
        <v>72</v>
      </c>
      <c r="K61" s="57" t="s">
        <v>17</v>
      </c>
      <c r="L61" s="12">
        <v>45962</v>
      </c>
      <c r="M61" s="12">
        <v>45965</v>
      </c>
      <c r="N61" s="44">
        <f t="shared" si="1"/>
        <v>3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69484468</v>
      </c>
      <c r="B62" s="11" t="str">
        <f t="shared" si="0"/>
        <v>6.948.446-8</v>
      </c>
      <c r="C62" s="11" t="s">
        <v>14</v>
      </c>
      <c r="D62" s="11" t="s">
        <v>180</v>
      </c>
      <c r="E62" s="11" t="s">
        <v>812</v>
      </c>
      <c r="F62" s="11" t="s">
        <v>171</v>
      </c>
      <c r="G62" s="12">
        <v>45963</v>
      </c>
      <c r="H62" s="12">
        <v>45967</v>
      </c>
      <c r="I62" s="48" t="s">
        <v>15</v>
      </c>
      <c r="J62" s="57" t="s">
        <v>72</v>
      </c>
      <c r="K62" s="57" t="s">
        <v>64</v>
      </c>
      <c r="L62" s="135" t="s">
        <v>108</v>
      </c>
      <c r="M62" s="136"/>
      <c r="N62" s="44" t="e">
        <f t="shared" si="1"/>
        <v>#VALUE!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155180757</v>
      </c>
      <c r="B63" s="11" t="str">
        <f t="shared" si="0"/>
        <v>15.518.075-7</v>
      </c>
      <c r="C63" s="11" t="s">
        <v>14</v>
      </c>
      <c r="D63" s="11" t="s">
        <v>162</v>
      </c>
      <c r="E63" s="11" t="s">
        <v>817</v>
      </c>
      <c r="F63" s="11" t="s">
        <v>864</v>
      </c>
      <c r="G63" s="12">
        <v>45963</v>
      </c>
      <c r="H63" s="12">
        <v>45965</v>
      </c>
      <c r="I63" s="48" t="s">
        <v>15</v>
      </c>
      <c r="J63" s="57" t="s">
        <v>28</v>
      </c>
      <c r="K63" s="57" t="s">
        <v>16</v>
      </c>
      <c r="L63" s="35">
        <v>45963</v>
      </c>
      <c r="M63" s="35">
        <v>45965</v>
      </c>
      <c r="N63" s="44">
        <f t="shared" si="1"/>
        <v>2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119849748</v>
      </c>
      <c r="B64" s="11" t="str">
        <f t="shared" si="0"/>
        <v>11.984.974-8</v>
      </c>
      <c r="C64" s="11" t="s">
        <v>14</v>
      </c>
      <c r="D64" s="11" t="s">
        <v>173</v>
      </c>
      <c r="E64" s="11" t="s">
        <v>865</v>
      </c>
      <c r="F64" s="11" t="s">
        <v>770</v>
      </c>
      <c r="G64" s="12">
        <v>45960</v>
      </c>
      <c r="H64" s="12">
        <v>45964</v>
      </c>
      <c r="I64" s="48" t="s">
        <v>15</v>
      </c>
      <c r="J64" s="57" t="s">
        <v>72</v>
      </c>
      <c r="K64" s="57" t="s">
        <v>16</v>
      </c>
      <c r="L64" s="35">
        <v>45962</v>
      </c>
      <c r="M64" s="35">
        <v>45964</v>
      </c>
      <c r="N64" s="44">
        <f t="shared" si="1"/>
        <v>2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69935923</v>
      </c>
      <c r="B65" s="11" t="str">
        <f t="shared" si="0"/>
        <v>6.993.592-3</v>
      </c>
      <c r="C65" s="11" t="s">
        <v>14</v>
      </c>
      <c r="D65" s="11" t="s">
        <v>159</v>
      </c>
      <c r="E65" s="11" t="s">
        <v>551</v>
      </c>
      <c r="F65" s="11" t="s">
        <v>847</v>
      </c>
      <c r="G65" s="12">
        <v>45960</v>
      </c>
      <c r="H65" s="12">
        <v>45967</v>
      </c>
      <c r="I65" s="48" t="s">
        <v>15</v>
      </c>
      <c r="J65" s="57" t="s">
        <v>28</v>
      </c>
      <c r="K65" s="57" t="s">
        <v>16</v>
      </c>
      <c r="L65" s="35">
        <v>45962</v>
      </c>
      <c r="M65" s="12">
        <v>45967</v>
      </c>
      <c r="N65" s="44">
        <f t="shared" si="1"/>
        <v>5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69935923</v>
      </c>
      <c r="B66" s="11" t="str">
        <f t="shared" si="0"/>
        <v>6.993.592-3</v>
      </c>
      <c r="C66" s="11" t="s">
        <v>14</v>
      </c>
      <c r="D66" s="11" t="s">
        <v>159</v>
      </c>
      <c r="E66" s="11" t="s">
        <v>551</v>
      </c>
      <c r="F66" s="11" t="s">
        <v>847</v>
      </c>
      <c r="G66" s="12">
        <v>45960</v>
      </c>
      <c r="H66" s="12">
        <v>45967</v>
      </c>
      <c r="I66" s="48" t="s">
        <v>15</v>
      </c>
      <c r="J66" s="57" t="s">
        <v>28</v>
      </c>
      <c r="K66" s="57" t="s">
        <v>17</v>
      </c>
      <c r="L66" s="59">
        <v>45962</v>
      </c>
      <c r="M66" s="38">
        <v>45967</v>
      </c>
      <c r="N66" s="44">
        <f t="shared" si="1"/>
        <v>5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>
        <v>51854624</v>
      </c>
      <c r="B67" s="11" t="str">
        <f t="shared" si="0"/>
        <v>5.185.462-4</v>
      </c>
      <c r="C67" s="11" t="s">
        <v>14</v>
      </c>
      <c r="D67" s="11" t="s">
        <v>548</v>
      </c>
      <c r="E67" s="11" t="s">
        <v>589</v>
      </c>
      <c r="F67" s="11" t="s">
        <v>111</v>
      </c>
      <c r="G67" s="12">
        <v>45977</v>
      </c>
      <c r="H67" s="12">
        <v>45979</v>
      </c>
      <c r="I67" s="48" t="s">
        <v>15</v>
      </c>
      <c r="J67" s="57" t="s">
        <v>72</v>
      </c>
      <c r="K67" s="57" t="s">
        <v>64</v>
      </c>
      <c r="L67" s="137" t="s">
        <v>108</v>
      </c>
      <c r="M67" s="138"/>
      <c r="N67" s="44" t="e">
        <f t="shared" si="1"/>
        <v>#VALUE!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 t="s">
        <v>866</v>
      </c>
      <c r="B68" s="11" t="str">
        <f t="shared" si="0"/>
        <v>22.244.456-k</v>
      </c>
      <c r="C68" s="11" t="s">
        <v>14</v>
      </c>
      <c r="D68" s="11" t="s">
        <v>867</v>
      </c>
      <c r="E68" s="11" t="s">
        <v>548</v>
      </c>
      <c r="F68" s="11" t="s">
        <v>171</v>
      </c>
      <c r="G68" s="12">
        <v>45976</v>
      </c>
      <c r="H68" s="12">
        <v>45985</v>
      </c>
      <c r="I68" s="48" t="s">
        <v>15</v>
      </c>
      <c r="J68" s="57" t="s">
        <v>28</v>
      </c>
      <c r="K68" s="57" t="s">
        <v>16</v>
      </c>
      <c r="L68" s="12">
        <v>45976</v>
      </c>
      <c r="M68" s="12">
        <v>45985</v>
      </c>
      <c r="N68" s="44">
        <f t="shared" si="1"/>
        <v>9</v>
      </c>
      <c r="O68" s="44"/>
      <c r="P68" t="s">
        <v>942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 t="s">
        <v>866</v>
      </c>
      <c r="B69" s="11" t="str">
        <f t="shared" si="0"/>
        <v>22.244.456-k</v>
      </c>
      <c r="C69" s="11" t="s">
        <v>14</v>
      </c>
      <c r="D69" s="11" t="s">
        <v>867</v>
      </c>
      <c r="E69" s="11" t="s">
        <v>548</v>
      </c>
      <c r="F69" s="11" t="s">
        <v>171</v>
      </c>
      <c r="G69" s="12">
        <v>45976</v>
      </c>
      <c r="H69" s="12">
        <v>45985</v>
      </c>
      <c r="I69" s="48" t="s">
        <v>15</v>
      </c>
      <c r="J69" s="57" t="s">
        <v>28</v>
      </c>
      <c r="K69" s="57" t="s">
        <v>17</v>
      </c>
      <c r="L69" s="12">
        <v>45976</v>
      </c>
      <c r="M69" s="12">
        <v>45985</v>
      </c>
      <c r="N69" s="44">
        <f t="shared" si="1"/>
        <v>9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10" t="s">
        <v>866</v>
      </c>
      <c r="B70" s="11" t="str">
        <f t="shared" si="0"/>
        <v>22.244.456-k</v>
      </c>
      <c r="C70" s="11" t="s">
        <v>14</v>
      </c>
      <c r="D70" s="11" t="s">
        <v>867</v>
      </c>
      <c r="E70" s="11" t="s">
        <v>548</v>
      </c>
      <c r="F70" s="11" t="s">
        <v>171</v>
      </c>
      <c r="G70" s="12">
        <v>45976</v>
      </c>
      <c r="H70" s="12">
        <v>45985</v>
      </c>
      <c r="I70" s="48" t="s">
        <v>15</v>
      </c>
      <c r="J70" s="57" t="s">
        <v>28</v>
      </c>
      <c r="K70" s="57" t="s">
        <v>18</v>
      </c>
      <c r="L70" s="12">
        <v>45976</v>
      </c>
      <c r="M70" s="12">
        <v>45982</v>
      </c>
      <c r="N70" s="44">
        <f t="shared" si="1"/>
        <v>6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83247509</v>
      </c>
      <c r="B71" s="11" t="str">
        <f t="shared" si="0"/>
        <v>8.324.750-9</v>
      </c>
      <c r="C71" s="11" t="s">
        <v>14</v>
      </c>
      <c r="D71" s="11" t="s">
        <v>86</v>
      </c>
      <c r="E71" s="11" t="s">
        <v>584</v>
      </c>
      <c r="F71" s="11" t="s">
        <v>99</v>
      </c>
      <c r="G71" s="12">
        <v>45977</v>
      </c>
      <c r="H71" s="12"/>
      <c r="I71" s="48" t="s">
        <v>15</v>
      </c>
      <c r="J71" s="57" t="s">
        <v>565</v>
      </c>
      <c r="K71" s="57" t="s">
        <v>16</v>
      </c>
      <c r="L71" s="12">
        <v>45977</v>
      </c>
      <c r="M71" s="12">
        <v>45991</v>
      </c>
      <c r="N71" s="44">
        <f t="shared" si="1"/>
        <v>14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83247509</v>
      </c>
      <c r="B72" s="11" t="str">
        <f t="shared" si="0"/>
        <v>8.324.750-9</v>
      </c>
      <c r="C72" s="11" t="s">
        <v>14</v>
      </c>
      <c r="D72" s="11" t="s">
        <v>86</v>
      </c>
      <c r="E72" s="11" t="s">
        <v>584</v>
      </c>
      <c r="F72" s="11" t="s">
        <v>99</v>
      </c>
      <c r="G72" s="12">
        <v>45977</v>
      </c>
      <c r="H72" s="12"/>
      <c r="I72" s="48" t="s">
        <v>15</v>
      </c>
      <c r="J72" s="57" t="s">
        <v>565</v>
      </c>
      <c r="K72" s="57" t="s">
        <v>17</v>
      </c>
      <c r="L72" s="12">
        <v>45977</v>
      </c>
      <c r="M72" s="12">
        <v>45991</v>
      </c>
      <c r="N72" s="44">
        <f t="shared" si="1"/>
        <v>14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83247509</v>
      </c>
      <c r="B73" s="11" t="str">
        <f t="shared" si="0"/>
        <v>8.324.750-9</v>
      </c>
      <c r="C73" s="11" t="s">
        <v>14</v>
      </c>
      <c r="D73" s="11" t="s">
        <v>86</v>
      </c>
      <c r="E73" s="11" t="s">
        <v>584</v>
      </c>
      <c r="F73" s="11" t="s">
        <v>99</v>
      </c>
      <c r="G73" s="12">
        <v>45977</v>
      </c>
      <c r="H73" s="12"/>
      <c r="I73" s="48" t="s">
        <v>15</v>
      </c>
      <c r="J73" s="57" t="s">
        <v>565</v>
      </c>
      <c r="K73" s="58" t="s">
        <v>18</v>
      </c>
      <c r="L73" s="38">
        <v>45977</v>
      </c>
      <c r="M73" s="12">
        <v>45991</v>
      </c>
      <c r="N73" s="44">
        <f t="shared" si="1"/>
        <v>14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79645079</v>
      </c>
      <c r="B74" s="11" t="str">
        <f t="shared" si="0"/>
        <v>7.964.507-9</v>
      </c>
      <c r="C74" s="11" t="s">
        <v>14</v>
      </c>
      <c r="D74" s="11" t="s">
        <v>437</v>
      </c>
      <c r="E74" s="11" t="s">
        <v>868</v>
      </c>
      <c r="F74" s="11" t="s">
        <v>169</v>
      </c>
      <c r="G74" s="12">
        <v>45978</v>
      </c>
      <c r="H74" s="12">
        <v>45991</v>
      </c>
      <c r="I74" s="48" t="s">
        <v>15</v>
      </c>
      <c r="J74" s="57" t="s">
        <v>106</v>
      </c>
      <c r="K74" s="57" t="s">
        <v>16</v>
      </c>
      <c r="L74" s="12">
        <v>45978</v>
      </c>
      <c r="M74" s="12">
        <v>45991</v>
      </c>
      <c r="N74" s="44">
        <f t="shared" si="1"/>
        <v>13</v>
      </c>
      <c r="O74" s="44"/>
      <c r="P74" t="s">
        <v>83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79645079</v>
      </c>
      <c r="B75" s="11" t="str">
        <f t="shared" si="0"/>
        <v>7.964.507-9</v>
      </c>
      <c r="C75" s="11" t="s">
        <v>14</v>
      </c>
      <c r="D75" s="11" t="s">
        <v>437</v>
      </c>
      <c r="E75" s="11" t="s">
        <v>868</v>
      </c>
      <c r="F75" s="11" t="s">
        <v>169</v>
      </c>
      <c r="G75" s="12">
        <v>45978</v>
      </c>
      <c r="H75" s="12">
        <v>45991</v>
      </c>
      <c r="I75" s="48" t="s">
        <v>15</v>
      </c>
      <c r="J75" s="57" t="s">
        <v>106</v>
      </c>
      <c r="K75" s="57" t="s">
        <v>17</v>
      </c>
      <c r="L75" s="12">
        <v>45978</v>
      </c>
      <c r="M75" s="12">
        <v>45991</v>
      </c>
      <c r="N75" s="44">
        <f t="shared" si="1"/>
        <v>13</v>
      </c>
      <c r="O75" s="44"/>
      <c r="P75" t="s">
        <v>83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79645079</v>
      </c>
      <c r="B76" s="11" t="str">
        <f>IF(LEN(A76)=8,MID(A76,1,1)&amp;"."&amp;MID(A76,2,3)&amp;"."&amp;MID(A76,5,3)&amp;"-"&amp;RIGHT(A76,1),IF(LEFT(RIGHT(A76,2),1)="-",MID(A76,1,1)&amp;"."&amp;MID(A76,2,3)&amp;"."&amp;MID(A76,5,3)&amp;"-"&amp;RIGHT(A76,1),MID(A76,1,2)&amp;"."&amp;MID(A76,3,3)&amp;"."&amp;MID(A76,6,3)&amp;"-"&amp;MID(A76,9,1)))</f>
        <v>7.964.507-9</v>
      </c>
      <c r="C76" s="11" t="s">
        <v>14</v>
      </c>
      <c r="D76" s="11" t="s">
        <v>437</v>
      </c>
      <c r="E76" s="11" t="s">
        <v>868</v>
      </c>
      <c r="F76" s="11" t="s">
        <v>169</v>
      </c>
      <c r="G76" s="12">
        <v>45978</v>
      </c>
      <c r="H76" s="12">
        <v>45991</v>
      </c>
      <c r="I76" s="48" t="s">
        <v>15</v>
      </c>
      <c r="J76" s="57" t="s">
        <v>106</v>
      </c>
      <c r="K76" s="58" t="s">
        <v>18</v>
      </c>
      <c r="L76" s="12">
        <v>45978</v>
      </c>
      <c r="M76" s="12">
        <v>45991</v>
      </c>
      <c r="N76" s="44">
        <f t="shared" si="1"/>
        <v>13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79645079</v>
      </c>
      <c r="B77" s="11" t="str">
        <f>IF(LEN(A77)=8,MID(A77,1,1)&amp;"."&amp;MID(A77,2,3)&amp;"."&amp;MID(A77,5,3)&amp;"-"&amp;RIGHT(A77,1),IF(LEFT(RIGHT(A77,2),1)="-",MID(A77,1,1)&amp;"."&amp;MID(A77,2,3)&amp;"."&amp;MID(A77,5,3)&amp;"-"&amp;RIGHT(A77,1),MID(A77,1,2)&amp;"."&amp;MID(A77,3,3)&amp;"."&amp;MID(A77,6,3)&amp;"-"&amp;MID(A77,9,1)))</f>
        <v>7.964.507-9</v>
      </c>
      <c r="C77" s="11" t="s">
        <v>14</v>
      </c>
      <c r="D77" s="11" t="s">
        <v>437</v>
      </c>
      <c r="E77" s="11" t="s">
        <v>868</v>
      </c>
      <c r="F77" s="11" t="s">
        <v>169</v>
      </c>
      <c r="G77" s="12">
        <v>45978</v>
      </c>
      <c r="H77" s="12">
        <v>45991</v>
      </c>
      <c r="I77" s="48" t="s">
        <v>15</v>
      </c>
      <c r="J77" s="57" t="s">
        <v>106</v>
      </c>
      <c r="K77" s="58" t="s">
        <v>1076</v>
      </c>
      <c r="L77" s="12">
        <v>45978</v>
      </c>
      <c r="M77" s="12">
        <v>45991</v>
      </c>
      <c r="N77" s="44">
        <f t="shared" ref="N77" si="2">+M77-L77</f>
        <v>13</v>
      </c>
      <c r="O77" s="44"/>
      <c r="P77" t="s">
        <v>972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54257791</v>
      </c>
      <c r="B78" s="11" t="str">
        <f t="shared" si="0"/>
        <v>5.425.779-1</v>
      </c>
      <c r="C78" s="11" t="s">
        <v>14</v>
      </c>
      <c r="D78" s="11" t="s">
        <v>115</v>
      </c>
      <c r="E78" s="11" t="s">
        <v>574</v>
      </c>
      <c r="F78" s="11" t="s">
        <v>438</v>
      </c>
      <c r="G78" s="12">
        <v>45974</v>
      </c>
      <c r="H78" s="12">
        <v>45981</v>
      </c>
      <c r="I78" s="48" t="s">
        <v>15</v>
      </c>
      <c r="J78" s="57" t="s">
        <v>75</v>
      </c>
      <c r="K78" s="57" t="s">
        <v>16</v>
      </c>
      <c r="L78" s="12">
        <v>45974</v>
      </c>
      <c r="M78" s="12">
        <v>45981</v>
      </c>
      <c r="N78" s="44">
        <f t="shared" si="1"/>
        <v>7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54257791</v>
      </c>
      <c r="B79" s="11" t="str">
        <f t="shared" si="0"/>
        <v>5.425.779-1</v>
      </c>
      <c r="C79" s="11" t="s">
        <v>14</v>
      </c>
      <c r="D79" s="11" t="s">
        <v>115</v>
      </c>
      <c r="E79" s="11" t="s">
        <v>574</v>
      </c>
      <c r="F79" s="11" t="s">
        <v>438</v>
      </c>
      <c r="G79" s="12">
        <v>45974</v>
      </c>
      <c r="H79" s="12">
        <v>45981</v>
      </c>
      <c r="I79" s="48" t="s">
        <v>15</v>
      </c>
      <c r="J79" s="57" t="s">
        <v>75</v>
      </c>
      <c r="K79" s="57" t="s">
        <v>17</v>
      </c>
      <c r="L79" s="12">
        <v>45974</v>
      </c>
      <c r="M79" s="12">
        <v>45981</v>
      </c>
      <c r="N79" s="44">
        <f t="shared" si="1"/>
        <v>7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123819152</v>
      </c>
      <c r="B80" s="11" t="str">
        <f t="shared" si="0"/>
        <v>12.381.915-2</v>
      </c>
      <c r="C80" s="11" t="s">
        <v>14</v>
      </c>
      <c r="D80" s="11" t="s">
        <v>646</v>
      </c>
      <c r="E80" s="11" t="s">
        <v>407</v>
      </c>
      <c r="F80" s="11" t="s">
        <v>869</v>
      </c>
      <c r="G80" s="12">
        <v>45979</v>
      </c>
      <c r="H80" s="12">
        <v>45981</v>
      </c>
      <c r="I80" s="48" t="s">
        <v>15</v>
      </c>
      <c r="J80" s="57" t="s">
        <v>60</v>
      </c>
      <c r="K80" s="57" t="s">
        <v>16</v>
      </c>
      <c r="L80" s="12">
        <v>45979</v>
      </c>
      <c r="M80" s="12">
        <v>45981</v>
      </c>
      <c r="N80" s="44">
        <f t="shared" si="1"/>
        <v>2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66035077</v>
      </c>
      <c r="B81" s="11" t="str">
        <f t="shared" si="0"/>
        <v>6.603.507-7</v>
      </c>
      <c r="C81" s="11" t="s">
        <v>14</v>
      </c>
      <c r="D81" s="11" t="s">
        <v>700</v>
      </c>
      <c r="E81" s="11" t="s">
        <v>701</v>
      </c>
      <c r="F81" s="11" t="s">
        <v>414</v>
      </c>
      <c r="G81" s="12">
        <v>45978</v>
      </c>
      <c r="H81" s="12">
        <v>45979</v>
      </c>
      <c r="I81" s="48" t="s">
        <v>15</v>
      </c>
      <c r="J81" s="57" t="s">
        <v>72</v>
      </c>
      <c r="K81" s="57" t="s">
        <v>64</v>
      </c>
      <c r="L81" s="135" t="s">
        <v>108</v>
      </c>
      <c r="M81" s="136"/>
      <c r="N81" s="44" t="e">
        <f t="shared" si="1"/>
        <v>#VALUE!</v>
      </c>
      <c r="O81" s="44"/>
      <c r="P81" t="s">
        <v>83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83104120</v>
      </c>
      <c r="B82" s="11" t="str">
        <f t="shared" si="0"/>
        <v>8.310.412-0</v>
      </c>
      <c r="C82" s="11" t="s">
        <v>14</v>
      </c>
      <c r="D82" s="11" t="s">
        <v>870</v>
      </c>
      <c r="E82" s="11" t="s">
        <v>871</v>
      </c>
      <c r="F82" s="11" t="s">
        <v>872</v>
      </c>
      <c r="G82" s="12">
        <v>45977</v>
      </c>
      <c r="H82" s="12">
        <v>45984</v>
      </c>
      <c r="I82" s="48" t="s">
        <v>15</v>
      </c>
      <c r="J82" s="57" t="s">
        <v>60</v>
      </c>
      <c r="K82" s="57" t="s">
        <v>16</v>
      </c>
      <c r="L82" s="12">
        <v>45977</v>
      </c>
      <c r="M82" s="12">
        <v>45984</v>
      </c>
      <c r="N82" s="44">
        <f t="shared" si="1"/>
        <v>7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83104120</v>
      </c>
      <c r="B83" s="11" t="str">
        <f t="shared" si="0"/>
        <v>8.310.412-0</v>
      </c>
      <c r="C83" s="11" t="s">
        <v>14</v>
      </c>
      <c r="D83" s="11" t="s">
        <v>870</v>
      </c>
      <c r="E83" s="11" t="s">
        <v>871</v>
      </c>
      <c r="F83" s="11" t="s">
        <v>872</v>
      </c>
      <c r="G83" s="12">
        <v>45977</v>
      </c>
      <c r="H83" s="12">
        <v>45984</v>
      </c>
      <c r="I83" s="48" t="s">
        <v>15</v>
      </c>
      <c r="J83" s="57" t="s">
        <v>60</v>
      </c>
      <c r="K83" s="57" t="s">
        <v>17</v>
      </c>
      <c r="L83" s="12">
        <v>45977</v>
      </c>
      <c r="M83" s="12">
        <v>45984</v>
      </c>
      <c r="N83" s="44">
        <f t="shared" si="1"/>
        <v>7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83104120</v>
      </c>
      <c r="B84" s="11" t="str">
        <f t="shared" si="0"/>
        <v>8.310.412-0</v>
      </c>
      <c r="C84" s="11" t="s">
        <v>14</v>
      </c>
      <c r="D84" s="11" t="s">
        <v>870</v>
      </c>
      <c r="E84" s="11" t="s">
        <v>871</v>
      </c>
      <c r="F84" s="11" t="s">
        <v>872</v>
      </c>
      <c r="G84" s="12">
        <v>45977</v>
      </c>
      <c r="H84" s="12">
        <v>45984</v>
      </c>
      <c r="I84" s="48" t="s">
        <v>15</v>
      </c>
      <c r="J84" s="57" t="s">
        <v>60</v>
      </c>
      <c r="K84" s="58" t="s">
        <v>18</v>
      </c>
      <c r="L84" s="38">
        <v>45977</v>
      </c>
      <c r="M84" s="38">
        <v>45981</v>
      </c>
      <c r="N84" s="44">
        <f t="shared" si="1"/>
        <v>4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>
        <v>261905809</v>
      </c>
      <c r="B85" s="11" t="str">
        <f t="shared" si="0"/>
        <v>26.190.580-9</v>
      </c>
      <c r="C85" s="11" t="s">
        <v>14</v>
      </c>
      <c r="D85" s="11" t="s">
        <v>873</v>
      </c>
      <c r="E85" s="11" t="s">
        <v>874</v>
      </c>
      <c r="F85" s="11" t="s">
        <v>875</v>
      </c>
      <c r="G85" s="12">
        <v>45980</v>
      </c>
      <c r="H85" s="12">
        <v>45988</v>
      </c>
      <c r="I85" s="48" t="s">
        <v>15</v>
      </c>
      <c r="J85" s="57" t="s">
        <v>200</v>
      </c>
      <c r="K85" s="57" t="s">
        <v>16</v>
      </c>
      <c r="L85" s="12">
        <v>45980</v>
      </c>
      <c r="M85" s="12">
        <v>45988</v>
      </c>
      <c r="N85" s="44">
        <f t="shared" si="1"/>
        <v>8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261905809</v>
      </c>
      <c r="B86" s="11" t="str">
        <f t="shared" si="0"/>
        <v>26.190.580-9</v>
      </c>
      <c r="C86" s="11" t="s">
        <v>14</v>
      </c>
      <c r="D86" s="11" t="s">
        <v>873</v>
      </c>
      <c r="E86" s="11" t="s">
        <v>874</v>
      </c>
      <c r="F86" s="11" t="s">
        <v>875</v>
      </c>
      <c r="G86" s="12">
        <v>45980</v>
      </c>
      <c r="H86" s="12">
        <v>45988</v>
      </c>
      <c r="I86" s="48" t="s">
        <v>15</v>
      </c>
      <c r="J86" s="57" t="s">
        <v>200</v>
      </c>
      <c r="K86" s="57" t="s">
        <v>17</v>
      </c>
      <c r="L86" s="12">
        <v>45980</v>
      </c>
      <c r="M86" s="12">
        <v>45988</v>
      </c>
      <c r="N86" s="44">
        <f t="shared" si="1"/>
        <v>8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261905809</v>
      </c>
      <c r="B87" s="11" t="str">
        <f t="shared" si="0"/>
        <v>26.190.580-9</v>
      </c>
      <c r="C87" s="11" t="s">
        <v>14</v>
      </c>
      <c r="D87" s="11" t="s">
        <v>873</v>
      </c>
      <c r="E87" s="11" t="s">
        <v>874</v>
      </c>
      <c r="F87" s="11" t="s">
        <v>875</v>
      </c>
      <c r="G87" s="12">
        <v>45980</v>
      </c>
      <c r="H87" s="12">
        <v>45988</v>
      </c>
      <c r="I87" s="48" t="s">
        <v>15</v>
      </c>
      <c r="J87" s="57" t="s">
        <v>200</v>
      </c>
      <c r="K87" s="57" t="s">
        <v>18</v>
      </c>
      <c r="L87" s="12">
        <v>45980</v>
      </c>
      <c r="M87" s="35">
        <v>45982</v>
      </c>
      <c r="N87" s="44">
        <f t="shared" si="1"/>
        <v>2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133813298</v>
      </c>
      <c r="B88" s="11" t="str">
        <f t="shared" si="0"/>
        <v>13.381.329-8</v>
      </c>
      <c r="C88" s="11" t="s">
        <v>14</v>
      </c>
      <c r="D88" s="11" t="s">
        <v>813</v>
      </c>
      <c r="E88" s="11" t="s">
        <v>283</v>
      </c>
      <c r="F88" s="11" t="s">
        <v>876</v>
      </c>
      <c r="G88" s="12">
        <v>45979</v>
      </c>
      <c r="H88" s="12">
        <v>45990</v>
      </c>
      <c r="I88" s="48" t="s">
        <v>15</v>
      </c>
      <c r="J88" s="57" t="s">
        <v>60</v>
      </c>
      <c r="K88" s="57" t="s">
        <v>16</v>
      </c>
      <c r="L88" s="12">
        <v>45979</v>
      </c>
      <c r="M88" s="12">
        <v>45990</v>
      </c>
      <c r="N88" s="44">
        <f t="shared" si="1"/>
        <v>11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133813298</v>
      </c>
      <c r="B89" s="11" t="str">
        <f t="shared" si="0"/>
        <v>13.381.329-8</v>
      </c>
      <c r="C89" s="11" t="s">
        <v>14</v>
      </c>
      <c r="D89" s="11" t="s">
        <v>813</v>
      </c>
      <c r="E89" s="11" t="s">
        <v>283</v>
      </c>
      <c r="F89" s="11" t="s">
        <v>876</v>
      </c>
      <c r="G89" s="12">
        <v>45979</v>
      </c>
      <c r="H89" s="12">
        <v>45990</v>
      </c>
      <c r="I89" s="48" t="s">
        <v>15</v>
      </c>
      <c r="J89" s="57" t="s">
        <v>60</v>
      </c>
      <c r="K89" s="57" t="s">
        <v>17</v>
      </c>
      <c r="L89" s="12">
        <v>45979</v>
      </c>
      <c r="M89" s="12">
        <v>45990</v>
      </c>
      <c r="N89" s="44">
        <f t="shared" si="1"/>
        <v>11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133813298</v>
      </c>
      <c r="B90" s="11" t="str">
        <f t="shared" si="0"/>
        <v>13.381.329-8</v>
      </c>
      <c r="C90" s="11" t="s">
        <v>14</v>
      </c>
      <c r="D90" s="11" t="s">
        <v>813</v>
      </c>
      <c r="E90" s="11" t="s">
        <v>283</v>
      </c>
      <c r="F90" s="11" t="s">
        <v>876</v>
      </c>
      <c r="G90" s="12">
        <v>45979</v>
      </c>
      <c r="H90" s="12">
        <v>45990</v>
      </c>
      <c r="I90" s="48" t="s">
        <v>15</v>
      </c>
      <c r="J90" s="57" t="s">
        <v>60</v>
      </c>
      <c r="K90" s="58" t="s">
        <v>18</v>
      </c>
      <c r="L90" s="38">
        <v>45979</v>
      </c>
      <c r="M90" s="12">
        <v>45989</v>
      </c>
      <c r="N90" s="44">
        <f t="shared" si="1"/>
        <v>10</v>
      </c>
      <c r="O90" s="44"/>
      <c r="P90" t="s">
        <v>981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 t="s">
        <v>877</v>
      </c>
      <c r="B91" s="11" t="str">
        <f t="shared" si="0"/>
        <v>16.329.611-k</v>
      </c>
      <c r="C91" s="11" t="s">
        <v>14</v>
      </c>
      <c r="D91" s="11" t="s">
        <v>222</v>
      </c>
      <c r="E91" s="11" t="s">
        <v>183</v>
      </c>
      <c r="F91" s="11" t="s">
        <v>833</v>
      </c>
      <c r="G91" s="12">
        <v>45982</v>
      </c>
      <c r="H91" s="12">
        <v>45986</v>
      </c>
      <c r="I91" s="48" t="s">
        <v>15</v>
      </c>
      <c r="J91" s="57" t="s">
        <v>60</v>
      </c>
      <c r="K91" s="57" t="s">
        <v>16</v>
      </c>
      <c r="L91" s="12">
        <v>45982</v>
      </c>
      <c r="M91" s="12">
        <v>45986</v>
      </c>
      <c r="N91" s="44">
        <f t="shared" si="1"/>
        <v>4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 t="s">
        <v>877</v>
      </c>
      <c r="B92" s="11" t="str">
        <f t="shared" si="0"/>
        <v>16.329.611-k</v>
      </c>
      <c r="C92" s="11" t="s">
        <v>14</v>
      </c>
      <c r="D92" s="11" t="s">
        <v>222</v>
      </c>
      <c r="E92" s="11" t="s">
        <v>183</v>
      </c>
      <c r="F92" s="11" t="s">
        <v>833</v>
      </c>
      <c r="G92" s="12">
        <v>45982</v>
      </c>
      <c r="H92" s="12">
        <v>45986</v>
      </c>
      <c r="I92" s="48" t="s">
        <v>15</v>
      </c>
      <c r="J92" s="57" t="s">
        <v>60</v>
      </c>
      <c r="K92" s="57" t="s">
        <v>17</v>
      </c>
      <c r="L92" s="12">
        <v>45982</v>
      </c>
      <c r="M92" s="12">
        <v>45986</v>
      </c>
      <c r="N92" s="44">
        <f t="shared" si="1"/>
        <v>4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 t="s">
        <v>877</v>
      </c>
      <c r="B93" s="11" t="str">
        <f t="shared" si="0"/>
        <v>16.329.611-k</v>
      </c>
      <c r="C93" s="11" t="s">
        <v>14</v>
      </c>
      <c r="D93" s="11" t="s">
        <v>222</v>
      </c>
      <c r="E93" s="11" t="s">
        <v>183</v>
      </c>
      <c r="F93" s="11" t="s">
        <v>833</v>
      </c>
      <c r="G93" s="12">
        <v>45982</v>
      </c>
      <c r="H93" s="12">
        <v>45986</v>
      </c>
      <c r="I93" s="48" t="s">
        <v>15</v>
      </c>
      <c r="J93" s="57" t="s">
        <v>60</v>
      </c>
      <c r="K93" s="58" t="s">
        <v>18</v>
      </c>
      <c r="L93" s="12">
        <v>45982</v>
      </c>
      <c r="M93" s="12">
        <v>45984</v>
      </c>
      <c r="N93" s="44">
        <f t="shared" si="1"/>
        <v>2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72373111</v>
      </c>
      <c r="B94" s="11" t="str">
        <f t="shared" si="0"/>
        <v>7.237.311-1</v>
      </c>
      <c r="C94" s="11" t="s">
        <v>14</v>
      </c>
      <c r="D94" s="11" t="s">
        <v>710</v>
      </c>
      <c r="E94" s="11" t="s">
        <v>878</v>
      </c>
      <c r="F94" s="11" t="s">
        <v>105</v>
      </c>
      <c r="G94" s="12">
        <v>45983</v>
      </c>
      <c r="H94" s="12">
        <v>45987</v>
      </c>
      <c r="I94" s="48" t="s">
        <v>15</v>
      </c>
      <c r="J94" s="57" t="s">
        <v>60</v>
      </c>
      <c r="K94" s="57" t="s">
        <v>16</v>
      </c>
      <c r="L94" s="12">
        <v>45983</v>
      </c>
      <c r="M94" s="12">
        <v>45987</v>
      </c>
      <c r="N94" s="44">
        <f t="shared" si="1"/>
        <v>4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72373111</v>
      </c>
      <c r="B95" s="11" t="str">
        <f t="shared" si="0"/>
        <v>7.237.311-1</v>
      </c>
      <c r="C95" s="11" t="s">
        <v>14</v>
      </c>
      <c r="D95" s="11" t="s">
        <v>710</v>
      </c>
      <c r="E95" s="11" t="s">
        <v>878</v>
      </c>
      <c r="F95" s="11" t="s">
        <v>105</v>
      </c>
      <c r="G95" s="12">
        <v>45983</v>
      </c>
      <c r="H95" s="12">
        <v>45987</v>
      </c>
      <c r="I95" s="48" t="s">
        <v>15</v>
      </c>
      <c r="J95" s="57" t="s">
        <v>60</v>
      </c>
      <c r="K95" s="57" t="s">
        <v>17</v>
      </c>
      <c r="L95" s="12">
        <v>45983</v>
      </c>
      <c r="M95" s="12">
        <v>45987</v>
      </c>
      <c r="N95" s="44">
        <f t="shared" si="1"/>
        <v>4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>
        <v>72373111</v>
      </c>
      <c r="B96" s="11" t="str">
        <f t="shared" si="0"/>
        <v>7.237.311-1</v>
      </c>
      <c r="C96" s="11" t="s">
        <v>14</v>
      </c>
      <c r="D96" s="11" t="s">
        <v>710</v>
      </c>
      <c r="E96" s="11" t="s">
        <v>878</v>
      </c>
      <c r="F96" s="11" t="s">
        <v>105</v>
      </c>
      <c r="G96" s="12">
        <v>45983</v>
      </c>
      <c r="H96" s="12">
        <v>45987</v>
      </c>
      <c r="I96" s="48" t="s">
        <v>15</v>
      </c>
      <c r="J96" s="57" t="s">
        <v>60</v>
      </c>
      <c r="K96" s="58" t="s">
        <v>18</v>
      </c>
      <c r="L96" s="38">
        <v>45983</v>
      </c>
      <c r="M96" s="38">
        <v>45985</v>
      </c>
      <c r="N96" s="44">
        <f t="shared" si="1"/>
        <v>2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 t="s">
        <v>879</v>
      </c>
      <c r="B97" s="11" t="str">
        <f t="shared" si="0"/>
        <v>10.209.929-k</v>
      </c>
      <c r="C97" s="11" t="s">
        <v>14</v>
      </c>
      <c r="D97" s="11" t="s">
        <v>399</v>
      </c>
      <c r="E97" s="11" t="s">
        <v>426</v>
      </c>
      <c r="F97" s="11" t="s">
        <v>367</v>
      </c>
      <c r="G97" s="12">
        <v>45984</v>
      </c>
      <c r="H97" s="12"/>
      <c r="I97" s="48" t="s">
        <v>15</v>
      </c>
      <c r="J97" s="57" t="s">
        <v>565</v>
      </c>
      <c r="K97" s="57" t="s">
        <v>16</v>
      </c>
      <c r="L97" s="12">
        <v>45984</v>
      </c>
      <c r="M97" s="35">
        <v>45991</v>
      </c>
      <c r="N97" s="44">
        <f t="shared" si="1"/>
        <v>7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 t="s">
        <v>879</v>
      </c>
      <c r="B98" s="11" t="str">
        <f t="shared" si="0"/>
        <v>10.209.929-k</v>
      </c>
      <c r="C98" s="11" t="s">
        <v>14</v>
      </c>
      <c r="D98" s="11" t="s">
        <v>399</v>
      </c>
      <c r="E98" s="11" t="s">
        <v>426</v>
      </c>
      <c r="F98" s="11" t="s">
        <v>367</v>
      </c>
      <c r="G98" s="12">
        <v>45984</v>
      </c>
      <c r="H98" s="12"/>
      <c r="I98" s="48" t="s">
        <v>15</v>
      </c>
      <c r="J98" s="57" t="s">
        <v>565</v>
      </c>
      <c r="K98" s="57" t="s">
        <v>17</v>
      </c>
      <c r="L98" s="12">
        <v>45984</v>
      </c>
      <c r="M98" s="35">
        <v>45991</v>
      </c>
      <c r="N98" s="44">
        <f t="shared" si="1"/>
        <v>7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 t="s">
        <v>879</v>
      </c>
      <c r="B99" s="11" t="str">
        <f t="shared" si="0"/>
        <v>10.209.929-k</v>
      </c>
      <c r="C99" s="11" t="s">
        <v>14</v>
      </c>
      <c r="D99" s="11" t="s">
        <v>399</v>
      </c>
      <c r="E99" s="11" t="s">
        <v>426</v>
      </c>
      <c r="F99" s="11" t="s">
        <v>367</v>
      </c>
      <c r="G99" s="12">
        <v>45984</v>
      </c>
      <c r="H99" s="12"/>
      <c r="I99" s="48" t="s">
        <v>15</v>
      </c>
      <c r="J99" s="57" t="s">
        <v>565</v>
      </c>
      <c r="K99" s="58" t="s">
        <v>18</v>
      </c>
      <c r="L99" s="12">
        <v>45984</v>
      </c>
      <c r="M99" s="35">
        <v>45991</v>
      </c>
      <c r="N99" s="44">
        <f t="shared" si="1"/>
        <v>7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193743730</v>
      </c>
      <c r="B100" s="11" t="str">
        <f t="shared" si="0"/>
        <v>19.374.373-0</v>
      </c>
      <c r="C100" s="11" t="s">
        <v>14</v>
      </c>
      <c r="D100" s="11" t="s">
        <v>534</v>
      </c>
      <c r="E100" s="11" t="s">
        <v>880</v>
      </c>
      <c r="F100" s="11" t="s">
        <v>29</v>
      </c>
      <c r="G100" s="12">
        <v>45984</v>
      </c>
      <c r="H100" s="12"/>
      <c r="I100" s="48" t="s">
        <v>15</v>
      </c>
      <c r="J100" s="57" t="s">
        <v>565</v>
      </c>
      <c r="K100" s="57" t="s">
        <v>16</v>
      </c>
      <c r="L100" s="12">
        <v>45984</v>
      </c>
      <c r="M100" s="35">
        <v>45991</v>
      </c>
      <c r="N100" s="44">
        <f t="shared" si="1"/>
        <v>7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193743730</v>
      </c>
      <c r="B101" s="11" t="str">
        <f t="shared" si="0"/>
        <v>19.374.373-0</v>
      </c>
      <c r="C101" s="11" t="s">
        <v>14</v>
      </c>
      <c r="D101" s="11" t="s">
        <v>534</v>
      </c>
      <c r="E101" s="11" t="s">
        <v>880</v>
      </c>
      <c r="F101" s="11" t="s">
        <v>29</v>
      </c>
      <c r="G101" s="12">
        <v>45984</v>
      </c>
      <c r="H101" s="12"/>
      <c r="I101" s="48" t="s">
        <v>15</v>
      </c>
      <c r="J101" s="57" t="s">
        <v>565</v>
      </c>
      <c r="K101" s="57" t="s">
        <v>17</v>
      </c>
      <c r="L101" s="12">
        <v>45984</v>
      </c>
      <c r="M101" s="35">
        <v>45991</v>
      </c>
      <c r="N101" s="44">
        <f t="shared" si="1"/>
        <v>7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6.5" customHeight="1" x14ac:dyDescent="0.45">
      <c r="A102" s="10">
        <v>193743730</v>
      </c>
      <c r="B102" s="11" t="str">
        <f t="shared" si="0"/>
        <v>19.374.373-0</v>
      </c>
      <c r="C102" s="11" t="s">
        <v>14</v>
      </c>
      <c r="D102" s="11" t="s">
        <v>534</v>
      </c>
      <c r="E102" s="11" t="s">
        <v>880</v>
      </c>
      <c r="F102" s="11" t="s">
        <v>29</v>
      </c>
      <c r="G102" s="12">
        <v>45984</v>
      </c>
      <c r="H102" s="12"/>
      <c r="I102" s="48" t="s">
        <v>15</v>
      </c>
      <c r="J102" s="57" t="s">
        <v>565</v>
      </c>
      <c r="K102" s="58" t="s">
        <v>18</v>
      </c>
      <c r="L102" s="12">
        <v>45984</v>
      </c>
      <c r="M102" s="35">
        <v>45987</v>
      </c>
      <c r="N102" s="44">
        <f t="shared" si="1"/>
        <v>3</v>
      </c>
      <c r="O102" s="44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6.5" customHeight="1" x14ac:dyDescent="0.45">
      <c r="A103" s="10" t="s">
        <v>884</v>
      </c>
      <c r="B103" s="11" t="str">
        <f t="shared" si="0"/>
        <v>11.774.406-K</v>
      </c>
      <c r="C103" s="11" t="s">
        <v>14</v>
      </c>
      <c r="D103" s="11" t="s">
        <v>97</v>
      </c>
      <c r="E103" s="11" t="s">
        <v>20</v>
      </c>
      <c r="F103" s="11" t="s">
        <v>442</v>
      </c>
      <c r="G103" s="12">
        <v>45988</v>
      </c>
      <c r="H103" s="12"/>
      <c r="I103" s="48" t="s">
        <v>15</v>
      </c>
      <c r="J103" s="57" t="s">
        <v>565</v>
      </c>
      <c r="K103" s="57" t="s">
        <v>16</v>
      </c>
      <c r="L103" s="12">
        <v>45988</v>
      </c>
      <c r="M103" s="35">
        <v>45991</v>
      </c>
      <c r="N103" s="44">
        <f t="shared" si="1"/>
        <v>3</v>
      </c>
      <c r="O103" s="44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6.5" customHeight="1" x14ac:dyDescent="0.45">
      <c r="A104" s="10" t="s">
        <v>884</v>
      </c>
      <c r="B104" s="11" t="str">
        <f t="shared" si="0"/>
        <v>11.774.406-K</v>
      </c>
      <c r="C104" s="11" t="s">
        <v>14</v>
      </c>
      <c r="D104" s="11" t="s">
        <v>97</v>
      </c>
      <c r="E104" s="11" t="s">
        <v>20</v>
      </c>
      <c r="F104" s="11" t="s">
        <v>442</v>
      </c>
      <c r="G104" s="12">
        <v>45988</v>
      </c>
      <c r="H104" s="12"/>
      <c r="I104" s="48" t="s">
        <v>15</v>
      </c>
      <c r="J104" s="57" t="s">
        <v>565</v>
      </c>
      <c r="K104" s="57" t="s">
        <v>17</v>
      </c>
      <c r="L104" s="12">
        <v>45988</v>
      </c>
      <c r="M104" s="35">
        <v>45991</v>
      </c>
      <c r="N104" s="44">
        <f t="shared" si="1"/>
        <v>3</v>
      </c>
      <c r="O104" s="44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6.5" customHeight="1" x14ac:dyDescent="0.45">
      <c r="A105" s="10" t="s">
        <v>884</v>
      </c>
      <c r="B105" s="11" t="str">
        <f t="shared" si="0"/>
        <v>11.774.406-K</v>
      </c>
      <c r="C105" s="11" t="s">
        <v>14</v>
      </c>
      <c r="D105" s="11" t="s">
        <v>97</v>
      </c>
      <c r="E105" s="11" t="s">
        <v>20</v>
      </c>
      <c r="F105" s="11" t="s">
        <v>442</v>
      </c>
      <c r="G105" s="12">
        <v>45988</v>
      </c>
      <c r="H105" s="12"/>
      <c r="I105" s="48" t="s">
        <v>15</v>
      </c>
      <c r="J105" s="57" t="s">
        <v>565</v>
      </c>
      <c r="K105" s="58" t="s">
        <v>18</v>
      </c>
      <c r="L105" s="12">
        <v>45988</v>
      </c>
      <c r="M105" s="35">
        <v>45991</v>
      </c>
      <c r="N105" s="44">
        <f t="shared" si="1"/>
        <v>3</v>
      </c>
      <c r="O105" s="44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6.5" customHeight="1" x14ac:dyDescent="0.45">
      <c r="A106" s="10">
        <v>143525813</v>
      </c>
      <c r="B106" s="11" t="str">
        <f t="shared" si="0"/>
        <v>14.352.581-3</v>
      </c>
      <c r="C106" s="11" t="s">
        <v>14</v>
      </c>
      <c r="D106" s="11" t="s">
        <v>830</v>
      </c>
      <c r="E106" s="11" t="s">
        <v>885</v>
      </c>
      <c r="F106" s="11" t="s">
        <v>886</v>
      </c>
      <c r="G106" s="12">
        <v>45988</v>
      </c>
      <c r="H106" s="12">
        <v>45993</v>
      </c>
      <c r="I106" s="48" t="s">
        <v>200</v>
      </c>
      <c r="J106" s="57" t="s">
        <v>60</v>
      </c>
      <c r="K106" s="57" t="s">
        <v>16</v>
      </c>
      <c r="L106" s="12">
        <v>45988</v>
      </c>
      <c r="M106" s="35">
        <v>45993</v>
      </c>
      <c r="N106" s="44">
        <f t="shared" si="1"/>
        <v>5</v>
      </c>
      <c r="O106" s="44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ht="16.5" customHeight="1" x14ac:dyDescent="0.45">
      <c r="A107" s="10">
        <v>143525813</v>
      </c>
      <c r="B107" s="11" t="str">
        <f t="shared" si="0"/>
        <v>14.352.581-3</v>
      </c>
      <c r="C107" s="11" t="s">
        <v>14</v>
      </c>
      <c r="D107" s="11" t="s">
        <v>830</v>
      </c>
      <c r="E107" s="11" t="s">
        <v>885</v>
      </c>
      <c r="F107" s="11" t="s">
        <v>886</v>
      </c>
      <c r="G107" s="12">
        <v>45988</v>
      </c>
      <c r="H107" s="12">
        <v>45993</v>
      </c>
      <c r="I107" s="48" t="s">
        <v>200</v>
      </c>
      <c r="J107" s="57" t="s">
        <v>60</v>
      </c>
      <c r="K107" s="57" t="s">
        <v>17</v>
      </c>
      <c r="L107" s="12">
        <v>45988</v>
      </c>
      <c r="M107" s="35">
        <v>45993</v>
      </c>
      <c r="N107" s="44">
        <f t="shared" si="1"/>
        <v>5</v>
      </c>
      <c r="O107" s="44"/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6.5" customHeight="1" x14ac:dyDescent="0.45">
      <c r="A108" s="10">
        <v>81407479</v>
      </c>
      <c r="B108" s="11" t="str">
        <f t="shared" si="0"/>
        <v>8.140.747-9</v>
      </c>
      <c r="C108" s="11" t="s">
        <v>14</v>
      </c>
      <c r="D108" s="11" t="s">
        <v>887</v>
      </c>
      <c r="E108" s="11" t="s">
        <v>101</v>
      </c>
      <c r="F108" s="11" t="s">
        <v>332</v>
      </c>
      <c r="G108" s="12">
        <v>45989</v>
      </c>
      <c r="H108" s="12"/>
      <c r="I108" s="48" t="s">
        <v>15</v>
      </c>
      <c r="J108" s="57" t="s">
        <v>565</v>
      </c>
      <c r="K108" s="57" t="s">
        <v>16</v>
      </c>
      <c r="L108" s="12">
        <v>45989</v>
      </c>
      <c r="M108" s="35">
        <v>45991</v>
      </c>
      <c r="N108" s="44">
        <f t="shared" si="1"/>
        <v>2</v>
      </c>
      <c r="O108" s="44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6.5" customHeight="1" x14ac:dyDescent="0.45">
      <c r="A109" s="10">
        <v>81407479</v>
      </c>
      <c r="B109" s="11" t="str">
        <f t="shared" si="0"/>
        <v>8.140.747-9</v>
      </c>
      <c r="C109" s="11" t="s">
        <v>14</v>
      </c>
      <c r="D109" s="11" t="s">
        <v>887</v>
      </c>
      <c r="E109" s="11" t="s">
        <v>101</v>
      </c>
      <c r="F109" s="11" t="s">
        <v>332</v>
      </c>
      <c r="G109" s="12">
        <v>45989</v>
      </c>
      <c r="H109" s="12"/>
      <c r="I109" s="48" t="s">
        <v>15</v>
      </c>
      <c r="J109" s="57" t="s">
        <v>565</v>
      </c>
      <c r="K109" s="57" t="s">
        <v>17</v>
      </c>
      <c r="L109" s="12">
        <v>45989</v>
      </c>
      <c r="M109" s="35">
        <v>45991</v>
      </c>
      <c r="N109" s="44">
        <f t="shared" si="1"/>
        <v>2</v>
      </c>
      <c r="O109" s="44"/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6.5" customHeight="1" x14ac:dyDescent="0.45">
      <c r="A110" s="10">
        <v>81407479</v>
      </c>
      <c r="B110" s="11" t="str">
        <f t="shared" si="0"/>
        <v>8.140.747-9</v>
      </c>
      <c r="C110" s="11" t="s">
        <v>14</v>
      </c>
      <c r="D110" s="11" t="s">
        <v>887</v>
      </c>
      <c r="E110" s="11" t="s">
        <v>101</v>
      </c>
      <c r="F110" s="11" t="s">
        <v>332</v>
      </c>
      <c r="G110" s="12">
        <v>45989</v>
      </c>
      <c r="H110" s="12"/>
      <c r="I110" s="48" t="s">
        <v>15</v>
      </c>
      <c r="J110" s="57" t="s">
        <v>565</v>
      </c>
      <c r="K110" s="58" t="s">
        <v>18</v>
      </c>
      <c r="L110" s="38">
        <v>45989</v>
      </c>
      <c r="M110" s="59">
        <v>45991</v>
      </c>
      <c r="N110" s="44">
        <f t="shared" si="1"/>
        <v>2</v>
      </c>
      <c r="O110" s="44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50663108</v>
      </c>
      <c r="B111" s="16" t="str">
        <f t="shared" si="0"/>
        <v>5.066.310-8</v>
      </c>
      <c r="C111" s="16" t="s">
        <v>28</v>
      </c>
      <c r="D111" s="16" t="s">
        <v>830</v>
      </c>
      <c r="E111" s="16" t="s">
        <v>450</v>
      </c>
      <c r="F111" s="16" t="s">
        <v>831</v>
      </c>
      <c r="G111" s="17">
        <v>45943</v>
      </c>
      <c r="H111" s="17">
        <v>45972</v>
      </c>
      <c r="I111" s="37" t="s">
        <v>15</v>
      </c>
      <c r="J111" s="53" t="s">
        <v>62</v>
      </c>
      <c r="K111" s="53" t="s">
        <v>17</v>
      </c>
      <c r="L111" s="28">
        <v>45962</v>
      </c>
      <c r="M111" s="28">
        <v>45972</v>
      </c>
      <c r="N111" s="46">
        <f t="shared" si="1"/>
        <v>10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>
        <v>62011483</v>
      </c>
      <c r="B112" s="16" t="str">
        <f t="shared" si="0"/>
        <v>6.201.148-3</v>
      </c>
      <c r="C112" s="16" t="s">
        <v>28</v>
      </c>
      <c r="D112" s="16" t="s">
        <v>202</v>
      </c>
      <c r="E112" s="16" t="s">
        <v>381</v>
      </c>
      <c r="F112" s="16" t="s">
        <v>99</v>
      </c>
      <c r="G112" s="17">
        <v>45951</v>
      </c>
      <c r="H112" s="17">
        <v>45964</v>
      </c>
      <c r="I112" s="37" t="s">
        <v>60</v>
      </c>
      <c r="J112" s="53" t="s">
        <v>62</v>
      </c>
      <c r="K112" s="53" t="s">
        <v>16</v>
      </c>
      <c r="L112" s="17">
        <v>45962</v>
      </c>
      <c r="M112" s="17">
        <v>45964</v>
      </c>
      <c r="N112" s="46">
        <f t="shared" si="1"/>
        <v>2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62011483</v>
      </c>
      <c r="B113" s="16" t="str">
        <f t="shared" si="0"/>
        <v>6.201.148-3</v>
      </c>
      <c r="C113" s="16" t="s">
        <v>28</v>
      </c>
      <c r="D113" s="16" t="s">
        <v>202</v>
      </c>
      <c r="E113" s="16" t="s">
        <v>381</v>
      </c>
      <c r="F113" s="16" t="s">
        <v>99</v>
      </c>
      <c r="G113" s="17">
        <v>45951</v>
      </c>
      <c r="H113" s="17">
        <v>45964</v>
      </c>
      <c r="I113" s="37" t="s">
        <v>60</v>
      </c>
      <c r="J113" s="53" t="s">
        <v>62</v>
      </c>
      <c r="K113" s="53" t="s">
        <v>17</v>
      </c>
      <c r="L113" s="28">
        <v>45962</v>
      </c>
      <c r="M113" s="17">
        <v>45964</v>
      </c>
      <c r="N113" s="46">
        <f t="shared" si="1"/>
        <v>2</v>
      </c>
      <c r="O113" s="28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5">
        <v>158086158</v>
      </c>
      <c r="B114" s="16" t="str">
        <f t="shared" si="0"/>
        <v>15.808.615-8</v>
      </c>
      <c r="C114" s="16" t="s">
        <v>28</v>
      </c>
      <c r="D114" s="16" t="s">
        <v>480</v>
      </c>
      <c r="E114" s="16" t="s">
        <v>832</v>
      </c>
      <c r="F114" s="16" t="s">
        <v>833</v>
      </c>
      <c r="G114" s="17">
        <v>45952</v>
      </c>
      <c r="H114" s="17">
        <v>45964</v>
      </c>
      <c r="I114" s="37" t="s">
        <v>60</v>
      </c>
      <c r="J114" s="53" t="s">
        <v>42</v>
      </c>
      <c r="K114" s="53" t="s">
        <v>16</v>
      </c>
      <c r="L114" s="17">
        <v>45962</v>
      </c>
      <c r="M114" s="17">
        <v>45964</v>
      </c>
      <c r="N114" s="46">
        <f t="shared" si="1"/>
        <v>2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68422523</v>
      </c>
      <c r="B115" s="16" t="str">
        <f t="shared" si="0"/>
        <v>6.842.252-3</v>
      </c>
      <c r="C115" s="16" t="s">
        <v>28</v>
      </c>
      <c r="D115" s="16" t="s">
        <v>235</v>
      </c>
      <c r="E115" s="16" t="s">
        <v>112</v>
      </c>
      <c r="F115" s="16" t="s">
        <v>842</v>
      </c>
      <c r="G115" s="17">
        <v>45957</v>
      </c>
      <c r="H115" s="17">
        <v>45965</v>
      </c>
      <c r="I115" s="37" t="s">
        <v>56</v>
      </c>
      <c r="J115" s="53" t="s">
        <v>342</v>
      </c>
      <c r="K115" s="53" t="s">
        <v>17</v>
      </c>
      <c r="L115" s="17">
        <v>45962</v>
      </c>
      <c r="M115" s="28">
        <v>45965</v>
      </c>
      <c r="N115" s="46">
        <f t="shared" si="1"/>
        <v>3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134307390</v>
      </c>
      <c r="B116" s="16" t="str">
        <f t="shared" si="0"/>
        <v>13.430.739-0</v>
      </c>
      <c r="C116" s="16" t="s">
        <v>28</v>
      </c>
      <c r="D116" s="16" t="s">
        <v>551</v>
      </c>
      <c r="E116" s="16" t="s">
        <v>222</v>
      </c>
      <c r="F116" s="16" t="s">
        <v>616</v>
      </c>
      <c r="G116" s="17">
        <v>45964</v>
      </c>
      <c r="H116" s="17">
        <v>45978</v>
      </c>
      <c r="I116" s="37" t="s">
        <v>56</v>
      </c>
      <c r="J116" s="53" t="s">
        <v>75</v>
      </c>
      <c r="K116" s="53" t="s">
        <v>16</v>
      </c>
      <c r="L116" s="17">
        <v>45964</v>
      </c>
      <c r="M116" s="28">
        <v>45976</v>
      </c>
      <c r="N116" s="46">
        <f t="shared" si="1"/>
        <v>12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5">
        <v>134307390</v>
      </c>
      <c r="B117" s="16" t="str">
        <f t="shared" si="0"/>
        <v>13.430.739-0</v>
      </c>
      <c r="C117" s="16" t="s">
        <v>28</v>
      </c>
      <c r="D117" s="16" t="s">
        <v>551</v>
      </c>
      <c r="E117" s="16" t="s">
        <v>222</v>
      </c>
      <c r="F117" s="16" t="s">
        <v>616</v>
      </c>
      <c r="G117" s="17">
        <v>45964</v>
      </c>
      <c r="H117" s="17">
        <v>45978</v>
      </c>
      <c r="I117" s="37" t="s">
        <v>56</v>
      </c>
      <c r="J117" s="53" t="s">
        <v>75</v>
      </c>
      <c r="K117" s="54" t="s">
        <v>17</v>
      </c>
      <c r="L117" s="51">
        <v>45964</v>
      </c>
      <c r="M117" s="28">
        <v>45969</v>
      </c>
      <c r="N117" s="46">
        <f t="shared" si="1"/>
        <v>5</v>
      </c>
      <c r="O117" s="28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>
        <v>95525547</v>
      </c>
      <c r="B118" s="16" t="str">
        <f t="shared" si="0"/>
        <v>9.552.554-7</v>
      </c>
      <c r="C118" s="16" t="s">
        <v>28</v>
      </c>
      <c r="D118" s="16" t="s">
        <v>201</v>
      </c>
      <c r="E118" s="16" t="s">
        <v>201</v>
      </c>
      <c r="F118" s="16" t="s">
        <v>111</v>
      </c>
      <c r="G118" s="17">
        <v>45966</v>
      </c>
      <c r="H118" s="17">
        <v>45973</v>
      </c>
      <c r="I118" s="37" t="s">
        <v>200</v>
      </c>
      <c r="J118" s="53" t="s">
        <v>62</v>
      </c>
      <c r="K118" s="53" t="s">
        <v>17</v>
      </c>
      <c r="L118" s="17">
        <v>45966</v>
      </c>
      <c r="M118" s="17">
        <v>45973</v>
      </c>
      <c r="N118" s="46">
        <f t="shared" si="1"/>
        <v>7</v>
      </c>
      <c r="O118" s="28"/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5">
        <v>52197627</v>
      </c>
      <c r="B119" s="16" t="str">
        <f t="shared" si="0"/>
        <v>5.219.762-7</v>
      </c>
      <c r="C119" s="16" t="s">
        <v>28</v>
      </c>
      <c r="D119" s="16" t="s">
        <v>129</v>
      </c>
      <c r="E119" s="16" t="s">
        <v>144</v>
      </c>
      <c r="F119" s="17" t="s">
        <v>184</v>
      </c>
      <c r="G119" s="17">
        <v>45959</v>
      </c>
      <c r="H119" s="17">
        <v>45982</v>
      </c>
      <c r="I119" s="37" t="s">
        <v>15</v>
      </c>
      <c r="J119" s="53" t="s">
        <v>75</v>
      </c>
      <c r="K119" s="53" t="s">
        <v>17</v>
      </c>
      <c r="L119" s="28">
        <v>45962</v>
      </c>
      <c r="M119" s="28">
        <v>45982</v>
      </c>
      <c r="N119" s="46">
        <f t="shared" si="1"/>
        <v>20</v>
      </c>
      <c r="O119" s="28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5">
        <v>69935923</v>
      </c>
      <c r="B120" s="16" t="str">
        <f t="shared" si="0"/>
        <v>6.993.592-3</v>
      </c>
      <c r="C120" s="16" t="s">
        <v>28</v>
      </c>
      <c r="D120" s="16" t="s">
        <v>159</v>
      </c>
      <c r="E120" s="16" t="s">
        <v>159</v>
      </c>
      <c r="F120" s="16" t="s">
        <v>847</v>
      </c>
      <c r="G120" s="17">
        <v>45967</v>
      </c>
      <c r="H120" s="17">
        <v>45972</v>
      </c>
      <c r="I120" s="37" t="s">
        <v>14</v>
      </c>
      <c r="J120" s="53" t="s">
        <v>62</v>
      </c>
      <c r="K120" s="54" t="s">
        <v>17</v>
      </c>
      <c r="L120" s="51">
        <v>45967</v>
      </c>
      <c r="M120" s="51">
        <v>45972</v>
      </c>
      <c r="N120" s="46">
        <f t="shared" si="1"/>
        <v>5</v>
      </c>
      <c r="O120" s="28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5">
        <v>48050522</v>
      </c>
      <c r="B121" s="16" t="str">
        <f t="shared" si="0"/>
        <v>4.805.052-2</v>
      </c>
      <c r="C121" s="16" t="s">
        <v>28</v>
      </c>
      <c r="D121" s="16" t="s">
        <v>350</v>
      </c>
      <c r="E121" s="16" t="s">
        <v>407</v>
      </c>
      <c r="F121" s="16" t="s">
        <v>171</v>
      </c>
      <c r="G121" s="17">
        <v>45966</v>
      </c>
      <c r="H121" s="17">
        <v>45983</v>
      </c>
      <c r="I121" s="37" t="s">
        <v>72</v>
      </c>
      <c r="J121" s="53" t="s">
        <v>106</v>
      </c>
      <c r="K121" s="53" t="s">
        <v>17</v>
      </c>
      <c r="L121" s="28">
        <v>45966</v>
      </c>
      <c r="M121" s="28">
        <v>45983</v>
      </c>
      <c r="N121" s="46">
        <f t="shared" si="1"/>
        <v>17</v>
      </c>
      <c r="O121" s="28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5">
        <v>110618360</v>
      </c>
      <c r="B122" s="16" t="str">
        <f t="shared" si="0"/>
        <v>11.061.836-0</v>
      </c>
      <c r="C122" s="16" t="s">
        <v>28</v>
      </c>
      <c r="D122" s="16" t="s">
        <v>493</v>
      </c>
      <c r="E122" s="16" t="s">
        <v>97</v>
      </c>
      <c r="F122" s="16" t="s">
        <v>133</v>
      </c>
      <c r="G122" s="17">
        <v>45968</v>
      </c>
      <c r="H122" s="17">
        <v>45974</v>
      </c>
      <c r="I122" s="37" t="s">
        <v>15</v>
      </c>
      <c r="J122" s="53" t="s">
        <v>42</v>
      </c>
      <c r="K122" s="53" t="s">
        <v>16</v>
      </c>
      <c r="L122" s="51">
        <v>45968</v>
      </c>
      <c r="M122" s="51">
        <v>45974</v>
      </c>
      <c r="N122" s="46">
        <f t="shared" si="1"/>
        <v>6</v>
      </c>
      <c r="O122" s="28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A123" s="15">
        <v>161676403</v>
      </c>
      <c r="B123" s="16" t="str">
        <f t="shared" si="0"/>
        <v>16.167.640-3</v>
      </c>
      <c r="C123" s="16" t="s">
        <v>28</v>
      </c>
      <c r="D123" s="16" t="s">
        <v>182</v>
      </c>
      <c r="E123" s="16" t="s">
        <v>323</v>
      </c>
      <c r="F123" s="16" t="s">
        <v>400</v>
      </c>
      <c r="G123" s="17">
        <v>45981</v>
      </c>
      <c r="H123" s="17">
        <v>45989</v>
      </c>
      <c r="I123" s="37" t="s">
        <v>60</v>
      </c>
      <c r="J123" s="53" t="s">
        <v>75</v>
      </c>
      <c r="K123" s="53" t="s">
        <v>16</v>
      </c>
      <c r="L123" s="17">
        <v>45981</v>
      </c>
      <c r="M123" s="17">
        <v>45989</v>
      </c>
      <c r="N123" s="46">
        <f t="shared" si="1"/>
        <v>8</v>
      </c>
      <c r="O123" s="28"/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1074</v>
      </c>
    </row>
    <row r="124" spans="1:21" ht="15.75" customHeight="1" x14ac:dyDescent="0.45">
      <c r="A124" s="15">
        <v>161676403</v>
      </c>
      <c r="B124" s="16" t="str">
        <f t="shared" si="0"/>
        <v>16.167.640-3</v>
      </c>
      <c r="C124" s="16" t="s">
        <v>28</v>
      </c>
      <c r="D124" s="16" t="s">
        <v>182</v>
      </c>
      <c r="E124" s="16" t="s">
        <v>323</v>
      </c>
      <c r="F124" s="16" t="s">
        <v>400</v>
      </c>
      <c r="G124" s="17">
        <v>45981</v>
      </c>
      <c r="H124" s="17">
        <v>45989</v>
      </c>
      <c r="I124" s="37" t="s">
        <v>60</v>
      </c>
      <c r="J124" s="53" t="s">
        <v>75</v>
      </c>
      <c r="K124" s="53" t="s">
        <v>17</v>
      </c>
      <c r="L124" s="17">
        <v>45981</v>
      </c>
      <c r="M124" s="17">
        <v>45989</v>
      </c>
      <c r="N124" s="46">
        <f t="shared" si="1"/>
        <v>8</v>
      </c>
      <c r="O124" s="28"/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1074</v>
      </c>
    </row>
    <row r="125" spans="1:21" ht="15.75" customHeight="1" x14ac:dyDescent="0.45">
      <c r="A125" s="15">
        <v>43221140</v>
      </c>
      <c r="B125" s="16" t="str">
        <f t="shared" si="0"/>
        <v>4.322.114-0</v>
      </c>
      <c r="C125" s="16" t="s">
        <v>28</v>
      </c>
      <c r="D125" s="16" t="s">
        <v>121</v>
      </c>
      <c r="E125" s="16" t="s">
        <v>232</v>
      </c>
      <c r="F125" s="16" t="s">
        <v>105</v>
      </c>
      <c r="G125" s="17">
        <v>45981</v>
      </c>
      <c r="H125" s="17">
        <v>45983</v>
      </c>
      <c r="I125" s="37" t="s">
        <v>75</v>
      </c>
      <c r="J125" s="53" t="s">
        <v>42</v>
      </c>
      <c r="K125" s="54" t="s">
        <v>17</v>
      </c>
      <c r="L125" s="51">
        <v>45981</v>
      </c>
      <c r="M125" s="51">
        <v>45983</v>
      </c>
      <c r="N125" s="46">
        <f t="shared" si="1"/>
        <v>2</v>
      </c>
      <c r="O125" s="28"/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1074</v>
      </c>
    </row>
    <row r="126" spans="1:21" ht="15.75" customHeight="1" x14ac:dyDescent="0.45">
      <c r="A126" s="15">
        <v>45117901</v>
      </c>
      <c r="B126" s="16" t="str">
        <f t="shared" si="0"/>
        <v>4.511.790-1</v>
      </c>
      <c r="C126" s="16" t="s">
        <v>28</v>
      </c>
      <c r="D126" s="16" t="s">
        <v>700</v>
      </c>
      <c r="E126" s="16" t="s">
        <v>173</v>
      </c>
      <c r="F126" s="16" t="s">
        <v>615</v>
      </c>
      <c r="G126" s="17">
        <v>45986</v>
      </c>
      <c r="H126" s="17"/>
      <c r="I126" s="37" t="s">
        <v>15</v>
      </c>
      <c r="J126" s="53" t="s">
        <v>206</v>
      </c>
      <c r="K126" s="53" t="s">
        <v>17</v>
      </c>
      <c r="L126" s="28">
        <v>45986</v>
      </c>
      <c r="M126" s="28">
        <v>45991</v>
      </c>
      <c r="N126" s="46">
        <f t="shared" si="1"/>
        <v>5</v>
      </c>
      <c r="O126" s="28"/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1074</v>
      </c>
    </row>
    <row r="127" spans="1:21" ht="15.75" customHeight="1" x14ac:dyDescent="0.45">
      <c r="A127" s="15" t="s">
        <v>881</v>
      </c>
      <c r="B127" s="16" t="str">
        <f t="shared" si="0"/>
        <v>22.244.456-K</v>
      </c>
      <c r="C127" s="16" t="s">
        <v>28</v>
      </c>
      <c r="D127" s="16" t="s">
        <v>867</v>
      </c>
      <c r="E127" s="16" t="s">
        <v>548</v>
      </c>
      <c r="F127" s="16" t="s">
        <v>171</v>
      </c>
      <c r="G127" s="17">
        <v>45985</v>
      </c>
      <c r="H127" s="17">
        <v>45989</v>
      </c>
      <c r="I127" s="37" t="s">
        <v>14</v>
      </c>
      <c r="J127" s="53" t="s">
        <v>342</v>
      </c>
      <c r="K127" s="53" t="s">
        <v>16</v>
      </c>
      <c r="L127" s="28">
        <v>45985</v>
      </c>
      <c r="M127" s="28">
        <v>45989</v>
      </c>
      <c r="N127" s="46">
        <f t="shared" si="1"/>
        <v>4</v>
      </c>
      <c r="O127" s="28"/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1074</v>
      </c>
    </row>
    <row r="128" spans="1:21" ht="15.75" customHeight="1" x14ac:dyDescent="0.45">
      <c r="A128" s="15">
        <v>161676403</v>
      </c>
      <c r="B128" s="16" t="str">
        <f t="shared" si="0"/>
        <v>16.167.640-3</v>
      </c>
      <c r="C128" s="16" t="s">
        <v>28</v>
      </c>
      <c r="D128" s="16" t="s">
        <v>182</v>
      </c>
      <c r="E128" s="16" t="s">
        <v>323</v>
      </c>
      <c r="F128" s="16" t="s">
        <v>400</v>
      </c>
      <c r="G128" s="17">
        <v>45981</v>
      </c>
      <c r="H128" s="17">
        <v>45989</v>
      </c>
      <c r="I128" s="37" t="s">
        <v>60</v>
      </c>
      <c r="J128" s="53" t="s">
        <v>75</v>
      </c>
      <c r="K128" s="53" t="s">
        <v>16</v>
      </c>
      <c r="L128" s="17">
        <v>45981</v>
      </c>
      <c r="M128" s="28">
        <v>45989</v>
      </c>
      <c r="N128" s="46">
        <f t="shared" si="1"/>
        <v>8</v>
      </c>
      <c r="O128" s="28"/>
      <c r="P128" t="s">
        <v>83</v>
      </c>
      <c r="Q128" t="s">
        <v>83</v>
      </c>
      <c r="R128" t="s">
        <v>83</v>
      </c>
      <c r="S128" t="s">
        <v>83</v>
      </c>
      <c r="T128" t="s">
        <v>83</v>
      </c>
      <c r="U128" t="s">
        <v>1074</v>
      </c>
    </row>
    <row r="129" spans="1:21" ht="15.75" customHeight="1" x14ac:dyDescent="0.45">
      <c r="A129" s="15">
        <v>161676403</v>
      </c>
      <c r="B129" s="16" t="str">
        <f t="shared" si="0"/>
        <v>16.167.640-3</v>
      </c>
      <c r="C129" s="16" t="s">
        <v>28</v>
      </c>
      <c r="D129" s="16" t="s">
        <v>182</v>
      </c>
      <c r="E129" s="16" t="s">
        <v>323</v>
      </c>
      <c r="F129" s="16" t="s">
        <v>400</v>
      </c>
      <c r="G129" s="17">
        <v>45981</v>
      </c>
      <c r="H129" s="17">
        <v>45989</v>
      </c>
      <c r="I129" s="37" t="s">
        <v>60</v>
      </c>
      <c r="J129" s="53" t="s">
        <v>75</v>
      </c>
      <c r="K129" s="53" t="s">
        <v>17</v>
      </c>
      <c r="L129" s="17">
        <v>45981</v>
      </c>
      <c r="M129" s="28">
        <v>45989</v>
      </c>
      <c r="N129" s="46">
        <f t="shared" si="1"/>
        <v>8</v>
      </c>
      <c r="O129" s="28"/>
      <c r="P129" t="s">
        <v>83</v>
      </c>
      <c r="Q129" t="s">
        <v>83</v>
      </c>
      <c r="R129" t="s">
        <v>83</v>
      </c>
      <c r="S129" t="s">
        <v>83</v>
      </c>
      <c r="T129" t="s">
        <v>83</v>
      </c>
      <c r="U129" t="s">
        <v>1074</v>
      </c>
    </row>
    <row r="130" spans="1:21" ht="15.75" customHeight="1" x14ac:dyDescent="0.45">
      <c r="A130" s="15">
        <v>84206849</v>
      </c>
      <c r="B130" s="16" t="str">
        <f t="shared" si="0"/>
        <v>8.420.684-9</v>
      </c>
      <c r="C130" s="16" t="s">
        <v>28</v>
      </c>
      <c r="D130" s="16" t="s">
        <v>292</v>
      </c>
      <c r="E130" s="16" t="s">
        <v>695</v>
      </c>
      <c r="F130" s="16" t="s">
        <v>460</v>
      </c>
      <c r="G130" s="17">
        <v>45986</v>
      </c>
      <c r="H130" s="17"/>
      <c r="I130" s="37" t="s">
        <v>72</v>
      </c>
      <c r="J130" s="53" t="s">
        <v>206</v>
      </c>
      <c r="K130" s="53" t="s">
        <v>17</v>
      </c>
      <c r="L130" s="28">
        <v>45986</v>
      </c>
      <c r="M130" s="28">
        <v>45991</v>
      </c>
      <c r="N130" s="46">
        <f t="shared" si="1"/>
        <v>5</v>
      </c>
      <c r="O130" s="28"/>
      <c r="P130" t="s">
        <v>83</v>
      </c>
      <c r="Q130" t="s">
        <v>83</v>
      </c>
      <c r="R130" t="s">
        <v>83</v>
      </c>
      <c r="S130" t="s">
        <v>83</v>
      </c>
      <c r="T130" t="s">
        <v>83</v>
      </c>
      <c r="U130" t="s">
        <v>1074</v>
      </c>
    </row>
    <row r="131" spans="1:21" ht="15.75" customHeight="1" x14ac:dyDescent="0.45">
      <c r="A131" s="15">
        <v>44082594</v>
      </c>
      <c r="B131" s="16" t="str">
        <f t="shared" si="0"/>
        <v>4.408.259-4</v>
      </c>
      <c r="C131" s="16" t="s">
        <v>28</v>
      </c>
      <c r="D131" s="16" t="s">
        <v>882</v>
      </c>
      <c r="E131" s="16" t="s">
        <v>882</v>
      </c>
      <c r="F131" s="16" t="s">
        <v>328</v>
      </c>
      <c r="G131" s="17">
        <v>45987</v>
      </c>
      <c r="H131" s="17">
        <v>45993</v>
      </c>
      <c r="I131" s="37" t="s">
        <v>56</v>
      </c>
      <c r="J131" s="53" t="s">
        <v>42</v>
      </c>
      <c r="K131" s="53" t="s">
        <v>16</v>
      </c>
      <c r="L131" s="28">
        <v>45987</v>
      </c>
      <c r="M131" s="28">
        <v>45993</v>
      </c>
      <c r="N131" s="46">
        <f t="shared" si="1"/>
        <v>6</v>
      </c>
      <c r="O131" s="28"/>
      <c r="P131" t="s">
        <v>83</v>
      </c>
      <c r="Q131" t="s">
        <v>83</v>
      </c>
      <c r="R131" t="s">
        <v>83</v>
      </c>
      <c r="S131" t="s">
        <v>83</v>
      </c>
      <c r="T131" t="s">
        <v>83</v>
      </c>
      <c r="U131" t="s">
        <v>1074</v>
      </c>
    </row>
    <row r="132" spans="1:21" ht="15.75" customHeight="1" x14ac:dyDescent="0.45">
      <c r="A132" s="15">
        <v>95674666</v>
      </c>
      <c r="B132" s="16" t="str">
        <f t="shared" si="0"/>
        <v>9.567.466-6</v>
      </c>
      <c r="C132" s="16" t="s">
        <v>28</v>
      </c>
      <c r="D132" s="16" t="s">
        <v>86</v>
      </c>
      <c r="E132" s="16" t="s">
        <v>450</v>
      </c>
      <c r="F132" s="16" t="s">
        <v>883</v>
      </c>
      <c r="G132" s="17">
        <v>45986</v>
      </c>
      <c r="H132" s="17"/>
      <c r="I132" s="37" t="s">
        <v>15</v>
      </c>
      <c r="J132" s="53" t="s">
        <v>206</v>
      </c>
      <c r="K132" s="53" t="s">
        <v>17</v>
      </c>
      <c r="L132" s="28">
        <v>45986</v>
      </c>
      <c r="M132" s="28">
        <v>45991</v>
      </c>
      <c r="N132" s="46">
        <f t="shared" si="1"/>
        <v>5</v>
      </c>
      <c r="O132" s="28"/>
      <c r="P132" t="s">
        <v>83</v>
      </c>
      <c r="Q132" t="s">
        <v>83</v>
      </c>
      <c r="R132" t="s">
        <v>83</v>
      </c>
      <c r="S132" t="s">
        <v>83</v>
      </c>
      <c r="T132" t="s">
        <v>83</v>
      </c>
      <c r="U132" t="s">
        <v>1074</v>
      </c>
    </row>
    <row r="133" spans="1:21" ht="15.75" customHeight="1" x14ac:dyDescent="0.45">
      <c r="A133" s="15"/>
      <c r="B133" s="16"/>
      <c r="C133" s="16"/>
      <c r="D133" s="16"/>
      <c r="E133" s="16"/>
      <c r="F133" s="16"/>
      <c r="G133" s="17"/>
      <c r="H133" s="17"/>
      <c r="I133" s="16"/>
      <c r="J133" s="16"/>
      <c r="K133" s="37"/>
      <c r="L133" s="50"/>
      <c r="M133" s="28"/>
      <c r="N133" s="46">
        <f t="shared" si="1"/>
        <v>0</v>
      </c>
      <c r="O133" s="28"/>
      <c r="P133" t="s">
        <v>83</v>
      </c>
      <c r="Q133" t="s">
        <v>83</v>
      </c>
      <c r="R133" t="s">
        <v>83</v>
      </c>
      <c r="S133" t="s">
        <v>83</v>
      </c>
      <c r="T133" t="s">
        <v>83</v>
      </c>
      <c r="U133" t="s">
        <v>1074</v>
      </c>
    </row>
    <row r="134" spans="1:21" ht="15.75" customHeight="1" x14ac:dyDescent="0.45">
      <c r="A134" s="19" t="s">
        <v>846</v>
      </c>
      <c r="B134" s="19" t="str">
        <f t="shared" ref="B134:B135" si="3">IF(LEN(A134)=8,MID(A134,1,1)&amp;"."&amp;MID(A134,2,3)&amp;"."&amp;MID(A134,5,3)&amp;"-"&amp;RIGHT(A134,1),IF(LEFT(RIGHT(A134,2),1)="-",MID(A134,1,1)&amp;"."&amp;MID(A134,2,3)&amp;"."&amp;MID(A134,5,3)&amp;"-"&amp;RIGHT(A134,1),MID(A134,1,2)&amp;"."&amp;MID(A134,3,3)&amp;"."&amp;MID(A134,6,3)&amp;"-"&amp;MID(A134,9,1)))</f>
        <v>5.116.153-k</v>
      </c>
      <c r="C134" s="19" t="s">
        <v>32</v>
      </c>
      <c r="D134" s="19" t="s">
        <v>791</v>
      </c>
      <c r="E134" s="19" t="s">
        <v>144</v>
      </c>
      <c r="F134" s="19" t="s">
        <v>105</v>
      </c>
      <c r="G134" s="20">
        <v>45963</v>
      </c>
      <c r="H134" s="20">
        <v>45968</v>
      </c>
      <c r="I134" s="19" t="s">
        <v>15</v>
      </c>
      <c r="J134" s="19" t="s">
        <v>47</v>
      </c>
      <c r="K134" s="21" t="s">
        <v>17</v>
      </c>
      <c r="L134" s="20">
        <v>45963</v>
      </c>
      <c r="M134" s="20">
        <v>45968</v>
      </c>
      <c r="N134" s="47">
        <f t="shared" si="1"/>
        <v>5</v>
      </c>
      <c r="O134" s="34"/>
      <c r="P134" t="s">
        <v>83</v>
      </c>
      <c r="Q134" t="s">
        <v>83</v>
      </c>
      <c r="R134" t="s">
        <v>83</v>
      </c>
      <c r="S134" t="s">
        <v>83</v>
      </c>
      <c r="T134" t="s">
        <v>83</v>
      </c>
      <c r="U134" t="s">
        <v>1074</v>
      </c>
    </row>
    <row r="135" spans="1:21" ht="15.75" customHeight="1" x14ac:dyDescent="0.45">
      <c r="A135" s="19">
        <v>70845741</v>
      </c>
      <c r="B135" s="19" t="str">
        <f t="shared" si="3"/>
        <v>7.084.574-1</v>
      </c>
      <c r="C135" s="19" t="s">
        <v>32</v>
      </c>
      <c r="D135" s="19" t="s">
        <v>732</v>
      </c>
      <c r="E135" s="19" t="s">
        <v>700</v>
      </c>
      <c r="F135" s="19" t="s">
        <v>300</v>
      </c>
      <c r="G135" s="20">
        <v>45962</v>
      </c>
      <c r="H135" s="20">
        <v>45965</v>
      </c>
      <c r="I135" s="19" t="s">
        <v>15</v>
      </c>
      <c r="J135" s="19" t="s">
        <v>47</v>
      </c>
      <c r="K135" s="19" t="s">
        <v>17</v>
      </c>
      <c r="L135" s="20">
        <v>45962</v>
      </c>
      <c r="M135" s="20">
        <v>45965</v>
      </c>
      <c r="N135" s="47">
        <f t="shared" si="1"/>
        <v>3</v>
      </c>
      <c r="O135" s="34"/>
      <c r="P135" t="s">
        <v>83</v>
      </c>
      <c r="Q135" t="s">
        <v>83</v>
      </c>
      <c r="R135" t="s">
        <v>83</v>
      </c>
      <c r="S135" t="s">
        <v>83</v>
      </c>
      <c r="T135" t="s">
        <v>83</v>
      </c>
      <c r="U135" t="s">
        <v>1074</v>
      </c>
    </row>
    <row r="136" spans="1:21" ht="15.75" customHeight="1" x14ac:dyDescent="0.45">
      <c r="A136" s="19">
        <v>64606506</v>
      </c>
      <c r="B136" s="19" t="str">
        <f t="shared" ref="B136:B138" si="4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6.460.650-6</v>
      </c>
      <c r="C136" s="19" t="s">
        <v>32</v>
      </c>
      <c r="D136" s="19" t="s">
        <v>855</v>
      </c>
      <c r="E136" s="19" t="s">
        <v>856</v>
      </c>
      <c r="F136" s="19" t="s">
        <v>334</v>
      </c>
      <c r="G136" s="20">
        <v>45969</v>
      </c>
      <c r="H136" s="20">
        <v>45972</v>
      </c>
      <c r="I136" s="19" t="s">
        <v>15</v>
      </c>
      <c r="J136" s="19" t="s">
        <v>48</v>
      </c>
      <c r="K136" s="19" t="s">
        <v>17</v>
      </c>
      <c r="L136" s="20">
        <v>45969</v>
      </c>
      <c r="M136" s="20">
        <v>45972</v>
      </c>
      <c r="N136" s="47">
        <f t="shared" si="1"/>
        <v>3</v>
      </c>
      <c r="O136" s="34"/>
      <c r="P136" t="s">
        <v>83</v>
      </c>
      <c r="Q136" t="s">
        <v>83</v>
      </c>
      <c r="R136" t="s">
        <v>83</v>
      </c>
      <c r="S136" t="s">
        <v>83</v>
      </c>
      <c r="T136" t="s">
        <v>83</v>
      </c>
      <c r="U136" t="s">
        <v>1074</v>
      </c>
    </row>
    <row r="137" spans="1:21" ht="15.75" customHeight="1" x14ac:dyDescent="0.45">
      <c r="A137" s="19">
        <v>78372613</v>
      </c>
      <c r="B137" s="19" t="str">
        <f t="shared" si="4"/>
        <v>7.837.261-3</v>
      </c>
      <c r="C137" s="19" t="s">
        <v>32</v>
      </c>
      <c r="D137" s="19" t="s">
        <v>435</v>
      </c>
      <c r="E137" s="19" t="s">
        <v>144</v>
      </c>
      <c r="F137" s="19" t="s">
        <v>857</v>
      </c>
      <c r="G137" s="20">
        <v>45971</v>
      </c>
      <c r="H137" s="20">
        <v>45975</v>
      </c>
      <c r="I137" s="19" t="s">
        <v>15</v>
      </c>
      <c r="J137" s="19" t="s">
        <v>47</v>
      </c>
      <c r="K137" s="21" t="s">
        <v>17</v>
      </c>
      <c r="L137" s="20">
        <v>45971</v>
      </c>
      <c r="M137" s="20">
        <v>45975</v>
      </c>
      <c r="N137" s="47">
        <f t="shared" si="1"/>
        <v>4</v>
      </c>
      <c r="O137" s="34"/>
      <c r="P137" t="s">
        <v>83</v>
      </c>
      <c r="Q137" t="s">
        <v>83</v>
      </c>
      <c r="R137" t="s">
        <v>83</v>
      </c>
      <c r="S137" t="s">
        <v>83</v>
      </c>
      <c r="T137" t="s">
        <v>83</v>
      </c>
      <c r="U137" t="s">
        <v>1074</v>
      </c>
    </row>
    <row r="138" spans="1:21" ht="15.75" customHeight="1" x14ac:dyDescent="0.45">
      <c r="A138" s="19">
        <v>63015202</v>
      </c>
      <c r="B138" s="19" t="str">
        <f t="shared" si="4"/>
        <v>6.301.520-2</v>
      </c>
      <c r="C138" s="19" t="s">
        <v>32</v>
      </c>
      <c r="D138" s="19" t="s">
        <v>289</v>
      </c>
      <c r="E138" s="19" t="s">
        <v>116</v>
      </c>
      <c r="F138" s="19" t="s">
        <v>223</v>
      </c>
      <c r="G138" s="20">
        <v>45976</v>
      </c>
      <c r="H138" s="20">
        <v>45979</v>
      </c>
      <c r="I138" s="19" t="s">
        <v>15</v>
      </c>
      <c r="J138" s="19" t="s">
        <v>75</v>
      </c>
      <c r="K138" s="21" t="s">
        <v>17</v>
      </c>
      <c r="L138" s="20">
        <v>45976</v>
      </c>
      <c r="M138" s="20">
        <v>45979</v>
      </c>
      <c r="N138" s="47">
        <f t="shared" si="1"/>
        <v>3</v>
      </c>
      <c r="O138" s="34"/>
      <c r="P138" t="s">
        <v>83</v>
      </c>
      <c r="Q138" t="s">
        <v>83</v>
      </c>
      <c r="R138" t="s">
        <v>83</v>
      </c>
      <c r="S138" t="s">
        <v>83</v>
      </c>
      <c r="T138" t="s">
        <v>83</v>
      </c>
      <c r="U138" t="s">
        <v>1074</v>
      </c>
    </row>
    <row r="139" spans="1:21" ht="15.75" customHeight="1" x14ac:dyDescent="0.45">
      <c r="G139" s="4"/>
      <c r="H139" s="4"/>
      <c r="I139" s="23"/>
      <c r="J139" s="23"/>
      <c r="K139" s="23"/>
      <c r="L139" s="4"/>
      <c r="N139" s="36"/>
      <c r="U139">
        <f>COUNTIF(U8:U138,"si")</f>
        <v>0</v>
      </c>
    </row>
    <row r="140" spans="1:21" ht="15.75" customHeight="1" x14ac:dyDescent="0.45">
      <c r="G140" s="4"/>
      <c r="H140" s="4"/>
      <c r="I140" s="23"/>
      <c r="J140" s="23"/>
      <c r="K140" s="23"/>
      <c r="L140" s="4"/>
      <c r="N140" s="36"/>
    </row>
    <row r="141" spans="1:21" ht="15.75" customHeight="1" x14ac:dyDescent="0.45">
      <c r="G141" s="4"/>
      <c r="H141" s="4"/>
      <c r="I141" s="23"/>
      <c r="J141" s="23"/>
      <c r="K141" s="23"/>
      <c r="L141" s="4"/>
      <c r="N141" s="36"/>
    </row>
    <row r="142" spans="1:21" ht="15.75" customHeight="1" x14ac:dyDescent="0.45">
      <c r="G142" s="4"/>
      <c r="H142" s="4"/>
      <c r="I142" s="23"/>
      <c r="J142" s="23"/>
      <c r="K142" s="23"/>
      <c r="L142" s="4"/>
      <c r="N142" s="36"/>
    </row>
    <row r="143" spans="1:21" ht="15.75" customHeight="1" x14ac:dyDescent="0.45">
      <c r="G143" s="4"/>
      <c r="H143" s="4"/>
      <c r="I143" s="23"/>
      <c r="J143" s="23"/>
      <c r="K143" s="23"/>
      <c r="L143" s="4"/>
      <c r="N143" s="36"/>
    </row>
    <row r="144" spans="1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K188" s="23"/>
      <c r="L188" s="4"/>
      <c r="N188" s="36"/>
    </row>
    <row r="189" spans="7:14" ht="15.75" customHeight="1" x14ac:dyDescent="0.45">
      <c r="G189" s="4"/>
      <c r="H189" s="4"/>
      <c r="I189" s="23"/>
      <c r="J189" s="23"/>
      <c r="K189" s="23"/>
      <c r="L189" s="4"/>
      <c r="N189" s="36"/>
    </row>
    <row r="190" spans="7:14" ht="15.75" customHeight="1" x14ac:dyDescent="0.45">
      <c r="G190" s="4"/>
      <c r="H190" s="4"/>
      <c r="I190" s="23"/>
      <c r="J190" s="23"/>
      <c r="K190" s="23"/>
      <c r="L190" s="4"/>
      <c r="N190" s="36"/>
    </row>
    <row r="191" spans="7:14" ht="15.75" customHeight="1" x14ac:dyDescent="0.45">
      <c r="G191" s="4"/>
      <c r="H191" s="4"/>
      <c r="I191" s="23"/>
      <c r="J191" s="23"/>
      <c r="K191" s="23"/>
      <c r="L191" s="4"/>
      <c r="N191" s="36"/>
    </row>
    <row r="192" spans="7:14" ht="15.75" customHeight="1" x14ac:dyDescent="0.45">
      <c r="G192" s="4"/>
      <c r="H192" s="4"/>
      <c r="I192" s="23"/>
      <c r="J192" s="23"/>
      <c r="K192" s="23"/>
      <c r="L192" s="4"/>
      <c r="N192" s="36"/>
    </row>
    <row r="193" spans="7:14" ht="15.75" customHeight="1" x14ac:dyDescent="0.45">
      <c r="G193" s="4"/>
      <c r="H193" s="4"/>
      <c r="I193" s="23"/>
      <c r="J193" s="23"/>
      <c r="K193" s="23"/>
      <c r="L193" s="4"/>
      <c r="N193" s="36"/>
    </row>
    <row r="194" spans="7:14" ht="15.75" customHeight="1" x14ac:dyDescent="0.45">
      <c r="G194" s="4"/>
      <c r="H194" s="4"/>
      <c r="I194" s="23"/>
      <c r="J194" s="23"/>
      <c r="K194" s="23"/>
      <c r="L194" s="4"/>
      <c r="N194" s="36"/>
    </row>
    <row r="195" spans="7:14" ht="15.75" customHeight="1" x14ac:dyDescent="0.45">
      <c r="G195" s="4"/>
      <c r="H195" s="4"/>
      <c r="I195" s="23"/>
      <c r="J195" s="23"/>
      <c r="K195" s="23"/>
      <c r="L195" s="4"/>
      <c r="N195" s="36"/>
    </row>
    <row r="196" spans="7:14" ht="15.75" customHeight="1" x14ac:dyDescent="0.45">
      <c r="G196" s="4"/>
      <c r="H196" s="4"/>
      <c r="I196" s="23"/>
      <c r="J196" s="23"/>
      <c r="K196" s="23"/>
      <c r="L196" s="4"/>
      <c r="N196" s="36"/>
    </row>
    <row r="197" spans="7:14" ht="15.75" customHeight="1" x14ac:dyDescent="0.45">
      <c r="G197" s="4"/>
      <c r="H197" s="4"/>
      <c r="I197" s="23"/>
      <c r="J197" s="23"/>
      <c r="K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I260" s="23"/>
      <c r="J260" s="23"/>
      <c r="L260" s="4"/>
      <c r="N260" s="36"/>
    </row>
    <row r="261" spans="7:14" ht="15.75" customHeight="1" x14ac:dyDescent="0.45">
      <c r="G261" s="4"/>
      <c r="H261" s="4"/>
      <c r="I261" s="23"/>
      <c r="J261" s="23"/>
      <c r="L261" s="4"/>
      <c r="N261" s="36"/>
    </row>
    <row r="262" spans="7:14" ht="15.75" customHeight="1" x14ac:dyDescent="0.45">
      <c r="G262" s="4"/>
      <c r="H262" s="4"/>
      <c r="I262" s="23"/>
      <c r="J262" s="23"/>
      <c r="L262" s="4"/>
      <c r="N262" s="36"/>
    </row>
    <row r="263" spans="7:14" ht="15.75" customHeight="1" x14ac:dyDescent="0.45">
      <c r="G263" s="4"/>
      <c r="H263" s="4"/>
      <c r="I263" s="23"/>
      <c r="J263" s="23"/>
      <c r="L263" s="4"/>
      <c r="N263" s="36"/>
    </row>
    <row r="264" spans="7:14" ht="15.75" customHeight="1" x14ac:dyDescent="0.45">
      <c r="G264" s="4"/>
      <c r="H264" s="4"/>
      <c r="I264" s="23"/>
      <c r="J264" s="23"/>
      <c r="L264" s="4"/>
      <c r="N264" s="36"/>
    </row>
    <row r="265" spans="7:14" ht="15.75" customHeight="1" x14ac:dyDescent="0.45">
      <c r="G265" s="4"/>
      <c r="H265" s="4"/>
      <c r="I265" s="23"/>
      <c r="J265" s="23"/>
      <c r="L265" s="4"/>
      <c r="N265" s="36"/>
    </row>
    <row r="266" spans="7:14" ht="15.75" customHeight="1" x14ac:dyDescent="0.45">
      <c r="G266" s="4"/>
      <c r="H266" s="4"/>
      <c r="I266" s="23"/>
      <c r="J266" s="23"/>
      <c r="L266" s="4"/>
      <c r="N266" s="36"/>
    </row>
    <row r="267" spans="7:14" ht="15.75" customHeight="1" x14ac:dyDescent="0.45">
      <c r="G267" s="4"/>
      <c r="H267" s="4"/>
      <c r="I267" s="23"/>
      <c r="J267" s="23"/>
      <c r="L267" s="4"/>
      <c r="N267" s="36"/>
    </row>
    <row r="268" spans="7:14" ht="15.75" customHeight="1" x14ac:dyDescent="0.45">
      <c r="G268" s="4"/>
      <c r="H268" s="4"/>
      <c r="I268" s="23"/>
      <c r="J268" s="23"/>
      <c r="L268" s="4"/>
      <c r="N268" s="36"/>
    </row>
    <row r="269" spans="7:14" ht="15.75" customHeight="1" x14ac:dyDescent="0.45">
      <c r="G269" s="4"/>
      <c r="H269" s="4"/>
      <c r="I269" s="23"/>
      <c r="J269" s="23"/>
      <c r="L269" s="4"/>
      <c r="N269" s="36"/>
    </row>
    <row r="270" spans="7:14" ht="15.75" customHeight="1" x14ac:dyDescent="0.45">
      <c r="G270" s="4"/>
      <c r="H270" s="4"/>
      <c r="J270" s="23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  <c r="N297" s="36"/>
    </row>
    <row r="298" spans="7:14" ht="15.75" customHeight="1" x14ac:dyDescent="0.45">
      <c r="G298" s="4"/>
      <c r="H298" s="4"/>
      <c r="L298" s="4"/>
      <c r="N298" s="36"/>
    </row>
    <row r="299" spans="7:14" ht="15.75" customHeight="1" x14ac:dyDescent="0.45">
      <c r="G299" s="4"/>
      <c r="H299" s="4"/>
      <c r="L299" s="4"/>
      <c r="N299" s="36"/>
    </row>
    <row r="300" spans="7:14" ht="15.75" customHeight="1" x14ac:dyDescent="0.45">
      <c r="G300" s="4"/>
      <c r="H300" s="4"/>
      <c r="L300" s="4"/>
      <c r="N300" s="36"/>
    </row>
    <row r="301" spans="7:14" ht="15.75" customHeight="1" x14ac:dyDescent="0.45">
      <c r="G301" s="4"/>
      <c r="H301" s="4"/>
      <c r="L301" s="4"/>
      <c r="N301" s="36"/>
    </row>
    <row r="302" spans="7:14" ht="15.75" customHeight="1" x14ac:dyDescent="0.45">
      <c r="G302" s="4"/>
      <c r="H302" s="4"/>
      <c r="L302" s="4"/>
      <c r="N302" s="36"/>
    </row>
    <row r="303" spans="7:14" ht="15.75" customHeight="1" x14ac:dyDescent="0.45">
      <c r="G303" s="4"/>
      <c r="H303" s="4"/>
      <c r="L303" s="4"/>
      <c r="N303" s="36"/>
    </row>
    <row r="304" spans="7:14" ht="15.75" customHeight="1" x14ac:dyDescent="0.45">
      <c r="G304" s="4"/>
      <c r="H304" s="4"/>
      <c r="L304" s="4"/>
      <c r="N304" s="36"/>
    </row>
    <row r="305" spans="7:14" ht="15.75" customHeight="1" x14ac:dyDescent="0.45">
      <c r="G305" s="4"/>
      <c r="H305" s="4"/>
      <c r="L305" s="4"/>
      <c r="N305" s="36"/>
    </row>
    <row r="306" spans="7:14" ht="15.75" customHeight="1" x14ac:dyDescent="0.45">
      <c r="G306" s="4"/>
      <c r="H306" s="4"/>
      <c r="L306" s="4"/>
      <c r="N306" s="36"/>
    </row>
    <row r="307" spans="7:14" ht="15.75" customHeight="1" x14ac:dyDescent="0.45">
      <c r="G307" s="4"/>
      <c r="H307" s="4"/>
      <c r="L307" s="4"/>
    </row>
    <row r="308" spans="7:14" ht="15.75" customHeight="1" x14ac:dyDescent="0.45">
      <c r="G308" s="4"/>
      <c r="H308" s="4"/>
      <c r="L308" s="4"/>
    </row>
    <row r="309" spans="7:14" ht="15.75" customHeight="1" x14ac:dyDescent="0.45">
      <c r="G309" s="4"/>
      <c r="H309" s="4"/>
      <c r="L309" s="4"/>
    </row>
    <row r="310" spans="7:14" ht="15.75" customHeight="1" x14ac:dyDescent="0.45">
      <c r="G310" s="4"/>
      <c r="H310" s="4"/>
      <c r="L310" s="4"/>
    </row>
    <row r="311" spans="7:14" ht="15.75" customHeight="1" x14ac:dyDescent="0.45">
      <c r="G311" s="4"/>
      <c r="H311" s="4"/>
      <c r="L311" s="4"/>
    </row>
    <row r="312" spans="7:14" ht="15.75" customHeight="1" x14ac:dyDescent="0.45">
      <c r="G312" s="4"/>
      <c r="H312" s="4"/>
      <c r="L312" s="4"/>
    </row>
    <row r="313" spans="7:14" ht="15.75" customHeight="1" x14ac:dyDescent="0.45">
      <c r="G313" s="4"/>
      <c r="H313" s="4"/>
      <c r="L313" s="4"/>
    </row>
    <row r="314" spans="7:14" ht="15.75" customHeight="1" x14ac:dyDescent="0.45">
      <c r="G314" s="4"/>
      <c r="H314" s="4"/>
      <c r="L314" s="4"/>
    </row>
    <row r="315" spans="7:14" ht="15.75" customHeight="1" x14ac:dyDescent="0.45">
      <c r="G315" s="4"/>
      <c r="H315" s="4"/>
      <c r="L315" s="4"/>
    </row>
    <row r="316" spans="7:14" ht="15.75" customHeight="1" x14ac:dyDescent="0.45">
      <c r="G316" s="4"/>
      <c r="H316" s="4"/>
      <c r="L316" s="4"/>
    </row>
    <row r="317" spans="7:14" ht="15.75" customHeight="1" x14ac:dyDescent="0.45">
      <c r="G317" s="4"/>
      <c r="H317" s="4"/>
      <c r="L317" s="4"/>
    </row>
    <row r="318" spans="7:14" ht="15.75" customHeight="1" x14ac:dyDescent="0.45">
      <c r="G318" s="4"/>
      <c r="H318" s="4"/>
      <c r="L318" s="4"/>
    </row>
    <row r="319" spans="7:14" ht="15.75" customHeight="1" x14ac:dyDescent="0.45">
      <c r="G319" s="4"/>
      <c r="H319" s="4"/>
      <c r="L319" s="4"/>
    </row>
    <row r="320" spans="7:14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>
      <c r="G328" s="4"/>
      <c r="H328" s="4"/>
      <c r="L328" s="4"/>
    </row>
    <row r="329" spans="7:12" ht="15.75" customHeight="1" x14ac:dyDescent="0.45">
      <c r="G329" s="4"/>
      <c r="H329" s="4"/>
      <c r="L329" s="4"/>
    </row>
    <row r="330" spans="7:12" ht="15.75" customHeight="1" x14ac:dyDescent="0.45">
      <c r="G330" s="4"/>
      <c r="H330" s="4"/>
      <c r="L330" s="4"/>
    </row>
    <row r="331" spans="7:12" ht="15.75" customHeight="1" x14ac:dyDescent="0.45">
      <c r="G331" s="4"/>
      <c r="H331" s="4"/>
      <c r="L331" s="4"/>
    </row>
    <row r="332" spans="7:12" ht="15.75" customHeight="1" x14ac:dyDescent="0.45">
      <c r="G332" s="4"/>
      <c r="H332" s="4"/>
      <c r="L332" s="4"/>
    </row>
    <row r="333" spans="7:12" ht="15.75" customHeight="1" x14ac:dyDescent="0.45">
      <c r="G333" s="4"/>
      <c r="H333" s="4"/>
      <c r="L333" s="4"/>
    </row>
    <row r="334" spans="7:12" ht="15.75" customHeight="1" x14ac:dyDescent="0.45">
      <c r="G334" s="4"/>
      <c r="H334" s="4"/>
      <c r="L334" s="4"/>
    </row>
    <row r="335" spans="7:12" ht="15.75" customHeight="1" x14ac:dyDescent="0.45">
      <c r="G335" s="4"/>
      <c r="H335" s="4"/>
      <c r="L335" s="4"/>
    </row>
    <row r="336" spans="7:12" ht="15.75" customHeight="1" x14ac:dyDescent="0.45">
      <c r="G336" s="4"/>
      <c r="H336" s="4"/>
      <c r="L336" s="4"/>
    </row>
    <row r="337" spans="7:12" ht="15.75" customHeight="1" x14ac:dyDescent="0.45">
      <c r="G337" s="4"/>
      <c r="H337" s="4"/>
      <c r="L337" s="4"/>
    </row>
    <row r="338" spans="7:12" ht="15.75" customHeight="1" x14ac:dyDescent="0.45"/>
    <row r="339" spans="7:12" ht="15.75" customHeight="1" x14ac:dyDescent="0.45"/>
    <row r="340" spans="7:12" ht="15.75" customHeight="1" x14ac:dyDescent="0.45"/>
    <row r="341" spans="7:12" ht="15.75" customHeight="1" x14ac:dyDescent="0.45"/>
    <row r="342" spans="7:12" ht="15.75" customHeight="1" x14ac:dyDescent="0.45"/>
    <row r="343" spans="7:12" ht="15.75" customHeight="1" x14ac:dyDescent="0.45"/>
    <row r="344" spans="7:12" ht="15.75" customHeight="1" x14ac:dyDescent="0.45"/>
    <row r="345" spans="7:12" ht="15.75" customHeight="1" x14ac:dyDescent="0.45"/>
    <row r="346" spans="7:12" ht="15.75" customHeight="1" x14ac:dyDescent="0.45"/>
    <row r="347" spans="7:12" ht="15.75" customHeight="1" x14ac:dyDescent="0.45"/>
    <row r="348" spans="7:12" ht="15.75" customHeight="1" x14ac:dyDescent="0.45"/>
    <row r="349" spans="7:12" ht="15.75" customHeight="1" x14ac:dyDescent="0.45"/>
    <row r="350" spans="7:12" ht="15.75" customHeight="1" x14ac:dyDescent="0.45"/>
    <row r="351" spans="7:12" ht="15.75" customHeight="1" x14ac:dyDescent="0.45"/>
    <row r="352" spans="7:1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" customHeight="1" x14ac:dyDescent="0.45"/>
    <row r="993" ht="15" customHeight="1" x14ac:dyDescent="0.45"/>
    <row r="994" ht="15" customHeight="1" x14ac:dyDescent="0.45"/>
    <row r="995" ht="15" customHeight="1" x14ac:dyDescent="0.45"/>
    <row r="996" ht="15" customHeight="1" x14ac:dyDescent="0.45"/>
    <row r="997" ht="15" customHeight="1" x14ac:dyDescent="0.45"/>
    <row r="998" ht="15" customHeight="1" x14ac:dyDescent="0.45"/>
    <row r="999" ht="15" customHeight="1" x14ac:dyDescent="0.45"/>
    <row r="1000" ht="15" customHeight="1" x14ac:dyDescent="0.45"/>
    <row r="1001" ht="15" customHeight="1" x14ac:dyDescent="0.45"/>
    <row r="1002" ht="15" customHeight="1" x14ac:dyDescent="0.45"/>
    <row r="1003" ht="15" customHeight="1" x14ac:dyDescent="0.45"/>
    <row r="1004" ht="15" customHeight="1" x14ac:dyDescent="0.45"/>
  </sheetData>
  <mergeCells count="8">
    <mergeCell ref="A1:O1"/>
    <mergeCell ref="A2:O2"/>
    <mergeCell ref="A5:O5"/>
    <mergeCell ref="L81:M81"/>
    <mergeCell ref="L67:M67"/>
    <mergeCell ref="L62:M62"/>
    <mergeCell ref="O11:O13"/>
    <mergeCell ref="O14:O16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29B6AE-A7A7-434C-AAE5-8DD38B599AE5}">
          <x14:formula1>
            <xm:f>Criterios!$A$2:$A$128</xm:f>
          </x14:formula1>
          <xm:sqref>P8:T138</xm:sqref>
        </x14:dataValidation>
        <x14:dataValidation type="list" allowBlank="1" showInputMessage="1" showErrorMessage="1" xr:uid="{ECBFC7FB-407B-4C8F-BDC5-6CC20499CA99}">
          <x14:formula1>
            <xm:f>Hoja1!$G$2:$G$3</xm:f>
          </x14:formula1>
          <xm:sqref>U8:U138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6B47-DA4A-4AF3-B2B2-299587069F83}">
  <dimension ref="A1:V995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81" sqref="P81"/>
    </sheetView>
  </sheetViews>
  <sheetFormatPr baseColWidth="10" defaultRowHeight="14.25" x14ac:dyDescent="0.45"/>
  <cols>
    <col min="2" max="2" width="11.796875" bestFit="1" customWidth="1"/>
    <col min="3" max="3" width="8.53125" customWidth="1"/>
    <col min="4" max="4" width="14.796875" bestFit="1" customWidth="1"/>
    <col min="5" max="5" width="12" bestFit="1" customWidth="1"/>
    <col min="6" max="6" width="12.53125" bestFit="1" customWidth="1"/>
    <col min="11" max="11" width="21.46484375" customWidth="1"/>
    <col min="13" max="13" width="13.73046875" customWidth="1"/>
    <col min="14" max="14" width="7.796875" customWidth="1"/>
    <col min="15" max="15" width="12" customWidth="1"/>
  </cols>
  <sheetData>
    <row r="1" spans="1:22" x14ac:dyDescent="0.4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22" x14ac:dyDescent="0.45">
      <c r="A2" s="116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</row>
    <row r="3" spans="1:22" x14ac:dyDescent="0.45">
      <c r="A3" s="106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</row>
    <row r="4" spans="1:22" x14ac:dyDescent="0.45">
      <c r="A4" s="1"/>
      <c r="B4" s="1"/>
      <c r="C4" s="1"/>
      <c r="D4" s="1"/>
      <c r="E4" s="1"/>
      <c r="F4" s="1"/>
      <c r="G4" s="2"/>
      <c r="H4" s="2"/>
      <c r="I4" s="1" t="s">
        <v>81</v>
      </c>
      <c r="J4" s="1"/>
      <c r="K4" s="3"/>
      <c r="L4" s="2"/>
      <c r="M4" s="1"/>
      <c r="N4" s="1"/>
      <c r="O4" s="1"/>
    </row>
    <row r="5" spans="1:22" x14ac:dyDescent="0.45">
      <c r="A5" s="117" t="s">
        <v>888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22" ht="14.65" thickBot="1" x14ac:dyDescent="0.5">
      <c r="G6" s="4"/>
      <c r="H6" s="4"/>
      <c r="L6" s="4"/>
    </row>
    <row r="7" spans="1:22" ht="28.5" x14ac:dyDescent="0.45">
      <c r="A7" s="111" t="s">
        <v>2</v>
      </c>
      <c r="B7" s="108" t="s">
        <v>2</v>
      </c>
      <c r="C7" s="109" t="s">
        <v>3</v>
      </c>
      <c r="D7" s="109" t="s">
        <v>4</v>
      </c>
      <c r="E7" s="109" t="s">
        <v>5</v>
      </c>
      <c r="F7" s="108" t="s">
        <v>6</v>
      </c>
      <c r="G7" s="107" t="s">
        <v>7</v>
      </c>
      <c r="H7" s="107" t="s">
        <v>8</v>
      </c>
      <c r="I7" s="108" t="s">
        <v>9</v>
      </c>
      <c r="J7" s="108" t="s">
        <v>10</v>
      </c>
      <c r="K7" s="109" t="s">
        <v>11</v>
      </c>
      <c r="L7" s="107" t="s">
        <v>12</v>
      </c>
      <c r="M7" s="110" t="s">
        <v>13</v>
      </c>
      <c r="N7" s="110" t="s">
        <v>308</v>
      </c>
      <c r="O7" s="112" t="s">
        <v>208</v>
      </c>
      <c r="P7" s="85" t="s">
        <v>1067</v>
      </c>
      <c r="Q7" s="85" t="s">
        <v>1068</v>
      </c>
      <c r="R7" s="85" t="s">
        <v>1069</v>
      </c>
      <c r="S7" s="85" t="s">
        <v>1070</v>
      </c>
      <c r="T7" s="85" t="s">
        <v>1071</v>
      </c>
      <c r="U7" s="85" t="s">
        <v>1073</v>
      </c>
      <c r="V7" s="85"/>
    </row>
    <row r="8" spans="1:22" ht="16.5" customHeight="1" x14ac:dyDescent="0.45">
      <c r="A8" s="10">
        <v>83247509</v>
      </c>
      <c r="B8" s="11" t="str">
        <f t="shared" ref="B8:B114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8.324.750-9</v>
      </c>
      <c r="C8" s="11" t="s">
        <v>14</v>
      </c>
      <c r="D8" s="11" t="s">
        <v>86</v>
      </c>
      <c r="E8" s="11" t="s">
        <v>584</v>
      </c>
      <c r="F8" s="11" t="s">
        <v>99</v>
      </c>
      <c r="G8" s="12">
        <v>45977</v>
      </c>
      <c r="H8" s="12">
        <v>46000</v>
      </c>
      <c r="I8" s="48" t="s">
        <v>15</v>
      </c>
      <c r="J8" s="57" t="s">
        <v>60</v>
      </c>
      <c r="K8" s="57" t="s">
        <v>16</v>
      </c>
      <c r="L8" s="12">
        <v>45992</v>
      </c>
      <c r="M8" s="12">
        <v>46000</v>
      </c>
      <c r="N8" s="44">
        <f t="shared" ref="N8:N13" si="1">+M8-L8</f>
        <v>8</v>
      </c>
      <c r="O8" s="44"/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1074</v>
      </c>
    </row>
    <row r="9" spans="1:22" ht="16.5" customHeight="1" x14ac:dyDescent="0.45">
      <c r="A9" s="10">
        <v>83247509</v>
      </c>
      <c r="B9" s="11" t="str">
        <f t="shared" si="0"/>
        <v>8.324.750-9</v>
      </c>
      <c r="C9" s="11" t="s">
        <v>14</v>
      </c>
      <c r="D9" s="11" t="s">
        <v>86</v>
      </c>
      <c r="E9" s="11" t="s">
        <v>584</v>
      </c>
      <c r="F9" s="11" t="s">
        <v>99</v>
      </c>
      <c r="G9" s="12">
        <v>45977</v>
      </c>
      <c r="H9" s="12">
        <v>46000</v>
      </c>
      <c r="I9" s="48" t="s">
        <v>15</v>
      </c>
      <c r="J9" s="57" t="s">
        <v>60</v>
      </c>
      <c r="K9" s="57" t="s">
        <v>17</v>
      </c>
      <c r="L9" s="12">
        <v>45992</v>
      </c>
      <c r="M9" s="12">
        <v>46000</v>
      </c>
      <c r="N9" s="44">
        <f t="shared" si="1"/>
        <v>8</v>
      </c>
      <c r="O9" s="44"/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1074</v>
      </c>
    </row>
    <row r="10" spans="1:22" ht="16.5" customHeight="1" x14ac:dyDescent="0.45">
      <c r="A10" s="10">
        <v>83247509</v>
      </c>
      <c r="B10" s="11" t="str">
        <f t="shared" si="0"/>
        <v>8.324.750-9</v>
      </c>
      <c r="C10" s="11" t="s">
        <v>14</v>
      </c>
      <c r="D10" s="11" t="s">
        <v>86</v>
      </c>
      <c r="E10" s="11" t="s">
        <v>584</v>
      </c>
      <c r="F10" s="11" t="s">
        <v>99</v>
      </c>
      <c r="G10" s="12">
        <v>45977</v>
      </c>
      <c r="H10" s="12">
        <v>46000</v>
      </c>
      <c r="I10" s="48" t="s">
        <v>15</v>
      </c>
      <c r="J10" s="57" t="s">
        <v>60</v>
      </c>
      <c r="K10" s="58" t="s">
        <v>18</v>
      </c>
      <c r="L10" s="12">
        <v>45992</v>
      </c>
      <c r="M10" s="12">
        <v>45997</v>
      </c>
      <c r="N10" s="44">
        <f t="shared" si="1"/>
        <v>5</v>
      </c>
      <c r="O10" s="44"/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1074</v>
      </c>
    </row>
    <row r="11" spans="1:22" ht="16.5" customHeight="1" x14ac:dyDescent="0.45">
      <c r="A11" s="10" t="s">
        <v>879</v>
      </c>
      <c r="B11" s="11" t="str">
        <f t="shared" si="0"/>
        <v>10.209.929-k</v>
      </c>
      <c r="C11" s="11" t="s">
        <v>14</v>
      </c>
      <c r="D11" s="11" t="s">
        <v>399</v>
      </c>
      <c r="E11" s="11" t="s">
        <v>426</v>
      </c>
      <c r="F11" s="11" t="s">
        <v>367</v>
      </c>
      <c r="G11" s="12">
        <v>45984</v>
      </c>
      <c r="H11" s="12">
        <v>46013</v>
      </c>
      <c r="I11" s="48" t="s">
        <v>15</v>
      </c>
      <c r="J11" s="57" t="s">
        <v>60</v>
      </c>
      <c r="K11" s="57" t="s">
        <v>16</v>
      </c>
      <c r="L11" s="12">
        <v>45992</v>
      </c>
      <c r="M11" s="35">
        <v>46008</v>
      </c>
      <c r="N11" s="44">
        <f t="shared" si="1"/>
        <v>16</v>
      </c>
      <c r="O11" s="44"/>
      <c r="P11" t="s">
        <v>942</v>
      </c>
      <c r="Q11" t="s">
        <v>83</v>
      </c>
      <c r="R11" t="s">
        <v>83</v>
      </c>
      <c r="S11" t="s">
        <v>83</v>
      </c>
      <c r="T11" t="s">
        <v>83</v>
      </c>
      <c r="U11" t="s">
        <v>1074</v>
      </c>
    </row>
    <row r="12" spans="1:22" ht="16.5" customHeight="1" x14ac:dyDescent="0.45">
      <c r="A12" s="10" t="s">
        <v>879</v>
      </c>
      <c r="B12" s="11" t="str">
        <f t="shared" si="0"/>
        <v>10.209.929-k</v>
      </c>
      <c r="C12" s="11" t="s">
        <v>14</v>
      </c>
      <c r="D12" s="11" t="s">
        <v>399</v>
      </c>
      <c r="E12" s="11" t="s">
        <v>426</v>
      </c>
      <c r="F12" s="11" t="s">
        <v>367</v>
      </c>
      <c r="G12" s="12">
        <v>45984</v>
      </c>
      <c r="H12" s="12">
        <v>46013</v>
      </c>
      <c r="I12" s="48" t="s">
        <v>15</v>
      </c>
      <c r="J12" s="57" t="s">
        <v>60</v>
      </c>
      <c r="K12" s="57" t="s">
        <v>17</v>
      </c>
      <c r="L12" s="12">
        <v>45992</v>
      </c>
      <c r="M12" s="35">
        <v>46013</v>
      </c>
      <c r="N12" s="44">
        <f t="shared" si="1"/>
        <v>21</v>
      </c>
      <c r="O12" s="119" t="s">
        <v>914</v>
      </c>
      <c r="P12" t="s">
        <v>951</v>
      </c>
      <c r="Q12" t="s">
        <v>83</v>
      </c>
      <c r="R12" t="s">
        <v>83</v>
      </c>
      <c r="S12" t="s">
        <v>83</v>
      </c>
      <c r="T12" t="s">
        <v>83</v>
      </c>
      <c r="U12" t="s">
        <v>1074</v>
      </c>
    </row>
    <row r="13" spans="1:22" ht="16.5" customHeight="1" x14ac:dyDescent="0.45">
      <c r="A13" s="10" t="s">
        <v>879</v>
      </c>
      <c r="B13" s="11" t="str">
        <f t="shared" si="0"/>
        <v>10.209.929-k</v>
      </c>
      <c r="C13" s="11" t="s">
        <v>14</v>
      </c>
      <c r="D13" s="11" t="s">
        <v>399</v>
      </c>
      <c r="E13" s="11" t="s">
        <v>426</v>
      </c>
      <c r="F13" s="11" t="s">
        <v>367</v>
      </c>
      <c r="G13" s="12">
        <v>45984</v>
      </c>
      <c r="H13" s="12">
        <v>46013</v>
      </c>
      <c r="I13" s="48" t="s">
        <v>15</v>
      </c>
      <c r="J13" s="57" t="s">
        <v>60</v>
      </c>
      <c r="K13" s="58" t="s">
        <v>18</v>
      </c>
      <c r="L13" s="12">
        <v>45992</v>
      </c>
      <c r="M13" s="35">
        <v>46013</v>
      </c>
      <c r="N13" s="44">
        <f t="shared" si="1"/>
        <v>21</v>
      </c>
      <c r="O13" s="120"/>
      <c r="P13" t="s">
        <v>981</v>
      </c>
      <c r="Q13" t="s">
        <v>83</v>
      </c>
      <c r="R13" t="s">
        <v>83</v>
      </c>
      <c r="S13" t="s">
        <v>83</v>
      </c>
      <c r="T13" t="s">
        <v>83</v>
      </c>
      <c r="U13" t="s">
        <v>1074</v>
      </c>
    </row>
    <row r="14" spans="1:22" ht="16.5" customHeight="1" x14ac:dyDescent="0.45">
      <c r="A14" s="10">
        <v>193743730</v>
      </c>
      <c r="B14" s="11" t="str">
        <f t="shared" si="0"/>
        <v>19.374.373-0</v>
      </c>
      <c r="C14" s="11" t="s">
        <v>14</v>
      </c>
      <c r="D14" s="11" t="s">
        <v>534</v>
      </c>
      <c r="E14" s="11" t="s">
        <v>880</v>
      </c>
      <c r="F14" s="11" t="s">
        <v>29</v>
      </c>
      <c r="G14" s="12">
        <v>45984</v>
      </c>
      <c r="H14" s="12">
        <v>45995</v>
      </c>
      <c r="I14" s="48" t="s">
        <v>15</v>
      </c>
      <c r="J14" s="57" t="s">
        <v>348</v>
      </c>
      <c r="K14" s="57" t="s">
        <v>16</v>
      </c>
      <c r="L14" s="12">
        <v>45992</v>
      </c>
      <c r="M14" s="12">
        <v>45995</v>
      </c>
      <c r="N14" s="44">
        <f t="shared" ref="N14:N129" si="2">+M14-L14</f>
        <v>3</v>
      </c>
      <c r="O14" s="44"/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1074</v>
      </c>
    </row>
    <row r="15" spans="1:22" ht="16.5" customHeight="1" x14ac:dyDescent="0.45">
      <c r="A15" s="10">
        <v>193743730</v>
      </c>
      <c r="B15" s="11" t="str">
        <f t="shared" si="0"/>
        <v>19.374.373-0</v>
      </c>
      <c r="C15" s="11" t="s">
        <v>14</v>
      </c>
      <c r="D15" s="11" t="s">
        <v>534</v>
      </c>
      <c r="E15" s="11" t="s">
        <v>880</v>
      </c>
      <c r="F15" s="11" t="s">
        <v>29</v>
      </c>
      <c r="G15" s="12">
        <v>45984</v>
      </c>
      <c r="H15" s="12">
        <v>45995</v>
      </c>
      <c r="I15" s="48" t="s">
        <v>15</v>
      </c>
      <c r="J15" s="57" t="s">
        <v>348</v>
      </c>
      <c r="K15" s="57" t="s">
        <v>17</v>
      </c>
      <c r="L15" s="12">
        <v>45992</v>
      </c>
      <c r="M15" s="12">
        <v>45995</v>
      </c>
      <c r="N15" s="44">
        <f t="shared" si="2"/>
        <v>3</v>
      </c>
      <c r="O15" s="44"/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1074</v>
      </c>
    </row>
    <row r="16" spans="1:22" ht="16.5" customHeight="1" x14ac:dyDescent="0.45">
      <c r="A16" s="10" t="s">
        <v>884</v>
      </c>
      <c r="B16" s="11" t="str">
        <f t="shared" si="0"/>
        <v>11.774.406-K</v>
      </c>
      <c r="C16" s="11" t="s">
        <v>14</v>
      </c>
      <c r="D16" s="11" t="s">
        <v>97</v>
      </c>
      <c r="E16" s="11" t="s">
        <v>20</v>
      </c>
      <c r="F16" s="11" t="s">
        <v>442</v>
      </c>
      <c r="G16" s="12">
        <v>45988</v>
      </c>
      <c r="H16" s="12">
        <v>45996</v>
      </c>
      <c r="I16" s="48" t="s">
        <v>15</v>
      </c>
      <c r="J16" s="57" t="s">
        <v>28</v>
      </c>
      <c r="K16" s="57" t="s">
        <v>16</v>
      </c>
      <c r="L16" s="12">
        <v>45992</v>
      </c>
      <c r="M16" s="35">
        <v>45996</v>
      </c>
      <c r="N16" s="44">
        <f t="shared" si="2"/>
        <v>4</v>
      </c>
      <c r="O16" s="44"/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1074</v>
      </c>
    </row>
    <row r="17" spans="1:21" ht="16.5" customHeight="1" x14ac:dyDescent="0.45">
      <c r="A17" s="10" t="s">
        <v>884</v>
      </c>
      <c r="B17" s="11" t="str">
        <f t="shared" si="0"/>
        <v>11.774.406-K</v>
      </c>
      <c r="C17" s="11" t="s">
        <v>14</v>
      </c>
      <c r="D17" s="11" t="s">
        <v>97</v>
      </c>
      <c r="E17" s="11" t="s">
        <v>20</v>
      </c>
      <c r="F17" s="11" t="s">
        <v>442</v>
      </c>
      <c r="G17" s="12">
        <v>45988</v>
      </c>
      <c r="H17" s="12">
        <v>45996</v>
      </c>
      <c r="I17" s="48" t="s">
        <v>15</v>
      </c>
      <c r="J17" s="57" t="s">
        <v>28</v>
      </c>
      <c r="K17" s="57" t="s">
        <v>17</v>
      </c>
      <c r="L17" s="12">
        <v>45992</v>
      </c>
      <c r="M17" s="35">
        <v>45996</v>
      </c>
      <c r="N17" s="44">
        <f t="shared" si="2"/>
        <v>4</v>
      </c>
      <c r="O17" s="44"/>
      <c r="P17" t="s">
        <v>83</v>
      </c>
      <c r="Q17" t="s">
        <v>83</v>
      </c>
      <c r="R17" t="s">
        <v>83</v>
      </c>
      <c r="S17" t="s">
        <v>83</v>
      </c>
      <c r="T17" t="s">
        <v>83</v>
      </c>
      <c r="U17" t="s">
        <v>1074</v>
      </c>
    </row>
    <row r="18" spans="1:21" ht="16.5" customHeight="1" x14ac:dyDescent="0.45">
      <c r="A18" s="10">
        <v>81407479</v>
      </c>
      <c r="B18" s="11" t="str">
        <f t="shared" si="0"/>
        <v>8.140.747-9</v>
      </c>
      <c r="C18" s="11" t="s">
        <v>14</v>
      </c>
      <c r="D18" s="11" t="s">
        <v>887</v>
      </c>
      <c r="E18" s="11" t="s">
        <v>101</v>
      </c>
      <c r="F18" s="11" t="s">
        <v>332</v>
      </c>
      <c r="G18" s="12">
        <v>45989</v>
      </c>
      <c r="H18" s="12">
        <v>45996</v>
      </c>
      <c r="I18" s="48" t="s">
        <v>15</v>
      </c>
      <c r="J18" s="57" t="s">
        <v>60</v>
      </c>
      <c r="K18" s="57" t="s">
        <v>16</v>
      </c>
      <c r="L18" s="12">
        <v>45992</v>
      </c>
      <c r="M18" s="12">
        <v>45996</v>
      </c>
      <c r="N18" s="44">
        <f t="shared" si="2"/>
        <v>4</v>
      </c>
      <c r="O18" s="44"/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1074</v>
      </c>
    </row>
    <row r="19" spans="1:21" ht="16.5" customHeight="1" x14ac:dyDescent="0.45">
      <c r="A19" s="10">
        <v>81407479</v>
      </c>
      <c r="B19" s="11" t="str">
        <f t="shared" si="0"/>
        <v>8.140.747-9</v>
      </c>
      <c r="C19" s="11" t="s">
        <v>14</v>
      </c>
      <c r="D19" s="11" t="s">
        <v>887</v>
      </c>
      <c r="E19" s="11" t="s">
        <v>101</v>
      </c>
      <c r="F19" s="11" t="s">
        <v>332</v>
      </c>
      <c r="G19" s="12">
        <v>45989</v>
      </c>
      <c r="H19" s="12">
        <v>45996</v>
      </c>
      <c r="I19" s="48" t="s">
        <v>15</v>
      </c>
      <c r="J19" s="57" t="s">
        <v>60</v>
      </c>
      <c r="K19" s="57" t="s">
        <v>17</v>
      </c>
      <c r="L19" s="12">
        <v>45992</v>
      </c>
      <c r="M19" s="12">
        <v>45996</v>
      </c>
      <c r="N19" s="44">
        <f t="shared" si="2"/>
        <v>4</v>
      </c>
      <c r="O19" s="44"/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1074</v>
      </c>
    </row>
    <row r="20" spans="1:21" ht="16.5" customHeight="1" x14ac:dyDescent="0.45">
      <c r="A20" s="10" t="s">
        <v>884</v>
      </c>
      <c r="B20" s="11" t="str">
        <f t="shared" si="0"/>
        <v>11.774.406-K</v>
      </c>
      <c r="C20" s="11" t="s">
        <v>14</v>
      </c>
      <c r="D20" s="11" t="s">
        <v>97</v>
      </c>
      <c r="E20" s="11" t="s">
        <v>20</v>
      </c>
      <c r="F20" s="11" t="s">
        <v>442</v>
      </c>
      <c r="G20" s="12">
        <v>45988</v>
      </c>
      <c r="H20" s="12">
        <v>45994</v>
      </c>
      <c r="I20" s="48" t="s">
        <v>15</v>
      </c>
      <c r="J20" s="57" t="s">
        <v>28</v>
      </c>
      <c r="K20" s="57" t="s">
        <v>16</v>
      </c>
      <c r="L20" s="12">
        <v>45992</v>
      </c>
      <c r="M20" s="12">
        <v>45994</v>
      </c>
      <c r="N20" s="44">
        <f t="shared" si="2"/>
        <v>2</v>
      </c>
      <c r="O20" s="44"/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1074</v>
      </c>
    </row>
    <row r="21" spans="1:21" ht="16.5" customHeight="1" x14ac:dyDescent="0.45">
      <c r="A21" s="10" t="s">
        <v>884</v>
      </c>
      <c r="B21" s="11" t="str">
        <f t="shared" si="0"/>
        <v>11.774.406-K</v>
      </c>
      <c r="C21" s="11" t="s">
        <v>14</v>
      </c>
      <c r="D21" s="11" t="s">
        <v>97</v>
      </c>
      <c r="E21" s="11" t="s">
        <v>20</v>
      </c>
      <c r="F21" s="11" t="s">
        <v>442</v>
      </c>
      <c r="G21" s="12">
        <v>45988</v>
      </c>
      <c r="H21" s="12">
        <v>45994</v>
      </c>
      <c r="I21" s="48" t="s">
        <v>15</v>
      </c>
      <c r="J21" s="57" t="s">
        <v>28</v>
      </c>
      <c r="K21" s="57" t="s">
        <v>17</v>
      </c>
      <c r="L21" s="12">
        <v>45992</v>
      </c>
      <c r="M21" s="12">
        <v>45994</v>
      </c>
      <c r="N21" s="44">
        <f t="shared" si="2"/>
        <v>2</v>
      </c>
      <c r="O21" s="44"/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1074</v>
      </c>
    </row>
    <row r="22" spans="1:21" ht="16.5" customHeight="1" x14ac:dyDescent="0.45">
      <c r="A22" s="10" t="s">
        <v>884</v>
      </c>
      <c r="B22" s="11" t="str">
        <f t="shared" si="0"/>
        <v>11.774.406-K</v>
      </c>
      <c r="C22" s="11" t="s">
        <v>14</v>
      </c>
      <c r="D22" s="11" t="s">
        <v>97</v>
      </c>
      <c r="E22" s="11" t="s">
        <v>20</v>
      </c>
      <c r="F22" s="11" t="s">
        <v>442</v>
      </c>
      <c r="G22" s="12">
        <v>45988</v>
      </c>
      <c r="H22" s="12">
        <v>45994</v>
      </c>
      <c r="I22" s="48" t="s">
        <v>15</v>
      </c>
      <c r="J22" s="57" t="s">
        <v>28</v>
      </c>
      <c r="K22" s="58" t="s">
        <v>18</v>
      </c>
      <c r="L22" s="12">
        <v>45992</v>
      </c>
      <c r="M22" s="12">
        <v>45994</v>
      </c>
      <c r="N22" s="44">
        <f t="shared" si="2"/>
        <v>2</v>
      </c>
      <c r="O22" s="44"/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1074</v>
      </c>
    </row>
    <row r="23" spans="1:21" ht="16.5" customHeight="1" x14ac:dyDescent="0.45">
      <c r="A23" s="10">
        <v>105685963</v>
      </c>
      <c r="B23" s="11" t="str">
        <f t="shared" si="0"/>
        <v>10.568.596-3</v>
      </c>
      <c r="C23" s="11" t="s">
        <v>14</v>
      </c>
      <c r="D23" s="11" t="s">
        <v>849</v>
      </c>
      <c r="E23" s="11" t="s">
        <v>432</v>
      </c>
      <c r="F23" s="11" t="s">
        <v>105</v>
      </c>
      <c r="G23" s="12">
        <v>45991</v>
      </c>
      <c r="H23" s="12">
        <v>45994</v>
      </c>
      <c r="I23" s="48" t="s">
        <v>200</v>
      </c>
      <c r="J23" s="57" t="s">
        <v>106</v>
      </c>
      <c r="K23" s="57" t="s">
        <v>16</v>
      </c>
      <c r="L23" s="12">
        <v>45992</v>
      </c>
      <c r="M23" s="12">
        <v>45994</v>
      </c>
      <c r="N23" s="44">
        <f t="shared" si="2"/>
        <v>2</v>
      </c>
      <c r="O23" s="44"/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1074</v>
      </c>
    </row>
    <row r="24" spans="1:21" ht="16.5" customHeight="1" x14ac:dyDescent="0.45">
      <c r="A24" s="10">
        <v>105685963</v>
      </c>
      <c r="B24" s="11" t="str">
        <f t="shared" si="0"/>
        <v>10.568.596-3</v>
      </c>
      <c r="C24" s="11" t="s">
        <v>14</v>
      </c>
      <c r="D24" s="11" t="s">
        <v>849</v>
      </c>
      <c r="E24" s="11" t="s">
        <v>432</v>
      </c>
      <c r="F24" s="11" t="s">
        <v>105</v>
      </c>
      <c r="G24" s="12">
        <v>45991</v>
      </c>
      <c r="H24" s="12">
        <v>45994</v>
      </c>
      <c r="I24" s="48" t="s">
        <v>200</v>
      </c>
      <c r="J24" s="57" t="s">
        <v>106</v>
      </c>
      <c r="K24" s="58" t="s">
        <v>17</v>
      </c>
      <c r="L24" s="38">
        <v>45992</v>
      </c>
      <c r="M24" s="38">
        <v>45994</v>
      </c>
      <c r="N24" s="44">
        <f t="shared" si="2"/>
        <v>2</v>
      </c>
      <c r="O24" s="44"/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1074</v>
      </c>
    </row>
    <row r="25" spans="1:21" ht="16.5" customHeight="1" x14ac:dyDescent="0.45">
      <c r="A25" s="10">
        <v>143525813</v>
      </c>
      <c r="B25" s="11" t="str">
        <f t="shared" si="0"/>
        <v>14.352.581-3</v>
      </c>
      <c r="C25" s="11" t="s">
        <v>14</v>
      </c>
      <c r="D25" s="11" t="s">
        <v>830</v>
      </c>
      <c r="E25" s="11" t="s">
        <v>885</v>
      </c>
      <c r="F25" s="11" t="s">
        <v>886</v>
      </c>
      <c r="G25" s="12">
        <v>45988</v>
      </c>
      <c r="H25" s="12">
        <v>45993</v>
      </c>
      <c r="I25" s="48" t="s">
        <v>200</v>
      </c>
      <c r="J25" s="57" t="s">
        <v>60</v>
      </c>
      <c r="K25" s="57" t="s">
        <v>16</v>
      </c>
      <c r="L25" s="35">
        <v>45992</v>
      </c>
      <c r="M25" s="35">
        <v>45993</v>
      </c>
      <c r="N25" s="44">
        <f t="shared" si="2"/>
        <v>1</v>
      </c>
      <c r="O25" s="44"/>
      <c r="P25" t="s">
        <v>83</v>
      </c>
      <c r="Q25" t="s">
        <v>83</v>
      </c>
      <c r="R25" t="s">
        <v>83</v>
      </c>
      <c r="S25" t="s">
        <v>83</v>
      </c>
      <c r="T25" t="s">
        <v>83</v>
      </c>
      <c r="U25" t="s">
        <v>1074</v>
      </c>
    </row>
    <row r="26" spans="1:21" ht="16.5" customHeight="1" x14ac:dyDescent="0.45">
      <c r="A26" s="10">
        <v>123220595</v>
      </c>
      <c r="B26" s="11" t="str">
        <f t="shared" si="0"/>
        <v>12.322.059-5</v>
      </c>
      <c r="C26" s="11" t="s">
        <v>14</v>
      </c>
      <c r="D26" s="11" t="s">
        <v>154</v>
      </c>
      <c r="E26" s="11" t="s">
        <v>147</v>
      </c>
      <c r="F26" s="11" t="s">
        <v>532</v>
      </c>
      <c r="G26" s="12">
        <v>45991</v>
      </c>
      <c r="H26" s="12">
        <v>45996</v>
      </c>
      <c r="I26" s="48" t="s">
        <v>15</v>
      </c>
      <c r="J26" s="57" t="s">
        <v>72</v>
      </c>
      <c r="K26" s="57" t="s">
        <v>17</v>
      </c>
      <c r="L26" s="38">
        <v>45992</v>
      </c>
      <c r="M26" s="35">
        <v>45996</v>
      </c>
      <c r="N26" s="44">
        <f t="shared" si="2"/>
        <v>4</v>
      </c>
      <c r="O26" s="44"/>
      <c r="P26" t="s">
        <v>83</v>
      </c>
      <c r="Q26" t="s">
        <v>83</v>
      </c>
      <c r="R26" t="s">
        <v>83</v>
      </c>
      <c r="S26" t="s">
        <v>83</v>
      </c>
      <c r="T26" t="s">
        <v>83</v>
      </c>
      <c r="U26" t="s">
        <v>1074</v>
      </c>
    </row>
    <row r="27" spans="1:21" ht="16.5" customHeight="1" x14ac:dyDescent="0.45">
      <c r="A27" s="10">
        <v>44429519</v>
      </c>
      <c r="B27" s="11" t="str">
        <f t="shared" si="0"/>
        <v>4.442.951-9</v>
      </c>
      <c r="C27" s="11" t="s">
        <v>14</v>
      </c>
      <c r="D27" s="11" t="s">
        <v>890</v>
      </c>
      <c r="E27" s="11" t="s">
        <v>890</v>
      </c>
      <c r="F27" s="11" t="s">
        <v>891</v>
      </c>
      <c r="G27" s="12">
        <v>45994</v>
      </c>
      <c r="H27" s="12">
        <v>46003</v>
      </c>
      <c r="I27" s="48" t="s">
        <v>15</v>
      </c>
      <c r="J27" s="57" t="s">
        <v>28</v>
      </c>
      <c r="K27" s="57" t="s">
        <v>17</v>
      </c>
      <c r="L27" s="35">
        <v>45994</v>
      </c>
      <c r="M27" s="35">
        <v>46003</v>
      </c>
      <c r="N27" s="44">
        <f t="shared" si="2"/>
        <v>9</v>
      </c>
      <c r="O27" s="44"/>
      <c r="P27" t="s">
        <v>83</v>
      </c>
      <c r="Q27" t="s">
        <v>83</v>
      </c>
      <c r="R27" t="s">
        <v>83</v>
      </c>
      <c r="S27" t="s">
        <v>83</v>
      </c>
      <c r="T27" t="s">
        <v>83</v>
      </c>
      <c r="U27" t="s">
        <v>1074</v>
      </c>
    </row>
    <row r="28" spans="1:21" ht="16.5" customHeight="1" x14ac:dyDescent="0.45">
      <c r="A28" s="10">
        <v>111493219</v>
      </c>
      <c r="B28" s="11" t="str">
        <f t="shared" si="0"/>
        <v>11.149.321-9</v>
      </c>
      <c r="C28" s="11" t="s">
        <v>14</v>
      </c>
      <c r="D28" s="11" t="s">
        <v>378</v>
      </c>
      <c r="E28" s="11" t="s">
        <v>509</v>
      </c>
      <c r="F28" s="11" t="s">
        <v>330</v>
      </c>
      <c r="G28" s="12">
        <v>45995</v>
      </c>
      <c r="H28" s="12">
        <v>46004</v>
      </c>
      <c r="I28" s="48" t="s">
        <v>15</v>
      </c>
      <c r="J28" s="57" t="s">
        <v>342</v>
      </c>
      <c r="K28" s="57" t="s">
        <v>16</v>
      </c>
      <c r="L28" s="12">
        <v>45995</v>
      </c>
      <c r="M28" s="12">
        <v>46004</v>
      </c>
      <c r="N28" s="44">
        <f t="shared" si="2"/>
        <v>9</v>
      </c>
      <c r="O28" s="44"/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1074</v>
      </c>
    </row>
    <row r="29" spans="1:21" ht="16.5" customHeight="1" x14ac:dyDescent="0.45">
      <c r="A29" s="10">
        <v>111493219</v>
      </c>
      <c r="B29" s="11" t="str">
        <f t="shared" si="0"/>
        <v>11.149.321-9</v>
      </c>
      <c r="C29" s="11" t="s">
        <v>14</v>
      </c>
      <c r="D29" s="11" t="s">
        <v>378</v>
      </c>
      <c r="E29" s="11" t="s">
        <v>509</v>
      </c>
      <c r="F29" s="11" t="s">
        <v>330</v>
      </c>
      <c r="G29" s="12">
        <v>45995</v>
      </c>
      <c r="H29" s="12">
        <v>46004</v>
      </c>
      <c r="I29" s="48" t="s">
        <v>15</v>
      </c>
      <c r="J29" s="57" t="s">
        <v>342</v>
      </c>
      <c r="K29" s="57" t="s">
        <v>17</v>
      </c>
      <c r="L29" s="12">
        <v>45995</v>
      </c>
      <c r="M29" s="12">
        <v>46004</v>
      </c>
      <c r="N29" s="44">
        <f t="shared" si="2"/>
        <v>9</v>
      </c>
      <c r="O29" s="44"/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1074</v>
      </c>
    </row>
    <row r="30" spans="1:21" s="82" customFormat="1" ht="19.5" customHeight="1" x14ac:dyDescent="0.45">
      <c r="A30" s="74">
        <v>117899934</v>
      </c>
      <c r="B30" s="75" t="str">
        <f t="shared" si="0"/>
        <v>11.789.993-4</v>
      </c>
      <c r="C30" s="75" t="s">
        <v>14</v>
      </c>
      <c r="D30" s="75" t="s">
        <v>172</v>
      </c>
      <c r="E30" s="75" t="s">
        <v>129</v>
      </c>
      <c r="F30" s="75" t="s">
        <v>171</v>
      </c>
      <c r="G30" s="76">
        <v>45996</v>
      </c>
      <c r="H30" s="76">
        <v>46009</v>
      </c>
      <c r="I30" s="77" t="s">
        <v>15</v>
      </c>
      <c r="J30" s="78" t="s">
        <v>60</v>
      </c>
      <c r="K30" s="78" t="s">
        <v>16</v>
      </c>
      <c r="L30" s="79">
        <v>45996</v>
      </c>
      <c r="M30" s="79">
        <v>46009</v>
      </c>
      <c r="N30" s="80">
        <f t="shared" si="2"/>
        <v>13</v>
      </c>
      <c r="O30" s="81" t="s">
        <v>306</v>
      </c>
      <c r="P30" t="s">
        <v>942</v>
      </c>
      <c r="Q30" t="s">
        <v>83</v>
      </c>
      <c r="R30" t="s">
        <v>83</v>
      </c>
      <c r="S30" t="s">
        <v>83</v>
      </c>
      <c r="T30" t="s">
        <v>83</v>
      </c>
      <c r="U30" t="s">
        <v>1074</v>
      </c>
    </row>
    <row r="31" spans="1:21" ht="16.5" customHeight="1" x14ac:dyDescent="0.45">
      <c r="A31" s="10">
        <v>174744440</v>
      </c>
      <c r="B31" s="11" t="str">
        <f t="shared" si="0"/>
        <v>17.474.444-0</v>
      </c>
      <c r="C31" s="11" t="s">
        <v>14</v>
      </c>
      <c r="D31" s="11" t="s">
        <v>892</v>
      </c>
      <c r="E31" s="11" t="s">
        <v>520</v>
      </c>
      <c r="F31" s="11" t="s">
        <v>321</v>
      </c>
      <c r="G31" s="12">
        <v>45998</v>
      </c>
      <c r="H31" s="12">
        <v>46002</v>
      </c>
      <c r="I31" s="48" t="s">
        <v>15</v>
      </c>
      <c r="J31" s="57"/>
      <c r="K31" s="57" t="s">
        <v>16</v>
      </c>
      <c r="L31" s="12">
        <v>45998</v>
      </c>
      <c r="M31" s="12">
        <v>46002</v>
      </c>
      <c r="N31" s="44">
        <f t="shared" si="2"/>
        <v>4</v>
      </c>
      <c r="O31" s="44"/>
      <c r="P31" t="s">
        <v>83</v>
      </c>
      <c r="Q31" t="s">
        <v>83</v>
      </c>
      <c r="R31" t="s">
        <v>83</v>
      </c>
      <c r="S31" t="s">
        <v>83</v>
      </c>
      <c r="T31" t="s">
        <v>83</v>
      </c>
      <c r="U31" t="s">
        <v>1074</v>
      </c>
    </row>
    <row r="32" spans="1:21" ht="16.5" customHeight="1" x14ac:dyDescent="0.45">
      <c r="A32" s="10">
        <v>174744440</v>
      </c>
      <c r="B32" s="11" t="str">
        <f t="shared" si="0"/>
        <v>17.474.444-0</v>
      </c>
      <c r="C32" s="11" t="s">
        <v>14</v>
      </c>
      <c r="D32" s="11" t="s">
        <v>892</v>
      </c>
      <c r="E32" s="11" t="s">
        <v>520</v>
      </c>
      <c r="F32" s="11" t="s">
        <v>321</v>
      </c>
      <c r="G32" s="12">
        <v>45998</v>
      </c>
      <c r="H32" s="12">
        <v>46002</v>
      </c>
      <c r="I32" s="48" t="s">
        <v>15</v>
      </c>
      <c r="J32" s="57"/>
      <c r="K32" s="57" t="s">
        <v>17</v>
      </c>
      <c r="L32" s="12">
        <v>45998</v>
      </c>
      <c r="M32" s="12">
        <v>46002</v>
      </c>
      <c r="N32" s="44">
        <f t="shared" si="2"/>
        <v>4</v>
      </c>
      <c r="O32" s="44"/>
      <c r="P32" t="s">
        <v>83</v>
      </c>
      <c r="Q32" t="s">
        <v>83</v>
      </c>
      <c r="R32" t="s">
        <v>83</v>
      </c>
      <c r="S32" t="s">
        <v>83</v>
      </c>
      <c r="T32" t="s">
        <v>83</v>
      </c>
      <c r="U32" t="s">
        <v>1074</v>
      </c>
    </row>
    <row r="33" spans="1:21" ht="16.5" customHeight="1" x14ac:dyDescent="0.45">
      <c r="A33" s="10">
        <v>174744440</v>
      </c>
      <c r="B33" s="11" t="str">
        <f t="shared" si="0"/>
        <v>17.474.444-0</v>
      </c>
      <c r="C33" s="11" t="s">
        <v>14</v>
      </c>
      <c r="D33" s="11" t="s">
        <v>892</v>
      </c>
      <c r="E33" s="11" t="s">
        <v>520</v>
      </c>
      <c r="F33" s="11" t="s">
        <v>321</v>
      </c>
      <c r="G33" s="12">
        <v>45998</v>
      </c>
      <c r="H33" s="12">
        <v>46002</v>
      </c>
      <c r="I33" s="48" t="s">
        <v>15</v>
      </c>
      <c r="J33" s="57"/>
      <c r="K33" s="58" t="s">
        <v>18</v>
      </c>
      <c r="L33" s="38">
        <v>45998</v>
      </c>
      <c r="M33" s="38">
        <v>45999</v>
      </c>
      <c r="N33" s="44">
        <f t="shared" si="2"/>
        <v>1</v>
      </c>
      <c r="O33" s="44"/>
      <c r="P33" t="s">
        <v>83</v>
      </c>
      <c r="Q33" t="s">
        <v>83</v>
      </c>
      <c r="R33" t="s">
        <v>83</v>
      </c>
      <c r="S33" t="s">
        <v>83</v>
      </c>
      <c r="T33" t="s">
        <v>83</v>
      </c>
      <c r="U33" t="s">
        <v>1074</v>
      </c>
    </row>
    <row r="34" spans="1:21" ht="16.5" customHeight="1" x14ac:dyDescent="0.45">
      <c r="A34" s="10">
        <v>131203675</v>
      </c>
      <c r="B34" s="11" t="str">
        <f t="shared" si="0"/>
        <v>13.120.367-5</v>
      </c>
      <c r="C34" s="11" t="s">
        <v>14</v>
      </c>
      <c r="D34" s="11" t="s">
        <v>893</v>
      </c>
      <c r="E34" s="11" t="s">
        <v>894</v>
      </c>
      <c r="F34" s="11" t="s">
        <v>738</v>
      </c>
      <c r="G34" s="12">
        <v>45996</v>
      </c>
      <c r="H34" s="12">
        <v>46002</v>
      </c>
      <c r="I34" s="48" t="s">
        <v>15</v>
      </c>
      <c r="J34" s="57" t="s">
        <v>48</v>
      </c>
      <c r="K34" s="57" t="s">
        <v>16</v>
      </c>
      <c r="L34" s="12">
        <v>45996</v>
      </c>
      <c r="M34" s="12">
        <v>46002</v>
      </c>
      <c r="N34" s="44">
        <f t="shared" si="2"/>
        <v>6</v>
      </c>
      <c r="O34" s="44"/>
      <c r="P34" t="s">
        <v>83</v>
      </c>
      <c r="Q34" t="s">
        <v>83</v>
      </c>
      <c r="R34" t="s">
        <v>83</v>
      </c>
      <c r="S34" t="s">
        <v>83</v>
      </c>
      <c r="T34" t="s">
        <v>83</v>
      </c>
      <c r="U34" t="s">
        <v>1074</v>
      </c>
    </row>
    <row r="35" spans="1:21" ht="16.5" customHeight="1" x14ac:dyDescent="0.45">
      <c r="A35" s="10">
        <v>99312394</v>
      </c>
      <c r="B35" s="11" t="str">
        <f t="shared" si="0"/>
        <v>9.931.239-4</v>
      </c>
      <c r="C35" s="11" t="s">
        <v>14</v>
      </c>
      <c r="D35" s="11" t="s">
        <v>343</v>
      </c>
      <c r="E35" s="11" t="s">
        <v>36</v>
      </c>
      <c r="F35" s="11" t="s">
        <v>895</v>
      </c>
      <c r="G35" s="12">
        <v>45998</v>
      </c>
      <c r="H35" s="12">
        <v>46001</v>
      </c>
      <c r="I35" s="48" t="s">
        <v>15</v>
      </c>
      <c r="J35" s="57" t="s">
        <v>28</v>
      </c>
      <c r="K35" s="57" t="s">
        <v>16</v>
      </c>
      <c r="L35" s="12">
        <v>45998</v>
      </c>
      <c r="M35" s="12">
        <v>46001</v>
      </c>
      <c r="N35" s="44">
        <f t="shared" si="2"/>
        <v>3</v>
      </c>
      <c r="O35" s="44"/>
      <c r="P35" t="s">
        <v>83</v>
      </c>
      <c r="Q35" t="s">
        <v>83</v>
      </c>
      <c r="R35" t="s">
        <v>83</v>
      </c>
      <c r="S35" t="s">
        <v>83</v>
      </c>
      <c r="T35" t="s">
        <v>83</v>
      </c>
      <c r="U35" t="s">
        <v>1074</v>
      </c>
    </row>
    <row r="36" spans="1:21" ht="16.5" customHeight="1" x14ac:dyDescent="0.45">
      <c r="A36" s="10">
        <v>99312394</v>
      </c>
      <c r="B36" s="11" t="str">
        <f t="shared" si="0"/>
        <v>9.931.239-4</v>
      </c>
      <c r="C36" s="11" t="s">
        <v>14</v>
      </c>
      <c r="D36" s="11" t="s">
        <v>343</v>
      </c>
      <c r="E36" s="11" t="s">
        <v>36</v>
      </c>
      <c r="F36" s="11" t="s">
        <v>895</v>
      </c>
      <c r="G36" s="12">
        <v>45998</v>
      </c>
      <c r="H36" s="12">
        <v>46001</v>
      </c>
      <c r="I36" s="48" t="s">
        <v>15</v>
      </c>
      <c r="J36" s="57" t="s">
        <v>28</v>
      </c>
      <c r="K36" s="57" t="s">
        <v>17</v>
      </c>
      <c r="L36" s="12">
        <v>45998</v>
      </c>
      <c r="M36" s="12">
        <v>46001</v>
      </c>
      <c r="N36" s="44">
        <f t="shared" si="2"/>
        <v>3</v>
      </c>
      <c r="O36" s="44"/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1074</v>
      </c>
    </row>
    <row r="37" spans="1:21" ht="16.5" customHeight="1" x14ac:dyDescent="0.45">
      <c r="A37" s="10">
        <v>168982372</v>
      </c>
      <c r="B37" s="11" t="str">
        <f t="shared" si="0"/>
        <v>16.898.237-2</v>
      </c>
      <c r="C37" s="11" t="s">
        <v>14</v>
      </c>
      <c r="D37" s="11" t="s">
        <v>154</v>
      </c>
      <c r="E37" s="11" t="s">
        <v>183</v>
      </c>
      <c r="F37" s="11" t="s">
        <v>896</v>
      </c>
      <c r="G37" s="12">
        <v>45996</v>
      </c>
      <c r="H37" s="12">
        <v>46001</v>
      </c>
      <c r="I37" s="48" t="s">
        <v>80</v>
      </c>
      <c r="J37" s="48" t="s">
        <v>80</v>
      </c>
      <c r="K37" s="57" t="s">
        <v>16</v>
      </c>
      <c r="L37" s="12">
        <v>45996</v>
      </c>
      <c r="M37" s="12">
        <v>46001</v>
      </c>
      <c r="N37" s="44">
        <f t="shared" si="2"/>
        <v>5</v>
      </c>
      <c r="O37" s="44"/>
      <c r="P37" t="s">
        <v>83</v>
      </c>
      <c r="Q37" t="s">
        <v>83</v>
      </c>
      <c r="R37" t="s">
        <v>83</v>
      </c>
      <c r="S37" t="s">
        <v>83</v>
      </c>
      <c r="T37" t="s">
        <v>83</v>
      </c>
      <c r="U37" t="s">
        <v>1074</v>
      </c>
    </row>
    <row r="38" spans="1:21" ht="16.5" customHeight="1" x14ac:dyDescent="0.45">
      <c r="A38" s="10">
        <v>168982372</v>
      </c>
      <c r="B38" s="11" t="str">
        <f t="shared" si="0"/>
        <v>16.898.237-2</v>
      </c>
      <c r="C38" s="11" t="s">
        <v>14</v>
      </c>
      <c r="D38" s="11" t="s">
        <v>154</v>
      </c>
      <c r="E38" s="11" t="s">
        <v>183</v>
      </c>
      <c r="F38" s="11" t="s">
        <v>896</v>
      </c>
      <c r="G38" s="12">
        <v>45996</v>
      </c>
      <c r="H38" s="12">
        <v>46001</v>
      </c>
      <c r="I38" s="48" t="s">
        <v>80</v>
      </c>
      <c r="J38" s="48" t="s">
        <v>80</v>
      </c>
      <c r="K38" s="57" t="s">
        <v>17</v>
      </c>
      <c r="L38" s="12">
        <v>45996</v>
      </c>
      <c r="M38" s="12">
        <v>46001</v>
      </c>
      <c r="N38" s="44">
        <f t="shared" si="2"/>
        <v>5</v>
      </c>
      <c r="O38" s="44"/>
      <c r="P38" t="s">
        <v>83</v>
      </c>
      <c r="Q38" t="s">
        <v>83</v>
      </c>
      <c r="R38" t="s">
        <v>83</v>
      </c>
      <c r="S38" t="s">
        <v>83</v>
      </c>
      <c r="T38" t="s">
        <v>83</v>
      </c>
      <c r="U38" t="s">
        <v>1074</v>
      </c>
    </row>
    <row r="39" spans="1:21" ht="16.5" customHeight="1" x14ac:dyDescent="0.45">
      <c r="A39" s="10" t="s">
        <v>898</v>
      </c>
      <c r="B39" s="11" t="str">
        <f t="shared" si="0"/>
        <v>5.183.920-k</v>
      </c>
      <c r="C39" s="11" t="s">
        <v>14</v>
      </c>
      <c r="D39" s="11" t="s">
        <v>88</v>
      </c>
      <c r="E39" s="11" t="s">
        <v>159</v>
      </c>
      <c r="F39" s="11" t="s">
        <v>899</v>
      </c>
      <c r="G39" s="12">
        <v>46005</v>
      </c>
      <c r="H39" s="12">
        <v>46008</v>
      </c>
      <c r="I39" s="48" t="s">
        <v>15</v>
      </c>
      <c r="J39" s="57" t="s">
        <v>940</v>
      </c>
      <c r="K39" s="57" t="s">
        <v>16</v>
      </c>
      <c r="L39" s="35">
        <v>46005</v>
      </c>
      <c r="M39" s="12">
        <v>46008</v>
      </c>
      <c r="N39" s="44">
        <f t="shared" si="2"/>
        <v>3</v>
      </c>
      <c r="O39" s="44"/>
      <c r="P39" t="s">
        <v>83</v>
      </c>
      <c r="Q39" t="s">
        <v>83</v>
      </c>
      <c r="R39" t="s">
        <v>83</v>
      </c>
      <c r="S39" t="s">
        <v>83</v>
      </c>
      <c r="T39" t="s">
        <v>83</v>
      </c>
      <c r="U39" t="s">
        <v>1074</v>
      </c>
    </row>
    <row r="40" spans="1:21" ht="16.5" customHeight="1" x14ac:dyDescent="0.45">
      <c r="A40" s="10" t="s">
        <v>898</v>
      </c>
      <c r="B40" s="11" t="str">
        <f t="shared" ref="B40" si="3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5.183.920-k</v>
      </c>
      <c r="C40" s="11" t="s">
        <v>14</v>
      </c>
      <c r="D40" s="11" t="s">
        <v>88</v>
      </c>
      <c r="E40" s="11" t="s">
        <v>159</v>
      </c>
      <c r="F40" s="11" t="s">
        <v>899</v>
      </c>
      <c r="G40" s="12">
        <v>46005</v>
      </c>
      <c r="H40" s="12">
        <v>46008</v>
      </c>
      <c r="I40" s="48" t="s">
        <v>15</v>
      </c>
      <c r="J40" s="57" t="s">
        <v>940</v>
      </c>
      <c r="K40" s="57" t="s">
        <v>17</v>
      </c>
      <c r="L40" s="35">
        <v>46005</v>
      </c>
      <c r="M40" s="12">
        <v>46008</v>
      </c>
      <c r="N40" s="44">
        <f t="shared" si="2"/>
        <v>3</v>
      </c>
      <c r="O40" s="44"/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1074</v>
      </c>
    </row>
    <row r="41" spans="1:21" ht="16.5" customHeight="1" x14ac:dyDescent="0.45">
      <c r="A41" s="10">
        <v>123814231</v>
      </c>
      <c r="B41" s="11" t="str">
        <f t="shared" si="0"/>
        <v>12.381.423-1</v>
      </c>
      <c r="C41" s="11" t="s">
        <v>14</v>
      </c>
      <c r="D41" s="11" t="s">
        <v>900</v>
      </c>
      <c r="E41" s="11" t="s">
        <v>527</v>
      </c>
      <c r="F41" s="11" t="s">
        <v>901</v>
      </c>
      <c r="G41" s="12">
        <v>46006</v>
      </c>
      <c r="H41" s="12">
        <v>46010</v>
      </c>
      <c r="I41" s="48" t="s">
        <v>15</v>
      </c>
      <c r="J41" s="57" t="s">
        <v>60</v>
      </c>
      <c r="K41" s="57" t="s">
        <v>16</v>
      </c>
      <c r="L41" s="35">
        <v>46006</v>
      </c>
      <c r="M41" s="12">
        <v>46010</v>
      </c>
      <c r="N41" s="44">
        <f t="shared" si="2"/>
        <v>4</v>
      </c>
      <c r="O41" s="44"/>
      <c r="P41" t="s">
        <v>83</v>
      </c>
      <c r="Q41" t="s">
        <v>83</v>
      </c>
      <c r="R41" t="s">
        <v>83</v>
      </c>
      <c r="S41" t="s">
        <v>83</v>
      </c>
      <c r="T41" t="s">
        <v>83</v>
      </c>
      <c r="U41" t="s">
        <v>1074</v>
      </c>
    </row>
    <row r="42" spans="1:21" ht="16.5" customHeight="1" x14ac:dyDescent="0.45">
      <c r="A42" s="10">
        <v>123814231</v>
      </c>
      <c r="B42" s="11" t="str">
        <f t="shared" ref="B42" si="4">IF(LEN(A42)=8,MID(A42,1,1)&amp;"."&amp;MID(A42,2,3)&amp;"."&amp;MID(A42,5,3)&amp;"-"&amp;RIGHT(A42,1),IF(LEFT(RIGHT(A42,2),1)="-",MID(A42,1,1)&amp;"."&amp;MID(A42,2,3)&amp;"."&amp;MID(A42,5,3)&amp;"-"&amp;RIGHT(A42,1),MID(A42,1,2)&amp;"."&amp;MID(A42,3,3)&amp;"."&amp;MID(A42,6,3)&amp;"-"&amp;MID(A42,9,1)))</f>
        <v>12.381.423-1</v>
      </c>
      <c r="C42" s="11" t="s">
        <v>14</v>
      </c>
      <c r="D42" s="11" t="s">
        <v>900</v>
      </c>
      <c r="E42" s="11" t="s">
        <v>527</v>
      </c>
      <c r="F42" s="11" t="s">
        <v>901</v>
      </c>
      <c r="G42" s="12">
        <v>46006</v>
      </c>
      <c r="H42" s="12">
        <v>46010</v>
      </c>
      <c r="I42" s="48" t="s">
        <v>15</v>
      </c>
      <c r="J42" s="57" t="s">
        <v>60</v>
      </c>
      <c r="K42" s="57" t="s">
        <v>17</v>
      </c>
      <c r="L42" s="35">
        <v>46006</v>
      </c>
      <c r="M42" s="12">
        <v>46010</v>
      </c>
      <c r="N42" s="44">
        <f t="shared" ref="N42:N49" si="5">+M42-L42</f>
        <v>4</v>
      </c>
      <c r="O42" s="44"/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1074</v>
      </c>
    </row>
    <row r="43" spans="1:21" ht="16.5" customHeight="1" x14ac:dyDescent="0.45">
      <c r="A43" s="10">
        <v>75961677</v>
      </c>
      <c r="B43" s="11" t="str">
        <f t="shared" ref="B43:B48" si="6">IF(LEN(A43)=8,MID(A43,1,1)&amp;"."&amp;MID(A43,2,3)&amp;"."&amp;MID(A43,5,3)&amp;"-"&amp;RIGHT(A43,1),IF(LEFT(RIGHT(A43,2),1)="-",MID(A43,1,1)&amp;"."&amp;MID(A43,2,3)&amp;"."&amp;MID(A43,5,3)&amp;"-"&amp;RIGHT(A43,1),MID(A43,1,2)&amp;"."&amp;MID(A43,3,3)&amp;"."&amp;MID(A43,6,3)&amp;"-"&amp;MID(A43,9,1)))</f>
        <v>7.596.167-7</v>
      </c>
      <c r="C43" s="11" t="s">
        <v>14</v>
      </c>
      <c r="D43" s="11" t="s">
        <v>159</v>
      </c>
      <c r="E43" s="11" t="s">
        <v>113</v>
      </c>
      <c r="F43" s="11" t="s">
        <v>171</v>
      </c>
      <c r="G43" s="12">
        <v>46006</v>
      </c>
      <c r="H43" s="12">
        <v>46014</v>
      </c>
      <c r="I43" s="48" t="s">
        <v>15</v>
      </c>
      <c r="J43" s="57" t="s">
        <v>60</v>
      </c>
      <c r="K43" s="57" t="s">
        <v>16</v>
      </c>
      <c r="L43" s="35">
        <v>46006</v>
      </c>
      <c r="M43" s="12">
        <v>46014</v>
      </c>
      <c r="N43" s="44">
        <f t="shared" si="5"/>
        <v>8</v>
      </c>
      <c r="O43" s="44"/>
      <c r="P43" t="s">
        <v>83</v>
      </c>
      <c r="Q43" t="s">
        <v>83</v>
      </c>
      <c r="R43" t="s">
        <v>83</v>
      </c>
      <c r="S43" t="s">
        <v>83</v>
      </c>
      <c r="T43" t="s">
        <v>83</v>
      </c>
      <c r="U43" t="s">
        <v>1074</v>
      </c>
    </row>
    <row r="44" spans="1:21" ht="16.5" customHeight="1" x14ac:dyDescent="0.45">
      <c r="A44" s="10">
        <v>75961677</v>
      </c>
      <c r="B44" s="11" t="str">
        <f t="shared" ref="B44:B45" si="7">IF(LEN(A44)=8,MID(A44,1,1)&amp;"."&amp;MID(A44,2,3)&amp;"."&amp;MID(A44,5,3)&amp;"-"&amp;RIGHT(A44,1),IF(LEFT(RIGHT(A44,2),1)="-",MID(A44,1,1)&amp;"."&amp;MID(A44,2,3)&amp;"."&amp;MID(A44,5,3)&amp;"-"&amp;RIGHT(A44,1),MID(A44,1,2)&amp;"."&amp;MID(A44,3,3)&amp;"."&amp;MID(A44,6,3)&amp;"-"&amp;MID(A44,9,1)))</f>
        <v>7.596.167-7</v>
      </c>
      <c r="C44" s="11" t="s">
        <v>14</v>
      </c>
      <c r="D44" s="11" t="s">
        <v>159</v>
      </c>
      <c r="E44" s="11" t="s">
        <v>113</v>
      </c>
      <c r="F44" s="11" t="s">
        <v>171</v>
      </c>
      <c r="G44" s="12">
        <v>46006</v>
      </c>
      <c r="H44" s="12">
        <v>46014</v>
      </c>
      <c r="I44" s="48" t="s">
        <v>15</v>
      </c>
      <c r="J44" s="57" t="s">
        <v>60</v>
      </c>
      <c r="K44" s="57" t="s">
        <v>17</v>
      </c>
      <c r="L44" s="35">
        <v>46006</v>
      </c>
      <c r="M44" s="12">
        <v>46014</v>
      </c>
      <c r="N44" s="44">
        <f t="shared" si="5"/>
        <v>8</v>
      </c>
      <c r="O44" s="44"/>
      <c r="P44" t="s">
        <v>83</v>
      </c>
      <c r="Q44" t="s">
        <v>83</v>
      </c>
      <c r="R44" t="s">
        <v>83</v>
      </c>
      <c r="S44" t="s">
        <v>83</v>
      </c>
      <c r="T44" t="s">
        <v>83</v>
      </c>
      <c r="U44" t="s">
        <v>1074</v>
      </c>
    </row>
    <row r="45" spans="1:21" ht="16.5" customHeight="1" x14ac:dyDescent="0.45">
      <c r="A45" s="10">
        <v>75961677</v>
      </c>
      <c r="B45" s="11" t="str">
        <f t="shared" si="7"/>
        <v>7.596.167-7</v>
      </c>
      <c r="C45" s="11" t="s">
        <v>14</v>
      </c>
      <c r="D45" s="11" t="s">
        <v>159</v>
      </c>
      <c r="E45" s="11" t="s">
        <v>113</v>
      </c>
      <c r="F45" s="11" t="s">
        <v>171</v>
      </c>
      <c r="G45" s="12">
        <v>46006</v>
      </c>
      <c r="H45" s="12">
        <v>46014</v>
      </c>
      <c r="I45" s="48" t="s">
        <v>15</v>
      </c>
      <c r="J45" s="57" t="s">
        <v>60</v>
      </c>
      <c r="K45" s="57" t="s">
        <v>18</v>
      </c>
      <c r="L45" s="35">
        <v>46006</v>
      </c>
      <c r="M45" s="12">
        <v>46010</v>
      </c>
      <c r="N45" s="44">
        <f t="shared" si="5"/>
        <v>4</v>
      </c>
      <c r="O45" s="44"/>
      <c r="P45" t="s">
        <v>83</v>
      </c>
      <c r="Q45" t="s">
        <v>83</v>
      </c>
      <c r="R45" t="s">
        <v>83</v>
      </c>
      <c r="S45" t="s">
        <v>83</v>
      </c>
      <c r="T45" t="s">
        <v>83</v>
      </c>
      <c r="U45" t="s">
        <v>1074</v>
      </c>
    </row>
    <row r="46" spans="1:21" ht="16.5" customHeight="1" x14ac:dyDescent="0.45">
      <c r="A46" s="10">
        <v>54431619</v>
      </c>
      <c r="B46" s="11" t="str">
        <f t="shared" si="6"/>
        <v>5.443.161-9</v>
      </c>
      <c r="C46" s="11" t="s">
        <v>14</v>
      </c>
      <c r="D46" s="11" t="s">
        <v>902</v>
      </c>
      <c r="E46" s="11" t="s">
        <v>151</v>
      </c>
      <c r="F46" s="11" t="s">
        <v>334</v>
      </c>
      <c r="G46" s="12">
        <v>46004</v>
      </c>
      <c r="H46" s="12">
        <v>46009</v>
      </c>
      <c r="I46" s="48" t="s">
        <v>15</v>
      </c>
      <c r="J46" s="57" t="s">
        <v>60</v>
      </c>
      <c r="K46" s="57" t="s">
        <v>16</v>
      </c>
      <c r="L46" s="35">
        <v>46004</v>
      </c>
      <c r="M46" s="35">
        <v>46009</v>
      </c>
      <c r="N46" s="44">
        <f t="shared" si="5"/>
        <v>5</v>
      </c>
      <c r="O46" s="44"/>
      <c r="P46" t="s">
        <v>83</v>
      </c>
      <c r="Q46" t="s">
        <v>83</v>
      </c>
      <c r="R46" t="s">
        <v>83</v>
      </c>
      <c r="S46" t="s">
        <v>83</v>
      </c>
      <c r="T46" t="s">
        <v>83</v>
      </c>
      <c r="U46" t="s">
        <v>1074</v>
      </c>
    </row>
    <row r="47" spans="1:21" ht="16.5" customHeight="1" x14ac:dyDescent="0.45">
      <c r="A47" s="10">
        <v>54431619</v>
      </c>
      <c r="B47" s="11" t="str">
        <f t="shared" ref="B47" si="8">IF(LEN(A47)=8,MID(A47,1,1)&amp;"."&amp;MID(A47,2,3)&amp;"."&amp;MID(A47,5,3)&amp;"-"&amp;RIGHT(A47,1),IF(LEFT(RIGHT(A47,2),1)="-",MID(A47,1,1)&amp;"."&amp;MID(A47,2,3)&amp;"."&amp;MID(A47,5,3)&amp;"-"&amp;RIGHT(A47,1),MID(A47,1,2)&amp;"."&amp;MID(A47,3,3)&amp;"."&amp;MID(A47,6,3)&amp;"-"&amp;MID(A47,9,1)))</f>
        <v>5.443.161-9</v>
      </c>
      <c r="C47" s="11" t="s">
        <v>14</v>
      </c>
      <c r="D47" s="11" t="s">
        <v>902</v>
      </c>
      <c r="E47" s="11" t="s">
        <v>151</v>
      </c>
      <c r="F47" s="11" t="s">
        <v>334</v>
      </c>
      <c r="G47" s="12">
        <v>46004</v>
      </c>
      <c r="H47" s="12">
        <v>46009</v>
      </c>
      <c r="I47" s="48" t="s">
        <v>15</v>
      </c>
      <c r="J47" s="57" t="s">
        <v>60</v>
      </c>
      <c r="K47" s="57" t="s">
        <v>17</v>
      </c>
      <c r="L47" s="35">
        <v>46004</v>
      </c>
      <c r="M47" s="35">
        <v>46009</v>
      </c>
      <c r="N47" s="44">
        <f t="shared" si="5"/>
        <v>5</v>
      </c>
      <c r="O47" s="44"/>
      <c r="P47" t="s">
        <v>83</v>
      </c>
      <c r="Q47" t="s">
        <v>83</v>
      </c>
      <c r="R47" t="s">
        <v>83</v>
      </c>
      <c r="S47" t="s">
        <v>83</v>
      </c>
      <c r="T47" t="s">
        <v>83</v>
      </c>
      <c r="U47" t="s">
        <v>1074</v>
      </c>
    </row>
    <row r="48" spans="1:21" ht="16.5" customHeight="1" x14ac:dyDescent="0.45">
      <c r="A48" s="10">
        <v>75545541</v>
      </c>
      <c r="B48" s="11" t="str">
        <f t="shared" si="6"/>
        <v>7.554.554-1</v>
      </c>
      <c r="C48" s="11" t="s">
        <v>14</v>
      </c>
      <c r="D48" s="11" t="s">
        <v>749</v>
      </c>
      <c r="E48" s="11" t="s">
        <v>178</v>
      </c>
      <c r="F48" s="11" t="s">
        <v>239</v>
      </c>
      <c r="G48" s="12">
        <v>46003</v>
      </c>
      <c r="H48" s="12">
        <v>46017</v>
      </c>
      <c r="I48" s="48" t="s">
        <v>15</v>
      </c>
      <c r="J48" s="57" t="s">
        <v>931</v>
      </c>
      <c r="K48" s="57" t="s">
        <v>16</v>
      </c>
      <c r="L48" s="35">
        <v>46003</v>
      </c>
      <c r="M48" s="35">
        <v>46017</v>
      </c>
      <c r="N48" s="44">
        <f t="shared" si="5"/>
        <v>14</v>
      </c>
      <c r="O48" s="44"/>
      <c r="P48" t="s">
        <v>83</v>
      </c>
      <c r="Q48" t="s">
        <v>83</v>
      </c>
      <c r="R48" t="s">
        <v>83</v>
      </c>
      <c r="S48" t="s">
        <v>83</v>
      </c>
      <c r="T48" t="s">
        <v>83</v>
      </c>
      <c r="U48" t="s">
        <v>1074</v>
      </c>
    </row>
    <row r="49" spans="1:21" ht="16.5" customHeight="1" x14ac:dyDescent="0.45">
      <c r="A49" s="10">
        <v>75545541</v>
      </c>
      <c r="B49" s="11" t="str">
        <f t="shared" ref="B49" si="9">IF(LEN(A49)=8,MID(A49,1,1)&amp;"."&amp;MID(A49,2,3)&amp;"."&amp;MID(A49,5,3)&amp;"-"&amp;RIGHT(A49,1),IF(LEFT(RIGHT(A49,2),1)="-",MID(A49,1,1)&amp;"."&amp;MID(A49,2,3)&amp;"."&amp;MID(A49,5,3)&amp;"-"&amp;RIGHT(A49,1),MID(A49,1,2)&amp;"."&amp;MID(A49,3,3)&amp;"."&amp;MID(A49,6,3)&amp;"-"&amp;MID(A49,9,1)))</f>
        <v>7.554.554-1</v>
      </c>
      <c r="C49" s="11" t="s">
        <v>14</v>
      </c>
      <c r="D49" s="11" t="s">
        <v>749</v>
      </c>
      <c r="E49" s="11" t="s">
        <v>178</v>
      </c>
      <c r="F49" s="11" t="s">
        <v>239</v>
      </c>
      <c r="G49" s="12">
        <v>46003</v>
      </c>
      <c r="H49" s="12">
        <v>46017</v>
      </c>
      <c r="I49" s="48" t="s">
        <v>15</v>
      </c>
      <c r="J49" s="57" t="s">
        <v>931</v>
      </c>
      <c r="K49" s="57" t="s">
        <v>17</v>
      </c>
      <c r="L49" s="35">
        <v>46003</v>
      </c>
      <c r="M49" s="35">
        <v>46017</v>
      </c>
      <c r="N49" s="44">
        <f t="shared" si="5"/>
        <v>14</v>
      </c>
      <c r="O49" s="44"/>
      <c r="P49" t="s">
        <v>83</v>
      </c>
      <c r="Q49" t="s">
        <v>83</v>
      </c>
      <c r="R49" t="s">
        <v>83</v>
      </c>
      <c r="S49" t="s">
        <v>83</v>
      </c>
      <c r="T49" t="s">
        <v>83</v>
      </c>
      <c r="U49" t="s">
        <v>1074</v>
      </c>
    </row>
    <row r="50" spans="1:21" ht="16.5" customHeight="1" x14ac:dyDescent="0.45">
      <c r="A50" s="10" t="s">
        <v>903</v>
      </c>
      <c r="B50" s="11" t="str">
        <f t="shared" ref="B50:B72" si="10">IF(LEN(A50)=8,MID(A50,1,1)&amp;"."&amp;MID(A50,2,3)&amp;"."&amp;MID(A50,5,3)&amp;"-"&amp;RIGHT(A50,1),IF(LEFT(RIGHT(A50,2),1)="-",MID(A50,1,1)&amp;"."&amp;MID(A50,2,3)&amp;"."&amp;MID(A50,5,3)&amp;"-"&amp;RIGHT(A50,1),MID(A50,1,2)&amp;"."&amp;MID(A50,3,3)&amp;"."&amp;MID(A50,6,3)&amp;"-"&amp;MID(A50,9,1)))</f>
        <v>5.796.779-K</v>
      </c>
      <c r="C50" s="11" t="s">
        <v>14</v>
      </c>
      <c r="D50" s="11" t="s">
        <v>177</v>
      </c>
      <c r="E50" s="11" t="s">
        <v>229</v>
      </c>
      <c r="F50" s="11" t="s">
        <v>223</v>
      </c>
      <c r="G50" s="12">
        <v>46003</v>
      </c>
      <c r="H50" s="12">
        <v>46007</v>
      </c>
      <c r="I50" s="48" t="s">
        <v>904</v>
      </c>
      <c r="J50" s="57" t="s">
        <v>60</v>
      </c>
      <c r="K50" s="57" t="s">
        <v>16</v>
      </c>
      <c r="L50" s="35">
        <v>46003</v>
      </c>
      <c r="M50" s="35">
        <v>46007</v>
      </c>
      <c r="N50" s="44">
        <f t="shared" ref="N50:N74" si="11">+M50-L50</f>
        <v>4</v>
      </c>
      <c r="O50" s="44"/>
      <c r="P50" t="s">
        <v>83</v>
      </c>
      <c r="Q50" t="s">
        <v>83</v>
      </c>
      <c r="R50" t="s">
        <v>83</v>
      </c>
      <c r="S50" t="s">
        <v>83</v>
      </c>
      <c r="T50" t="s">
        <v>83</v>
      </c>
      <c r="U50" t="s">
        <v>1074</v>
      </c>
    </row>
    <row r="51" spans="1:21" ht="16.5" customHeight="1" x14ac:dyDescent="0.45">
      <c r="A51" s="10" t="s">
        <v>903</v>
      </c>
      <c r="B51" s="11" t="str">
        <f t="shared" ref="B51" si="12">IF(LEN(A51)=8,MID(A51,1,1)&amp;"."&amp;MID(A51,2,3)&amp;"."&amp;MID(A51,5,3)&amp;"-"&amp;RIGHT(A51,1),IF(LEFT(RIGHT(A51,2),1)="-",MID(A51,1,1)&amp;"."&amp;MID(A51,2,3)&amp;"."&amp;MID(A51,5,3)&amp;"-"&amp;RIGHT(A51,1),MID(A51,1,2)&amp;"."&amp;MID(A51,3,3)&amp;"."&amp;MID(A51,6,3)&amp;"-"&amp;MID(A51,9,1)))</f>
        <v>5.796.779-K</v>
      </c>
      <c r="C51" s="11" t="s">
        <v>14</v>
      </c>
      <c r="D51" s="11" t="s">
        <v>177</v>
      </c>
      <c r="E51" s="11" t="s">
        <v>229</v>
      </c>
      <c r="F51" s="11" t="s">
        <v>223</v>
      </c>
      <c r="G51" s="12">
        <v>46003</v>
      </c>
      <c r="H51" s="12">
        <v>46007</v>
      </c>
      <c r="I51" s="48" t="s">
        <v>904</v>
      </c>
      <c r="J51" s="57" t="s">
        <v>60</v>
      </c>
      <c r="K51" s="57" t="s">
        <v>17</v>
      </c>
      <c r="L51" s="35">
        <v>46002</v>
      </c>
      <c r="M51" s="35">
        <v>46007</v>
      </c>
      <c r="N51" s="44">
        <f t="shared" si="11"/>
        <v>5</v>
      </c>
      <c r="O51" s="44"/>
      <c r="P51" t="s">
        <v>83</v>
      </c>
      <c r="Q51" t="s">
        <v>83</v>
      </c>
      <c r="R51" t="s">
        <v>83</v>
      </c>
      <c r="S51" t="s">
        <v>83</v>
      </c>
      <c r="T51" t="s">
        <v>83</v>
      </c>
      <c r="U51" t="s">
        <v>1074</v>
      </c>
    </row>
    <row r="52" spans="1:21" ht="16.5" customHeight="1" x14ac:dyDescent="0.45">
      <c r="A52" s="10">
        <v>98870768</v>
      </c>
      <c r="B52" s="11" t="str">
        <f t="shared" si="10"/>
        <v>9.887.076-8</v>
      </c>
      <c r="C52" s="11" t="s">
        <v>14</v>
      </c>
      <c r="D52" s="11" t="s">
        <v>116</v>
      </c>
      <c r="E52" s="11" t="s">
        <v>905</v>
      </c>
      <c r="F52" s="11" t="s">
        <v>105</v>
      </c>
      <c r="G52" s="12">
        <v>46006</v>
      </c>
      <c r="H52" s="12">
        <v>46009</v>
      </c>
      <c r="I52" s="48" t="s">
        <v>904</v>
      </c>
      <c r="J52" s="57" t="s">
        <v>60</v>
      </c>
      <c r="K52" s="57" t="s">
        <v>906</v>
      </c>
      <c r="L52" s="35">
        <v>46006</v>
      </c>
      <c r="M52" s="12">
        <v>46009</v>
      </c>
      <c r="N52" s="44">
        <f t="shared" si="11"/>
        <v>3</v>
      </c>
      <c r="O52" s="44"/>
      <c r="P52" t="s">
        <v>83</v>
      </c>
      <c r="Q52" t="s">
        <v>83</v>
      </c>
      <c r="R52" t="s">
        <v>83</v>
      </c>
      <c r="S52" t="s">
        <v>83</v>
      </c>
      <c r="T52" t="s">
        <v>83</v>
      </c>
      <c r="U52" t="s">
        <v>1074</v>
      </c>
    </row>
    <row r="53" spans="1:21" ht="16.5" customHeight="1" x14ac:dyDescent="0.45">
      <c r="A53" s="10">
        <v>98870768</v>
      </c>
      <c r="B53" s="11" t="str">
        <f t="shared" ref="B53" si="13">IF(LEN(A53)=8,MID(A53,1,1)&amp;"."&amp;MID(A53,2,3)&amp;"."&amp;MID(A53,5,3)&amp;"-"&amp;RIGHT(A53,1),IF(LEFT(RIGHT(A53,2),1)="-",MID(A53,1,1)&amp;"."&amp;MID(A53,2,3)&amp;"."&amp;MID(A53,5,3)&amp;"-"&amp;RIGHT(A53,1),MID(A53,1,2)&amp;"."&amp;MID(A53,3,3)&amp;"."&amp;MID(A53,6,3)&amp;"-"&amp;MID(A53,9,1)))</f>
        <v>9.887.076-8</v>
      </c>
      <c r="C53" s="11" t="s">
        <v>14</v>
      </c>
      <c r="D53" s="11" t="s">
        <v>116</v>
      </c>
      <c r="E53" s="11" t="s">
        <v>905</v>
      </c>
      <c r="F53" s="11" t="s">
        <v>105</v>
      </c>
      <c r="G53" s="12">
        <v>46006</v>
      </c>
      <c r="H53" s="12">
        <v>46009</v>
      </c>
      <c r="I53" s="48" t="s">
        <v>904</v>
      </c>
      <c r="J53" s="57" t="s">
        <v>60</v>
      </c>
      <c r="K53" s="57" t="s">
        <v>17</v>
      </c>
      <c r="L53" s="35">
        <v>46006</v>
      </c>
      <c r="M53" s="12">
        <v>46009</v>
      </c>
      <c r="N53" s="44">
        <f t="shared" si="11"/>
        <v>3</v>
      </c>
      <c r="O53" s="44"/>
      <c r="P53" t="s">
        <v>83</v>
      </c>
      <c r="Q53" t="s">
        <v>83</v>
      </c>
      <c r="R53" t="s">
        <v>83</v>
      </c>
      <c r="S53" t="s">
        <v>83</v>
      </c>
      <c r="T53" t="s">
        <v>83</v>
      </c>
      <c r="U53" t="s">
        <v>1074</v>
      </c>
    </row>
    <row r="54" spans="1:21" ht="16.5" customHeight="1" x14ac:dyDescent="0.45">
      <c r="A54" s="10">
        <v>184128799</v>
      </c>
      <c r="B54" s="11" t="str">
        <f t="shared" si="10"/>
        <v>18.412.879-9</v>
      </c>
      <c r="C54" s="11" t="s">
        <v>14</v>
      </c>
      <c r="D54" s="11" t="s">
        <v>162</v>
      </c>
      <c r="E54" s="11" t="s">
        <v>451</v>
      </c>
      <c r="F54" s="11" t="s">
        <v>907</v>
      </c>
      <c r="G54" s="12">
        <v>46004</v>
      </c>
      <c r="H54" s="12">
        <v>46015</v>
      </c>
      <c r="I54" s="48" t="s">
        <v>15</v>
      </c>
      <c r="J54" s="57" t="s">
        <v>106</v>
      </c>
      <c r="K54" s="57" t="s">
        <v>16</v>
      </c>
      <c r="L54" s="35">
        <v>46004</v>
      </c>
      <c r="M54" s="35">
        <v>46015</v>
      </c>
      <c r="N54" s="44">
        <f t="shared" si="11"/>
        <v>11</v>
      </c>
      <c r="O54" s="44"/>
      <c r="P54" t="s">
        <v>83</v>
      </c>
      <c r="Q54" t="s">
        <v>83</v>
      </c>
      <c r="R54" t="s">
        <v>83</v>
      </c>
      <c r="S54" t="s">
        <v>83</v>
      </c>
      <c r="T54" t="s">
        <v>83</v>
      </c>
      <c r="U54" t="s">
        <v>1074</v>
      </c>
    </row>
    <row r="55" spans="1:21" ht="16.5" customHeight="1" x14ac:dyDescent="0.45">
      <c r="A55" s="10">
        <v>184128799</v>
      </c>
      <c r="B55" s="11" t="str">
        <f t="shared" ref="B55:B56" si="14">IF(LEN(A55)=8,MID(A55,1,1)&amp;"."&amp;MID(A55,2,3)&amp;"."&amp;MID(A55,5,3)&amp;"-"&amp;RIGHT(A55,1),IF(LEFT(RIGHT(A55,2),1)="-",MID(A55,1,1)&amp;"."&amp;MID(A55,2,3)&amp;"."&amp;MID(A55,5,3)&amp;"-"&amp;RIGHT(A55,1),MID(A55,1,2)&amp;"."&amp;MID(A55,3,3)&amp;"."&amp;MID(A55,6,3)&amp;"-"&amp;MID(A55,9,1)))</f>
        <v>18.412.879-9</v>
      </c>
      <c r="C55" s="11" t="s">
        <v>14</v>
      </c>
      <c r="D55" s="11" t="s">
        <v>162</v>
      </c>
      <c r="E55" s="11" t="s">
        <v>451</v>
      </c>
      <c r="F55" s="11" t="s">
        <v>907</v>
      </c>
      <c r="G55" s="12">
        <v>46004</v>
      </c>
      <c r="H55" s="12">
        <v>46015</v>
      </c>
      <c r="I55" s="48" t="s">
        <v>15</v>
      </c>
      <c r="J55" s="57" t="s">
        <v>106</v>
      </c>
      <c r="K55" s="57" t="s">
        <v>17</v>
      </c>
      <c r="L55" s="35">
        <v>46004</v>
      </c>
      <c r="M55" s="35">
        <v>46015</v>
      </c>
      <c r="N55" s="44">
        <f t="shared" si="11"/>
        <v>11</v>
      </c>
      <c r="O55" s="44"/>
      <c r="P55" t="s">
        <v>83</v>
      </c>
      <c r="Q55" t="s">
        <v>83</v>
      </c>
      <c r="R55" t="s">
        <v>83</v>
      </c>
      <c r="S55" t="s">
        <v>83</v>
      </c>
      <c r="T55" t="s">
        <v>83</v>
      </c>
      <c r="U55" t="s">
        <v>1074</v>
      </c>
    </row>
    <row r="56" spans="1:21" ht="16.5" customHeight="1" x14ac:dyDescent="0.45">
      <c r="A56" s="10">
        <v>184128799</v>
      </c>
      <c r="B56" s="11" t="str">
        <f t="shared" si="14"/>
        <v>18.412.879-9</v>
      </c>
      <c r="C56" s="11" t="s">
        <v>14</v>
      </c>
      <c r="D56" s="11" t="s">
        <v>162</v>
      </c>
      <c r="E56" s="11" t="s">
        <v>451</v>
      </c>
      <c r="F56" s="11" t="s">
        <v>907</v>
      </c>
      <c r="G56" s="12">
        <v>46004</v>
      </c>
      <c r="H56" s="12">
        <v>47111</v>
      </c>
      <c r="I56" s="48" t="s">
        <v>15</v>
      </c>
      <c r="J56" s="57" t="s">
        <v>106</v>
      </c>
      <c r="K56" s="57" t="s">
        <v>18</v>
      </c>
      <c r="L56" s="35">
        <v>46004</v>
      </c>
      <c r="M56" s="35">
        <v>46015</v>
      </c>
      <c r="N56" s="44">
        <f t="shared" si="11"/>
        <v>11</v>
      </c>
      <c r="O56" s="44"/>
      <c r="P56" t="s">
        <v>984</v>
      </c>
      <c r="Q56" t="s">
        <v>83</v>
      </c>
      <c r="R56" t="s">
        <v>83</v>
      </c>
      <c r="S56" t="s">
        <v>83</v>
      </c>
      <c r="T56" t="s">
        <v>83</v>
      </c>
      <c r="U56" t="s">
        <v>1074</v>
      </c>
    </row>
    <row r="57" spans="1:21" ht="16.5" customHeight="1" x14ac:dyDescent="0.45">
      <c r="A57" s="10">
        <v>261942852</v>
      </c>
      <c r="B57" s="11" t="str">
        <f t="shared" si="10"/>
        <v>26.194.285-2</v>
      </c>
      <c r="C57" s="11" t="s">
        <v>14</v>
      </c>
      <c r="D57" s="11" t="s">
        <v>902</v>
      </c>
      <c r="E57" s="11" t="s">
        <v>908</v>
      </c>
      <c r="F57" s="11" t="s">
        <v>909</v>
      </c>
      <c r="G57" s="12">
        <v>46006</v>
      </c>
      <c r="H57" s="12">
        <v>46010</v>
      </c>
      <c r="I57" s="48" t="s">
        <v>15</v>
      </c>
      <c r="J57" s="57" t="s">
        <v>72</v>
      </c>
      <c r="K57" s="57" t="s">
        <v>16</v>
      </c>
      <c r="L57" s="35">
        <v>46007</v>
      </c>
      <c r="M57" s="35">
        <v>46010</v>
      </c>
      <c r="N57" s="44">
        <f t="shared" si="11"/>
        <v>3</v>
      </c>
      <c r="O57" s="44"/>
      <c r="P57" t="s">
        <v>83</v>
      </c>
      <c r="Q57" t="s">
        <v>83</v>
      </c>
      <c r="R57" t="s">
        <v>83</v>
      </c>
      <c r="S57" t="s">
        <v>83</v>
      </c>
      <c r="T57" t="s">
        <v>83</v>
      </c>
      <c r="U57" t="s">
        <v>1074</v>
      </c>
    </row>
    <row r="58" spans="1:21" ht="16.5" customHeight="1" x14ac:dyDescent="0.45">
      <c r="A58" s="10">
        <v>123208056</v>
      </c>
      <c r="B58" s="11" t="str">
        <f t="shared" si="10"/>
        <v>12.320.805-6</v>
      </c>
      <c r="C58" s="11" t="s">
        <v>14</v>
      </c>
      <c r="D58" s="11" t="s">
        <v>36</v>
      </c>
      <c r="E58" s="11" t="s">
        <v>177</v>
      </c>
      <c r="F58" s="11" t="s">
        <v>756</v>
      </c>
      <c r="G58" s="12">
        <v>46003</v>
      </c>
      <c r="H58" s="12">
        <v>46007</v>
      </c>
      <c r="I58" s="48" t="s">
        <v>15</v>
      </c>
      <c r="J58" s="57" t="s">
        <v>106</v>
      </c>
      <c r="K58" s="57" t="s">
        <v>16</v>
      </c>
      <c r="L58" s="35">
        <v>46003</v>
      </c>
      <c r="M58" s="35">
        <v>46007</v>
      </c>
      <c r="N58" s="44">
        <f t="shared" si="11"/>
        <v>4</v>
      </c>
      <c r="O58" s="44"/>
      <c r="P58" t="s">
        <v>83</v>
      </c>
      <c r="Q58" t="s">
        <v>83</v>
      </c>
      <c r="R58" t="s">
        <v>83</v>
      </c>
      <c r="S58" t="s">
        <v>83</v>
      </c>
      <c r="T58" t="s">
        <v>83</v>
      </c>
      <c r="U58" t="s">
        <v>1074</v>
      </c>
    </row>
    <row r="59" spans="1:21" ht="16.5" customHeight="1" x14ac:dyDescent="0.45">
      <c r="A59" s="10">
        <v>123208056</v>
      </c>
      <c r="B59" s="11" t="str">
        <f t="shared" ref="B59:B60" si="15">IF(LEN(A59)=8,MID(A59,1,1)&amp;"."&amp;MID(A59,2,3)&amp;"."&amp;MID(A59,5,3)&amp;"-"&amp;RIGHT(A59,1),IF(LEFT(RIGHT(A59,2),1)="-",MID(A59,1,1)&amp;"."&amp;MID(A59,2,3)&amp;"."&amp;MID(A59,5,3)&amp;"-"&amp;RIGHT(A59,1),MID(A59,1,2)&amp;"."&amp;MID(A59,3,3)&amp;"."&amp;MID(A59,6,3)&amp;"-"&amp;MID(A59,9,1)))</f>
        <v>12.320.805-6</v>
      </c>
      <c r="C59" s="11" t="s">
        <v>14</v>
      </c>
      <c r="D59" s="11" t="s">
        <v>36</v>
      </c>
      <c r="E59" s="11" t="s">
        <v>177</v>
      </c>
      <c r="F59" s="11" t="s">
        <v>756</v>
      </c>
      <c r="G59" s="12">
        <v>46003</v>
      </c>
      <c r="H59" s="12">
        <v>46007</v>
      </c>
      <c r="I59" s="48" t="s">
        <v>15</v>
      </c>
      <c r="J59" s="57" t="s">
        <v>106</v>
      </c>
      <c r="K59" s="57" t="s">
        <v>17</v>
      </c>
      <c r="L59" s="35">
        <v>46003</v>
      </c>
      <c r="M59" s="35">
        <v>46007</v>
      </c>
      <c r="N59" s="44">
        <f t="shared" si="11"/>
        <v>4</v>
      </c>
      <c r="O59" s="44"/>
      <c r="P59" t="s">
        <v>83</v>
      </c>
      <c r="Q59" t="s">
        <v>83</v>
      </c>
      <c r="R59" t="s">
        <v>83</v>
      </c>
      <c r="S59" t="s">
        <v>83</v>
      </c>
      <c r="T59" t="s">
        <v>83</v>
      </c>
      <c r="U59" t="s">
        <v>1074</v>
      </c>
    </row>
    <row r="60" spans="1:21" ht="16.5" customHeight="1" x14ac:dyDescent="0.45">
      <c r="A60" s="10">
        <v>123208056</v>
      </c>
      <c r="B60" s="11" t="str">
        <f t="shared" si="15"/>
        <v>12.320.805-6</v>
      </c>
      <c r="C60" s="11" t="s">
        <v>14</v>
      </c>
      <c r="D60" s="11" t="s">
        <v>36</v>
      </c>
      <c r="E60" s="11" t="s">
        <v>177</v>
      </c>
      <c r="F60" s="11" t="s">
        <v>756</v>
      </c>
      <c r="G60" s="12">
        <v>46003</v>
      </c>
      <c r="H60" s="12">
        <v>46007</v>
      </c>
      <c r="I60" s="48" t="s">
        <v>15</v>
      </c>
      <c r="J60" s="57" t="s">
        <v>106</v>
      </c>
      <c r="K60" s="57" t="s">
        <v>18</v>
      </c>
      <c r="L60" s="35">
        <v>46003</v>
      </c>
      <c r="M60" s="35">
        <v>46007</v>
      </c>
      <c r="N60" s="44">
        <f t="shared" si="11"/>
        <v>4</v>
      </c>
      <c r="O60" s="44"/>
      <c r="P60" t="s">
        <v>83</v>
      </c>
      <c r="Q60" t="s">
        <v>83</v>
      </c>
      <c r="R60" t="s">
        <v>83</v>
      </c>
      <c r="S60" t="s">
        <v>83</v>
      </c>
      <c r="T60" t="s">
        <v>83</v>
      </c>
      <c r="U60" t="s">
        <v>1074</v>
      </c>
    </row>
    <row r="61" spans="1:21" ht="16.5" customHeight="1" x14ac:dyDescent="0.45">
      <c r="A61" s="10">
        <v>76802882</v>
      </c>
      <c r="B61" s="11" t="str">
        <f t="shared" si="10"/>
        <v>7.680.288-2</v>
      </c>
      <c r="C61" s="11" t="s">
        <v>14</v>
      </c>
      <c r="D61" s="11" t="s">
        <v>289</v>
      </c>
      <c r="E61" s="11" t="s">
        <v>151</v>
      </c>
      <c r="F61" s="11" t="s">
        <v>99</v>
      </c>
      <c r="G61" s="12">
        <v>46009</v>
      </c>
      <c r="H61" s="12">
        <v>46014</v>
      </c>
      <c r="I61" s="48" t="s">
        <v>15</v>
      </c>
      <c r="J61" s="57" t="s">
        <v>42</v>
      </c>
      <c r="K61" s="57" t="s">
        <v>16</v>
      </c>
      <c r="L61" s="35">
        <v>46009</v>
      </c>
      <c r="M61" s="12">
        <v>46014</v>
      </c>
      <c r="N61" s="44">
        <f t="shared" si="11"/>
        <v>5</v>
      </c>
      <c r="O61" s="44"/>
      <c r="P61" t="s">
        <v>83</v>
      </c>
      <c r="Q61" t="s">
        <v>83</v>
      </c>
      <c r="R61" t="s">
        <v>83</v>
      </c>
      <c r="S61" t="s">
        <v>83</v>
      </c>
      <c r="T61" t="s">
        <v>83</v>
      </c>
      <c r="U61" t="s">
        <v>1074</v>
      </c>
    </row>
    <row r="62" spans="1:21" ht="16.5" customHeight="1" x14ac:dyDescent="0.45">
      <c r="A62" s="10">
        <v>76802882</v>
      </c>
      <c r="B62" s="11" t="str">
        <f t="shared" ref="B62" si="16">IF(LEN(A62)=8,MID(A62,1,1)&amp;"."&amp;MID(A62,2,3)&amp;"."&amp;MID(A62,5,3)&amp;"-"&amp;RIGHT(A62,1),IF(LEFT(RIGHT(A62,2),1)="-",MID(A62,1,1)&amp;"."&amp;MID(A62,2,3)&amp;"."&amp;MID(A62,5,3)&amp;"-"&amp;RIGHT(A62,1),MID(A62,1,2)&amp;"."&amp;MID(A62,3,3)&amp;"."&amp;MID(A62,6,3)&amp;"-"&amp;MID(A62,9,1)))</f>
        <v>7.680.288-2</v>
      </c>
      <c r="C62" s="11" t="s">
        <v>14</v>
      </c>
      <c r="D62" s="11" t="s">
        <v>289</v>
      </c>
      <c r="E62" s="11" t="s">
        <v>151</v>
      </c>
      <c r="F62" s="11" t="s">
        <v>99</v>
      </c>
      <c r="G62" s="12">
        <v>46009</v>
      </c>
      <c r="H62" s="12">
        <v>46014</v>
      </c>
      <c r="I62" s="48" t="s">
        <v>15</v>
      </c>
      <c r="J62" s="57" t="s">
        <v>42</v>
      </c>
      <c r="K62" s="57" t="s">
        <v>17</v>
      </c>
      <c r="L62" s="35">
        <v>46009</v>
      </c>
      <c r="M62" s="12">
        <v>46014</v>
      </c>
      <c r="N62" s="44">
        <f t="shared" si="11"/>
        <v>5</v>
      </c>
      <c r="O62" s="44"/>
      <c r="P62" t="s">
        <v>83</v>
      </c>
      <c r="Q62" t="s">
        <v>83</v>
      </c>
      <c r="R62" t="s">
        <v>83</v>
      </c>
      <c r="S62" t="s">
        <v>83</v>
      </c>
      <c r="T62" t="s">
        <v>83</v>
      </c>
      <c r="U62" t="s">
        <v>1074</v>
      </c>
    </row>
    <row r="63" spans="1:21" ht="16.5" customHeight="1" x14ac:dyDescent="0.45">
      <c r="A63" s="10">
        <v>195112975</v>
      </c>
      <c r="B63" s="11" t="str">
        <f t="shared" ref="B63:B71" si="17">IF(LEN(A63)=8,MID(A63,1,1)&amp;"."&amp;MID(A63,2,3)&amp;"."&amp;MID(A63,5,3)&amp;"-"&amp;RIGHT(A63,1),IF(LEFT(RIGHT(A63,2),1)="-",MID(A63,1,1)&amp;"."&amp;MID(A63,2,3)&amp;"."&amp;MID(A63,5,3)&amp;"-"&amp;RIGHT(A63,1),MID(A63,1,2)&amp;"."&amp;MID(A63,3,3)&amp;"."&amp;MID(A63,6,3)&amp;"-"&amp;MID(A63,9,1)))</f>
        <v>19.511.297-5</v>
      </c>
      <c r="C63" s="11" t="s">
        <v>14</v>
      </c>
      <c r="D63" s="11" t="s">
        <v>582</v>
      </c>
      <c r="E63" s="11" t="s">
        <v>244</v>
      </c>
      <c r="F63" s="11" t="s">
        <v>615</v>
      </c>
      <c r="G63" s="12">
        <v>46009</v>
      </c>
      <c r="H63" s="12">
        <v>46017</v>
      </c>
      <c r="I63" s="48" t="s">
        <v>15</v>
      </c>
      <c r="J63" s="57" t="s">
        <v>60</v>
      </c>
      <c r="K63" s="57" t="s">
        <v>16</v>
      </c>
      <c r="L63" s="35">
        <v>46009</v>
      </c>
      <c r="M63" s="35">
        <v>46017</v>
      </c>
      <c r="N63" s="44">
        <f t="shared" ref="N63:N71" si="18">+M63-L63</f>
        <v>8</v>
      </c>
      <c r="O63" s="44"/>
      <c r="P63" t="s">
        <v>83</v>
      </c>
      <c r="Q63" t="s">
        <v>83</v>
      </c>
      <c r="R63" t="s">
        <v>83</v>
      </c>
      <c r="S63" t="s">
        <v>83</v>
      </c>
      <c r="T63" t="s">
        <v>83</v>
      </c>
      <c r="U63" t="s">
        <v>1074</v>
      </c>
    </row>
    <row r="64" spans="1:21" ht="16.5" customHeight="1" x14ac:dyDescent="0.45">
      <c r="A64" s="10">
        <v>195112975</v>
      </c>
      <c r="B64" s="11" t="str">
        <f t="shared" ref="B64:B65" si="19">IF(LEN(A64)=8,MID(A64,1,1)&amp;"."&amp;MID(A64,2,3)&amp;"."&amp;MID(A64,5,3)&amp;"-"&amp;RIGHT(A64,1),IF(LEFT(RIGHT(A64,2),1)="-",MID(A64,1,1)&amp;"."&amp;MID(A64,2,3)&amp;"."&amp;MID(A64,5,3)&amp;"-"&amp;RIGHT(A64,1),MID(A64,1,2)&amp;"."&amp;MID(A64,3,3)&amp;"."&amp;MID(A64,6,3)&amp;"-"&amp;MID(A64,9,1)))</f>
        <v>19.511.297-5</v>
      </c>
      <c r="C64" s="11" t="s">
        <v>14</v>
      </c>
      <c r="D64" s="11" t="s">
        <v>582</v>
      </c>
      <c r="E64" s="11" t="s">
        <v>244</v>
      </c>
      <c r="F64" s="11" t="s">
        <v>615</v>
      </c>
      <c r="G64" s="12">
        <v>46009</v>
      </c>
      <c r="H64" s="12">
        <v>46017</v>
      </c>
      <c r="I64" s="48" t="s">
        <v>15</v>
      </c>
      <c r="J64" s="57" t="s">
        <v>60</v>
      </c>
      <c r="K64" s="57" t="s">
        <v>17</v>
      </c>
      <c r="L64" s="35">
        <v>46009</v>
      </c>
      <c r="M64" s="35">
        <v>46015</v>
      </c>
      <c r="N64" s="44">
        <f t="shared" si="18"/>
        <v>6</v>
      </c>
      <c r="O64" s="44"/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1074</v>
      </c>
    </row>
    <row r="65" spans="1:21" ht="16.5" customHeight="1" x14ac:dyDescent="0.45">
      <c r="A65" s="10">
        <v>155180358</v>
      </c>
      <c r="B65" s="11" t="str">
        <f t="shared" si="19"/>
        <v>15.518.035-8</v>
      </c>
      <c r="C65" s="11" t="s">
        <v>14</v>
      </c>
      <c r="D65" s="11" t="s">
        <v>910</v>
      </c>
      <c r="E65" s="11" t="s">
        <v>911</v>
      </c>
      <c r="F65" s="11" t="s">
        <v>576</v>
      </c>
      <c r="G65" s="12">
        <v>46008</v>
      </c>
      <c r="H65" s="12">
        <v>46015</v>
      </c>
      <c r="I65" s="48" t="s">
        <v>904</v>
      </c>
      <c r="J65" s="57" t="s">
        <v>60</v>
      </c>
      <c r="K65" s="57" t="s">
        <v>16</v>
      </c>
      <c r="L65" s="35">
        <v>46008</v>
      </c>
      <c r="M65" s="12">
        <v>46015</v>
      </c>
      <c r="N65" s="44">
        <f t="shared" si="18"/>
        <v>7</v>
      </c>
      <c r="O65" s="44"/>
      <c r="P65" t="s">
        <v>83</v>
      </c>
      <c r="Q65" t="s">
        <v>83</v>
      </c>
      <c r="R65" t="s">
        <v>83</v>
      </c>
      <c r="S65" t="s">
        <v>83</v>
      </c>
      <c r="T65" t="s">
        <v>83</v>
      </c>
      <c r="U65" t="s">
        <v>1074</v>
      </c>
    </row>
    <row r="66" spans="1:21" ht="16.5" customHeight="1" x14ac:dyDescent="0.45">
      <c r="A66" s="10">
        <v>155180358</v>
      </c>
      <c r="B66" s="11" t="str">
        <f t="shared" ref="B66:B67" si="20">IF(LEN(A66)=8,MID(A66,1,1)&amp;"."&amp;MID(A66,2,3)&amp;"."&amp;MID(A66,5,3)&amp;"-"&amp;RIGHT(A66,1),IF(LEFT(RIGHT(A66,2),1)="-",MID(A66,1,1)&amp;"."&amp;MID(A66,2,3)&amp;"."&amp;MID(A66,5,3)&amp;"-"&amp;RIGHT(A66,1),MID(A66,1,2)&amp;"."&amp;MID(A66,3,3)&amp;"."&amp;MID(A66,6,3)&amp;"-"&amp;MID(A66,9,1)))</f>
        <v>15.518.035-8</v>
      </c>
      <c r="C66" s="11" t="s">
        <v>14</v>
      </c>
      <c r="D66" s="11" t="s">
        <v>910</v>
      </c>
      <c r="E66" s="11" t="s">
        <v>911</v>
      </c>
      <c r="F66" s="11" t="s">
        <v>576</v>
      </c>
      <c r="G66" s="12">
        <v>46008</v>
      </c>
      <c r="H66" s="12">
        <v>46015</v>
      </c>
      <c r="I66" s="48" t="s">
        <v>904</v>
      </c>
      <c r="J66" s="57" t="s">
        <v>60</v>
      </c>
      <c r="K66" s="57" t="s">
        <v>17</v>
      </c>
      <c r="L66" s="35">
        <v>46008</v>
      </c>
      <c r="M66" s="35">
        <v>46011</v>
      </c>
      <c r="N66" s="44">
        <f t="shared" si="18"/>
        <v>3</v>
      </c>
      <c r="O66" s="44"/>
      <c r="P66" t="s">
        <v>83</v>
      </c>
      <c r="Q66" t="s">
        <v>83</v>
      </c>
      <c r="R66" t="s">
        <v>83</v>
      </c>
      <c r="S66" t="s">
        <v>83</v>
      </c>
      <c r="T66" t="s">
        <v>83</v>
      </c>
      <c r="U66" t="s">
        <v>1074</v>
      </c>
    </row>
    <row r="67" spans="1:21" ht="16.5" customHeight="1" x14ac:dyDescent="0.45">
      <c r="A67" s="10" t="s">
        <v>879</v>
      </c>
      <c r="B67" s="11" t="str">
        <f t="shared" si="20"/>
        <v>10.209.929-k</v>
      </c>
      <c r="C67" s="11" t="s">
        <v>14</v>
      </c>
      <c r="D67" s="11" t="s">
        <v>399</v>
      </c>
      <c r="E67" s="11" t="s">
        <v>426</v>
      </c>
      <c r="F67" s="11" t="s">
        <v>367</v>
      </c>
      <c r="G67" s="12">
        <v>45984</v>
      </c>
      <c r="H67" s="12">
        <v>46013</v>
      </c>
      <c r="I67" s="48" t="s">
        <v>15</v>
      </c>
      <c r="J67" s="57" t="s">
        <v>60</v>
      </c>
      <c r="K67" s="57" t="s">
        <v>16</v>
      </c>
      <c r="L67" s="35">
        <v>46008</v>
      </c>
      <c r="M67" s="35">
        <v>46013</v>
      </c>
      <c r="N67" s="44">
        <f t="shared" si="18"/>
        <v>5</v>
      </c>
      <c r="O67" s="44"/>
      <c r="P67" t="s">
        <v>83</v>
      </c>
      <c r="Q67" t="s">
        <v>83</v>
      </c>
      <c r="R67" t="s">
        <v>83</v>
      </c>
      <c r="S67" t="s">
        <v>83</v>
      </c>
      <c r="T67" t="s">
        <v>83</v>
      </c>
      <c r="U67" t="s">
        <v>1074</v>
      </c>
    </row>
    <row r="68" spans="1:21" ht="16.5" customHeight="1" x14ac:dyDescent="0.45">
      <c r="A68" s="10">
        <v>133810005</v>
      </c>
      <c r="B68" s="11" t="str">
        <f t="shared" si="17"/>
        <v>13.381.000-5</v>
      </c>
      <c r="C68" s="11" t="s">
        <v>14</v>
      </c>
      <c r="D68" s="11" t="s">
        <v>708</v>
      </c>
      <c r="E68" s="11" t="s">
        <v>237</v>
      </c>
      <c r="F68" s="11" t="s">
        <v>912</v>
      </c>
      <c r="G68" s="12">
        <v>46008</v>
      </c>
      <c r="H68" s="12">
        <v>46014</v>
      </c>
      <c r="I68" s="48" t="s">
        <v>15</v>
      </c>
      <c r="J68" s="57" t="s">
        <v>913</v>
      </c>
      <c r="K68" s="57" t="s">
        <v>16</v>
      </c>
      <c r="L68" s="35">
        <v>46008</v>
      </c>
      <c r="M68" s="35">
        <v>46014</v>
      </c>
      <c r="N68" s="44">
        <f t="shared" si="18"/>
        <v>6</v>
      </c>
      <c r="O68" s="44"/>
      <c r="P68" t="s">
        <v>83</v>
      </c>
      <c r="Q68" t="s">
        <v>83</v>
      </c>
      <c r="R68" t="s">
        <v>83</v>
      </c>
      <c r="S68" t="s">
        <v>83</v>
      </c>
      <c r="T68" t="s">
        <v>83</v>
      </c>
      <c r="U68" t="s">
        <v>1074</v>
      </c>
    </row>
    <row r="69" spans="1:21" ht="16.5" customHeight="1" x14ac:dyDescent="0.45">
      <c r="A69" s="10">
        <v>133810005</v>
      </c>
      <c r="B69" s="11" t="str">
        <f t="shared" ref="B69" si="21">IF(LEN(A69)=8,MID(A69,1,1)&amp;"."&amp;MID(A69,2,3)&amp;"."&amp;MID(A69,5,3)&amp;"-"&amp;RIGHT(A69,1),IF(LEFT(RIGHT(A69,2),1)="-",MID(A69,1,1)&amp;"."&amp;MID(A69,2,3)&amp;"."&amp;MID(A69,5,3)&amp;"-"&amp;RIGHT(A69,1),MID(A69,1,2)&amp;"."&amp;MID(A69,3,3)&amp;"."&amp;MID(A69,6,3)&amp;"-"&amp;MID(A69,9,1)))</f>
        <v>13.381.000-5</v>
      </c>
      <c r="C69" s="11" t="s">
        <v>14</v>
      </c>
      <c r="D69" s="11" t="s">
        <v>708</v>
      </c>
      <c r="E69" s="11" t="s">
        <v>237</v>
      </c>
      <c r="F69" s="11" t="s">
        <v>912</v>
      </c>
      <c r="G69" s="12">
        <v>46008</v>
      </c>
      <c r="H69" s="12">
        <v>46014</v>
      </c>
      <c r="I69" s="48" t="s">
        <v>15</v>
      </c>
      <c r="J69" s="57" t="s">
        <v>913</v>
      </c>
      <c r="K69" s="57" t="s">
        <v>17</v>
      </c>
      <c r="L69" s="35">
        <v>46008</v>
      </c>
      <c r="M69" s="35">
        <v>46014</v>
      </c>
      <c r="N69" s="44">
        <f t="shared" si="18"/>
        <v>6</v>
      </c>
      <c r="O69" s="44"/>
      <c r="P69" t="s">
        <v>83</v>
      </c>
      <c r="Q69" t="s">
        <v>83</v>
      </c>
      <c r="R69" t="s">
        <v>83</v>
      </c>
      <c r="S69" t="s">
        <v>83</v>
      </c>
      <c r="T69" t="s">
        <v>83</v>
      </c>
      <c r="U69" t="s">
        <v>1074</v>
      </c>
    </row>
    <row r="70" spans="1:21" ht="16.5" customHeight="1" x14ac:dyDescent="0.45">
      <c r="A70" s="73">
        <v>76802882</v>
      </c>
      <c r="B70" s="11" t="str">
        <f t="shared" si="17"/>
        <v>7.680.288-2</v>
      </c>
      <c r="C70" s="11" t="s">
        <v>14</v>
      </c>
      <c r="D70" s="11" t="s">
        <v>289</v>
      </c>
      <c r="E70" s="11" t="s">
        <v>151</v>
      </c>
      <c r="F70" s="11" t="s">
        <v>99</v>
      </c>
      <c r="G70" s="12">
        <v>46009</v>
      </c>
      <c r="H70" s="12">
        <v>46014</v>
      </c>
      <c r="I70" s="48" t="s">
        <v>15</v>
      </c>
      <c r="J70" s="57" t="s">
        <v>42</v>
      </c>
      <c r="K70" s="57" t="s">
        <v>16</v>
      </c>
      <c r="L70" s="35">
        <v>46009</v>
      </c>
      <c r="M70" s="35">
        <v>46014</v>
      </c>
      <c r="N70" s="44">
        <f t="shared" si="18"/>
        <v>5</v>
      </c>
      <c r="O70" s="44"/>
      <c r="P70" t="s">
        <v>83</v>
      </c>
      <c r="Q70" t="s">
        <v>83</v>
      </c>
      <c r="R70" t="s">
        <v>83</v>
      </c>
      <c r="S70" t="s">
        <v>83</v>
      </c>
      <c r="T70" t="s">
        <v>83</v>
      </c>
      <c r="U70" t="s">
        <v>1074</v>
      </c>
    </row>
    <row r="71" spans="1:21" ht="16.5" customHeight="1" x14ac:dyDescent="0.45">
      <c r="A71" s="10">
        <v>172246206</v>
      </c>
      <c r="B71" s="11" t="str">
        <f t="shared" si="17"/>
        <v>17.224.620-6</v>
      </c>
      <c r="C71" s="11" t="s">
        <v>14</v>
      </c>
      <c r="D71" s="11" t="s">
        <v>915</v>
      </c>
      <c r="E71" s="11" t="s">
        <v>916</v>
      </c>
      <c r="F71" s="11" t="s">
        <v>917</v>
      </c>
      <c r="G71" s="12">
        <v>46010</v>
      </c>
      <c r="H71" s="12">
        <v>46014</v>
      </c>
      <c r="I71" s="48" t="s">
        <v>15</v>
      </c>
      <c r="J71" s="57" t="s">
        <v>42</v>
      </c>
      <c r="K71" s="57" t="s">
        <v>16</v>
      </c>
      <c r="L71" s="35">
        <v>46010</v>
      </c>
      <c r="M71" s="35">
        <v>46014</v>
      </c>
      <c r="N71" s="44">
        <f t="shared" si="18"/>
        <v>4</v>
      </c>
      <c r="O71" s="44"/>
      <c r="P71" t="s">
        <v>83</v>
      </c>
      <c r="Q71" t="s">
        <v>83</v>
      </c>
      <c r="R71" t="s">
        <v>83</v>
      </c>
      <c r="S71" t="s">
        <v>83</v>
      </c>
      <c r="T71" t="s">
        <v>83</v>
      </c>
      <c r="U71" t="s">
        <v>1074</v>
      </c>
    </row>
    <row r="72" spans="1:21" ht="16.5" customHeight="1" x14ac:dyDescent="0.45">
      <c r="A72" s="10">
        <v>114506451</v>
      </c>
      <c r="B72" s="11" t="str">
        <f t="shared" si="10"/>
        <v>11.450.645-1</v>
      </c>
      <c r="C72" s="11" t="s">
        <v>14</v>
      </c>
      <c r="D72" s="11" t="s">
        <v>316</v>
      </c>
      <c r="E72" s="11" t="s">
        <v>365</v>
      </c>
      <c r="F72" s="11" t="s">
        <v>918</v>
      </c>
      <c r="G72" s="12">
        <v>46012</v>
      </c>
      <c r="H72" s="12"/>
      <c r="I72" s="48" t="s">
        <v>15</v>
      </c>
      <c r="J72" s="57" t="s">
        <v>206</v>
      </c>
      <c r="K72" s="57" t="s">
        <v>16</v>
      </c>
      <c r="L72" s="35">
        <v>46012</v>
      </c>
      <c r="M72" s="35">
        <v>46022</v>
      </c>
      <c r="N72" s="44">
        <f t="shared" si="11"/>
        <v>10</v>
      </c>
      <c r="O72" s="44"/>
      <c r="P72" t="s">
        <v>83</v>
      </c>
      <c r="Q72" t="s">
        <v>83</v>
      </c>
      <c r="R72" t="s">
        <v>83</v>
      </c>
      <c r="S72" t="s">
        <v>83</v>
      </c>
      <c r="T72" t="s">
        <v>83</v>
      </c>
      <c r="U72" t="s">
        <v>1074</v>
      </c>
    </row>
    <row r="73" spans="1:21" ht="16.5" customHeight="1" x14ac:dyDescent="0.45">
      <c r="A73" s="10">
        <v>114506451</v>
      </c>
      <c r="B73" s="11" t="str">
        <f t="shared" ref="B73:B74" si="22">IF(LEN(A73)=8,MID(A73,1,1)&amp;"."&amp;MID(A73,2,3)&amp;"."&amp;MID(A73,5,3)&amp;"-"&amp;RIGHT(A73,1),IF(LEFT(RIGHT(A73,2),1)="-",MID(A73,1,1)&amp;"."&amp;MID(A73,2,3)&amp;"."&amp;MID(A73,5,3)&amp;"-"&amp;RIGHT(A73,1),MID(A73,1,2)&amp;"."&amp;MID(A73,3,3)&amp;"."&amp;MID(A73,6,3)&amp;"-"&amp;MID(A73,9,1)))</f>
        <v>11.450.645-1</v>
      </c>
      <c r="C73" s="11" t="s">
        <v>14</v>
      </c>
      <c r="D73" s="11" t="s">
        <v>316</v>
      </c>
      <c r="E73" s="11" t="s">
        <v>365</v>
      </c>
      <c r="F73" s="11" t="s">
        <v>918</v>
      </c>
      <c r="G73" s="12">
        <v>46012</v>
      </c>
      <c r="H73" s="12"/>
      <c r="I73" s="48" t="s">
        <v>15</v>
      </c>
      <c r="J73" s="57" t="s">
        <v>206</v>
      </c>
      <c r="K73" s="57" t="s">
        <v>17</v>
      </c>
      <c r="L73" s="35">
        <v>46012</v>
      </c>
      <c r="M73" s="35">
        <v>46022</v>
      </c>
      <c r="N73" s="44">
        <f t="shared" si="11"/>
        <v>10</v>
      </c>
      <c r="O73" s="44"/>
      <c r="P73" t="s">
        <v>83</v>
      </c>
      <c r="Q73" t="s">
        <v>83</v>
      </c>
      <c r="R73" t="s">
        <v>83</v>
      </c>
      <c r="S73" t="s">
        <v>83</v>
      </c>
      <c r="T73" t="s">
        <v>83</v>
      </c>
      <c r="U73" t="s">
        <v>1074</v>
      </c>
    </row>
    <row r="74" spans="1:21" ht="16.5" customHeight="1" x14ac:dyDescent="0.45">
      <c r="A74" s="10">
        <v>114506451</v>
      </c>
      <c r="B74" s="11" t="str">
        <f t="shared" si="22"/>
        <v>11.450.645-1</v>
      </c>
      <c r="C74" s="11" t="s">
        <v>14</v>
      </c>
      <c r="D74" s="11" t="s">
        <v>316</v>
      </c>
      <c r="E74" s="11" t="s">
        <v>365</v>
      </c>
      <c r="F74" s="11" t="s">
        <v>918</v>
      </c>
      <c r="G74" s="12">
        <v>46012</v>
      </c>
      <c r="H74" s="12"/>
      <c r="I74" s="48" t="s">
        <v>15</v>
      </c>
      <c r="J74" s="57" t="s">
        <v>206</v>
      </c>
      <c r="K74" s="57" t="s">
        <v>18</v>
      </c>
      <c r="L74" s="35">
        <v>46012</v>
      </c>
      <c r="M74" s="35">
        <v>46022</v>
      </c>
      <c r="N74" s="44">
        <f t="shared" si="11"/>
        <v>10</v>
      </c>
      <c r="O74" s="44"/>
      <c r="P74" t="s">
        <v>984</v>
      </c>
      <c r="Q74" t="s">
        <v>83</v>
      </c>
      <c r="R74" t="s">
        <v>83</v>
      </c>
      <c r="S74" t="s">
        <v>83</v>
      </c>
      <c r="T74" t="s">
        <v>83</v>
      </c>
      <c r="U74" t="s">
        <v>1074</v>
      </c>
    </row>
    <row r="75" spans="1:21" ht="16.5" customHeight="1" x14ac:dyDescent="0.45">
      <c r="A75" s="10">
        <v>62453656</v>
      </c>
      <c r="B75" s="11" t="str">
        <f t="shared" ref="B75:B82" si="23">IF(LEN(A75)=8,MID(A75,1,1)&amp;"."&amp;MID(A75,2,3)&amp;"."&amp;MID(A75,5,3)&amp;"-"&amp;RIGHT(A75,1),IF(LEFT(RIGHT(A75,2),1)="-",MID(A75,1,1)&amp;"."&amp;MID(A75,2,3)&amp;"."&amp;MID(A75,5,3)&amp;"-"&amp;RIGHT(A75,1),MID(A75,1,2)&amp;"."&amp;MID(A75,3,3)&amp;"."&amp;MID(A75,6,3)&amp;"-"&amp;MID(A75,9,1)))</f>
        <v>6.245.365-6</v>
      </c>
      <c r="C75" s="11" t="s">
        <v>14</v>
      </c>
      <c r="D75" s="11" t="s">
        <v>447</v>
      </c>
      <c r="E75" s="11" t="s">
        <v>919</v>
      </c>
      <c r="F75" s="11" t="s">
        <v>920</v>
      </c>
      <c r="G75" s="12">
        <v>46013</v>
      </c>
      <c r="H75" s="12">
        <v>46018</v>
      </c>
      <c r="I75" s="48" t="s">
        <v>15</v>
      </c>
      <c r="J75" s="57" t="s">
        <v>200</v>
      </c>
      <c r="K75" s="57" t="s">
        <v>16</v>
      </c>
      <c r="L75" s="35">
        <v>46013</v>
      </c>
      <c r="M75" s="35">
        <v>46018</v>
      </c>
      <c r="N75" s="44">
        <f t="shared" ref="N75:N84" si="24">+M75-L75</f>
        <v>5</v>
      </c>
      <c r="O75" s="44"/>
      <c r="P75" t="s">
        <v>948</v>
      </c>
      <c r="Q75" t="s">
        <v>83</v>
      </c>
      <c r="R75" t="s">
        <v>83</v>
      </c>
      <c r="S75" t="s">
        <v>83</v>
      </c>
      <c r="T75" t="s">
        <v>83</v>
      </c>
      <c r="U75" t="s">
        <v>1074</v>
      </c>
    </row>
    <row r="76" spans="1:21" ht="16.5" customHeight="1" x14ac:dyDescent="0.45">
      <c r="A76" s="10">
        <v>62453656</v>
      </c>
      <c r="B76" s="11" t="str">
        <f t="shared" ref="B76" si="25">IF(LEN(A76)=8,MID(A76,1,1)&amp;"."&amp;MID(A76,2,3)&amp;"."&amp;MID(A76,5,3)&amp;"-"&amp;RIGHT(A76,1),IF(LEFT(RIGHT(A76,2),1)="-",MID(A76,1,1)&amp;"."&amp;MID(A76,2,3)&amp;"."&amp;MID(A76,5,3)&amp;"-"&amp;RIGHT(A76,1),MID(A76,1,2)&amp;"."&amp;MID(A76,3,3)&amp;"."&amp;MID(A76,6,3)&amp;"-"&amp;MID(A76,9,1)))</f>
        <v>6.245.365-6</v>
      </c>
      <c r="C76" s="11" t="s">
        <v>14</v>
      </c>
      <c r="D76" s="11" t="s">
        <v>447</v>
      </c>
      <c r="E76" s="11" t="s">
        <v>919</v>
      </c>
      <c r="F76" s="11" t="s">
        <v>920</v>
      </c>
      <c r="G76" s="12">
        <v>46013</v>
      </c>
      <c r="H76" s="12">
        <v>46018</v>
      </c>
      <c r="I76" s="48" t="s">
        <v>15</v>
      </c>
      <c r="J76" s="57" t="s">
        <v>200</v>
      </c>
      <c r="K76" s="57" t="s">
        <v>17</v>
      </c>
      <c r="L76" s="35">
        <v>46013</v>
      </c>
      <c r="M76" s="35">
        <v>46018</v>
      </c>
      <c r="N76" s="44">
        <f t="shared" si="24"/>
        <v>5</v>
      </c>
      <c r="O76" s="44"/>
      <c r="P76" t="s">
        <v>83</v>
      </c>
      <c r="Q76" t="s">
        <v>83</v>
      </c>
      <c r="R76" t="s">
        <v>83</v>
      </c>
      <c r="S76" t="s">
        <v>83</v>
      </c>
      <c r="T76" t="s">
        <v>83</v>
      </c>
      <c r="U76" t="s">
        <v>1074</v>
      </c>
    </row>
    <row r="77" spans="1:21" ht="16.5" customHeight="1" x14ac:dyDescent="0.45">
      <c r="A77" s="10">
        <v>222933684</v>
      </c>
      <c r="B77" s="11" t="str">
        <f t="shared" si="23"/>
        <v>22.293.368-4</v>
      </c>
      <c r="C77" s="11" t="s">
        <v>14</v>
      </c>
      <c r="D77" s="11" t="s">
        <v>512</v>
      </c>
      <c r="E77" s="11" t="s">
        <v>222</v>
      </c>
      <c r="F77" s="11" t="s">
        <v>175</v>
      </c>
      <c r="G77" s="12">
        <v>46014</v>
      </c>
      <c r="H77" s="12">
        <v>46020</v>
      </c>
      <c r="I77" s="48" t="s">
        <v>930</v>
      </c>
      <c r="J77" s="57" t="s">
        <v>60</v>
      </c>
      <c r="K77" s="57" t="s">
        <v>16</v>
      </c>
      <c r="L77" s="35">
        <v>46014</v>
      </c>
      <c r="M77" s="35">
        <v>46020</v>
      </c>
      <c r="N77" s="44">
        <f t="shared" si="24"/>
        <v>6</v>
      </c>
      <c r="O77" s="44"/>
      <c r="P77" t="s">
        <v>83</v>
      </c>
      <c r="Q77" t="s">
        <v>83</v>
      </c>
      <c r="R77" t="s">
        <v>83</v>
      </c>
      <c r="S77" t="s">
        <v>83</v>
      </c>
      <c r="T77" t="s">
        <v>83</v>
      </c>
      <c r="U77" t="s">
        <v>1074</v>
      </c>
    </row>
    <row r="78" spans="1:21" ht="16.5" customHeight="1" x14ac:dyDescent="0.45">
      <c r="A78" s="10">
        <v>222933684</v>
      </c>
      <c r="B78" s="11" t="str">
        <f t="shared" ref="B78:B79" si="26">IF(LEN(A78)=8,MID(A78,1,1)&amp;"."&amp;MID(A78,2,3)&amp;"."&amp;MID(A78,5,3)&amp;"-"&amp;RIGHT(A78,1),IF(LEFT(RIGHT(A78,2),1)="-",MID(A78,1,1)&amp;"."&amp;MID(A78,2,3)&amp;"."&amp;MID(A78,5,3)&amp;"-"&amp;RIGHT(A78,1),MID(A78,1,2)&amp;"."&amp;MID(A78,3,3)&amp;"."&amp;MID(A78,6,3)&amp;"-"&amp;MID(A78,9,1)))</f>
        <v>22.293.368-4</v>
      </c>
      <c r="C78" s="11" t="s">
        <v>14</v>
      </c>
      <c r="D78" s="11" t="s">
        <v>512</v>
      </c>
      <c r="E78" s="11" t="s">
        <v>222</v>
      </c>
      <c r="F78" s="11" t="s">
        <v>175</v>
      </c>
      <c r="G78" s="12">
        <v>46014</v>
      </c>
      <c r="H78" s="12">
        <v>46020</v>
      </c>
      <c r="I78" s="48" t="s">
        <v>930</v>
      </c>
      <c r="J78" s="57" t="s">
        <v>60</v>
      </c>
      <c r="K78" s="57" t="s">
        <v>17</v>
      </c>
      <c r="L78" s="35">
        <v>46014</v>
      </c>
      <c r="M78" s="35">
        <v>46020</v>
      </c>
      <c r="N78" s="44">
        <f t="shared" si="24"/>
        <v>6</v>
      </c>
      <c r="O78" s="44"/>
      <c r="P78" t="s">
        <v>83</v>
      </c>
      <c r="Q78" t="s">
        <v>83</v>
      </c>
      <c r="R78" t="s">
        <v>83</v>
      </c>
      <c r="S78" t="s">
        <v>83</v>
      </c>
      <c r="T78" t="s">
        <v>83</v>
      </c>
      <c r="U78" t="s">
        <v>1074</v>
      </c>
    </row>
    <row r="79" spans="1:21" ht="16.5" customHeight="1" x14ac:dyDescent="0.45">
      <c r="A79" s="10">
        <v>54431619</v>
      </c>
      <c r="B79" s="11" t="str">
        <f t="shared" si="26"/>
        <v>5.443.161-9</v>
      </c>
      <c r="C79" s="11" t="s">
        <v>14</v>
      </c>
      <c r="D79" s="11" t="s">
        <v>902</v>
      </c>
      <c r="E79" s="11" t="s">
        <v>151</v>
      </c>
      <c r="F79" s="11" t="s">
        <v>334</v>
      </c>
      <c r="G79" s="12">
        <v>46015</v>
      </c>
      <c r="H79" s="12">
        <v>46024</v>
      </c>
      <c r="I79" s="48" t="s">
        <v>60</v>
      </c>
      <c r="J79" s="57" t="s">
        <v>60</v>
      </c>
      <c r="K79" s="57" t="s">
        <v>16</v>
      </c>
      <c r="L79" s="35">
        <v>46015</v>
      </c>
      <c r="M79" s="12">
        <v>46024</v>
      </c>
      <c r="N79" s="44">
        <f t="shared" si="24"/>
        <v>9</v>
      </c>
      <c r="O79" s="44"/>
      <c r="P79" t="s">
        <v>83</v>
      </c>
      <c r="Q79" t="s">
        <v>83</v>
      </c>
      <c r="R79" t="s">
        <v>83</v>
      </c>
      <c r="S79" t="s">
        <v>83</v>
      </c>
      <c r="T79" t="s">
        <v>83</v>
      </c>
      <c r="U79" t="s">
        <v>1074</v>
      </c>
    </row>
    <row r="80" spans="1:21" ht="16.5" customHeight="1" x14ac:dyDescent="0.45">
      <c r="A80" s="10">
        <v>54431619</v>
      </c>
      <c r="B80" s="11" t="str">
        <f t="shared" ref="B80:B81" si="27">IF(LEN(A80)=8,MID(A80,1,1)&amp;"."&amp;MID(A80,2,3)&amp;"."&amp;MID(A80,5,3)&amp;"-"&amp;RIGHT(A80,1),IF(LEFT(RIGHT(A80,2),1)="-",MID(A80,1,1)&amp;"."&amp;MID(A80,2,3)&amp;"."&amp;MID(A80,5,3)&amp;"-"&amp;RIGHT(A80,1),MID(A80,1,2)&amp;"."&amp;MID(A80,3,3)&amp;"."&amp;MID(A80,6,3)&amp;"-"&amp;MID(A80,9,1)))</f>
        <v>5.443.161-9</v>
      </c>
      <c r="C80" s="11" t="s">
        <v>14</v>
      </c>
      <c r="D80" s="11" t="s">
        <v>902</v>
      </c>
      <c r="E80" s="11" t="s">
        <v>151</v>
      </c>
      <c r="F80" s="11" t="s">
        <v>334</v>
      </c>
      <c r="G80" s="12">
        <v>46015</v>
      </c>
      <c r="H80" s="12">
        <v>46024</v>
      </c>
      <c r="I80" s="48" t="s">
        <v>60</v>
      </c>
      <c r="J80" s="57" t="s">
        <v>60</v>
      </c>
      <c r="K80" s="57" t="s">
        <v>17</v>
      </c>
      <c r="L80" s="35">
        <v>46016</v>
      </c>
      <c r="M80" s="12">
        <v>46024</v>
      </c>
      <c r="N80" s="44">
        <f t="shared" si="24"/>
        <v>8</v>
      </c>
      <c r="O80" s="44"/>
      <c r="P80" t="s">
        <v>83</v>
      </c>
      <c r="Q80" t="s">
        <v>83</v>
      </c>
      <c r="R80" t="s">
        <v>83</v>
      </c>
      <c r="S80" t="s">
        <v>83</v>
      </c>
      <c r="T80" t="s">
        <v>83</v>
      </c>
      <c r="U80" t="s">
        <v>1074</v>
      </c>
    </row>
    <row r="81" spans="1:21" ht="16.5" customHeight="1" x14ac:dyDescent="0.45">
      <c r="A81" s="10">
        <v>54431619</v>
      </c>
      <c r="B81" s="11" t="str">
        <f t="shared" si="27"/>
        <v>5.443.161-9</v>
      </c>
      <c r="C81" s="11" t="s">
        <v>14</v>
      </c>
      <c r="D81" s="11" t="s">
        <v>902</v>
      </c>
      <c r="E81" s="11" t="s">
        <v>151</v>
      </c>
      <c r="F81" s="11" t="s">
        <v>334</v>
      </c>
      <c r="G81" s="12">
        <v>46015</v>
      </c>
      <c r="H81" s="12">
        <v>46024</v>
      </c>
      <c r="I81" s="48" t="s">
        <v>60</v>
      </c>
      <c r="J81" s="57" t="s">
        <v>60</v>
      </c>
      <c r="K81" s="57" t="s">
        <v>18</v>
      </c>
      <c r="L81" s="35">
        <v>46015</v>
      </c>
      <c r="M81" s="12">
        <v>46021</v>
      </c>
      <c r="N81" s="44">
        <f t="shared" si="24"/>
        <v>6</v>
      </c>
      <c r="O81" s="44"/>
      <c r="P81" t="s">
        <v>984</v>
      </c>
      <c r="Q81" t="s">
        <v>83</v>
      </c>
      <c r="R81" t="s">
        <v>83</v>
      </c>
      <c r="S81" t="s">
        <v>83</v>
      </c>
      <c r="T81" t="s">
        <v>83</v>
      </c>
      <c r="U81" t="s">
        <v>1074</v>
      </c>
    </row>
    <row r="82" spans="1:21" ht="16.5" customHeight="1" x14ac:dyDescent="0.45">
      <c r="A82" s="10">
        <v>16228765</v>
      </c>
      <c r="B82" s="11" t="str">
        <f t="shared" si="23"/>
        <v>1.622.876-5</v>
      </c>
      <c r="C82" s="11" t="s">
        <v>14</v>
      </c>
      <c r="D82" s="11" t="s">
        <v>229</v>
      </c>
      <c r="E82" s="11" t="s">
        <v>115</v>
      </c>
      <c r="F82" s="11" t="s">
        <v>171</v>
      </c>
      <c r="G82" s="12">
        <v>46017</v>
      </c>
      <c r="H82" s="12">
        <v>46023</v>
      </c>
      <c r="I82" s="48" t="s">
        <v>15</v>
      </c>
      <c r="J82" s="57" t="s">
        <v>60</v>
      </c>
      <c r="K82" s="57" t="s">
        <v>16</v>
      </c>
      <c r="L82" s="35">
        <v>46016</v>
      </c>
      <c r="M82" s="12">
        <v>46023</v>
      </c>
      <c r="N82" s="44">
        <f t="shared" si="24"/>
        <v>7</v>
      </c>
      <c r="O82" s="44"/>
      <c r="P82" t="s">
        <v>83</v>
      </c>
      <c r="Q82" t="s">
        <v>83</v>
      </c>
      <c r="R82" t="s">
        <v>83</v>
      </c>
      <c r="S82" t="s">
        <v>83</v>
      </c>
      <c r="T82" t="s">
        <v>83</v>
      </c>
      <c r="U82" t="s">
        <v>1074</v>
      </c>
    </row>
    <row r="83" spans="1:21" ht="16.5" customHeight="1" x14ac:dyDescent="0.45">
      <c r="A83" s="10">
        <v>16228765</v>
      </c>
      <c r="B83" s="11" t="str">
        <f t="shared" ref="B83:B84" si="28">IF(LEN(A83)=8,MID(A83,1,1)&amp;"."&amp;MID(A83,2,3)&amp;"."&amp;MID(A83,5,3)&amp;"-"&amp;RIGHT(A83,1),IF(LEFT(RIGHT(A83,2),1)="-",MID(A83,1,1)&amp;"."&amp;MID(A83,2,3)&amp;"."&amp;MID(A83,5,3)&amp;"-"&amp;RIGHT(A83,1),MID(A83,1,2)&amp;"."&amp;MID(A83,3,3)&amp;"."&amp;MID(A83,6,3)&amp;"-"&amp;MID(A83,9,1)))</f>
        <v>1.622.876-5</v>
      </c>
      <c r="C83" s="11" t="s">
        <v>14</v>
      </c>
      <c r="D83" s="11" t="s">
        <v>229</v>
      </c>
      <c r="E83" s="11" t="s">
        <v>115</v>
      </c>
      <c r="F83" s="11" t="s">
        <v>171</v>
      </c>
      <c r="G83" s="12">
        <v>46017</v>
      </c>
      <c r="H83" s="12">
        <v>46023</v>
      </c>
      <c r="I83" s="48" t="s">
        <v>15</v>
      </c>
      <c r="J83" s="57" t="s">
        <v>60</v>
      </c>
      <c r="K83" s="57" t="s">
        <v>17</v>
      </c>
      <c r="L83" s="35">
        <v>46016</v>
      </c>
      <c r="M83" s="12">
        <v>46023</v>
      </c>
      <c r="N83" s="44">
        <f t="shared" si="24"/>
        <v>7</v>
      </c>
      <c r="O83" s="44"/>
      <c r="P83" t="s">
        <v>83</v>
      </c>
      <c r="Q83" t="s">
        <v>83</v>
      </c>
      <c r="R83" t="s">
        <v>83</v>
      </c>
      <c r="S83" t="s">
        <v>83</v>
      </c>
      <c r="T83" t="s">
        <v>83</v>
      </c>
      <c r="U83" t="s">
        <v>1074</v>
      </c>
    </row>
    <row r="84" spans="1:21" ht="16.5" customHeight="1" x14ac:dyDescent="0.45">
      <c r="A84" s="10">
        <v>16228765</v>
      </c>
      <c r="B84" s="11" t="str">
        <f t="shared" si="28"/>
        <v>1.622.876-5</v>
      </c>
      <c r="C84" s="11" t="s">
        <v>14</v>
      </c>
      <c r="D84" s="11" t="s">
        <v>229</v>
      </c>
      <c r="E84" s="11" t="s">
        <v>115</v>
      </c>
      <c r="F84" s="11" t="s">
        <v>171</v>
      </c>
      <c r="G84" s="12">
        <v>46017</v>
      </c>
      <c r="H84" s="12">
        <v>46023</v>
      </c>
      <c r="I84" s="48" t="s">
        <v>15</v>
      </c>
      <c r="J84" s="57" t="s">
        <v>60</v>
      </c>
      <c r="K84" s="57" t="s">
        <v>18</v>
      </c>
      <c r="L84" s="35">
        <v>46016</v>
      </c>
      <c r="M84" s="35">
        <v>46019</v>
      </c>
      <c r="N84" s="44">
        <f t="shared" si="24"/>
        <v>3</v>
      </c>
      <c r="O84" s="44"/>
      <c r="P84" t="s">
        <v>83</v>
      </c>
      <c r="Q84" t="s">
        <v>83</v>
      </c>
      <c r="R84" t="s">
        <v>83</v>
      </c>
      <c r="S84" t="s">
        <v>83</v>
      </c>
      <c r="T84" t="s">
        <v>83</v>
      </c>
      <c r="U84" t="s">
        <v>1074</v>
      </c>
    </row>
    <row r="85" spans="1:21" ht="16.5" customHeight="1" x14ac:dyDescent="0.45">
      <c r="A85" s="10" t="s">
        <v>932</v>
      </c>
      <c r="B85" s="11" t="str">
        <f t="shared" ref="B85:B101" si="29">IF(LEN(A85)=8,MID(A85,1,1)&amp;"."&amp;MID(A85,2,3)&amp;"."&amp;MID(A85,5,3)&amp;"-"&amp;RIGHT(A85,1),IF(LEFT(RIGHT(A85,2),1)="-",MID(A85,1,1)&amp;"."&amp;MID(A85,2,3)&amp;"."&amp;MID(A85,5,3)&amp;"-"&amp;RIGHT(A85,1),MID(A85,1,2)&amp;"."&amp;MID(A85,3,3)&amp;"."&amp;MID(A85,6,3)&amp;"-"&amp;MID(A85,9,1)))</f>
        <v>6.914.151-k</v>
      </c>
      <c r="C85" s="11" t="s">
        <v>14</v>
      </c>
      <c r="D85" s="11" t="s">
        <v>229</v>
      </c>
      <c r="E85" s="11" t="s">
        <v>229</v>
      </c>
      <c r="F85" s="11" t="s">
        <v>105</v>
      </c>
      <c r="G85" s="12">
        <v>46014</v>
      </c>
      <c r="H85" s="12">
        <v>46019</v>
      </c>
      <c r="I85" s="48" t="s">
        <v>15</v>
      </c>
      <c r="J85" s="57" t="s">
        <v>348</v>
      </c>
      <c r="K85" s="57" t="s">
        <v>17</v>
      </c>
      <c r="L85" s="35">
        <v>46014</v>
      </c>
      <c r="M85" s="35">
        <v>46017</v>
      </c>
      <c r="N85" s="44">
        <f t="shared" ref="N85:N101" si="30">+M85-L85</f>
        <v>3</v>
      </c>
      <c r="O85" s="44"/>
      <c r="P85" t="s">
        <v>83</v>
      </c>
      <c r="Q85" t="s">
        <v>83</v>
      </c>
      <c r="R85" t="s">
        <v>83</v>
      </c>
      <c r="S85" t="s">
        <v>83</v>
      </c>
      <c r="T85" t="s">
        <v>83</v>
      </c>
      <c r="U85" t="s">
        <v>1074</v>
      </c>
    </row>
    <row r="86" spans="1:21" ht="16.5" customHeight="1" x14ac:dyDescent="0.45">
      <c r="A86" s="10">
        <v>178446959</v>
      </c>
      <c r="B86" s="11" t="str">
        <f t="shared" si="29"/>
        <v>17.844.695-9</v>
      </c>
      <c r="C86" s="11" t="s">
        <v>14</v>
      </c>
      <c r="D86" s="11" t="s">
        <v>482</v>
      </c>
      <c r="E86" s="11" t="s">
        <v>933</v>
      </c>
      <c r="F86" s="11" t="s">
        <v>934</v>
      </c>
      <c r="G86" s="12">
        <v>46015</v>
      </c>
      <c r="H86" s="12"/>
      <c r="I86" s="48" t="s">
        <v>15</v>
      </c>
      <c r="J86" s="57" t="s">
        <v>206</v>
      </c>
      <c r="K86" s="57" t="s">
        <v>17</v>
      </c>
      <c r="L86" s="12">
        <v>46015</v>
      </c>
      <c r="M86" s="35">
        <v>46022</v>
      </c>
      <c r="N86" s="44">
        <f t="shared" si="30"/>
        <v>7</v>
      </c>
      <c r="O86" s="44"/>
      <c r="P86" t="s">
        <v>83</v>
      </c>
      <c r="Q86" t="s">
        <v>83</v>
      </c>
      <c r="R86" t="s">
        <v>83</v>
      </c>
      <c r="S86" t="s">
        <v>83</v>
      </c>
      <c r="T86" t="s">
        <v>83</v>
      </c>
      <c r="U86" t="s">
        <v>1074</v>
      </c>
    </row>
    <row r="87" spans="1:21" ht="16.5" customHeight="1" x14ac:dyDescent="0.45">
      <c r="A87" s="10">
        <v>178446959</v>
      </c>
      <c r="B87" s="11" t="str">
        <f t="shared" si="29"/>
        <v>17.844.695-9</v>
      </c>
      <c r="C87" s="11" t="s">
        <v>14</v>
      </c>
      <c r="D87" s="11" t="s">
        <v>482</v>
      </c>
      <c r="E87" s="11" t="s">
        <v>933</v>
      </c>
      <c r="F87" s="11" t="s">
        <v>934</v>
      </c>
      <c r="G87" s="12">
        <v>46015</v>
      </c>
      <c r="H87" s="12"/>
      <c r="I87" s="48" t="s">
        <v>15</v>
      </c>
      <c r="J87" s="57" t="s">
        <v>206</v>
      </c>
      <c r="K87" s="57" t="s">
        <v>16</v>
      </c>
      <c r="L87" s="12">
        <v>46015</v>
      </c>
      <c r="M87" s="35">
        <v>46022</v>
      </c>
      <c r="N87" s="44">
        <f t="shared" si="30"/>
        <v>7</v>
      </c>
      <c r="O87" s="44"/>
      <c r="P87" t="s">
        <v>83</v>
      </c>
      <c r="Q87" t="s">
        <v>83</v>
      </c>
      <c r="R87" t="s">
        <v>83</v>
      </c>
      <c r="S87" t="s">
        <v>83</v>
      </c>
      <c r="T87" t="s">
        <v>83</v>
      </c>
      <c r="U87" t="s">
        <v>1074</v>
      </c>
    </row>
    <row r="88" spans="1:21" ht="16.5" customHeight="1" x14ac:dyDescent="0.45">
      <c r="A88" s="10">
        <v>178446959</v>
      </c>
      <c r="B88" s="11" t="str">
        <f t="shared" si="29"/>
        <v>17.844.695-9</v>
      </c>
      <c r="C88" s="11" t="s">
        <v>14</v>
      </c>
      <c r="D88" s="11" t="s">
        <v>482</v>
      </c>
      <c r="E88" s="11" t="s">
        <v>933</v>
      </c>
      <c r="F88" s="11" t="s">
        <v>934</v>
      </c>
      <c r="G88" s="12">
        <v>46015</v>
      </c>
      <c r="H88" s="12"/>
      <c r="I88" s="48" t="s">
        <v>15</v>
      </c>
      <c r="J88" s="57" t="s">
        <v>206</v>
      </c>
      <c r="K88" s="57" t="s">
        <v>18</v>
      </c>
      <c r="L88" s="12">
        <v>46015</v>
      </c>
      <c r="M88" s="35">
        <v>46022</v>
      </c>
      <c r="N88" s="44">
        <f t="shared" si="30"/>
        <v>7</v>
      </c>
      <c r="O88" s="44"/>
      <c r="P88" t="s">
        <v>83</v>
      </c>
      <c r="Q88" t="s">
        <v>83</v>
      </c>
      <c r="R88" t="s">
        <v>83</v>
      </c>
      <c r="S88" t="s">
        <v>83</v>
      </c>
      <c r="T88" t="s">
        <v>83</v>
      </c>
      <c r="U88" t="s">
        <v>1074</v>
      </c>
    </row>
    <row r="89" spans="1:21" ht="16.5" customHeight="1" x14ac:dyDescent="0.45">
      <c r="A89" s="10">
        <v>60925593</v>
      </c>
      <c r="B89" s="11" t="str">
        <f t="shared" si="29"/>
        <v>6.092.559-3</v>
      </c>
      <c r="C89" s="11" t="s">
        <v>14</v>
      </c>
      <c r="D89" s="11" t="s">
        <v>834</v>
      </c>
      <c r="E89" s="11" t="s">
        <v>36</v>
      </c>
      <c r="F89" s="11" t="s">
        <v>223</v>
      </c>
      <c r="G89" s="12">
        <v>46018</v>
      </c>
      <c r="H89" s="12">
        <v>46020</v>
      </c>
      <c r="I89" s="48" t="s">
        <v>348</v>
      </c>
      <c r="J89" s="57" t="s">
        <v>106</v>
      </c>
      <c r="K89" s="57" t="s">
        <v>17</v>
      </c>
      <c r="L89" s="12">
        <v>46018</v>
      </c>
      <c r="M89" s="12">
        <v>46020</v>
      </c>
      <c r="N89" s="44">
        <f t="shared" si="30"/>
        <v>2</v>
      </c>
      <c r="O89" s="44"/>
      <c r="P89" t="s">
        <v>83</v>
      </c>
      <c r="Q89" t="s">
        <v>83</v>
      </c>
      <c r="R89" t="s">
        <v>83</v>
      </c>
      <c r="S89" t="s">
        <v>83</v>
      </c>
      <c r="T89" t="s">
        <v>83</v>
      </c>
      <c r="U89" t="s">
        <v>1074</v>
      </c>
    </row>
    <row r="90" spans="1:21" ht="16.5" customHeight="1" x14ac:dyDescent="0.45">
      <c r="A90" s="10">
        <v>60925593</v>
      </c>
      <c r="B90" s="11" t="str">
        <f t="shared" si="29"/>
        <v>6.092.559-3</v>
      </c>
      <c r="C90" s="11" t="s">
        <v>14</v>
      </c>
      <c r="D90" s="11" t="s">
        <v>834</v>
      </c>
      <c r="E90" s="11" t="s">
        <v>36</v>
      </c>
      <c r="F90" s="11" t="s">
        <v>223</v>
      </c>
      <c r="G90" s="12">
        <v>46018</v>
      </c>
      <c r="H90" s="12">
        <v>46020</v>
      </c>
      <c r="I90" s="48" t="s">
        <v>348</v>
      </c>
      <c r="J90" s="57" t="s">
        <v>106</v>
      </c>
      <c r="K90" s="57" t="s">
        <v>16</v>
      </c>
      <c r="L90" s="12">
        <v>46018</v>
      </c>
      <c r="M90" s="12">
        <v>46020</v>
      </c>
      <c r="N90" s="44">
        <f t="shared" si="30"/>
        <v>2</v>
      </c>
      <c r="O90" s="44"/>
      <c r="P90" t="s">
        <v>83</v>
      </c>
      <c r="Q90" t="s">
        <v>83</v>
      </c>
      <c r="R90" t="s">
        <v>83</v>
      </c>
      <c r="S90" t="s">
        <v>83</v>
      </c>
      <c r="T90" t="s">
        <v>83</v>
      </c>
      <c r="U90" t="s">
        <v>1074</v>
      </c>
    </row>
    <row r="91" spans="1:21" ht="16.5" customHeight="1" x14ac:dyDescent="0.45">
      <c r="A91" s="10">
        <v>60925593</v>
      </c>
      <c r="B91" s="11" t="str">
        <f t="shared" si="29"/>
        <v>6.092.559-3</v>
      </c>
      <c r="C91" s="11" t="s">
        <v>14</v>
      </c>
      <c r="D91" s="11" t="s">
        <v>834</v>
      </c>
      <c r="E91" s="11" t="s">
        <v>36</v>
      </c>
      <c r="F91" s="11" t="s">
        <v>223</v>
      </c>
      <c r="G91" s="12">
        <v>46018</v>
      </c>
      <c r="H91" s="12">
        <v>46020</v>
      </c>
      <c r="I91" s="48" t="s">
        <v>348</v>
      </c>
      <c r="J91" s="57" t="s">
        <v>106</v>
      </c>
      <c r="K91" s="57" t="s">
        <v>18</v>
      </c>
      <c r="L91" s="12">
        <v>46018</v>
      </c>
      <c r="M91" s="12">
        <v>46020</v>
      </c>
      <c r="N91" s="44">
        <f t="shared" si="30"/>
        <v>2</v>
      </c>
      <c r="O91" s="44"/>
      <c r="P91" t="s">
        <v>83</v>
      </c>
      <c r="Q91" t="s">
        <v>83</v>
      </c>
      <c r="R91" t="s">
        <v>83</v>
      </c>
      <c r="S91" t="s">
        <v>83</v>
      </c>
      <c r="T91" t="s">
        <v>83</v>
      </c>
      <c r="U91" t="s">
        <v>1074</v>
      </c>
    </row>
    <row r="92" spans="1:21" ht="16.5" customHeight="1" x14ac:dyDescent="0.45">
      <c r="A92" s="10">
        <v>53756107</v>
      </c>
      <c r="B92" s="11" t="str">
        <f t="shared" si="29"/>
        <v>5.375.610-7</v>
      </c>
      <c r="C92" s="11" t="s">
        <v>14</v>
      </c>
      <c r="D92" s="11" t="s">
        <v>339</v>
      </c>
      <c r="E92" s="11" t="s">
        <v>233</v>
      </c>
      <c r="F92" s="11" t="s">
        <v>105</v>
      </c>
      <c r="G92" s="12">
        <v>46020</v>
      </c>
      <c r="H92" s="12"/>
      <c r="I92" s="48" t="s">
        <v>15</v>
      </c>
      <c r="J92" s="57" t="s">
        <v>206</v>
      </c>
      <c r="K92" s="57" t="s">
        <v>17</v>
      </c>
      <c r="L92" s="12">
        <v>46020</v>
      </c>
      <c r="M92" s="35">
        <v>46022</v>
      </c>
      <c r="N92" s="44">
        <f t="shared" si="30"/>
        <v>2</v>
      </c>
      <c r="O92" s="44"/>
      <c r="P92" t="s">
        <v>83</v>
      </c>
      <c r="Q92" t="s">
        <v>83</v>
      </c>
      <c r="R92" t="s">
        <v>83</v>
      </c>
      <c r="S92" t="s">
        <v>83</v>
      </c>
      <c r="T92" t="s">
        <v>83</v>
      </c>
      <c r="U92" t="s">
        <v>1074</v>
      </c>
    </row>
    <row r="93" spans="1:21" ht="16.5" customHeight="1" x14ac:dyDescent="0.45">
      <c r="A93" s="10">
        <v>53756107</v>
      </c>
      <c r="B93" s="11" t="str">
        <f t="shared" si="29"/>
        <v>5.375.610-7</v>
      </c>
      <c r="C93" s="11" t="s">
        <v>14</v>
      </c>
      <c r="D93" s="11" t="s">
        <v>339</v>
      </c>
      <c r="E93" s="11" t="s">
        <v>233</v>
      </c>
      <c r="F93" s="11" t="s">
        <v>105</v>
      </c>
      <c r="G93" s="12">
        <v>46020</v>
      </c>
      <c r="H93" s="12"/>
      <c r="I93" s="48" t="s">
        <v>15</v>
      </c>
      <c r="J93" s="57" t="s">
        <v>206</v>
      </c>
      <c r="K93" s="57" t="s">
        <v>16</v>
      </c>
      <c r="L93" s="12">
        <v>46020</v>
      </c>
      <c r="M93" s="35">
        <v>46022</v>
      </c>
      <c r="N93" s="44">
        <f t="shared" si="30"/>
        <v>2</v>
      </c>
      <c r="O93" s="44"/>
      <c r="P93" t="s">
        <v>83</v>
      </c>
      <c r="Q93" t="s">
        <v>83</v>
      </c>
      <c r="R93" t="s">
        <v>83</v>
      </c>
      <c r="S93" t="s">
        <v>83</v>
      </c>
      <c r="T93" t="s">
        <v>83</v>
      </c>
      <c r="U93" t="s">
        <v>1074</v>
      </c>
    </row>
    <row r="94" spans="1:21" ht="16.5" customHeight="1" x14ac:dyDescent="0.45">
      <c r="A94" s="10">
        <v>53756107</v>
      </c>
      <c r="B94" s="11" t="str">
        <f t="shared" ref="B94" si="31">IF(LEN(A94)=8,MID(A94,1,1)&amp;"."&amp;MID(A94,2,3)&amp;"."&amp;MID(A94,5,3)&amp;"-"&amp;RIGHT(A94,1),IF(LEFT(RIGHT(A94,2),1)="-",MID(A94,1,1)&amp;"."&amp;MID(A94,2,3)&amp;"."&amp;MID(A94,5,3)&amp;"-"&amp;RIGHT(A94,1),MID(A94,1,2)&amp;"."&amp;MID(A94,3,3)&amp;"."&amp;MID(A94,6,3)&amp;"-"&amp;MID(A94,9,1)))</f>
        <v>5.375.610-7</v>
      </c>
      <c r="C94" s="11" t="s">
        <v>14</v>
      </c>
      <c r="D94" s="11" t="s">
        <v>339</v>
      </c>
      <c r="E94" s="11" t="s">
        <v>233</v>
      </c>
      <c r="F94" s="11" t="s">
        <v>105</v>
      </c>
      <c r="G94" s="12">
        <v>46020</v>
      </c>
      <c r="H94" s="12"/>
      <c r="I94" s="48" t="s">
        <v>15</v>
      </c>
      <c r="J94" s="57" t="s">
        <v>206</v>
      </c>
      <c r="K94" s="57" t="s">
        <v>18</v>
      </c>
      <c r="L94" s="12">
        <v>46020</v>
      </c>
      <c r="M94" s="35">
        <v>46022</v>
      </c>
      <c r="N94" s="44">
        <f t="shared" ref="N94" si="32">+M94-L94</f>
        <v>2</v>
      </c>
      <c r="O94" s="44"/>
      <c r="P94" t="s">
        <v>83</v>
      </c>
      <c r="Q94" t="s">
        <v>83</v>
      </c>
      <c r="R94" t="s">
        <v>83</v>
      </c>
      <c r="S94" t="s">
        <v>83</v>
      </c>
      <c r="T94" t="s">
        <v>83</v>
      </c>
      <c r="U94" t="s">
        <v>1074</v>
      </c>
    </row>
    <row r="95" spans="1:21" ht="16.5" customHeight="1" x14ac:dyDescent="0.45">
      <c r="A95" s="10">
        <v>154940979</v>
      </c>
      <c r="B95" s="11" t="str">
        <f t="shared" si="29"/>
        <v>15.494.097-9</v>
      </c>
      <c r="C95" s="11" t="s">
        <v>14</v>
      </c>
      <c r="D95" s="11" t="s">
        <v>935</v>
      </c>
      <c r="E95" s="11" t="s">
        <v>229</v>
      </c>
      <c r="F95" s="11" t="s">
        <v>936</v>
      </c>
      <c r="G95" s="12">
        <v>46017</v>
      </c>
      <c r="H95" s="12"/>
      <c r="I95" s="48" t="s">
        <v>15</v>
      </c>
      <c r="J95" s="57" t="s">
        <v>206</v>
      </c>
      <c r="K95" s="57" t="s">
        <v>17</v>
      </c>
      <c r="L95" s="12">
        <v>46017</v>
      </c>
      <c r="M95" s="35">
        <v>46022</v>
      </c>
      <c r="N95" s="44">
        <f t="shared" si="30"/>
        <v>5</v>
      </c>
      <c r="O95" s="44"/>
      <c r="P95" t="s">
        <v>83</v>
      </c>
      <c r="Q95" t="s">
        <v>83</v>
      </c>
      <c r="R95" t="s">
        <v>83</v>
      </c>
      <c r="S95" t="s">
        <v>83</v>
      </c>
      <c r="T95" t="s">
        <v>83</v>
      </c>
      <c r="U95" t="s">
        <v>1074</v>
      </c>
    </row>
    <row r="96" spans="1:21" ht="16.5" customHeight="1" x14ac:dyDescent="0.45">
      <c r="A96" s="10">
        <v>154940979</v>
      </c>
      <c r="B96" s="11" t="str">
        <f t="shared" si="29"/>
        <v>15.494.097-9</v>
      </c>
      <c r="C96" s="11" t="s">
        <v>14</v>
      </c>
      <c r="D96" s="11" t="s">
        <v>935</v>
      </c>
      <c r="E96" s="11" t="s">
        <v>229</v>
      </c>
      <c r="F96" s="11" t="s">
        <v>936</v>
      </c>
      <c r="G96" s="12">
        <v>46017</v>
      </c>
      <c r="H96" s="12"/>
      <c r="I96" s="48" t="s">
        <v>15</v>
      </c>
      <c r="J96" s="57" t="s">
        <v>206</v>
      </c>
      <c r="K96" s="57" t="s">
        <v>16</v>
      </c>
      <c r="L96" s="12">
        <v>46017</v>
      </c>
      <c r="M96" s="35">
        <v>46022</v>
      </c>
      <c r="N96" s="44">
        <f t="shared" si="30"/>
        <v>5</v>
      </c>
      <c r="O96" s="44"/>
      <c r="P96" t="s">
        <v>83</v>
      </c>
      <c r="Q96" t="s">
        <v>83</v>
      </c>
      <c r="R96" t="s">
        <v>83</v>
      </c>
      <c r="S96" t="s">
        <v>83</v>
      </c>
      <c r="T96" t="s">
        <v>83</v>
      </c>
      <c r="U96" t="s">
        <v>1074</v>
      </c>
    </row>
    <row r="97" spans="1:21" ht="16.5" customHeight="1" x14ac:dyDescent="0.45">
      <c r="A97" s="10">
        <v>154940979</v>
      </c>
      <c r="B97" s="11" t="str">
        <f t="shared" si="29"/>
        <v>15.494.097-9</v>
      </c>
      <c r="C97" s="11" t="s">
        <v>14</v>
      </c>
      <c r="D97" s="11" t="s">
        <v>935</v>
      </c>
      <c r="E97" s="11" t="s">
        <v>229</v>
      </c>
      <c r="F97" s="11" t="s">
        <v>936</v>
      </c>
      <c r="G97" s="12">
        <v>46017</v>
      </c>
      <c r="H97" s="12"/>
      <c r="I97" s="48" t="s">
        <v>15</v>
      </c>
      <c r="J97" s="57" t="s">
        <v>206</v>
      </c>
      <c r="K97" s="58" t="s">
        <v>18</v>
      </c>
      <c r="L97" s="38">
        <v>46017</v>
      </c>
      <c r="M97" s="35">
        <v>46022</v>
      </c>
      <c r="N97" s="44">
        <f t="shared" si="30"/>
        <v>5</v>
      </c>
      <c r="O97" s="44"/>
      <c r="P97" t="s">
        <v>83</v>
      </c>
      <c r="Q97" t="s">
        <v>83</v>
      </c>
      <c r="R97" t="s">
        <v>83</v>
      </c>
      <c r="S97" t="s">
        <v>83</v>
      </c>
      <c r="T97" t="s">
        <v>83</v>
      </c>
      <c r="U97" t="s">
        <v>1074</v>
      </c>
    </row>
    <row r="98" spans="1:21" ht="16.5" customHeight="1" x14ac:dyDescent="0.45">
      <c r="A98" s="10">
        <v>156171395</v>
      </c>
      <c r="B98" s="11" t="str">
        <f t="shared" si="29"/>
        <v>15.617.139-5</v>
      </c>
      <c r="C98" s="11" t="s">
        <v>14</v>
      </c>
      <c r="D98" s="11" t="s">
        <v>579</v>
      </c>
      <c r="E98" s="11" t="s">
        <v>103</v>
      </c>
      <c r="F98" s="11" t="s">
        <v>937</v>
      </c>
      <c r="G98" s="12">
        <v>46018</v>
      </c>
      <c r="H98" s="12">
        <v>46022</v>
      </c>
      <c r="I98" s="48" t="s">
        <v>15</v>
      </c>
      <c r="J98" s="57"/>
      <c r="K98" s="57" t="s">
        <v>17</v>
      </c>
      <c r="L98" s="12">
        <v>46018</v>
      </c>
      <c r="M98" s="35">
        <v>46022</v>
      </c>
      <c r="N98" s="44">
        <f t="shared" si="30"/>
        <v>4</v>
      </c>
      <c r="O98" s="44"/>
      <c r="P98" t="s">
        <v>83</v>
      </c>
      <c r="Q98" t="s">
        <v>83</v>
      </c>
      <c r="R98" t="s">
        <v>83</v>
      </c>
      <c r="S98" t="s">
        <v>83</v>
      </c>
      <c r="T98" t="s">
        <v>83</v>
      </c>
      <c r="U98" t="s">
        <v>1074</v>
      </c>
    </row>
    <row r="99" spans="1:21" ht="16.5" customHeight="1" x14ac:dyDescent="0.45">
      <c r="A99" s="10">
        <v>156171395</v>
      </c>
      <c r="B99" s="11" t="str">
        <f t="shared" si="29"/>
        <v>15.617.139-5</v>
      </c>
      <c r="C99" s="11" t="s">
        <v>14</v>
      </c>
      <c r="D99" s="11" t="s">
        <v>579</v>
      </c>
      <c r="E99" s="11" t="s">
        <v>103</v>
      </c>
      <c r="F99" s="11" t="s">
        <v>937</v>
      </c>
      <c r="G99" s="12">
        <v>46018</v>
      </c>
      <c r="H99" s="12">
        <v>46022</v>
      </c>
      <c r="I99" s="48" t="s">
        <v>15</v>
      </c>
      <c r="J99" s="57"/>
      <c r="K99" s="58" t="s">
        <v>16</v>
      </c>
      <c r="L99" s="38">
        <v>46018</v>
      </c>
      <c r="M99" s="59">
        <v>46022</v>
      </c>
      <c r="N99" s="44">
        <f t="shared" si="30"/>
        <v>4</v>
      </c>
      <c r="O99" s="44"/>
      <c r="P99" t="s">
        <v>83</v>
      </c>
      <c r="Q99" t="s">
        <v>83</v>
      </c>
      <c r="R99" t="s">
        <v>83</v>
      </c>
      <c r="S99" t="s">
        <v>83</v>
      </c>
      <c r="T99" t="s">
        <v>83</v>
      </c>
      <c r="U99" t="s">
        <v>1074</v>
      </c>
    </row>
    <row r="100" spans="1:21" ht="16.5" customHeight="1" x14ac:dyDescent="0.45">
      <c r="A100" s="10">
        <v>151668755</v>
      </c>
      <c r="B100" s="11" t="str">
        <f t="shared" si="29"/>
        <v>15.166.875-5</v>
      </c>
      <c r="C100" s="11" t="s">
        <v>14</v>
      </c>
      <c r="D100" s="11" t="s">
        <v>396</v>
      </c>
      <c r="E100" s="11" t="s">
        <v>762</v>
      </c>
      <c r="F100" s="11" t="s">
        <v>938</v>
      </c>
      <c r="G100" s="12">
        <v>46002</v>
      </c>
      <c r="H100" s="12">
        <v>46006</v>
      </c>
      <c r="I100" s="48" t="s">
        <v>15</v>
      </c>
      <c r="J100" s="57" t="s">
        <v>60</v>
      </c>
      <c r="K100" s="57" t="s">
        <v>17</v>
      </c>
      <c r="L100" s="12">
        <v>46002</v>
      </c>
      <c r="M100" s="12">
        <v>46006</v>
      </c>
      <c r="N100" s="44">
        <f t="shared" si="30"/>
        <v>4</v>
      </c>
      <c r="O100" s="44"/>
      <c r="P100" t="s">
        <v>83</v>
      </c>
      <c r="Q100" t="s">
        <v>83</v>
      </c>
      <c r="R100" t="s">
        <v>83</v>
      </c>
      <c r="S100" t="s">
        <v>83</v>
      </c>
      <c r="T100" t="s">
        <v>83</v>
      </c>
      <c r="U100" t="s">
        <v>1074</v>
      </c>
    </row>
    <row r="101" spans="1:21" ht="16.5" customHeight="1" x14ac:dyDescent="0.45">
      <c r="A101" s="10">
        <v>151668755</v>
      </c>
      <c r="B101" s="11" t="str">
        <f t="shared" si="29"/>
        <v>15.166.875-5</v>
      </c>
      <c r="C101" s="11" t="s">
        <v>14</v>
      </c>
      <c r="D101" s="11" t="s">
        <v>396</v>
      </c>
      <c r="E101" s="11" t="s">
        <v>762</v>
      </c>
      <c r="F101" s="11" t="s">
        <v>938</v>
      </c>
      <c r="G101" s="12">
        <v>46002</v>
      </c>
      <c r="H101" s="12">
        <v>46006</v>
      </c>
      <c r="I101" s="48" t="s">
        <v>15</v>
      </c>
      <c r="J101" s="57" t="s">
        <v>60</v>
      </c>
      <c r="K101" s="58" t="s">
        <v>16</v>
      </c>
      <c r="L101" s="12">
        <v>46002</v>
      </c>
      <c r="M101" s="12">
        <v>46006</v>
      </c>
      <c r="N101" s="44">
        <f t="shared" si="30"/>
        <v>4</v>
      </c>
      <c r="O101" s="44"/>
      <c r="P101" t="s">
        <v>83</v>
      </c>
      <c r="Q101" t="s">
        <v>83</v>
      </c>
      <c r="R101" t="s">
        <v>83</v>
      </c>
      <c r="S101" t="s">
        <v>83</v>
      </c>
      <c r="T101" t="s">
        <v>83</v>
      </c>
      <c r="U101" t="s">
        <v>1074</v>
      </c>
    </row>
    <row r="102" spans="1:21" ht="15.75" customHeight="1" x14ac:dyDescent="0.45">
      <c r="A102" s="15">
        <v>45117901</v>
      </c>
      <c r="B102" s="16" t="str">
        <f t="shared" si="0"/>
        <v>4.511.790-1</v>
      </c>
      <c r="C102" s="16" t="s">
        <v>28</v>
      </c>
      <c r="D102" s="16" t="s">
        <v>700</v>
      </c>
      <c r="E102" s="16" t="s">
        <v>173</v>
      </c>
      <c r="F102" s="16" t="s">
        <v>615</v>
      </c>
      <c r="G102" s="17">
        <v>45986</v>
      </c>
      <c r="H102" s="17">
        <v>46000</v>
      </c>
      <c r="I102" s="37" t="s">
        <v>15</v>
      </c>
      <c r="J102" s="53" t="s">
        <v>931</v>
      </c>
      <c r="K102" s="53" t="s">
        <v>17</v>
      </c>
      <c r="L102" s="28">
        <v>45992</v>
      </c>
      <c r="M102" s="28">
        <v>46000</v>
      </c>
      <c r="N102" s="46">
        <f t="shared" si="2"/>
        <v>8</v>
      </c>
      <c r="O102" s="28"/>
      <c r="P102" t="s">
        <v>83</v>
      </c>
      <c r="Q102" t="s">
        <v>83</v>
      </c>
      <c r="R102" t="s">
        <v>83</v>
      </c>
      <c r="S102" t="s">
        <v>83</v>
      </c>
      <c r="T102" t="s">
        <v>83</v>
      </c>
      <c r="U102" t="s">
        <v>1074</v>
      </c>
    </row>
    <row r="103" spans="1:21" ht="15.75" customHeight="1" x14ac:dyDescent="0.45">
      <c r="A103" s="15">
        <v>84206849</v>
      </c>
      <c r="B103" s="16" t="str">
        <f t="shared" si="0"/>
        <v>8.420.684-9</v>
      </c>
      <c r="C103" s="16" t="s">
        <v>28</v>
      </c>
      <c r="D103" s="16" t="s">
        <v>292</v>
      </c>
      <c r="E103" s="16" t="s">
        <v>695</v>
      </c>
      <c r="F103" s="16" t="s">
        <v>460</v>
      </c>
      <c r="G103" s="17">
        <v>45986</v>
      </c>
      <c r="H103" s="17">
        <v>46002</v>
      </c>
      <c r="I103" s="37" t="s">
        <v>72</v>
      </c>
      <c r="J103" s="53" t="s">
        <v>42</v>
      </c>
      <c r="K103" s="53" t="s">
        <v>17</v>
      </c>
      <c r="L103" s="28">
        <v>45992</v>
      </c>
      <c r="M103" s="28">
        <v>46002</v>
      </c>
      <c r="N103" s="46">
        <f t="shared" si="2"/>
        <v>10</v>
      </c>
      <c r="O103" s="28"/>
      <c r="P103" t="s">
        <v>83</v>
      </c>
      <c r="Q103" t="s">
        <v>83</v>
      </c>
      <c r="R103" t="s">
        <v>83</v>
      </c>
      <c r="S103" t="s">
        <v>83</v>
      </c>
      <c r="T103" t="s">
        <v>83</v>
      </c>
      <c r="U103" t="s">
        <v>1074</v>
      </c>
    </row>
    <row r="104" spans="1:21" ht="15.75" customHeight="1" x14ac:dyDescent="0.45">
      <c r="A104" s="15">
        <v>95674666</v>
      </c>
      <c r="B104" s="16" t="str">
        <f t="shared" si="0"/>
        <v>9.567.466-6</v>
      </c>
      <c r="C104" s="16" t="s">
        <v>28</v>
      </c>
      <c r="D104" s="16" t="s">
        <v>86</v>
      </c>
      <c r="E104" s="16" t="s">
        <v>450</v>
      </c>
      <c r="F104" s="16" t="s">
        <v>883</v>
      </c>
      <c r="G104" s="17">
        <v>45986</v>
      </c>
      <c r="H104" s="17">
        <v>45994</v>
      </c>
      <c r="I104" s="37" t="s">
        <v>15</v>
      </c>
      <c r="J104" s="53" t="s">
        <v>48</v>
      </c>
      <c r="K104" s="53" t="s">
        <v>17</v>
      </c>
      <c r="L104" s="28">
        <v>45992</v>
      </c>
      <c r="M104" s="28">
        <v>45994</v>
      </c>
      <c r="N104" s="46">
        <f t="shared" si="2"/>
        <v>2</v>
      </c>
      <c r="O104" s="28"/>
      <c r="P104" t="s">
        <v>83</v>
      </c>
      <c r="Q104" t="s">
        <v>83</v>
      </c>
      <c r="R104" t="s">
        <v>83</v>
      </c>
      <c r="S104" t="s">
        <v>83</v>
      </c>
      <c r="T104" t="s">
        <v>83</v>
      </c>
      <c r="U104" t="s">
        <v>1074</v>
      </c>
    </row>
    <row r="105" spans="1:21" ht="15.75" customHeight="1" x14ac:dyDescent="0.45">
      <c r="A105" s="15">
        <v>86541963</v>
      </c>
      <c r="B105" s="16" t="str">
        <f t="shared" si="0"/>
        <v>8.654.196-3</v>
      </c>
      <c r="C105" s="16" t="s">
        <v>28</v>
      </c>
      <c r="D105" s="16" t="s">
        <v>548</v>
      </c>
      <c r="E105" s="16" t="s">
        <v>408</v>
      </c>
      <c r="F105" s="16" t="s">
        <v>135</v>
      </c>
      <c r="G105" s="17">
        <v>45992</v>
      </c>
      <c r="H105" s="17">
        <v>46006</v>
      </c>
      <c r="I105" s="37" t="s">
        <v>56</v>
      </c>
      <c r="J105" s="53" t="s">
        <v>48</v>
      </c>
      <c r="K105" s="53" t="s">
        <v>16</v>
      </c>
      <c r="L105" s="28">
        <v>45992</v>
      </c>
      <c r="M105" s="28">
        <v>46006</v>
      </c>
      <c r="N105" s="46">
        <f t="shared" si="2"/>
        <v>14</v>
      </c>
      <c r="O105" s="28"/>
      <c r="P105" t="s">
        <v>83</v>
      </c>
      <c r="Q105" t="s">
        <v>83</v>
      </c>
      <c r="R105" t="s">
        <v>83</v>
      </c>
      <c r="S105" t="s">
        <v>83</v>
      </c>
      <c r="T105" t="s">
        <v>83</v>
      </c>
      <c r="U105" t="s">
        <v>1074</v>
      </c>
    </row>
    <row r="106" spans="1:21" ht="15.75" customHeight="1" x14ac:dyDescent="0.45">
      <c r="A106" s="15">
        <v>79171212</v>
      </c>
      <c r="B106" s="16" t="str">
        <f t="shared" si="0"/>
        <v>7.917.121-2</v>
      </c>
      <c r="C106" s="16" t="s">
        <v>28</v>
      </c>
      <c r="D106" s="16" t="s">
        <v>103</v>
      </c>
      <c r="E106" s="16" t="s">
        <v>201</v>
      </c>
      <c r="F106" s="16" t="s">
        <v>889</v>
      </c>
      <c r="G106" s="17">
        <v>45986</v>
      </c>
      <c r="H106" s="17">
        <v>46007</v>
      </c>
      <c r="I106" s="37" t="s">
        <v>15</v>
      </c>
      <c r="J106" s="53" t="s">
        <v>62</v>
      </c>
      <c r="K106" s="53" t="s">
        <v>17</v>
      </c>
      <c r="L106" s="28">
        <v>45992</v>
      </c>
      <c r="M106" s="17">
        <v>46007</v>
      </c>
      <c r="N106" s="46">
        <f t="shared" si="2"/>
        <v>15</v>
      </c>
      <c r="O106" s="28"/>
      <c r="P106" t="s">
        <v>83</v>
      </c>
      <c r="Q106" t="s">
        <v>83</v>
      </c>
      <c r="R106" t="s">
        <v>83</v>
      </c>
      <c r="S106" t="s">
        <v>83</v>
      </c>
      <c r="T106" t="s">
        <v>83</v>
      </c>
      <c r="U106" t="s">
        <v>1074</v>
      </c>
    </row>
    <row r="107" spans="1:21" s="15" customFormat="1" ht="15.75" customHeight="1" x14ac:dyDescent="0.45">
      <c r="A107" s="15">
        <v>79171213</v>
      </c>
      <c r="B107" s="16" t="str">
        <f t="shared" ref="B107" si="33"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7.917.121-3</v>
      </c>
      <c r="C107" s="16" t="s">
        <v>28</v>
      </c>
      <c r="D107" s="16" t="s">
        <v>103</v>
      </c>
      <c r="E107" s="16" t="s">
        <v>201</v>
      </c>
      <c r="F107" s="16" t="s">
        <v>889</v>
      </c>
      <c r="G107" s="17">
        <v>45986</v>
      </c>
      <c r="H107" s="83">
        <v>46007</v>
      </c>
      <c r="I107" s="37" t="s">
        <v>15</v>
      </c>
      <c r="J107" s="53" t="s">
        <v>62</v>
      </c>
      <c r="K107" s="53" t="s">
        <v>16</v>
      </c>
      <c r="L107" s="83">
        <v>46001</v>
      </c>
      <c r="M107" s="83">
        <v>46007</v>
      </c>
      <c r="N107" s="15">
        <f t="shared" si="2"/>
        <v>6</v>
      </c>
      <c r="P107" t="s">
        <v>83</v>
      </c>
      <c r="Q107" t="s">
        <v>83</v>
      </c>
      <c r="R107" t="s">
        <v>83</v>
      </c>
      <c r="S107" t="s">
        <v>83</v>
      </c>
      <c r="T107" t="s">
        <v>83</v>
      </c>
      <c r="U107" t="s">
        <v>1074</v>
      </c>
    </row>
    <row r="108" spans="1:21" ht="15.75" customHeight="1" x14ac:dyDescent="0.45">
      <c r="A108" s="15" t="s">
        <v>884</v>
      </c>
      <c r="B108" s="16" t="str">
        <f t="shared" si="0"/>
        <v>11.774.406-K</v>
      </c>
      <c r="C108" s="16" t="s">
        <v>28</v>
      </c>
      <c r="D108" s="16" t="s">
        <v>97</v>
      </c>
      <c r="E108" s="16" t="s">
        <v>20</v>
      </c>
      <c r="F108" s="16" t="s">
        <v>442</v>
      </c>
      <c r="G108" s="17">
        <v>45994</v>
      </c>
      <c r="H108" s="17">
        <v>45996</v>
      </c>
      <c r="I108" s="37" t="s">
        <v>15</v>
      </c>
      <c r="J108" s="53" t="s">
        <v>42</v>
      </c>
      <c r="K108" s="53" t="s">
        <v>16</v>
      </c>
      <c r="L108" s="17">
        <v>45994</v>
      </c>
      <c r="M108" s="17">
        <v>45996</v>
      </c>
      <c r="N108" s="46">
        <f t="shared" si="2"/>
        <v>2</v>
      </c>
      <c r="O108" s="28"/>
      <c r="P108" t="s">
        <v>83</v>
      </c>
      <c r="Q108" t="s">
        <v>83</v>
      </c>
      <c r="R108" t="s">
        <v>83</v>
      </c>
      <c r="S108" t="s">
        <v>83</v>
      </c>
      <c r="T108" t="s">
        <v>83</v>
      </c>
      <c r="U108" t="s">
        <v>1074</v>
      </c>
    </row>
    <row r="109" spans="1:21" ht="15.75" customHeight="1" x14ac:dyDescent="0.45">
      <c r="A109" s="15">
        <v>66373630</v>
      </c>
      <c r="B109" s="16" t="str">
        <f t="shared" si="0"/>
        <v>6.637.363-0</v>
      </c>
      <c r="C109" s="16" t="s">
        <v>28</v>
      </c>
      <c r="D109" s="16" t="s">
        <v>799</v>
      </c>
      <c r="E109" s="16" t="s">
        <v>800</v>
      </c>
      <c r="F109" s="16" t="s">
        <v>454</v>
      </c>
      <c r="G109" s="17">
        <v>45981</v>
      </c>
      <c r="H109" s="17">
        <v>46019</v>
      </c>
      <c r="I109" s="37" t="s">
        <v>60</v>
      </c>
      <c r="J109" s="53" t="s">
        <v>106</v>
      </c>
      <c r="K109" s="53" t="s">
        <v>17</v>
      </c>
      <c r="L109" s="28">
        <v>45992</v>
      </c>
      <c r="M109" s="28">
        <v>46019</v>
      </c>
      <c r="N109" s="46">
        <f t="shared" si="2"/>
        <v>27</v>
      </c>
      <c r="O109" s="28" t="s">
        <v>914</v>
      </c>
      <c r="P109" t="s">
        <v>83</v>
      </c>
      <c r="Q109" t="s">
        <v>83</v>
      </c>
      <c r="R109" t="s">
        <v>83</v>
      </c>
      <c r="S109" t="s">
        <v>83</v>
      </c>
      <c r="T109" t="s">
        <v>83</v>
      </c>
      <c r="U109" t="s">
        <v>1074</v>
      </c>
    </row>
    <row r="110" spans="1:21" ht="15.75" customHeight="1" x14ac:dyDescent="0.45">
      <c r="A110" s="15">
        <v>44429519</v>
      </c>
      <c r="B110" s="16" t="str">
        <f t="shared" si="0"/>
        <v>4.442.951-9</v>
      </c>
      <c r="C110" s="16" t="s">
        <v>28</v>
      </c>
      <c r="D110" s="16" t="s">
        <v>890</v>
      </c>
      <c r="E110" s="16" t="s">
        <v>890</v>
      </c>
      <c r="F110" s="16" t="s">
        <v>891</v>
      </c>
      <c r="G110" s="17">
        <v>46003</v>
      </c>
      <c r="H110" s="17">
        <v>46021</v>
      </c>
      <c r="I110" s="37" t="s">
        <v>14</v>
      </c>
      <c r="J110" s="53" t="s">
        <v>62</v>
      </c>
      <c r="K110" s="53" t="s">
        <v>17</v>
      </c>
      <c r="L110" s="28">
        <v>46003</v>
      </c>
      <c r="M110" s="28">
        <v>46021</v>
      </c>
      <c r="N110" s="46">
        <f t="shared" si="2"/>
        <v>18</v>
      </c>
      <c r="O110" s="28"/>
      <c r="P110" t="s">
        <v>83</v>
      </c>
      <c r="Q110" t="s">
        <v>83</v>
      </c>
      <c r="R110" t="s">
        <v>83</v>
      </c>
      <c r="S110" t="s">
        <v>83</v>
      </c>
      <c r="T110" t="s">
        <v>83</v>
      </c>
      <c r="U110" t="s">
        <v>1074</v>
      </c>
    </row>
    <row r="111" spans="1:21" ht="15.75" customHeight="1" x14ac:dyDescent="0.45">
      <c r="A111" s="15">
        <v>50859525</v>
      </c>
      <c r="B111" s="16" t="str">
        <f t="shared" si="0"/>
        <v>5.085.952-5</v>
      </c>
      <c r="C111" s="16" t="s">
        <v>28</v>
      </c>
      <c r="D111" s="16" t="s">
        <v>275</v>
      </c>
      <c r="E111" s="16" t="s">
        <v>681</v>
      </c>
      <c r="F111" s="16" t="s">
        <v>921</v>
      </c>
      <c r="G111" s="17">
        <v>45998</v>
      </c>
      <c r="H111" s="17">
        <v>46011</v>
      </c>
      <c r="I111" s="37" t="s">
        <v>922</v>
      </c>
      <c r="J111" s="53" t="s">
        <v>72</v>
      </c>
      <c r="K111" s="53" t="s">
        <v>17</v>
      </c>
      <c r="L111" s="28">
        <v>46007</v>
      </c>
      <c r="M111" s="28">
        <v>46011</v>
      </c>
      <c r="N111" s="46">
        <f t="shared" si="2"/>
        <v>4</v>
      </c>
      <c r="O111" s="28"/>
      <c r="P111" t="s">
        <v>83</v>
      </c>
      <c r="Q111" t="s">
        <v>83</v>
      </c>
      <c r="R111" t="s">
        <v>83</v>
      </c>
      <c r="S111" t="s">
        <v>83</v>
      </c>
      <c r="T111" t="s">
        <v>83</v>
      </c>
      <c r="U111" t="s">
        <v>1074</v>
      </c>
    </row>
    <row r="112" spans="1:21" ht="15.75" customHeight="1" x14ac:dyDescent="0.45">
      <c r="A112" s="15">
        <v>93942531</v>
      </c>
      <c r="B112" s="16" t="str">
        <f t="shared" si="0"/>
        <v>9.394.253-1</v>
      </c>
      <c r="C112" s="16" t="s">
        <v>28</v>
      </c>
      <c r="D112" s="16" t="s">
        <v>104</v>
      </c>
      <c r="E112" s="16" t="s">
        <v>582</v>
      </c>
      <c r="F112" s="16" t="s">
        <v>923</v>
      </c>
      <c r="G112" s="17">
        <v>45995</v>
      </c>
      <c r="H112" s="17">
        <v>46022</v>
      </c>
      <c r="I112" s="37" t="s">
        <v>15</v>
      </c>
      <c r="J112" s="53" t="s">
        <v>42</v>
      </c>
      <c r="K112" s="53" t="s">
        <v>906</v>
      </c>
      <c r="L112" s="28">
        <v>46002</v>
      </c>
      <c r="M112" s="28">
        <v>46022</v>
      </c>
      <c r="N112" s="46">
        <f t="shared" si="2"/>
        <v>20</v>
      </c>
      <c r="O112" s="28"/>
      <c r="P112" t="s">
        <v>83</v>
      </c>
      <c r="Q112" t="s">
        <v>83</v>
      </c>
      <c r="R112" t="s">
        <v>83</v>
      </c>
      <c r="S112" t="s">
        <v>83</v>
      </c>
      <c r="T112" t="s">
        <v>83</v>
      </c>
      <c r="U112" t="s">
        <v>1074</v>
      </c>
    </row>
    <row r="113" spans="1:21" ht="15.75" customHeight="1" x14ac:dyDescent="0.45">
      <c r="A113" s="15">
        <v>99312394</v>
      </c>
      <c r="B113" s="16" t="str">
        <f t="shared" si="0"/>
        <v>9.931.239-4</v>
      </c>
      <c r="C113" s="16" t="s">
        <v>28</v>
      </c>
      <c r="D113" s="16" t="s">
        <v>343</v>
      </c>
      <c r="E113" s="16" t="s">
        <v>36</v>
      </c>
      <c r="F113" s="16" t="s">
        <v>895</v>
      </c>
      <c r="G113" s="17">
        <v>46001</v>
      </c>
      <c r="H113" s="17">
        <v>46010</v>
      </c>
      <c r="I113" s="37" t="s">
        <v>14</v>
      </c>
      <c r="J113" s="53" t="s">
        <v>924</v>
      </c>
      <c r="K113" s="53" t="s">
        <v>17</v>
      </c>
      <c r="L113" s="28">
        <v>46001</v>
      </c>
      <c r="M113" s="28">
        <v>46010</v>
      </c>
      <c r="N113" s="46">
        <f t="shared" si="2"/>
        <v>9</v>
      </c>
      <c r="O113" s="28"/>
      <c r="P113" t="s">
        <v>83</v>
      </c>
      <c r="Q113" t="s">
        <v>83</v>
      </c>
      <c r="R113" t="s">
        <v>83</v>
      </c>
      <c r="S113" t="s">
        <v>83</v>
      </c>
      <c r="T113" t="s">
        <v>83</v>
      </c>
      <c r="U113" t="s">
        <v>1074</v>
      </c>
    </row>
    <row r="114" spans="1:21" ht="15.75" customHeight="1" x14ac:dyDescent="0.45">
      <c r="A114" s="15">
        <v>61839569</v>
      </c>
      <c r="B114" s="16" t="str">
        <f t="shared" si="0"/>
        <v>6.183.956-9</v>
      </c>
      <c r="C114" s="16" t="s">
        <v>28</v>
      </c>
      <c r="D114" s="16" t="s">
        <v>849</v>
      </c>
      <c r="E114" s="16" t="s">
        <v>925</v>
      </c>
      <c r="F114" s="16" t="s">
        <v>638</v>
      </c>
      <c r="G114" s="17">
        <v>46007</v>
      </c>
      <c r="H114" s="17">
        <v>46017</v>
      </c>
      <c r="I114" s="37" t="s">
        <v>60</v>
      </c>
      <c r="J114" s="53" t="s">
        <v>62</v>
      </c>
      <c r="K114" s="53" t="s">
        <v>16</v>
      </c>
      <c r="L114" s="28">
        <v>46007</v>
      </c>
      <c r="M114" s="28">
        <v>46014</v>
      </c>
      <c r="N114" s="46">
        <f t="shared" ref="N114:N118" si="34">+M114-L114</f>
        <v>7</v>
      </c>
      <c r="O114" s="28"/>
      <c r="P114" t="s">
        <v>83</v>
      </c>
      <c r="Q114" t="s">
        <v>83</v>
      </c>
      <c r="R114" t="s">
        <v>83</v>
      </c>
      <c r="S114" t="s">
        <v>83</v>
      </c>
      <c r="T114" t="s">
        <v>83</v>
      </c>
      <c r="U114" t="s">
        <v>1074</v>
      </c>
    </row>
    <row r="115" spans="1:21" ht="15.75" customHeight="1" x14ac:dyDescent="0.45">
      <c r="A115" s="15">
        <v>61839569</v>
      </c>
      <c r="B115" s="16" t="str">
        <f t="shared" ref="B115" si="35">IF(LEN(A115)=8,MID(A115,1,1)&amp;"."&amp;MID(A115,2,3)&amp;"."&amp;MID(A115,5,3)&amp;"-"&amp;RIGHT(A115,1),IF(LEFT(RIGHT(A115,2),1)="-",MID(A115,1,1)&amp;"."&amp;MID(A115,2,3)&amp;"."&amp;MID(A115,5,3)&amp;"-"&amp;RIGHT(A115,1),MID(A115,1,2)&amp;"."&amp;MID(A115,3,3)&amp;"."&amp;MID(A115,6,3)&amp;"-"&amp;MID(A115,9,1)))</f>
        <v>6.183.956-9</v>
      </c>
      <c r="C115" s="16" t="s">
        <v>28</v>
      </c>
      <c r="D115" s="16" t="s">
        <v>849</v>
      </c>
      <c r="E115" s="16" t="s">
        <v>925</v>
      </c>
      <c r="F115" s="16" t="s">
        <v>638</v>
      </c>
      <c r="G115" s="17">
        <v>46007</v>
      </c>
      <c r="H115" s="17">
        <v>46017</v>
      </c>
      <c r="I115" s="37" t="s">
        <v>60</v>
      </c>
      <c r="J115" s="53" t="s">
        <v>62</v>
      </c>
      <c r="K115" s="53" t="s">
        <v>17</v>
      </c>
      <c r="L115" s="28">
        <v>46007</v>
      </c>
      <c r="M115" s="28">
        <v>46017</v>
      </c>
      <c r="N115" s="46">
        <f t="shared" si="34"/>
        <v>10</v>
      </c>
      <c r="O115" s="28"/>
      <c r="P115" t="s">
        <v>83</v>
      </c>
      <c r="Q115" t="s">
        <v>83</v>
      </c>
      <c r="R115" t="s">
        <v>83</v>
      </c>
      <c r="S115" t="s">
        <v>83</v>
      </c>
      <c r="T115" t="s">
        <v>83</v>
      </c>
      <c r="U115" t="s">
        <v>1074</v>
      </c>
    </row>
    <row r="116" spans="1:21" ht="15.75" customHeight="1" x14ac:dyDescent="0.45">
      <c r="A116" s="15">
        <v>74525172</v>
      </c>
      <c r="B116" s="16" t="str">
        <f t="shared" ref="B116:B118" si="36">IF(LEN(A116)=8,MID(A116,1,1)&amp;"."&amp;MID(A116,2,3)&amp;"."&amp;MID(A116,5,3)&amp;"-"&amp;RIGHT(A116,1),IF(LEFT(RIGHT(A116,2),1)="-",MID(A116,1,1)&amp;"."&amp;MID(A116,2,3)&amp;"."&amp;MID(A116,5,3)&amp;"-"&amp;RIGHT(A116,1),MID(A116,1,2)&amp;"."&amp;MID(A116,3,3)&amp;"."&amp;MID(A116,6,3)&amp;"-"&amp;MID(A116,9,1)))</f>
        <v>7.452.517-2</v>
      </c>
      <c r="C116" s="16" t="s">
        <v>28</v>
      </c>
      <c r="D116" s="16" t="s">
        <v>474</v>
      </c>
      <c r="E116" s="16" t="s">
        <v>926</v>
      </c>
      <c r="F116" s="16" t="s">
        <v>704</v>
      </c>
      <c r="G116" s="17">
        <v>46005</v>
      </c>
      <c r="H116" s="17">
        <v>46020</v>
      </c>
      <c r="I116" s="37" t="s">
        <v>56</v>
      </c>
      <c r="J116" s="53" t="s">
        <v>62</v>
      </c>
      <c r="K116" s="53" t="s">
        <v>906</v>
      </c>
      <c r="L116" s="28">
        <v>46005</v>
      </c>
      <c r="M116" s="28">
        <v>46020</v>
      </c>
      <c r="N116" s="46">
        <f t="shared" si="34"/>
        <v>15</v>
      </c>
      <c r="O116" s="28"/>
      <c r="P116" t="s">
        <v>83</v>
      </c>
      <c r="Q116" t="s">
        <v>83</v>
      </c>
      <c r="R116" t="s">
        <v>83</v>
      </c>
      <c r="S116" t="s">
        <v>83</v>
      </c>
      <c r="T116" t="s">
        <v>83</v>
      </c>
      <c r="U116" t="s">
        <v>1074</v>
      </c>
    </row>
    <row r="117" spans="1:21" ht="15.75" customHeight="1" x14ac:dyDescent="0.45">
      <c r="A117" s="15">
        <v>74525172</v>
      </c>
      <c r="B117" s="16" t="str">
        <f t="shared" ref="B117" si="37">IF(LEN(A117)=8,MID(A117,1,1)&amp;"."&amp;MID(A117,2,3)&amp;"."&amp;MID(A117,5,3)&amp;"-"&amp;RIGHT(A117,1),IF(LEFT(RIGHT(A117,2),1)="-",MID(A117,1,1)&amp;"."&amp;MID(A117,2,3)&amp;"."&amp;MID(A117,5,3)&amp;"-"&amp;RIGHT(A117,1),MID(A117,1,2)&amp;"."&amp;MID(A117,3,3)&amp;"."&amp;MID(A117,6,3)&amp;"-"&amp;MID(A117,9,1)))</f>
        <v>7.452.517-2</v>
      </c>
      <c r="C117" s="16" t="s">
        <v>28</v>
      </c>
      <c r="D117" s="16" t="s">
        <v>474</v>
      </c>
      <c r="E117" s="16" t="s">
        <v>926</v>
      </c>
      <c r="F117" s="16" t="s">
        <v>704</v>
      </c>
      <c r="G117" s="17">
        <v>46005</v>
      </c>
      <c r="H117" s="17">
        <v>46020</v>
      </c>
      <c r="I117" s="37" t="s">
        <v>56</v>
      </c>
      <c r="J117" s="53" t="s">
        <v>62</v>
      </c>
      <c r="K117" s="53" t="s">
        <v>17</v>
      </c>
      <c r="L117" s="28">
        <v>46008</v>
      </c>
      <c r="M117" s="28">
        <v>46020</v>
      </c>
      <c r="N117" s="46">
        <f t="shared" si="34"/>
        <v>12</v>
      </c>
      <c r="O117" s="28"/>
      <c r="P117" t="s">
        <v>83</v>
      </c>
      <c r="Q117" t="s">
        <v>83</v>
      </c>
      <c r="R117" t="s">
        <v>83</v>
      </c>
      <c r="S117" t="s">
        <v>83</v>
      </c>
      <c r="T117" t="s">
        <v>83</v>
      </c>
      <c r="U117" t="s">
        <v>1074</v>
      </c>
    </row>
    <row r="118" spans="1:21" ht="15.75" customHeight="1" x14ac:dyDescent="0.45">
      <c r="A118" s="15">
        <v>66373630</v>
      </c>
      <c r="B118" s="16" t="str">
        <f t="shared" si="36"/>
        <v>6.637.363-0</v>
      </c>
      <c r="C118" s="16" t="s">
        <v>28</v>
      </c>
      <c r="D118" s="16" t="s">
        <v>799</v>
      </c>
      <c r="E118" s="16" t="s">
        <v>800</v>
      </c>
      <c r="F118" s="16" t="s">
        <v>454</v>
      </c>
      <c r="G118" s="17">
        <v>45983</v>
      </c>
      <c r="H118" s="17">
        <v>46019</v>
      </c>
      <c r="I118" s="37" t="s">
        <v>60</v>
      </c>
      <c r="J118" s="53" t="s">
        <v>106</v>
      </c>
      <c r="K118" s="53" t="s">
        <v>17</v>
      </c>
      <c r="L118" s="28">
        <v>46009</v>
      </c>
      <c r="M118" s="28">
        <v>46019</v>
      </c>
      <c r="N118" s="46">
        <f t="shared" si="34"/>
        <v>10</v>
      </c>
      <c r="O118" s="28" t="s">
        <v>914</v>
      </c>
      <c r="P118" t="s">
        <v>83</v>
      </c>
      <c r="Q118" t="s">
        <v>83</v>
      </c>
      <c r="R118" t="s">
        <v>83</v>
      </c>
      <c r="S118" t="s">
        <v>83</v>
      </c>
      <c r="T118" t="s">
        <v>83</v>
      </c>
      <c r="U118" t="s">
        <v>1074</v>
      </c>
    </row>
    <row r="119" spans="1:21" ht="15.75" customHeight="1" x14ac:dyDescent="0.45">
      <c r="A119" s="15">
        <v>68002710</v>
      </c>
      <c r="B119" s="16" t="str">
        <f t="shared" ref="B119:B123" si="38">IF(LEN(A119)=8,MID(A119,1,1)&amp;"."&amp;MID(A119,2,3)&amp;"."&amp;MID(A119,5,3)&amp;"-"&amp;RIGHT(A119,1),IF(LEFT(RIGHT(A119,2),1)="-",MID(A119,1,1)&amp;"."&amp;MID(A119,2,3)&amp;"."&amp;MID(A119,5,3)&amp;"-"&amp;RIGHT(A119,1),MID(A119,1,2)&amp;"."&amp;MID(A119,3,3)&amp;"."&amp;MID(A119,6,3)&amp;"-"&amp;MID(A119,9,1)))</f>
        <v>6.800.271-0</v>
      </c>
      <c r="C119" s="16" t="s">
        <v>28</v>
      </c>
      <c r="D119" s="16" t="s">
        <v>197</v>
      </c>
      <c r="E119" s="16" t="s">
        <v>322</v>
      </c>
      <c r="F119" s="16" t="s">
        <v>927</v>
      </c>
      <c r="G119" s="17">
        <v>46008</v>
      </c>
      <c r="H119" s="17">
        <v>46014</v>
      </c>
      <c r="I119" s="37" t="s">
        <v>15</v>
      </c>
      <c r="J119" s="53" t="s">
        <v>56</v>
      </c>
      <c r="K119" s="53" t="s">
        <v>17</v>
      </c>
      <c r="L119" s="28">
        <v>46011</v>
      </c>
      <c r="M119" s="28">
        <v>46014</v>
      </c>
      <c r="N119" s="46">
        <f t="shared" ref="N119:N123" si="39">+M119-L119</f>
        <v>3</v>
      </c>
      <c r="O119" s="28"/>
      <c r="P119" t="s">
        <v>83</v>
      </c>
      <c r="Q119" t="s">
        <v>83</v>
      </c>
      <c r="R119" t="s">
        <v>83</v>
      </c>
      <c r="S119" t="s">
        <v>83</v>
      </c>
      <c r="T119" t="s">
        <v>83</v>
      </c>
      <c r="U119" t="s">
        <v>1074</v>
      </c>
    </row>
    <row r="120" spans="1:21" ht="15.75" customHeight="1" x14ac:dyDescent="0.45">
      <c r="A120" s="15">
        <v>38285572</v>
      </c>
      <c r="B120" s="16" t="str">
        <f t="shared" si="38"/>
        <v>3.828.557-2</v>
      </c>
      <c r="C120" s="16" t="s">
        <v>28</v>
      </c>
      <c r="D120" s="16" t="s">
        <v>493</v>
      </c>
      <c r="E120" s="16" t="s">
        <v>236</v>
      </c>
      <c r="F120" s="16" t="s">
        <v>717</v>
      </c>
      <c r="G120" s="17">
        <v>46016</v>
      </c>
      <c r="H120" s="17"/>
      <c r="I120" s="37" t="s">
        <v>15</v>
      </c>
      <c r="J120" s="53" t="s">
        <v>206</v>
      </c>
      <c r="K120" s="53" t="s">
        <v>17</v>
      </c>
      <c r="L120" s="28">
        <v>46016</v>
      </c>
      <c r="M120" s="28">
        <v>46022</v>
      </c>
      <c r="N120" s="46">
        <f t="shared" si="39"/>
        <v>6</v>
      </c>
      <c r="O120" s="28"/>
      <c r="P120" t="s">
        <v>83</v>
      </c>
      <c r="Q120" t="s">
        <v>83</v>
      </c>
      <c r="R120" t="s">
        <v>83</v>
      </c>
      <c r="S120" t="s">
        <v>83</v>
      </c>
      <c r="T120" t="s">
        <v>83</v>
      </c>
      <c r="U120" t="s">
        <v>1074</v>
      </c>
    </row>
    <row r="121" spans="1:21" ht="15.75" customHeight="1" x14ac:dyDescent="0.45">
      <c r="A121" s="15">
        <v>87310558</v>
      </c>
      <c r="B121" s="16" t="str">
        <f t="shared" si="38"/>
        <v>8.731.055-8</v>
      </c>
      <c r="C121" s="16" t="s">
        <v>28</v>
      </c>
      <c r="D121" s="16" t="s">
        <v>30</v>
      </c>
      <c r="E121" s="16" t="s">
        <v>939</v>
      </c>
      <c r="F121" s="16" t="s">
        <v>566</v>
      </c>
      <c r="G121" s="17">
        <v>46017</v>
      </c>
      <c r="H121" s="17"/>
      <c r="I121" s="37" t="s">
        <v>15</v>
      </c>
      <c r="J121" s="53" t="s">
        <v>206</v>
      </c>
      <c r="K121" s="53" t="s">
        <v>17</v>
      </c>
      <c r="L121" s="17">
        <v>46017</v>
      </c>
      <c r="M121" s="28">
        <v>46022</v>
      </c>
      <c r="N121" s="46">
        <f t="shared" si="39"/>
        <v>5</v>
      </c>
      <c r="O121" s="28"/>
      <c r="P121" t="s">
        <v>83</v>
      </c>
      <c r="Q121" t="s">
        <v>83</v>
      </c>
      <c r="R121" t="s">
        <v>83</v>
      </c>
      <c r="S121" t="s">
        <v>83</v>
      </c>
      <c r="T121" t="s">
        <v>83</v>
      </c>
      <c r="U121" t="s">
        <v>1074</v>
      </c>
    </row>
    <row r="122" spans="1:21" ht="15.75" customHeight="1" x14ac:dyDescent="0.45">
      <c r="A122" s="15">
        <v>87310558</v>
      </c>
      <c r="B122" s="16" t="str">
        <f t="shared" si="38"/>
        <v>8.731.055-8</v>
      </c>
      <c r="C122" s="16" t="s">
        <v>28</v>
      </c>
      <c r="D122" s="16" t="s">
        <v>30</v>
      </c>
      <c r="E122" s="16" t="s">
        <v>939</v>
      </c>
      <c r="F122" s="16" t="s">
        <v>566</v>
      </c>
      <c r="G122" s="17">
        <v>46017</v>
      </c>
      <c r="H122" s="17"/>
      <c r="I122" s="37" t="s">
        <v>15</v>
      </c>
      <c r="J122" s="53" t="s">
        <v>206</v>
      </c>
      <c r="K122" s="53" t="s">
        <v>16</v>
      </c>
      <c r="L122" s="17">
        <v>46017</v>
      </c>
      <c r="M122" s="28">
        <v>46022</v>
      </c>
      <c r="N122" s="46">
        <f t="shared" si="39"/>
        <v>5</v>
      </c>
      <c r="O122" s="28"/>
      <c r="P122" t="s">
        <v>83</v>
      </c>
      <c r="Q122" t="s">
        <v>83</v>
      </c>
      <c r="R122" t="s">
        <v>83</v>
      </c>
      <c r="S122" t="s">
        <v>83</v>
      </c>
      <c r="T122" t="s">
        <v>83</v>
      </c>
      <c r="U122" t="s">
        <v>1074</v>
      </c>
    </row>
    <row r="123" spans="1:21" ht="15.75" customHeight="1" x14ac:dyDescent="0.45">
      <c r="A123" s="15" t="s">
        <v>879</v>
      </c>
      <c r="B123" s="16" t="str">
        <f t="shared" si="38"/>
        <v>10.209.929-k</v>
      </c>
      <c r="C123" s="16" t="s">
        <v>28</v>
      </c>
      <c r="D123" s="16" t="s">
        <v>399</v>
      </c>
      <c r="E123" s="16" t="s">
        <v>426</v>
      </c>
      <c r="F123" s="16" t="s">
        <v>367</v>
      </c>
      <c r="G123" s="17">
        <v>46020</v>
      </c>
      <c r="H123" s="17"/>
      <c r="I123" s="37" t="s">
        <v>60</v>
      </c>
      <c r="J123" s="53" t="s">
        <v>206</v>
      </c>
      <c r="K123" s="53" t="s">
        <v>16</v>
      </c>
      <c r="L123" s="28">
        <v>46020</v>
      </c>
      <c r="M123" s="28">
        <v>46022</v>
      </c>
      <c r="N123" s="46">
        <f t="shared" si="39"/>
        <v>2</v>
      </c>
      <c r="O123" s="28"/>
      <c r="P123" t="s">
        <v>83</v>
      </c>
      <c r="Q123" t="s">
        <v>83</v>
      </c>
      <c r="R123" t="s">
        <v>83</v>
      </c>
      <c r="S123" t="s">
        <v>83</v>
      </c>
      <c r="T123" t="s">
        <v>83</v>
      </c>
      <c r="U123" t="s">
        <v>1074</v>
      </c>
    </row>
    <row r="124" spans="1:21" ht="15.75" customHeight="1" x14ac:dyDescent="0.45">
      <c r="A124" s="19">
        <v>109917478</v>
      </c>
      <c r="B124" s="19" t="str">
        <f t="shared" ref="B124:B129" si="40">IF(LEN(A124)=8,MID(A124,1,1)&amp;"."&amp;MID(A124,2,3)&amp;"."&amp;MID(A124,5,3)&amp;"-"&amp;RIGHT(A124,1),IF(LEFT(RIGHT(A124,2),1)="-",MID(A124,1,1)&amp;"."&amp;MID(A124,2,3)&amp;"."&amp;MID(A124,5,3)&amp;"-"&amp;RIGHT(A124,1),MID(A124,1,2)&amp;"."&amp;MID(A124,3,3)&amp;"."&amp;MID(A124,6,3)&amp;"-"&amp;MID(A124,9,1)))</f>
        <v>10.991.747-8</v>
      </c>
      <c r="C124" s="19" t="s">
        <v>32</v>
      </c>
      <c r="D124" s="19" t="s">
        <v>439</v>
      </c>
      <c r="E124" s="19" t="s">
        <v>458</v>
      </c>
      <c r="F124" s="19" t="s">
        <v>897</v>
      </c>
      <c r="G124" s="20">
        <v>45998</v>
      </c>
      <c r="H124" s="20">
        <v>46002</v>
      </c>
      <c r="I124" s="19" t="s">
        <v>15</v>
      </c>
      <c r="J124" s="19" t="s">
        <v>106</v>
      </c>
      <c r="K124" s="19" t="s">
        <v>17</v>
      </c>
      <c r="L124" s="20">
        <v>45998</v>
      </c>
      <c r="M124" s="20">
        <v>46002</v>
      </c>
      <c r="N124" s="47">
        <f t="shared" si="2"/>
        <v>4</v>
      </c>
      <c r="O124" s="34"/>
      <c r="P124" t="s">
        <v>83</v>
      </c>
      <c r="Q124" t="s">
        <v>83</v>
      </c>
      <c r="R124" t="s">
        <v>83</v>
      </c>
      <c r="S124" t="s">
        <v>83</v>
      </c>
      <c r="T124" t="s">
        <v>83</v>
      </c>
      <c r="U124" t="s">
        <v>1074</v>
      </c>
    </row>
    <row r="125" spans="1:21" ht="15.75" customHeight="1" x14ac:dyDescent="0.45">
      <c r="A125" s="19">
        <v>142711141</v>
      </c>
      <c r="B125" s="19" t="str">
        <f t="shared" si="40"/>
        <v>14.271.114-1</v>
      </c>
      <c r="C125" s="19" t="s">
        <v>32</v>
      </c>
      <c r="D125" s="19" t="s">
        <v>368</v>
      </c>
      <c r="E125" s="19" t="s">
        <v>350</v>
      </c>
      <c r="F125" s="19" t="s">
        <v>928</v>
      </c>
      <c r="G125" s="20">
        <v>46005</v>
      </c>
      <c r="H125" s="20">
        <v>46009</v>
      </c>
      <c r="I125" s="19" t="s">
        <v>15</v>
      </c>
      <c r="J125" s="19" t="s">
        <v>28</v>
      </c>
      <c r="K125" s="21" t="s">
        <v>17</v>
      </c>
      <c r="L125" s="20">
        <v>46005</v>
      </c>
      <c r="M125" s="20">
        <v>46009</v>
      </c>
      <c r="N125" s="47">
        <f t="shared" si="2"/>
        <v>4</v>
      </c>
      <c r="O125" s="34"/>
      <c r="P125" t="s">
        <v>83</v>
      </c>
      <c r="Q125" t="s">
        <v>83</v>
      </c>
      <c r="R125" t="s">
        <v>83</v>
      </c>
      <c r="S125" t="s">
        <v>83</v>
      </c>
      <c r="T125" t="s">
        <v>83</v>
      </c>
      <c r="U125" t="s">
        <v>1074</v>
      </c>
    </row>
    <row r="126" spans="1:21" ht="15.75" customHeight="1" x14ac:dyDescent="0.45">
      <c r="A126" s="19">
        <v>81454442</v>
      </c>
      <c r="B126" s="19" t="str">
        <f t="shared" si="40"/>
        <v>8.145.444-2</v>
      </c>
      <c r="C126" s="19" t="s">
        <v>32</v>
      </c>
      <c r="D126" s="19" t="s">
        <v>289</v>
      </c>
      <c r="E126" s="19" t="s">
        <v>929</v>
      </c>
      <c r="F126" s="19" t="s">
        <v>102</v>
      </c>
      <c r="G126" s="20">
        <v>46004</v>
      </c>
      <c r="H126" s="20">
        <v>46015</v>
      </c>
      <c r="I126" s="19" t="s">
        <v>15</v>
      </c>
      <c r="J126" s="19" t="s">
        <v>72</v>
      </c>
      <c r="K126" s="21" t="s">
        <v>17</v>
      </c>
      <c r="L126" s="20">
        <v>46004</v>
      </c>
      <c r="M126" s="20">
        <v>46015</v>
      </c>
      <c r="N126" s="47">
        <f t="shared" si="2"/>
        <v>11</v>
      </c>
      <c r="O126" s="34"/>
      <c r="P126" t="s">
        <v>83</v>
      </c>
      <c r="Q126" t="s">
        <v>83</v>
      </c>
      <c r="R126" t="s">
        <v>83</v>
      </c>
      <c r="S126" t="s">
        <v>83</v>
      </c>
      <c r="T126" t="s">
        <v>83</v>
      </c>
      <c r="U126" t="s">
        <v>1074</v>
      </c>
    </row>
    <row r="127" spans="1:21" ht="15.75" customHeight="1" x14ac:dyDescent="0.45">
      <c r="A127" s="19">
        <v>73372259</v>
      </c>
      <c r="B127" s="19" t="str">
        <f t="shared" si="40"/>
        <v>7.337.225-9</v>
      </c>
      <c r="C127" s="19" t="s">
        <v>32</v>
      </c>
      <c r="D127" s="19" t="s">
        <v>157</v>
      </c>
      <c r="E127" s="19" t="s">
        <v>323</v>
      </c>
      <c r="F127" s="19" t="s">
        <v>171</v>
      </c>
      <c r="G127" s="20">
        <v>46005</v>
      </c>
      <c r="H127" s="20">
        <v>46010</v>
      </c>
      <c r="I127" s="19" t="s">
        <v>15</v>
      </c>
      <c r="J127" s="19" t="s">
        <v>72</v>
      </c>
      <c r="K127" s="19" t="s">
        <v>17</v>
      </c>
      <c r="L127" s="71">
        <v>46005</v>
      </c>
      <c r="M127" s="71">
        <v>46010</v>
      </c>
      <c r="N127" s="47">
        <f t="shared" si="2"/>
        <v>5</v>
      </c>
      <c r="O127" s="34"/>
      <c r="P127" t="s">
        <v>83</v>
      </c>
      <c r="Q127" t="s">
        <v>83</v>
      </c>
      <c r="R127" t="s">
        <v>83</v>
      </c>
      <c r="S127" t="s">
        <v>83</v>
      </c>
      <c r="T127" t="s">
        <v>83</v>
      </c>
      <c r="U127" t="s">
        <v>1074</v>
      </c>
    </row>
    <row r="128" spans="1:21" ht="15.75" customHeight="1" x14ac:dyDescent="0.45">
      <c r="A128" s="19">
        <v>59121731</v>
      </c>
      <c r="B128" s="19" t="str">
        <f t="shared" si="40"/>
        <v>5.912.173-1</v>
      </c>
      <c r="C128" s="19" t="s">
        <v>32</v>
      </c>
      <c r="D128" s="19" t="s">
        <v>538</v>
      </c>
      <c r="E128" s="19" t="s">
        <v>719</v>
      </c>
      <c r="F128" s="19" t="s">
        <v>223</v>
      </c>
      <c r="G128" s="20">
        <v>46015</v>
      </c>
      <c r="H128" s="20">
        <v>46021</v>
      </c>
      <c r="I128" s="19" t="s">
        <v>15</v>
      </c>
      <c r="J128" s="19" t="s">
        <v>931</v>
      </c>
      <c r="K128" s="21" t="s">
        <v>17</v>
      </c>
      <c r="L128" s="26">
        <v>46015</v>
      </c>
      <c r="M128" s="26">
        <v>46021</v>
      </c>
      <c r="N128" s="47">
        <f t="shared" si="2"/>
        <v>6</v>
      </c>
      <c r="O128" s="34"/>
      <c r="P128" t="s">
        <v>83</v>
      </c>
      <c r="Q128" t="s">
        <v>83</v>
      </c>
      <c r="R128" t="s">
        <v>83</v>
      </c>
      <c r="S128" t="s">
        <v>83</v>
      </c>
      <c r="T128" t="s">
        <v>83</v>
      </c>
      <c r="U128" t="s">
        <v>1074</v>
      </c>
    </row>
    <row r="129" spans="1:21" ht="15.75" customHeight="1" x14ac:dyDescent="0.45">
      <c r="A129" s="19"/>
      <c r="B129" s="19" t="str">
        <f t="shared" si="40"/>
        <v>..-</v>
      </c>
      <c r="C129" s="19" t="s">
        <v>32</v>
      </c>
      <c r="D129" s="19"/>
      <c r="E129" s="19"/>
      <c r="F129" s="19"/>
      <c r="G129" s="20"/>
      <c r="H129" s="20"/>
      <c r="I129" s="19"/>
      <c r="J129" s="19"/>
      <c r="K129" s="21"/>
      <c r="L129" s="26"/>
      <c r="M129" s="26"/>
      <c r="N129" s="47">
        <f t="shared" si="2"/>
        <v>0</v>
      </c>
      <c r="O129" s="34"/>
      <c r="P129" t="s">
        <v>83</v>
      </c>
      <c r="Q129" t="s">
        <v>83</v>
      </c>
      <c r="R129" t="s">
        <v>83</v>
      </c>
      <c r="S129" t="s">
        <v>83</v>
      </c>
      <c r="T129" t="s">
        <v>83</v>
      </c>
      <c r="U129" t="s">
        <v>1074</v>
      </c>
    </row>
    <row r="130" spans="1:21" ht="15.75" customHeight="1" x14ac:dyDescent="0.45">
      <c r="G130" s="4"/>
      <c r="H130" s="4"/>
      <c r="I130" s="23"/>
      <c r="J130" s="23"/>
      <c r="K130" s="23"/>
      <c r="L130" s="4"/>
      <c r="N130" s="36"/>
      <c r="U130">
        <f>COUNTIF(U8:U129,"si")</f>
        <v>0</v>
      </c>
    </row>
    <row r="131" spans="1:21" ht="15.75" customHeight="1" x14ac:dyDescent="0.45">
      <c r="G131" s="4"/>
      <c r="H131" s="4"/>
      <c r="I131" s="23"/>
      <c r="J131" s="23"/>
      <c r="K131" s="23"/>
      <c r="L131" s="4"/>
      <c r="N131" s="36"/>
    </row>
    <row r="132" spans="1:21" ht="15.75" customHeight="1" x14ac:dyDescent="0.45">
      <c r="G132" s="4"/>
      <c r="H132" s="4"/>
      <c r="I132" s="23"/>
      <c r="J132" s="23"/>
      <c r="K132" s="23"/>
      <c r="L132" s="4"/>
      <c r="N132" s="36"/>
    </row>
    <row r="133" spans="1:21" ht="15.75" customHeight="1" x14ac:dyDescent="0.45">
      <c r="G133" s="4"/>
      <c r="H133" s="4"/>
      <c r="I133" s="23"/>
      <c r="J133" s="23"/>
      <c r="K133" s="23"/>
      <c r="L133" s="4"/>
      <c r="N133" s="36"/>
    </row>
    <row r="134" spans="1:21" ht="15.75" customHeight="1" x14ac:dyDescent="0.45">
      <c r="G134" s="4"/>
      <c r="H134" s="4"/>
      <c r="I134" s="23"/>
      <c r="J134" s="23"/>
      <c r="K134" s="23"/>
      <c r="L134" s="4"/>
      <c r="N134" s="36"/>
    </row>
    <row r="135" spans="1:21" ht="15.75" customHeight="1" x14ac:dyDescent="0.45">
      <c r="G135" s="4"/>
      <c r="H135" s="4"/>
      <c r="I135" s="23"/>
      <c r="J135" s="23"/>
      <c r="K135" s="23"/>
      <c r="L135" s="4"/>
      <c r="N135" s="36"/>
    </row>
    <row r="136" spans="1:21" ht="15.75" customHeight="1" x14ac:dyDescent="0.45">
      <c r="G136" s="4"/>
      <c r="H136" s="4"/>
      <c r="I136" s="23"/>
      <c r="J136" s="23"/>
      <c r="K136" s="23"/>
      <c r="L136" s="4"/>
      <c r="N136" s="36"/>
    </row>
    <row r="137" spans="1:21" ht="15.75" customHeight="1" x14ac:dyDescent="0.45">
      <c r="G137" s="4"/>
      <c r="H137" s="4"/>
      <c r="I137" s="23"/>
      <c r="J137" s="23"/>
      <c r="K137" s="23"/>
      <c r="L137" s="4"/>
      <c r="N137" s="36"/>
    </row>
    <row r="138" spans="1:21" ht="15.75" customHeight="1" x14ac:dyDescent="0.45">
      <c r="G138" s="4"/>
      <c r="H138" s="4"/>
      <c r="I138" s="23"/>
      <c r="J138" s="23"/>
      <c r="K138" s="23"/>
      <c r="L138" s="4"/>
      <c r="N138" s="36"/>
    </row>
    <row r="139" spans="1:21" ht="15.75" customHeight="1" x14ac:dyDescent="0.45">
      <c r="G139" s="4"/>
      <c r="H139" s="4"/>
      <c r="I139" s="23"/>
      <c r="J139" s="23"/>
      <c r="K139" s="23"/>
      <c r="L139" s="4"/>
      <c r="N139" s="36"/>
    </row>
    <row r="140" spans="1:21" ht="15.75" customHeight="1" x14ac:dyDescent="0.45">
      <c r="G140" s="4"/>
      <c r="H140" s="4"/>
      <c r="I140" s="23"/>
      <c r="J140" s="23"/>
      <c r="K140" s="23"/>
      <c r="L140" s="4"/>
      <c r="N140" s="36"/>
    </row>
    <row r="141" spans="1:21" ht="15.75" customHeight="1" x14ac:dyDescent="0.45">
      <c r="G141" s="4"/>
      <c r="H141" s="4"/>
      <c r="I141" s="23"/>
      <c r="J141" s="23"/>
      <c r="K141" s="23"/>
      <c r="L141" s="4"/>
      <c r="N141" s="36"/>
    </row>
    <row r="142" spans="1:21" ht="15.75" customHeight="1" x14ac:dyDescent="0.45">
      <c r="G142" s="4"/>
      <c r="H142" s="4"/>
      <c r="I142" s="23"/>
      <c r="J142" s="23"/>
      <c r="K142" s="23"/>
      <c r="L142" s="4"/>
      <c r="N142" s="36"/>
    </row>
    <row r="143" spans="1:21" ht="15.75" customHeight="1" x14ac:dyDescent="0.45">
      <c r="G143" s="4"/>
      <c r="H143" s="4"/>
      <c r="I143" s="23"/>
      <c r="J143" s="23"/>
      <c r="K143" s="23"/>
      <c r="L143" s="4"/>
      <c r="N143" s="36"/>
    </row>
    <row r="144" spans="1:21" ht="15.75" customHeight="1" x14ac:dyDescent="0.45">
      <c r="G144" s="4"/>
      <c r="H144" s="4"/>
      <c r="I144" s="23"/>
      <c r="J144" s="23"/>
      <c r="K144" s="23"/>
      <c r="L144" s="4"/>
      <c r="N144" s="36"/>
    </row>
    <row r="145" spans="7:14" ht="15.75" customHeight="1" x14ac:dyDescent="0.45">
      <c r="G145" s="4"/>
      <c r="H145" s="4"/>
      <c r="I145" s="23"/>
      <c r="J145" s="23"/>
      <c r="K145" s="23"/>
      <c r="L145" s="4"/>
      <c r="N145" s="36"/>
    </row>
    <row r="146" spans="7:14" ht="15.75" customHeight="1" x14ac:dyDescent="0.45">
      <c r="G146" s="4"/>
      <c r="H146" s="4"/>
      <c r="I146" s="23"/>
      <c r="J146" s="23"/>
      <c r="K146" s="23"/>
      <c r="L146" s="4"/>
      <c r="N146" s="36"/>
    </row>
    <row r="147" spans="7:14" ht="15.75" customHeight="1" x14ac:dyDescent="0.45">
      <c r="G147" s="4"/>
      <c r="H147" s="4"/>
      <c r="I147" s="23"/>
      <c r="J147" s="23"/>
      <c r="K147" s="23"/>
      <c r="L147" s="4"/>
      <c r="N147" s="36"/>
    </row>
    <row r="148" spans="7:14" ht="15.75" customHeight="1" x14ac:dyDescent="0.45">
      <c r="G148" s="4"/>
      <c r="H148" s="4"/>
      <c r="I148" s="23"/>
      <c r="J148" s="23"/>
      <c r="K148" s="23"/>
      <c r="L148" s="4"/>
      <c r="N148" s="36"/>
    </row>
    <row r="149" spans="7:14" ht="15.75" customHeight="1" x14ac:dyDescent="0.45">
      <c r="G149" s="4"/>
      <c r="H149" s="4"/>
      <c r="I149" s="23"/>
      <c r="J149" s="23"/>
      <c r="K149" s="23"/>
      <c r="L149" s="4"/>
      <c r="N149" s="36"/>
    </row>
    <row r="150" spans="7:14" ht="15.75" customHeight="1" x14ac:dyDescent="0.45">
      <c r="G150" s="4"/>
      <c r="H150" s="4"/>
      <c r="I150" s="23"/>
      <c r="J150" s="23"/>
      <c r="K150" s="23"/>
      <c r="L150" s="4"/>
      <c r="N150" s="36"/>
    </row>
    <row r="151" spans="7:14" ht="15.75" customHeight="1" x14ac:dyDescent="0.45">
      <c r="G151" s="4"/>
      <c r="H151" s="4"/>
      <c r="I151" s="23"/>
      <c r="J151" s="23"/>
      <c r="K151" s="23"/>
      <c r="L151" s="4"/>
      <c r="N151" s="36"/>
    </row>
    <row r="152" spans="7:14" ht="15.75" customHeight="1" x14ac:dyDescent="0.45">
      <c r="G152" s="4"/>
      <c r="H152" s="4"/>
      <c r="I152" s="23"/>
      <c r="J152" s="23"/>
      <c r="K152" s="23"/>
      <c r="L152" s="4"/>
      <c r="N152" s="36"/>
    </row>
    <row r="153" spans="7:14" ht="15.75" customHeight="1" x14ac:dyDescent="0.45">
      <c r="G153" s="4"/>
      <c r="H153" s="4"/>
      <c r="I153" s="23"/>
      <c r="J153" s="23"/>
      <c r="K153" s="23"/>
      <c r="L153" s="4"/>
      <c r="N153" s="36"/>
    </row>
    <row r="154" spans="7:14" ht="15.75" customHeight="1" x14ac:dyDescent="0.45">
      <c r="G154" s="4"/>
      <c r="H154" s="4"/>
      <c r="I154" s="23"/>
      <c r="J154" s="23"/>
      <c r="K154" s="23"/>
      <c r="L154" s="4"/>
      <c r="N154" s="36"/>
    </row>
    <row r="155" spans="7:14" ht="15.75" customHeight="1" x14ac:dyDescent="0.45">
      <c r="G155" s="4"/>
      <c r="H155" s="4"/>
      <c r="I155" s="23"/>
      <c r="J155" s="23"/>
      <c r="K155" s="23"/>
      <c r="L155" s="4"/>
      <c r="N155" s="36"/>
    </row>
    <row r="156" spans="7:14" ht="15.75" customHeight="1" x14ac:dyDescent="0.45">
      <c r="G156" s="4"/>
      <c r="H156" s="4"/>
      <c r="I156" s="23"/>
      <c r="J156" s="23"/>
      <c r="K156" s="23"/>
      <c r="L156" s="4"/>
      <c r="N156" s="36"/>
    </row>
    <row r="157" spans="7:14" ht="15.75" customHeight="1" x14ac:dyDescent="0.45">
      <c r="G157" s="4"/>
      <c r="H157" s="4"/>
      <c r="I157" s="23"/>
      <c r="J157" s="23"/>
      <c r="K157" s="23"/>
      <c r="L157" s="4"/>
      <c r="N157" s="36"/>
    </row>
    <row r="158" spans="7:14" ht="15.75" customHeight="1" x14ac:dyDescent="0.45">
      <c r="G158" s="4"/>
      <c r="H158" s="4"/>
      <c r="I158" s="23"/>
      <c r="J158" s="23"/>
      <c r="K158" s="23"/>
      <c r="L158" s="4"/>
      <c r="N158" s="36"/>
    </row>
    <row r="159" spans="7:14" ht="15.75" customHeight="1" x14ac:dyDescent="0.45">
      <c r="G159" s="4"/>
      <c r="H159" s="4"/>
      <c r="I159" s="23"/>
      <c r="J159" s="23"/>
      <c r="K159" s="23"/>
      <c r="L159" s="4"/>
      <c r="N159" s="36"/>
    </row>
    <row r="160" spans="7:14" ht="15.75" customHeight="1" x14ac:dyDescent="0.45">
      <c r="G160" s="4"/>
      <c r="H160" s="4"/>
      <c r="I160" s="23"/>
      <c r="J160" s="23"/>
      <c r="K160" s="23"/>
      <c r="L160" s="4"/>
      <c r="N160" s="36"/>
    </row>
    <row r="161" spans="7:14" ht="15.75" customHeight="1" x14ac:dyDescent="0.45">
      <c r="G161" s="4"/>
      <c r="H161" s="4"/>
      <c r="I161" s="23"/>
      <c r="J161" s="23"/>
      <c r="K161" s="23"/>
      <c r="L161" s="4"/>
      <c r="N161" s="36"/>
    </row>
    <row r="162" spans="7:14" ht="15.75" customHeight="1" x14ac:dyDescent="0.45">
      <c r="G162" s="4"/>
      <c r="H162" s="4"/>
      <c r="I162" s="23"/>
      <c r="J162" s="23"/>
      <c r="K162" s="23"/>
      <c r="L162" s="4"/>
      <c r="N162" s="36"/>
    </row>
    <row r="163" spans="7:14" ht="15.75" customHeight="1" x14ac:dyDescent="0.45">
      <c r="G163" s="4"/>
      <c r="H163" s="4"/>
      <c r="I163" s="23"/>
      <c r="J163" s="23"/>
      <c r="K163" s="23"/>
      <c r="L163" s="4"/>
      <c r="N163" s="36"/>
    </row>
    <row r="164" spans="7:14" ht="15.75" customHeight="1" x14ac:dyDescent="0.45">
      <c r="G164" s="4"/>
      <c r="H164" s="4"/>
      <c r="I164" s="23"/>
      <c r="J164" s="23"/>
      <c r="K164" s="23"/>
      <c r="L164" s="4"/>
      <c r="N164" s="36"/>
    </row>
    <row r="165" spans="7:14" ht="15.75" customHeight="1" x14ac:dyDescent="0.45">
      <c r="G165" s="4"/>
      <c r="H165" s="4"/>
      <c r="I165" s="23"/>
      <c r="J165" s="23"/>
      <c r="K165" s="23"/>
      <c r="L165" s="4"/>
      <c r="N165" s="36"/>
    </row>
    <row r="166" spans="7:14" ht="15.75" customHeight="1" x14ac:dyDescent="0.45">
      <c r="G166" s="4"/>
      <c r="H166" s="4"/>
      <c r="I166" s="23"/>
      <c r="J166" s="23"/>
      <c r="K166" s="23"/>
      <c r="L166" s="4"/>
      <c r="N166" s="36"/>
    </row>
    <row r="167" spans="7:14" ht="15.75" customHeight="1" x14ac:dyDescent="0.45">
      <c r="G167" s="4"/>
      <c r="H167" s="4"/>
      <c r="I167" s="23"/>
      <c r="J167" s="23"/>
      <c r="K167" s="23"/>
      <c r="L167" s="4"/>
      <c r="N167" s="36"/>
    </row>
    <row r="168" spans="7:14" ht="15.75" customHeight="1" x14ac:dyDescent="0.45">
      <c r="G168" s="4"/>
      <c r="H168" s="4"/>
      <c r="I168" s="23"/>
      <c r="J168" s="23"/>
      <c r="K168" s="23"/>
      <c r="L168" s="4"/>
      <c r="N168" s="36"/>
    </row>
    <row r="169" spans="7:14" ht="15.75" customHeight="1" x14ac:dyDescent="0.45">
      <c r="G169" s="4"/>
      <c r="H169" s="4"/>
      <c r="I169" s="23"/>
      <c r="J169" s="23"/>
      <c r="K169" s="23"/>
      <c r="L169" s="4"/>
      <c r="N169" s="36"/>
    </row>
    <row r="170" spans="7:14" ht="15.75" customHeight="1" x14ac:dyDescent="0.45">
      <c r="G170" s="4"/>
      <c r="H170" s="4"/>
      <c r="I170" s="23"/>
      <c r="J170" s="23"/>
      <c r="K170" s="23"/>
      <c r="L170" s="4"/>
      <c r="N170" s="36"/>
    </row>
    <row r="171" spans="7:14" ht="15.75" customHeight="1" x14ac:dyDescent="0.45">
      <c r="G171" s="4"/>
      <c r="H171" s="4"/>
      <c r="I171" s="23"/>
      <c r="J171" s="23"/>
      <c r="K171" s="23"/>
      <c r="L171" s="4"/>
      <c r="N171" s="36"/>
    </row>
    <row r="172" spans="7:14" ht="15.75" customHeight="1" x14ac:dyDescent="0.45">
      <c r="G172" s="4"/>
      <c r="H172" s="4"/>
      <c r="I172" s="23"/>
      <c r="J172" s="23"/>
      <c r="K172" s="23"/>
      <c r="L172" s="4"/>
      <c r="N172" s="36"/>
    </row>
    <row r="173" spans="7:14" ht="15.75" customHeight="1" x14ac:dyDescent="0.45">
      <c r="G173" s="4"/>
      <c r="H173" s="4"/>
      <c r="I173" s="23"/>
      <c r="J173" s="23"/>
      <c r="K173" s="23"/>
      <c r="L173" s="4"/>
      <c r="N173" s="36"/>
    </row>
    <row r="174" spans="7:14" ht="15.75" customHeight="1" x14ac:dyDescent="0.45">
      <c r="G174" s="4"/>
      <c r="H174" s="4"/>
      <c r="I174" s="23"/>
      <c r="J174" s="23"/>
      <c r="K174" s="23"/>
      <c r="L174" s="4"/>
      <c r="N174" s="36"/>
    </row>
    <row r="175" spans="7:14" ht="15.75" customHeight="1" x14ac:dyDescent="0.45">
      <c r="G175" s="4"/>
      <c r="H175" s="4"/>
      <c r="I175" s="23"/>
      <c r="J175" s="23"/>
      <c r="K175" s="23"/>
      <c r="L175" s="4"/>
      <c r="N175" s="36"/>
    </row>
    <row r="176" spans="7:14" ht="15.75" customHeight="1" x14ac:dyDescent="0.45">
      <c r="G176" s="4"/>
      <c r="H176" s="4"/>
      <c r="I176" s="23"/>
      <c r="J176" s="23"/>
      <c r="K176" s="23"/>
      <c r="L176" s="4"/>
      <c r="N176" s="36"/>
    </row>
    <row r="177" spans="7:14" ht="15.75" customHeight="1" x14ac:dyDescent="0.45">
      <c r="G177" s="4"/>
      <c r="H177" s="4"/>
      <c r="I177" s="23"/>
      <c r="J177" s="23"/>
      <c r="K177" s="23"/>
      <c r="L177" s="4"/>
      <c r="N177" s="36"/>
    </row>
    <row r="178" spans="7:14" ht="15.75" customHeight="1" x14ac:dyDescent="0.45">
      <c r="G178" s="4"/>
      <c r="H178" s="4"/>
      <c r="I178" s="23"/>
      <c r="J178" s="23"/>
      <c r="K178" s="23"/>
      <c r="L178" s="4"/>
      <c r="N178" s="36"/>
    </row>
    <row r="179" spans="7:14" ht="15.75" customHeight="1" x14ac:dyDescent="0.45">
      <c r="G179" s="4"/>
      <c r="H179" s="4"/>
      <c r="I179" s="23"/>
      <c r="J179" s="23"/>
      <c r="K179" s="23"/>
      <c r="L179" s="4"/>
      <c r="N179" s="36"/>
    </row>
    <row r="180" spans="7:14" ht="15.75" customHeight="1" x14ac:dyDescent="0.45">
      <c r="G180" s="4"/>
      <c r="H180" s="4"/>
      <c r="I180" s="23"/>
      <c r="J180" s="23"/>
      <c r="K180" s="23"/>
      <c r="L180" s="4"/>
      <c r="N180" s="36"/>
    </row>
    <row r="181" spans="7:14" ht="15.75" customHeight="1" x14ac:dyDescent="0.45">
      <c r="G181" s="4"/>
      <c r="H181" s="4"/>
      <c r="I181" s="23"/>
      <c r="J181" s="23"/>
      <c r="K181" s="23"/>
      <c r="L181" s="4"/>
      <c r="N181" s="36"/>
    </row>
    <row r="182" spans="7:14" ht="15.75" customHeight="1" x14ac:dyDescent="0.45">
      <c r="G182" s="4"/>
      <c r="H182" s="4"/>
      <c r="I182" s="23"/>
      <c r="J182" s="23"/>
      <c r="K182" s="23"/>
      <c r="L182" s="4"/>
      <c r="N182" s="36"/>
    </row>
    <row r="183" spans="7:14" ht="15.75" customHeight="1" x14ac:dyDescent="0.45">
      <c r="G183" s="4"/>
      <c r="H183" s="4"/>
      <c r="I183" s="23"/>
      <c r="J183" s="23"/>
      <c r="K183" s="23"/>
      <c r="L183" s="4"/>
      <c r="N183" s="36"/>
    </row>
    <row r="184" spans="7:14" ht="15.75" customHeight="1" x14ac:dyDescent="0.45">
      <c r="G184" s="4"/>
      <c r="H184" s="4"/>
      <c r="I184" s="23"/>
      <c r="J184" s="23"/>
      <c r="K184" s="23"/>
      <c r="L184" s="4"/>
      <c r="N184" s="36"/>
    </row>
    <row r="185" spans="7:14" ht="15.75" customHeight="1" x14ac:dyDescent="0.45">
      <c r="G185" s="4"/>
      <c r="H185" s="4"/>
      <c r="I185" s="23"/>
      <c r="J185" s="23"/>
      <c r="K185" s="23"/>
      <c r="L185" s="4"/>
      <c r="N185" s="36"/>
    </row>
    <row r="186" spans="7:14" ht="15.75" customHeight="1" x14ac:dyDescent="0.45">
      <c r="G186" s="4"/>
      <c r="H186" s="4"/>
      <c r="I186" s="23"/>
      <c r="J186" s="23"/>
      <c r="K186" s="23"/>
      <c r="L186" s="4"/>
      <c r="N186" s="36"/>
    </row>
    <row r="187" spans="7:14" ht="15.75" customHeight="1" x14ac:dyDescent="0.45">
      <c r="G187" s="4"/>
      <c r="H187" s="4"/>
      <c r="I187" s="23"/>
      <c r="J187" s="23"/>
      <c r="K187" s="23"/>
      <c r="L187" s="4"/>
      <c r="N187" s="36"/>
    </row>
    <row r="188" spans="7:14" ht="15.75" customHeight="1" x14ac:dyDescent="0.45">
      <c r="G188" s="4"/>
      <c r="H188" s="4"/>
      <c r="I188" s="23"/>
      <c r="J188" s="23"/>
      <c r="K188" s="23"/>
      <c r="L188" s="4"/>
      <c r="N188" s="36"/>
    </row>
    <row r="189" spans="7:14" ht="15.75" customHeight="1" x14ac:dyDescent="0.45">
      <c r="G189" s="4"/>
      <c r="H189" s="4"/>
      <c r="I189" s="23"/>
      <c r="J189" s="23"/>
      <c r="L189" s="4"/>
      <c r="N189" s="36"/>
    </row>
    <row r="190" spans="7:14" ht="15.75" customHeight="1" x14ac:dyDescent="0.45">
      <c r="G190" s="4"/>
      <c r="H190" s="4"/>
      <c r="I190" s="23"/>
      <c r="J190" s="23"/>
      <c r="L190" s="4"/>
      <c r="N190" s="36"/>
    </row>
    <row r="191" spans="7:14" ht="15.75" customHeight="1" x14ac:dyDescent="0.45">
      <c r="G191" s="4"/>
      <c r="H191" s="4"/>
      <c r="I191" s="23"/>
      <c r="J191" s="23"/>
      <c r="L191" s="4"/>
      <c r="N191" s="36"/>
    </row>
    <row r="192" spans="7:14" ht="15.75" customHeight="1" x14ac:dyDescent="0.45">
      <c r="G192" s="4"/>
      <c r="H192" s="4"/>
      <c r="I192" s="23"/>
      <c r="J192" s="23"/>
      <c r="L192" s="4"/>
      <c r="N192" s="36"/>
    </row>
    <row r="193" spans="7:14" ht="15.75" customHeight="1" x14ac:dyDescent="0.45">
      <c r="G193" s="4"/>
      <c r="H193" s="4"/>
      <c r="I193" s="23"/>
      <c r="J193" s="23"/>
      <c r="L193" s="4"/>
      <c r="N193" s="36"/>
    </row>
    <row r="194" spans="7:14" ht="15.75" customHeight="1" x14ac:dyDescent="0.45">
      <c r="G194" s="4"/>
      <c r="H194" s="4"/>
      <c r="I194" s="23"/>
      <c r="J194" s="23"/>
      <c r="L194" s="4"/>
      <c r="N194" s="36"/>
    </row>
    <row r="195" spans="7:14" ht="15.75" customHeight="1" x14ac:dyDescent="0.45">
      <c r="G195" s="4"/>
      <c r="H195" s="4"/>
      <c r="I195" s="23"/>
      <c r="J195" s="23"/>
      <c r="L195" s="4"/>
      <c r="N195" s="36"/>
    </row>
    <row r="196" spans="7:14" ht="15.75" customHeight="1" x14ac:dyDescent="0.45">
      <c r="G196" s="4"/>
      <c r="H196" s="4"/>
      <c r="I196" s="23"/>
      <c r="J196" s="23"/>
      <c r="L196" s="4"/>
      <c r="N196" s="36"/>
    </row>
    <row r="197" spans="7:14" ht="15.75" customHeight="1" x14ac:dyDescent="0.45">
      <c r="G197" s="4"/>
      <c r="H197" s="4"/>
      <c r="I197" s="23"/>
      <c r="J197" s="23"/>
      <c r="L197" s="4"/>
      <c r="N197" s="36"/>
    </row>
    <row r="198" spans="7:14" ht="15.75" customHeight="1" x14ac:dyDescent="0.45">
      <c r="G198" s="4"/>
      <c r="H198" s="4"/>
      <c r="I198" s="23"/>
      <c r="J198" s="23"/>
      <c r="L198" s="4"/>
      <c r="N198" s="36"/>
    </row>
    <row r="199" spans="7:14" ht="15.75" customHeight="1" x14ac:dyDescent="0.45">
      <c r="G199" s="4"/>
      <c r="H199" s="4"/>
      <c r="I199" s="23"/>
      <c r="J199" s="23"/>
      <c r="L199" s="4"/>
      <c r="N199" s="36"/>
    </row>
    <row r="200" spans="7:14" ht="15.75" customHeight="1" x14ac:dyDescent="0.45">
      <c r="G200" s="4"/>
      <c r="H200" s="4"/>
      <c r="I200" s="23"/>
      <c r="J200" s="23"/>
      <c r="L200" s="4"/>
      <c r="N200" s="36"/>
    </row>
    <row r="201" spans="7:14" ht="15.75" customHeight="1" x14ac:dyDescent="0.45">
      <c r="G201" s="4"/>
      <c r="H201" s="4"/>
      <c r="I201" s="23"/>
      <c r="J201" s="23"/>
      <c r="L201" s="4"/>
      <c r="N201" s="36"/>
    </row>
    <row r="202" spans="7:14" ht="15.75" customHeight="1" x14ac:dyDescent="0.45">
      <c r="G202" s="4"/>
      <c r="H202" s="4"/>
      <c r="I202" s="23"/>
      <c r="J202" s="23"/>
      <c r="L202" s="4"/>
      <c r="N202" s="36"/>
    </row>
    <row r="203" spans="7:14" ht="15.75" customHeight="1" x14ac:dyDescent="0.45">
      <c r="G203" s="4"/>
      <c r="H203" s="4"/>
      <c r="I203" s="23"/>
      <c r="J203" s="23"/>
      <c r="L203" s="4"/>
      <c r="N203" s="36"/>
    </row>
    <row r="204" spans="7:14" ht="15.75" customHeight="1" x14ac:dyDescent="0.45">
      <c r="G204" s="4"/>
      <c r="H204" s="4"/>
      <c r="I204" s="23"/>
      <c r="J204" s="23"/>
      <c r="L204" s="4"/>
      <c r="N204" s="36"/>
    </row>
    <row r="205" spans="7:14" ht="15.75" customHeight="1" x14ac:dyDescent="0.45">
      <c r="G205" s="4"/>
      <c r="H205" s="4"/>
      <c r="I205" s="23"/>
      <c r="J205" s="23"/>
      <c r="L205" s="4"/>
      <c r="N205" s="36"/>
    </row>
    <row r="206" spans="7:14" ht="15.75" customHeight="1" x14ac:dyDescent="0.45">
      <c r="G206" s="4"/>
      <c r="H206" s="4"/>
      <c r="I206" s="23"/>
      <c r="J206" s="23"/>
      <c r="L206" s="4"/>
      <c r="N206" s="36"/>
    </row>
    <row r="207" spans="7:14" ht="15.75" customHeight="1" x14ac:dyDescent="0.45">
      <c r="G207" s="4"/>
      <c r="H207" s="4"/>
      <c r="I207" s="23"/>
      <c r="J207" s="23"/>
      <c r="L207" s="4"/>
      <c r="N207" s="36"/>
    </row>
    <row r="208" spans="7:14" ht="15.75" customHeight="1" x14ac:dyDescent="0.45">
      <c r="G208" s="4"/>
      <c r="H208" s="4"/>
      <c r="I208" s="23"/>
      <c r="J208" s="23"/>
      <c r="L208" s="4"/>
      <c r="N208" s="36"/>
    </row>
    <row r="209" spans="7:14" ht="15.75" customHeight="1" x14ac:dyDescent="0.45">
      <c r="G209" s="4"/>
      <c r="H209" s="4"/>
      <c r="I209" s="23"/>
      <c r="J209" s="23"/>
      <c r="L209" s="4"/>
      <c r="N209" s="36"/>
    </row>
    <row r="210" spans="7:14" ht="15.75" customHeight="1" x14ac:dyDescent="0.45">
      <c r="G210" s="4"/>
      <c r="H210" s="4"/>
      <c r="I210" s="23"/>
      <c r="J210" s="23"/>
      <c r="L210" s="4"/>
      <c r="N210" s="36"/>
    </row>
    <row r="211" spans="7:14" ht="15.75" customHeight="1" x14ac:dyDescent="0.45">
      <c r="G211" s="4"/>
      <c r="H211" s="4"/>
      <c r="I211" s="23"/>
      <c r="J211" s="23"/>
      <c r="L211" s="4"/>
      <c r="N211" s="36"/>
    </row>
    <row r="212" spans="7:14" ht="15.75" customHeight="1" x14ac:dyDescent="0.45">
      <c r="G212" s="4"/>
      <c r="H212" s="4"/>
      <c r="I212" s="23"/>
      <c r="J212" s="23"/>
      <c r="L212" s="4"/>
      <c r="N212" s="36"/>
    </row>
    <row r="213" spans="7:14" ht="15.75" customHeight="1" x14ac:dyDescent="0.45">
      <c r="G213" s="4"/>
      <c r="H213" s="4"/>
      <c r="I213" s="23"/>
      <c r="J213" s="23"/>
      <c r="L213" s="4"/>
      <c r="N213" s="36"/>
    </row>
    <row r="214" spans="7:14" ht="15.75" customHeight="1" x14ac:dyDescent="0.45">
      <c r="G214" s="4"/>
      <c r="H214" s="4"/>
      <c r="I214" s="23"/>
      <c r="J214" s="23"/>
      <c r="L214" s="4"/>
      <c r="N214" s="36"/>
    </row>
    <row r="215" spans="7:14" ht="15.75" customHeight="1" x14ac:dyDescent="0.45">
      <c r="G215" s="4"/>
      <c r="H215" s="4"/>
      <c r="I215" s="23"/>
      <c r="J215" s="23"/>
      <c r="L215" s="4"/>
      <c r="N215" s="36"/>
    </row>
    <row r="216" spans="7:14" ht="15.75" customHeight="1" x14ac:dyDescent="0.45">
      <c r="G216" s="4"/>
      <c r="H216" s="4"/>
      <c r="I216" s="23"/>
      <c r="J216" s="23"/>
      <c r="L216" s="4"/>
      <c r="N216" s="36"/>
    </row>
    <row r="217" spans="7:14" ht="15.75" customHeight="1" x14ac:dyDescent="0.45">
      <c r="G217" s="4"/>
      <c r="H217" s="4"/>
      <c r="I217" s="23"/>
      <c r="J217" s="23"/>
      <c r="L217" s="4"/>
      <c r="N217" s="36"/>
    </row>
    <row r="218" spans="7:14" ht="15.75" customHeight="1" x14ac:dyDescent="0.45">
      <c r="G218" s="4"/>
      <c r="H218" s="4"/>
      <c r="I218" s="23"/>
      <c r="J218" s="23"/>
      <c r="L218" s="4"/>
      <c r="N218" s="36"/>
    </row>
    <row r="219" spans="7:14" ht="15.75" customHeight="1" x14ac:dyDescent="0.45">
      <c r="G219" s="4"/>
      <c r="H219" s="4"/>
      <c r="I219" s="23"/>
      <c r="J219" s="23"/>
      <c r="L219" s="4"/>
      <c r="N219" s="36"/>
    </row>
    <row r="220" spans="7:14" ht="15.75" customHeight="1" x14ac:dyDescent="0.45">
      <c r="G220" s="4"/>
      <c r="H220" s="4"/>
      <c r="I220" s="23"/>
      <c r="J220" s="23"/>
      <c r="L220" s="4"/>
      <c r="N220" s="36"/>
    </row>
    <row r="221" spans="7:14" ht="15.75" customHeight="1" x14ac:dyDescent="0.45">
      <c r="G221" s="4"/>
      <c r="H221" s="4"/>
      <c r="I221" s="23"/>
      <c r="J221" s="23"/>
      <c r="L221" s="4"/>
      <c r="N221" s="36"/>
    </row>
    <row r="222" spans="7:14" ht="15.75" customHeight="1" x14ac:dyDescent="0.45">
      <c r="G222" s="4"/>
      <c r="H222" s="4"/>
      <c r="I222" s="23"/>
      <c r="J222" s="23"/>
      <c r="L222" s="4"/>
      <c r="N222" s="36"/>
    </row>
    <row r="223" spans="7:14" ht="15.75" customHeight="1" x14ac:dyDescent="0.45">
      <c r="G223" s="4"/>
      <c r="H223" s="4"/>
      <c r="I223" s="23"/>
      <c r="J223" s="23"/>
      <c r="L223" s="4"/>
      <c r="N223" s="36"/>
    </row>
    <row r="224" spans="7:14" ht="15.75" customHeight="1" x14ac:dyDescent="0.45">
      <c r="G224" s="4"/>
      <c r="H224" s="4"/>
      <c r="I224" s="23"/>
      <c r="J224" s="23"/>
      <c r="L224" s="4"/>
      <c r="N224" s="36"/>
    </row>
    <row r="225" spans="7:14" ht="15.75" customHeight="1" x14ac:dyDescent="0.45">
      <c r="G225" s="4"/>
      <c r="H225" s="4"/>
      <c r="I225" s="23"/>
      <c r="J225" s="23"/>
      <c r="L225" s="4"/>
      <c r="N225" s="36"/>
    </row>
    <row r="226" spans="7:14" ht="15.75" customHeight="1" x14ac:dyDescent="0.45">
      <c r="G226" s="4"/>
      <c r="H226" s="4"/>
      <c r="I226" s="23"/>
      <c r="J226" s="23"/>
      <c r="L226" s="4"/>
      <c r="N226" s="36"/>
    </row>
    <row r="227" spans="7:14" ht="15.75" customHeight="1" x14ac:dyDescent="0.45">
      <c r="G227" s="4"/>
      <c r="H227" s="4"/>
      <c r="I227" s="23"/>
      <c r="J227" s="23"/>
      <c r="L227" s="4"/>
      <c r="N227" s="36"/>
    </row>
    <row r="228" spans="7:14" ht="15.75" customHeight="1" x14ac:dyDescent="0.45">
      <c r="G228" s="4"/>
      <c r="H228" s="4"/>
      <c r="I228" s="23"/>
      <c r="J228" s="23"/>
      <c r="L228" s="4"/>
      <c r="N228" s="36"/>
    </row>
    <row r="229" spans="7:14" ht="15.75" customHeight="1" x14ac:dyDescent="0.45">
      <c r="G229" s="4"/>
      <c r="H229" s="4"/>
      <c r="I229" s="23"/>
      <c r="J229" s="23"/>
      <c r="L229" s="4"/>
      <c r="N229" s="36"/>
    </row>
    <row r="230" spans="7:14" ht="15.75" customHeight="1" x14ac:dyDescent="0.45">
      <c r="G230" s="4"/>
      <c r="H230" s="4"/>
      <c r="I230" s="23"/>
      <c r="J230" s="23"/>
      <c r="L230" s="4"/>
      <c r="N230" s="36"/>
    </row>
    <row r="231" spans="7:14" ht="15.75" customHeight="1" x14ac:dyDescent="0.45">
      <c r="G231" s="4"/>
      <c r="H231" s="4"/>
      <c r="I231" s="23"/>
      <c r="J231" s="23"/>
      <c r="L231" s="4"/>
      <c r="N231" s="36"/>
    </row>
    <row r="232" spans="7:14" ht="15.75" customHeight="1" x14ac:dyDescent="0.45">
      <c r="G232" s="4"/>
      <c r="H232" s="4"/>
      <c r="I232" s="23"/>
      <c r="J232" s="23"/>
      <c r="L232" s="4"/>
      <c r="N232" s="36"/>
    </row>
    <row r="233" spans="7:14" ht="15.75" customHeight="1" x14ac:dyDescent="0.45">
      <c r="G233" s="4"/>
      <c r="H233" s="4"/>
      <c r="I233" s="23"/>
      <c r="J233" s="23"/>
      <c r="L233" s="4"/>
      <c r="N233" s="36"/>
    </row>
    <row r="234" spans="7:14" ht="15.75" customHeight="1" x14ac:dyDescent="0.45">
      <c r="G234" s="4"/>
      <c r="H234" s="4"/>
      <c r="I234" s="23"/>
      <c r="J234" s="23"/>
      <c r="L234" s="4"/>
      <c r="N234" s="36"/>
    </row>
    <row r="235" spans="7:14" ht="15.75" customHeight="1" x14ac:dyDescent="0.45">
      <c r="G235" s="4"/>
      <c r="H235" s="4"/>
      <c r="I235" s="23"/>
      <c r="J235" s="23"/>
      <c r="L235" s="4"/>
      <c r="N235" s="36"/>
    </row>
    <row r="236" spans="7:14" ht="15.75" customHeight="1" x14ac:dyDescent="0.45">
      <c r="G236" s="4"/>
      <c r="H236" s="4"/>
      <c r="I236" s="23"/>
      <c r="J236" s="23"/>
      <c r="L236" s="4"/>
      <c r="N236" s="36"/>
    </row>
    <row r="237" spans="7:14" ht="15.75" customHeight="1" x14ac:dyDescent="0.45">
      <c r="G237" s="4"/>
      <c r="H237" s="4"/>
      <c r="I237" s="23"/>
      <c r="J237" s="23"/>
      <c r="L237" s="4"/>
      <c r="N237" s="36"/>
    </row>
    <row r="238" spans="7:14" ht="15.75" customHeight="1" x14ac:dyDescent="0.45">
      <c r="G238" s="4"/>
      <c r="H238" s="4"/>
      <c r="I238" s="23"/>
      <c r="J238" s="23"/>
      <c r="L238" s="4"/>
      <c r="N238" s="36"/>
    </row>
    <row r="239" spans="7:14" ht="15.75" customHeight="1" x14ac:dyDescent="0.45">
      <c r="G239" s="4"/>
      <c r="H239" s="4"/>
      <c r="I239" s="23"/>
      <c r="J239" s="23"/>
      <c r="L239" s="4"/>
      <c r="N239" s="36"/>
    </row>
    <row r="240" spans="7:14" ht="15.75" customHeight="1" x14ac:dyDescent="0.45">
      <c r="G240" s="4"/>
      <c r="H240" s="4"/>
      <c r="I240" s="23"/>
      <c r="J240" s="23"/>
      <c r="L240" s="4"/>
      <c r="N240" s="36"/>
    </row>
    <row r="241" spans="7:14" ht="15.75" customHeight="1" x14ac:dyDescent="0.45">
      <c r="G241" s="4"/>
      <c r="H241" s="4"/>
      <c r="I241" s="23"/>
      <c r="J241" s="23"/>
      <c r="L241" s="4"/>
      <c r="N241" s="36"/>
    </row>
    <row r="242" spans="7:14" ht="15.75" customHeight="1" x14ac:dyDescent="0.45">
      <c r="G242" s="4"/>
      <c r="H242" s="4"/>
      <c r="I242" s="23"/>
      <c r="J242" s="23"/>
      <c r="L242" s="4"/>
      <c r="N242" s="36"/>
    </row>
    <row r="243" spans="7:14" ht="15.75" customHeight="1" x14ac:dyDescent="0.45">
      <c r="G243" s="4"/>
      <c r="H243" s="4"/>
      <c r="I243" s="23"/>
      <c r="J243" s="23"/>
      <c r="L243" s="4"/>
      <c r="N243" s="36"/>
    </row>
    <row r="244" spans="7:14" ht="15.75" customHeight="1" x14ac:dyDescent="0.45">
      <c r="G244" s="4"/>
      <c r="H244" s="4"/>
      <c r="I244" s="23"/>
      <c r="J244" s="23"/>
      <c r="L244" s="4"/>
      <c r="N244" s="36"/>
    </row>
    <row r="245" spans="7:14" ht="15.75" customHeight="1" x14ac:dyDescent="0.45">
      <c r="G245" s="4"/>
      <c r="H245" s="4"/>
      <c r="I245" s="23"/>
      <c r="J245" s="23"/>
      <c r="L245" s="4"/>
      <c r="N245" s="36"/>
    </row>
    <row r="246" spans="7:14" ht="15.75" customHeight="1" x14ac:dyDescent="0.45">
      <c r="G246" s="4"/>
      <c r="H246" s="4"/>
      <c r="I246" s="23"/>
      <c r="J246" s="23"/>
      <c r="L246" s="4"/>
      <c r="N246" s="36"/>
    </row>
    <row r="247" spans="7:14" ht="15.75" customHeight="1" x14ac:dyDescent="0.45">
      <c r="G247" s="4"/>
      <c r="H247" s="4"/>
      <c r="I247" s="23"/>
      <c r="J247" s="23"/>
      <c r="L247" s="4"/>
      <c r="N247" s="36"/>
    </row>
    <row r="248" spans="7:14" ht="15.75" customHeight="1" x14ac:dyDescent="0.45">
      <c r="G248" s="4"/>
      <c r="H248" s="4"/>
      <c r="I248" s="23"/>
      <c r="J248" s="23"/>
      <c r="L248" s="4"/>
      <c r="N248" s="36"/>
    </row>
    <row r="249" spans="7:14" ht="15.75" customHeight="1" x14ac:dyDescent="0.45">
      <c r="G249" s="4"/>
      <c r="H249" s="4"/>
      <c r="I249" s="23"/>
      <c r="J249" s="23"/>
      <c r="L249" s="4"/>
      <c r="N249" s="36"/>
    </row>
    <row r="250" spans="7:14" ht="15.75" customHeight="1" x14ac:dyDescent="0.45">
      <c r="G250" s="4"/>
      <c r="H250" s="4"/>
      <c r="I250" s="23"/>
      <c r="J250" s="23"/>
      <c r="L250" s="4"/>
      <c r="N250" s="36"/>
    </row>
    <row r="251" spans="7:14" ht="15.75" customHeight="1" x14ac:dyDescent="0.45">
      <c r="G251" s="4"/>
      <c r="H251" s="4"/>
      <c r="I251" s="23"/>
      <c r="J251" s="23"/>
      <c r="L251" s="4"/>
      <c r="N251" s="36"/>
    </row>
    <row r="252" spans="7:14" ht="15.75" customHeight="1" x14ac:dyDescent="0.45">
      <c r="G252" s="4"/>
      <c r="H252" s="4"/>
      <c r="I252" s="23"/>
      <c r="J252" s="23"/>
      <c r="L252" s="4"/>
      <c r="N252" s="36"/>
    </row>
    <row r="253" spans="7:14" ht="15.75" customHeight="1" x14ac:dyDescent="0.45">
      <c r="G253" s="4"/>
      <c r="H253" s="4"/>
      <c r="I253" s="23"/>
      <c r="J253" s="23"/>
      <c r="L253" s="4"/>
      <c r="N253" s="36"/>
    </row>
    <row r="254" spans="7:14" ht="15.75" customHeight="1" x14ac:dyDescent="0.45">
      <c r="G254" s="4"/>
      <c r="H254" s="4"/>
      <c r="I254" s="23"/>
      <c r="J254" s="23"/>
      <c r="L254" s="4"/>
      <c r="N254" s="36"/>
    </row>
    <row r="255" spans="7:14" ht="15.75" customHeight="1" x14ac:dyDescent="0.45">
      <c r="G255" s="4"/>
      <c r="H255" s="4"/>
      <c r="I255" s="23"/>
      <c r="J255" s="23"/>
      <c r="L255" s="4"/>
      <c r="N255" s="36"/>
    </row>
    <row r="256" spans="7:14" ht="15.75" customHeight="1" x14ac:dyDescent="0.45">
      <c r="G256" s="4"/>
      <c r="H256" s="4"/>
      <c r="I256" s="23"/>
      <c r="J256" s="23"/>
      <c r="L256" s="4"/>
      <c r="N256" s="36"/>
    </row>
    <row r="257" spans="7:14" ht="15.75" customHeight="1" x14ac:dyDescent="0.45">
      <c r="G257" s="4"/>
      <c r="H257" s="4"/>
      <c r="I257" s="23"/>
      <c r="J257" s="23"/>
      <c r="L257" s="4"/>
      <c r="N257" s="36"/>
    </row>
    <row r="258" spans="7:14" ht="15.75" customHeight="1" x14ac:dyDescent="0.45">
      <c r="G258" s="4"/>
      <c r="H258" s="4"/>
      <c r="I258" s="23"/>
      <c r="J258" s="23"/>
      <c r="L258" s="4"/>
      <c r="N258" s="36"/>
    </row>
    <row r="259" spans="7:14" ht="15.75" customHeight="1" x14ac:dyDescent="0.45">
      <c r="G259" s="4"/>
      <c r="H259" s="4"/>
      <c r="I259" s="23"/>
      <c r="J259" s="23"/>
      <c r="L259" s="4"/>
      <c r="N259" s="36"/>
    </row>
    <row r="260" spans="7:14" ht="15.75" customHeight="1" x14ac:dyDescent="0.45">
      <c r="G260" s="4"/>
      <c r="H260" s="4"/>
      <c r="I260" s="23"/>
      <c r="J260" s="23"/>
      <c r="L260" s="4"/>
      <c r="N260" s="36"/>
    </row>
    <row r="261" spans="7:14" ht="15.75" customHeight="1" x14ac:dyDescent="0.45">
      <c r="G261" s="4"/>
      <c r="H261" s="4"/>
      <c r="J261" s="23"/>
      <c r="L261" s="4"/>
      <c r="N261" s="36"/>
    </row>
    <row r="262" spans="7:14" ht="15.75" customHeight="1" x14ac:dyDescent="0.45">
      <c r="G262" s="4"/>
      <c r="H262" s="4"/>
      <c r="L262" s="4"/>
      <c r="N262" s="36"/>
    </row>
    <row r="263" spans="7:14" ht="15.75" customHeight="1" x14ac:dyDescent="0.45">
      <c r="G263" s="4"/>
      <c r="H263" s="4"/>
      <c r="L263" s="4"/>
      <c r="N263" s="36"/>
    </row>
    <row r="264" spans="7:14" ht="15.75" customHeight="1" x14ac:dyDescent="0.45">
      <c r="G264" s="4"/>
      <c r="H264" s="4"/>
      <c r="L264" s="4"/>
      <c r="N264" s="36"/>
    </row>
    <row r="265" spans="7:14" ht="15.75" customHeight="1" x14ac:dyDescent="0.45">
      <c r="G265" s="4"/>
      <c r="H265" s="4"/>
      <c r="L265" s="4"/>
      <c r="N265" s="36"/>
    </row>
    <row r="266" spans="7:14" ht="15.75" customHeight="1" x14ac:dyDescent="0.45">
      <c r="G266" s="4"/>
      <c r="H266" s="4"/>
      <c r="L266" s="4"/>
      <c r="N266" s="36"/>
    </row>
    <row r="267" spans="7:14" ht="15.75" customHeight="1" x14ac:dyDescent="0.45">
      <c r="G267" s="4"/>
      <c r="H267" s="4"/>
      <c r="L267" s="4"/>
      <c r="N267" s="36"/>
    </row>
    <row r="268" spans="7:14" ht="15.75" customHeight="1" x14ac:dyDescent="0.45">
      <c r="G268" s="4"/>
      <c r="H268" s="4"/>
      <c r="L268" s="4"/>
      <c r="N268" s="36"/>
    </row>
    <row r="269" spans="7:14" ht="15.75" customHeight="1" x14ac:dyDescent="0.45">
      <c r="G269" s="4"/>
      <c r="H269" s="4"/>
      <c r="L269" s="4"/>
      <c r="N269" s="36"/>
    </row>
    <row r="270" spans="7:14" ht="15.75" customHeight="1" x14ac:dyDescent="0.45">
      <c r="G270" s="4"/>
      <c r="H270" s="4"/>
      <c r="L270" s="4"/>
      <c r="N270" s="36"/>
    </row>
    <row r="271" spans="7:14" ht="15.75" customHeight="1" x14ac:dyDescent="0.45">
      <c r="G271" s="4"/>
      <c r="H271" s="4"/>
      <c r="L271" s="4"/>
      <c r="N271" s="36"/>
    </row>
    <row r="272" spans="7:14" ht="15.75" customHeight="1" x14ac:dyDescent="0.45">
      <c r="G272" s="4"/>
      <c r="H272" s="4"/>
      <c r="L272" s="4"/>
      <c r="N272" s="36"/>
    </row>
    <row r="273" spans="7:14" ht="15.75" customHeight="1" x14ac:dyDescent="0.45">
      <c r="G273" s="4"/>
      <c r="H273" s="4"/>
      <c r="L273" s="4"/>
      <c r="N273" s="36"/>
    </row>
    <row r="274" spans="7:14" ht="15.75" customHeight="1" x14ac:dyDescent="0.45">
      <c r="G274" s="4"/>
      <c r="H274" s="4"/>
      <c r="L274" s="4"/>
      <c r="N274" s="36"/>
    </row>
    <row r="275" spans="7:14" ht="15.75" customHeight="1" x14ac:dyDescent="0.45">
      <c r="G275" s="4"/>
      <c r="H275" s="4"/>
      <c r="L275" s="4"/>
      <c r="N275" s="36"/>
    </row>
    <row r="276" spans="7:14" ht="15.75" customHeight="1" x14ac:dyDescent="0.45">
      <c r="G276" s="4"/>
      <c r="H276" s="4"/>
      <c r="L276" s="4"/>
      <c r="N276" s="36"/>
    </row>
    <row r="277" spans="7:14" ht="15.75" customHeight="1" x14ac:dyDescent="0.45">
      <c r="G277" s="4"/>
      <c r="H277" s="4"/>
      <c r="L277" s="4"/>
      <c r="N277" s="36"/>
    </row>
    <row r="278" spans="7:14" ht="15.75" customHeight="1" x14ac:dyDescent="0.45">
      <c r="G278" s="4"/>
      <c r="H278" s="4"/>
      <c r="L278" s="4"/>
      <c r="N278" s="36"/>
    </row>
    <row r="279" spans="7:14" ht="15.75" customHeight="1" x14ac:dyDescent="0.45">
      <c r="G279" s="4"/>
      <c r="H279" s="4"/>
      <c r="L279" s="4"/>
      <c r="N279" s="36"/>
    </row>
    <row r="280" spans="7:14" ht="15.75" customHeight="1" x14ac:dyDescent="0.45">
      <c r="G280" s="4"/>
      <c r="H280" s="4"/>
      <c r="L280" s="4"/>
      <c r="N280" s="36"/>
    </row>
    <row r="281" spans="7:14" ht="15.75" customHeight="1" x14ac:dyDescent="0.45">
      <c r="G281" s="4"/>
      <c r="H281" s="4"/>
      <c r="L281" s="4"/>
      <c r="N281" s="36"/>
    </row>
    <row r="282" spans="7:14" ht="15.75" customHeight="1" x14ac:dyDescent="0.45">
      <c r="G282" s="4"/>
      <c r="H282" s="4"/>
      <c r="L282" s="4"/>
      <c r="N282" s="36"/>
    </row>
    <row r="283" spans="7:14" ht="15.75" customHeight="1" x14ac:dyDescent="0.45">
      <c r="G283" s="4"/>
      <c r="H283" s="4"/>
      <c r="L283" s="4"/>
      <c r="N283" s="36"/>
    </row>
    <row r="284" spans="7:14" ht="15.75" customHeight="1" x14ac:dyDescent="0.45">
      <c r="G284" s="4"/>
      <c r="H284" s="4"/>
      <c r="L284" s="4"/>
      <c r="N284" s="36"/>
    </row>
    <row r="285" spans="7:14" ht="15.75" customHeight="1" x14ac:dyDescent="0.45">
      <c r="G285" s="4"/>
      <c r="H285" s="4"/>
      <c r="L285" s="4"/>
      <c r="N285" s="36"/>
    </row>
    <row r="286" spans="7:14" ht="15.75" customHeight="1" x14ac:dyDescent="0.45">
      <c r="G286" s="4"/>
      <c r="H286" s="4"/>
      <c r="L286" s="4"/>
      <c r="N286" s="36"/>
    </row>
    <row r="287" spans="7:14" ht="15.75" customHeight="1" x14ac:dyDescent="0.45">
      <c r="G287" s="4"/>
      <c r="H287" s="4"/>
      <c r="L287" s="4"/>
      <c r="N287" s="36"/>
    </row>
    <row r="288" spans="7:14" ht="15.75" customHeight="1" x14ac:dyDescent="0.45">
      <c r="G288" s="4"/>
      <c r="H288" s="4"/>
      <c r="L288" s="4"/>
      <c r="N288" s="36"/>
    </row>
    <row r="289" spans="7:14" ht="15.75" customHeight="1" x14ac:dyDescent="0.45">
      <c r="G289" s="4"/>
      <c r="H289" s="4"/>
      <c r="L289" s="4"/>
      <c r="N289" s="36"/>
    </row>
    <row r="290" spans="7:14" ht="15.75" customHeight="1" x14ac:dyDescent="0.45">
      <c r="G290" s="4"/>
      <c r="H290" s="4"/>
      <c r="L290" s="4"/>
      <c r="N290" s="36"/>
    </row>
    <row r="291" spans="7:14" ht="15.75" customHeight="1" x14ac:dyDescent="0.45">
      <c r="G291" s="4"/>
      <c r="H291" s="4"/>
      <c r="L291" s="4"/>
      <c r="N291" s="36"/>
    </row>
    <row r="292" spans="7:14" ht="15.75" customHeight="1" x14ac:dyDescent="0.45">
      <c r="G292" s="4"/>
      <c r="H292" s="4"/>
      <c r="L292" s="4"/>
      <c r="N292" s="36"/>
    </row>
    <row r="293" spans="7:14" ht="15.75" customHeight="1" x14ac:dyDescent="0.45">
      <c r="G293" s="4"/>
      <c r="H293" s="4"/>
      <c r="L293" s="4"/>
      <c r="N293" s="36"/>
    </row>
    <row r="294" spans="7:14" ht="15.75" customHeight="1" x14ac:dyDescent="0.45">
      <c r="G294" s="4"/>
      <c r="H294" s="4"/>
      <c r="L294" s="4"/>
      <c r="N294" s="36"/>
    </row>
    <row r="295" spans="7:14" ht="15.75" customHeight="1" x14ac:dyDescent="0.45">
      <c r="G295" s="4"/>
      <c r="H295" s="4"/>
      <c r="L295" s="4"/>
      <c r="N295" s="36"/>
    </row>
    <row r="296" spans="7:14" ht="15.75" customHeight="1" x14ac:dyDescent="0.45">
      <c r="G296" s="4"/>
      <c r="H296" s="4"/>
      <c r="L296" s="4"/>
      <c r="N296" s="36"/>
    </row>
    <row r="297" spans="7:14" ht="15.75" customHeight="1" x14ac:dyDescent="0.45">
      <c r="G297" s="4"/>
      <c r="H297" s="4"/>
      <c r="L297" s="4"/>
      <c r="N297" s="36"/>
    </row>
    <row r="298" spans="7:14" ht="15.75" customHeight="1" x14ac:dyDescent="0.45">
      <c r="G298" s="4"/>
      <c r="H298" s="4"/>
      <c r="L298" s="4"/>
    </row>
    <row r="299" spans="7:14" ht="15.75" customHeight="1" x14ac:dyDescent="0.45">
      <c r="G299" s="4"/>
      <c r="H299" s="4"/>
      <c r="L299" s="4"/>
    </row>
    <row r="300" spans="7:14" ht="15.75" customHeight="1" x14ac:dyDescent="0.45">
      <c r="G300" s="4"/>
      <c r="H300" s="4"/>
      <c r="L300" s="4"/>
    </row>
    <row r="301" spans="7:14" ht="15.75" customHeight="1" x14ac:dyDescent="0.45">
      <c r="G301" s="4"/>
      <c r="H301" s="4"/>
      <c r="L301" s="4"/>
    </row>
    <row r="302" spans="7:14" ht="15.75" customHeight="1" x14ac:dyDescent="0.45">
      <c r="G302" s="4"/>
      <c r="H302" s="4"/>
      <c r="L302" s="4"/>
    </row>
    <row r="303" spans="7:14" ht="15.75" customHeight="1" x14ac:dyDescent="0.45">
      <c r="G303" s="4"/>
      <c r="H303" s="4"/>
      <c r="L303" s="4"/>
    </row>
    <row r="304" spans="7:14" ht="15.75" customHeight="1" x14ac:dyDescent="0.45">
      <c r="G304" s="4"/>
      <c r="H304" s="4"/>
      <c r="L304" s="4"/>
    </row>
    <row r="305" spans="7:12" ht="15.75" customHeight="1" x14ac:dyDescent="0.45">
      <c r="G305" s="4"/>
      <c r="H305" s="4"/>
      <c r="L305" s="4"/>
    </row>
    <row r="306" spans="7:12" ht="15.75" customHeight="1" x14ac:dyDescent="0.45">
      <c r="G306" s="4"/>
      <c r="H306" s="4"/>
      <c r="L306" s="4"/>
    </row>
    <row r="307" spans="7:12" ht="15.75" customHeight="1" x14ac:dyDescent="0.45">
      <c r="G307" s="4"/>
      <c r="H307" s="4"/>
      <c r="L307" s="4"/>
    </row>
    <row r="308" spans="7:12" ht="15.75" customHeight="1" x14ac:dyDescent="0.45">
      <c r="G308" s="4"/>
      <c r="H308" s="4"/>
      <c r="L308" s="4"/>
    </row>
    <row r="309" spans="7:12" ht="15.75" customHeight="1" x14ac:dyDescent="0.45">
      <c r="G309" s="4"/>
      <c r="H309" s="4"/>
      <c r="L309" s="4"/>
    </row>
    <row r="310" spans="7:12" ht="15.75" customHeight="1" x14ac:dyDescent="0.45">
      <c r="G310" s="4"/>
      <c r="H310" s="4"/>
      <c r="L310" s="4"/>
    </row>
    <row r="311" spans="7:12" ht="15.75" customHeight="1" x14ac:dyDescent="0.45">
      <c r="G311" s="4"/>
      <c r="H311" s="4"/>
      <c r="L311" s="4"/>
    </row>
    <row r="312" spans="7:12" ht="15.75" customHeight="1" x14ac:dyDescent="0.45">
      <c r="G312" s="4"/>
      <c r="H312" s="4"/>
      <c r="L312" s="4"/>
    </row>
    <row r="313" spans="7:12" ht="15.75" customHeight="1" x14ac:dyDescent="0.45">
      <c r="G313" s="4"/>
      <c r="H313" s="4"/>
      <c r="L313" s="4"/>
    </row>
    <row r="314" spans="7:12" ht="15.75" customHeight="1" x14ac:dyDescent="0.45">
      <c r="G314" s="4"/>
      <c r="H314" s="4"/>
      <c r="L314" s="4"/>
    </row>
    <row r="315" spans="7:12" ht="15.75" customHeight="1" x14ac:dyDescent="0.45">
      <c r="G315" s="4"/>
      <c r="H315" s="4"/>
      <c r="L315" s="4"/>
    </row>
    <row r="316" spans="7:12" ht="15.75" customHeight="1" x14ac:dyDescent="0.45">
      <c r="G316" s="4"/>
      <c r="H316" s="4"/>
      <c r="L316" s="4"/>
    </row>
    <row r="317" spans="7:12" ht="15.75" customHeight="1" x14ac:dyDescent="0.45">
      <c r="G317" s="4"/>
      <c r="H317" s="4"/>
      <c r="L317" s="4"/>
    </row>
    <row r="318" spans="7:12" ht="15.75" customHeight="1" x14ac:dyDescent="0.45">
      <c r="G318" s="4"/>
      <c r="H318" s="4"/>
      <c r="L318" s="4"/>
    </row>
    <row r="319" spans="7:12" ht="15.75" customHeight="1" x14ac:dyDescent="0.45">
      <c r="G319" s="4"/>
      <c r="H319" s="4"/>
      <c r="L319" s="4"/>
    </row>
    <row r="320" spans="7:12" ht="15.75" customHeight="1" x14ac:dyDescent="0.45">
      <c r="G320" s="4"/>
      <c r="H320" s="4"/>
      <c r="L320" s="4"/>
    </row>
    <row r="321" spans="7:12" ht="15.75" customHeight="1" x14ac:dyDescent="0.45">
      <c r="G321" s="4"/>
      <c r="H321" s="4"/>
      <c r="L321" s="4"/>
    </row>
    <row r="322" spans="7:12" ht="15.75" customHeight="1" x14ac:dyDescent="0.45">
      <c r="G322" s="4"/>
      <c r="H322" s="4"/>
      <c r="L322" s="4"/>
    </row>
    <row r="323" spans="7:12" ht="15.75" customHeight="1" x14ac:dyDescent="0.45">
      <c r="G323" s="4"/>
      <c r="H323" s="4"/>
      <c r="L323" s="4"/>
    </row>
    <row r="324" spans="7:12" ht="15.75" customHeight="1" x14ac:dyDescent="0.45">
      <c r="G324" s="4"/>
      <c r="H324" s="4"/>
      <c r="L324" s="4"/>
    </row>
    <row r="325" spans="7:12" ht="15.75" customHeight="1" x14ac:dyDescent="0.45">
      <c r="G325" s="4"/>
      <c r="H325" s="4"/>
      <c r="L325" s="4"/>
    </row>
    <row r="326" spans="7:12" ht="15.75" customHeight="1" x14ac:dyDescent="0.45">
      <c r="G326" s="4"/>
      <c r="H326" s="4"/>
      <c r="L326" s="4"/>
    </row>
    <row r="327" spans="7:12" ht="15.75" customHeight="1" x14ac:dyDescent="0.45">
      <c r="G327" s="4"/>
      <c r="H327" s="4"/>
      <c r="L327" s="4"/>
    </row>
    <row r="328" spans="7:12" ht="15.75" customHeight="1" x14ac:dyDescent="0.45">
      <c r="G328" s="4"/>
      <c r="H328" s="4"/>
      <c r="L328" s="4"/>
    </row>
    <row r="329" spans="7:12" ht="15.75" customHeight="1" x14ac:dyDescent="0.45"/>
    <row r="330" spans="7:12" ht="15.75" customHeight="1" x14ac:dyDescent="0.45"/>
    <row r="331" spans="7:12" ht="15.75" customHeight="1" x14ac:dyDescent="0.45"/>
    <row r="332" spans="7:12" ht="15.75" customHeight="1" x14ac:dyDescent="0.45"/>
    <row r="333" spans="7:12" ht="15.75" customHeight="1" x14ac:dyDescent="0.45"/>
    <row r="334" spans="7:12" ht="15.75" customHeight="1" x14ac:dyDescent="0.45"/>
    <row r="335" spans="7:12" ht="15.75" customHeight="1" x14ac:dyDescent="0.45"/>
    <row r="336" spans="7:12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  <row r="994" ht="15" customHeight="1" x14ac:dyDescent="0.45"/>
    <row r="995" ht="15" customHeight="1" x14ac:dyDescent="0.45"/>
  </sheetData>
  <mergeCells count="4">
    <mergeCell ref="A1:O1"/>
    <mergeCell ref="A2:O2"/>
    <mergeCell ref="A5:O5"/>
    <mergeCell ref="O12:O13"/>
  </mergeCells>
  <phoneticPr fontId="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11557C4-66BD-45C5-89FD-8CF60DAEBDEB}">
          <x14:formula1>
            <xm:f>Criterios!$A$2:$A$128</xm:f>
          </x14:formula1>
          <xm:sqref>P8:T129</xm:sqref>
        </x14:dataValidation>
        <x14:dataValidation type="list" allowBlank="1" showInputMessage="1" showErrorMessage="1" xr:uid="{82DAFA90-5D15-4A4A-B5F0-7F1CC0DAE97A}">
          <x14:formula1>
            <xm:f>Hoja1!$G$2:$G$3</xm:f>
          </x14:formula1>
          <xm:sqref>U8:U129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Hoja1</vt:lpstr>
      <vt:lpstr>Criterios</vt:lpstr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Lagos Palma</dc:creator>
  <cp:lastModifiedBy>Scarlett Carrillo Novoa</cp:lastModifiedBy>
  <dcterms:created xsi:type="dcterms:W3CDTF">2025-01-06T11:23:10Z</dcterms:created>
  <dcterms:modified xsi:type="dcterms:W3CDTF">2026-06-29T20:53:38Z</dcterms:modified>
</cp:coreProperties>
</file>