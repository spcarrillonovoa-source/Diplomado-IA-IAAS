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c728b1d86588c5/Dokumente/IA/Diplomado IA/Proyecto final/Modelo RF/Entrenamiento y testeo/"/>
    </mc:Choice>
  </mc:AlternateContent>
  <xr:revisionPtr revIDLastSave="6" documentId="11_E8ACD8AE3BE1DCC842CFD0773D0A171FC165400C" xr6:coauthVersionLast="47" xr6:coauthVersionMax="47" xr10:uidLastSave="{EE87DDD9-BA2C-41FC-9239-B93BD0E07A02}"/>
  <bookViews>
    <workbookView xWindow="-98" yWindow="-98" windowWidth="28996" windowHeight="15675" tabRatio="566" activeTab="2" xr2:uid="{00000000-000D-0000-FFFF-FFFF00000000}"/>
  </bookViews>
  <sheets>
    <sheet name="Listas" sheetId="1" r:id="rId1"/>
    <sheet name="Criterios" sheetId="2" r:id="rId2"/>
    <sheet name="ENERO 24" sheetId="3" r:id="rId3"/>
    <sheet name="FEBRERO 24" sheetId="4" r:id="rId4"/>
    <sheet name="MARZO 24" sheetId="5" r:id="rId5"/>
    <sheet name="ABRIL 24" sheetId="6" r:id="rId6"/>
    <sheet name="MAYO 24" sheetId="7" r:id="rId7"/>
    <sheet name="JUNIO 24" sheetId="8" r:id="rId8"/>
    <sheet name="JULIO 2024" sheetId="9" r:id="rId9"/>
    <sheet name="AGOSTO 2024" sheetId="10" r:id="rId10"/>
    <sheet name="SEPTIEMBRE 2024" sheetId="11" r:id="rId11"/>
    <sheet name="OCTUBRE 2024" sheetId="12" r:id="rId12"/>
    <sheet name="NOVIEMBRE 2024" sheetId="13" r:id="rId13"/>
    <sheet name="DICIEMBRE 2024" sheetId="14" r:id="rId14"/>
  </sheets>
  <definedNames>
    <definedName name="_xlnm._FilterDatabase" localSheetId="2" hidden="1">'ENERO 24'!$A$7:$U$272</definedName>
    <definedName name="_xlnm._FilterDatabase" localSheetId="3" hidden="1">'FEBRERO 24'!$A$7:$U$228</definedName>
    <definedName name="_xlnm._FilterDatabase" localSheetId="4" hidden="1">'MARZO 24'!$A$7:$O$129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65" i="14" l="1"/>
  <c r="N264" i="14"/>
  <c r="F264" i="14"/>
  <c r="E264" i="14"/>
  <c r="D264" i="14"/>
  <c r="B264" i="14"/>
  <c r="N263" i="14"/>
  <c r="F263" i="14"/>
  <c r="E263" i="14"/>
  <c r="D263" i="14"/>
  <c r="B263" i="14"/>
  <c r="N262" i="14"/>
  <c r="G262" i="14"/>
  <c r="F262" i="14"/>
  <c r="E262" i="14"/>
  <c r="D262" i="14"/>
  <c r="C262" i="14"/>
  <c r="B262" i="14"/>
  <c r="N261" i="14"/>
  <c r="B261" i="14"/>
  <c r="N260" i="14"/>
  <c r="B260" i="14"/>
  <c r="N259" i="14"/>
  <c r="B259" i="14"/>
  <c r="N258" i="14"/>
  <c r="B258" i="14"/>
  <c r="N257" i="14"/>
  <c r="G257" i="14"/>
  <c r="F257" i="14"/>
  <c r="E257" i="14"/>
  <c r="D257" i="14"/>
  <c r="C257" i="14"/>
  <c r="B257" i="14"/>
  <c r="N256" i="14"/>
  <c r="G256" i="14"/>
  <c r="F256" i="14"/>
  <c r="E256" i="14"/>
  <c r="D256" i="14"/>
  <c r="C256" i="14"/>
  <c r="B256" i="14"/>
  <c r="N255" i="14"/>
  <c r="B255" i="14"/>
  <c r="N254" i="14"/>
  <c r="B254" i="14"/>
  <c r="N253" i="14"/>
  <c r="B253" i="14"/>
  <c r="N252" i="14"/>
  <c r="G252" i="14"/>
  <c r="F252" i="14"/>
  <c r="E252" i="14"/>
  <c r="D252" i="14"/>
  <c r="C252" i="14"/>
  <c r="B252" i="14"/>
  <c r="N251" i="14"/>
  <c r="G251" i="14"/>
  <c r="F251" i="14"/>
  <c r="E251" i="14"/>
  <c r="D251" i="14"/>
  <c r="C251" i="14"/>
  <c r="B251" i="14"/>
  <c r="N250" i="14"/>
  <c r="B250" i="14"/>
  <c r="N249" i="14"/>
  <c r="B249" i="14"/>
  <c r="N248" i="14"/>
  <c r="B248" i="14"/>
  <c r="N247" i="14"/>
  <c r="B247" i="14"/>
  <c r="N246" i="14"/>
  <c r="G246" i="14"/>
  <c r="F246" i="14"/>
  <c r="E246" i="14"/>
  <c r="D246" i="14"/>
  <c r="C246" i="14"/>
  <c r="B246" i="14"/>
  <c r="N245" i="14"/>
  <c r="B245" i="14"/>
  <c r="N244" i="14"/>
  <c r="G244" i="14"/>
  <c r="F244" i="14"/>
  <c r="E244" i="14"/>
  <c r="D244" i="14"/>
  <c r="C244" i="14"/>
  <c r="B244" i="14"/>
  <c r="N243" i="14"/>
  <c r="G243" i="14"/>
  <c r="F243" i="14"/>
  <c r="E243" i="14"/>
  <c r="D243" i="14"/>
  <c r="C243" i="14"/>
  <c r="B243" i="14"/>
  <c r="N242" i="14"/>
  <c r="B242" i="14"/>
  <c r="N241" i="14"/>
  <c r="F241" i="14"/>
  <c r="E241" i="14"/>
  <c r="D241" i="14"/>
  <c r="C241" i="14"/>
  <c r="B241" i="14"/>
  <c r="N240" i="14"/>
  <c r="F240" i="14"/>
  <c r="E240" i="14"/>
  <c r="D240" i="14"/>
  <c r="C240" i="14"/>
  <c r="B240" i="14"/>
  <c r="N239" i="14"/>
  <c r="G239" i="14"/>
  <c r="B239" i="14"/>
  <c r="N238" i="14"/>
  <c r="F238" i="14"/>
  <c r="E238" i="14"/>
  <c r="D238" i="14"/>
  <c r="C238" i="14"/>
  <c r="B238" i="14"/>
  <c r="N237" i="14"/>
  <c r="F237" i="14"/>
  <c r="E237" i="14"/>
  <c r="D237" i="14"/>
  <c r="C237" i="14"/>
  <c r="B237" i="14"/>
  <c r="N236" i="14"/>
  <c r="B236" i="14"/>
  <c r="N235" i="14"/>
  <c r="G235" i="14"/>
  <c r="F235" i="14"/>
  <c r="E235" i="14"/>
  <c r="D235" i="14"/>
  <c r="C235" i="14"/>
  <c r="B235" i="14"/>
  <c r="N234" i="14"/>
  <c r="B234" i="14"/>
  <c r="N233" i="14"/>
  <c r="G233" i="14"/>
  <c r="F233" i="14"/>
  <c r="E233" i="14"/>
  <c r="D233" i="14"/>
  <c r="C233" i="14"/>
  <c r="B233" i="14"/>
  <c r="N232" i="14"/>
  <c r="B232" i="14"/>
  <c r="N231" i="14"/>
  <c r="B231" i="14"/>
  <c r="N230" i="14"/>
  <c r="G230" i="14"/>
  <c r="F230" i="14"/>
  <c r="E230" i="14"/>
  <c r="D230" i="14"/>
  <c r="C230" i="14"/>
  <c r="B230" i="14"/>
  <c r="N229" i="14"/>
  <c r="G229" i="14"/>
  <c r="F229" i="14"/>
  <c r="E229" i="14"/>
  <c r="D229" i="14"/>
  <c r="C229" i="14"/>
  <c r="B229" i="14"/>
  <c r="N228" i="14"/>
  <c r="B228" i="14"/>
  <c r="N227" i="14"/>
  <c r="G227" i="14"/>
  <c r="F227" i="14"/>
  <c r="E227" i="14"/>
  <c r="D227" i="14"/>
  <c r="C227" i="14"/>
  <c r="B227" i="14"/>
  <c r="N226" i="14"/>
  <c r="G226" i="14"/>
  <c r="F226" i="14"/>
  <c r="E226" i="14"/>
  <c r="D226" i="14"/>
  <c r="C226" i="14"/>
  <c r="B226" i="14"/>
  <c r="N225" i="14"/>
  <c r="B225" i="14"/>
  <c r="N224" i="14"/>
  <c r="G224" i="14"/>
  <c r="F224" i="14"/>
  <c r="E224" i="14"/>
  <c r="D224" i="14"/>
  <c r="C224" i="14"/>
  <c r="B224" i="14"/>
  <c r="N223" i="14"/>
  <c r="G223" i="14"/>
  <c r="F223" i="14"/>
  <c r="E223" i="14"/>
  <c r="D223" i="14"/>
  <c r="C223" i="14"/>
  <c r="B223" i="14"/>
  <c r="N222" i="14"/>
  <c r="B222" i="14"/>
  <c r="N221" i="14"/>
  <c r="G221" i="14"/>
  <c r="F221" i="14"/>
  <c r="E221" i="14"/>
  <c r="D221" i="14"/>
  <c r="C221" i="14"/>
  <c r="B221" i="14"/>
  <c r="N220" i="14"/>
  <c r="G220" i="14"/>
  <c r="F220" i="14"/>
  <c r="E220" i="14"/>
  <c r="D220" i="14"/>
  <c r="C220" i="14"/>
  <c r="B220" i="14"/>
  <c r="N219" i="14"/>
  <c r="G219" i="14"/>
  <c r="F219" i="14"/>
  <c r="E219" i="14"/>
  <c r="D219" i="14"/>
  <c r="C219" i="14"/>
  <c r="B219" i="14"/>
  <c r="N218" i="14"/>
  <c r="G218" i="14"/>
  <c r="F218" i="14"/>
  <c r="E218" i="14"/>
  <c r="D218" i="14"/>
  <c r="C218" i="14"/>
  <c r="B218" i="14"/>
  <c r="N217" i="14"/>
  <c r="B217" i="14"/>
  <c r="N216" i="14"/>
  <c r="B216" i="14"/>
  <c r="N215" i="14"/>
  <c r="B215" i="14"/>
  <c r="N214" i="14"/>
  <c r="G214" i="14"/>
  <c r="F214" i="14"/>
  <c r="E214" i="14"/>
  <c r="D214" i="14"/>
  <c r="C214" i="14"/>
  <c r="B214" i="14"/>
  <c r="N213" i="14"/>
  <c r="B213" i="14"/>
  <c r="N212" i="14"/>
  <c r="F212" i="14"/>
  <c r="E212" i="14"/>
  <c r="D212" i="14"/>
  <c r="B212" i="14"/>
  <c r="N211" i="14"/>
  <c r="G211" i="14"/>
  <c r="F211" i="14"/>
  <c r="E211" i="14"/>
  <c r="D211" i="14"/>
  <c r="C211" i="14"/>
  <c r="B211" i="14"/>
  <c r="N210" i="14"/>
  <c r="B210" i="14"/>
  <c r="N209" i="14"/>
  <c r="G209" i="14"/>
  <c r="F209" i="14"/>
  <c r="E209" i="14"/>
  <c r="D209" i="14"/>
  <c r="C209" i="14"/>
  <c r="B209" i="14"/>
  <c r="N208" i="14"/>
  <c r="B208" i="14"/>
  <c r="N207" i="14"/>
  <c r="G207" i="14"/>
  <c r="F207" i="14"/>
  <c r="E207" i="14"/>
  <c r="D207" i="14"/>
  <c r="C207" i="14"/>
  <c r="B207" i="14"/>
  <c r="N206" i="14"/>
  <c r="G206" i="14"/>
  <c r="F206" i="14"/>
  <c r="E206" i="14"/>
  <c r="D206" i="14"/>
  <c r="C206" i="14"/>
  <c r="B206" i="14"/>
  <c r="N205" i="14"/>
  <c r="B205" i="14"/>
  <c r="N204" i="14"/>
  <c r="G204" i="14"/>
  <c r="F204" i="14"/>
  <c r="E204" i="14"/>
  <c r="D204" i="14"/>
  <c r="C204" i="14"/>
  <c r="B204" i="14"/>
  <c r="N203" i="14"/>
  <c r="B203" i="14"/>
  <c r="N202" i="14"/>
  <c r="F202" i="14"/>
  <c r="E202" i="14"/>
  <c r="D202" i="14"/>
  <c r="B202" i="14"/>
  <c r="N201" i="14"/>
  <c r="F201" i="14"/>
  <c r="E201" i="14"/>
  <c r="D201" i="14"/>
  <c r="B201" i="14"/>
  <c r="N200" i="14"/>
  <c r="F200" i="14"/>
  <c r="E200" i="14"/>
  <c r="D200" i="14"/>
  <c r="B200" i="14"/>
  <c r="N199" i="14"/>
  <c r="B199" i="14"/>
  <c r="N198" i="14"/>
  <c r="B198" i="14"/>
  <c r="N197" i="14"/>
  <c r="B197" i="14"/>
  <c r="N196" i="14"/>
  <c r="B196" i="14"/>
  <c r="N195" i="14"/>
  <c r="G195" i="14"/>
  <c r="F195" i="14"/>
  <c r="E195" i="14"/>
  <c r="D195" i="14"/>
  <c r="C195" i="14"/>
  <c r="B195" i="14"/>
  <c r="N194" i="14"/>
  <c r="B194" i="14"/>
  <c r="N193" i="14"/>
  <c r="F193" i="14"/>
  <c r="E193" i="14"/>
  <c r="D193" i="14"/>
  <c r="C193" i="14"/>
  <c r="B193" i="14"/>
  <c r="N192" i="14"/>
  <c r="F192" i="14"/>
  <c r="E192" i="14"/>
  <c r="D192" i="14"/>
  <c r="C192" i="14"/>
  <c r="B192" i="14"/>
  <c r="N191" i="14"/>
  <c r="F191" i="14"/>
  <c r="E191" i="14"/>
  <c r="D191" i="14"/>
  <c r="B191" i="14"/>
  <c r="N190" i="14"/>
  <c r="F190" i="14"/>
  <c r="E190" i="14"/>
  <c r="D190" i="14"/>
  <c r="B190" i="14"/>
  <c r="N189" i="14"/>
  <c r="F189" i="14"/>
  <c r="E189" i="14"/>
  <c r="D189" i="14"/>
  <c r="C189" i="14"/>
  <c r="B189" i="14"/>
  <c r="N188" i="14"/>
  <c r="F188" i="14"/>
  <c r="E188" i="14"/>
  <c r="D188" i="14"/>
  <c r="C188" i="14"/>
  <c r="B188" i="14"/>
  <c r="N187" i="14"/>
  <c r="F187" i="14"/>
  <c r="E187" i="14"/>
  <c r="D187" i="14"/>
  <c r="C187" i="14"/>
  <c r="B187" i="14"/>
  <c r="N186" i="14"/>
  <c r="G186" i="14"/>
  <c r="F186" i="14"/>
  <c r="E186" i="14"/>
  <c r="D186" i="14"/>
  <c r="C186" i="14"/>
  <c r="B186" i="14"/>
  <c r="N185" i="14"/>
  <c r="B185" i="14"/>
  <c r="N184" i="14"/>
  <c r="G184" i="14"/>
  <c r="F184" i="14"/>
  <c r="E184" i="14"/>
  <c r="D184" i="14"/>
  <c r="C184" i="14"/>
  <c r="B184" i="14"/>
  <c r="N183" i="14"/>
  <c r="B183" i="14"/>
  <c r="N182" i="14"/>
  <c r="G182" i="14"/>
  <c r="F182" i="14"/>
  <c r="E182" i="14"/>
  <c r="D182" i="14"/>
  <c r="C182" i="14"/>
  <c r="B182" i="14"/>
  <c r="N181" i="14"/>
  <c r="B181" i="14"/>
  <c r="N180" i="14"/>
  <c r="G180" i="14"/>
  <c r="F180" i="14"/>
  <c r="E180" i="14"/>
  <c r="D180" i="14"/>
  <c r="C180" i="14"/>
  <c r="B180" i="14"/>
  <c r="N179" i="14"/>
  <c r="G179" i="14"/>
  <c r="F179" i="14"/>
  <c r="E179" i="14"/>
  <c r="D179" i="14"/>
  <c r="C179" i="14"/>
  <c r="B179" i="14"/>
  <c r="N178" i="14"/>
  <c r="B178" i="14"/>
  <c r="N177" i="14"/>
  <c r="G177" i="14"/>
  <c r="F177" i="14"/>
  <c r="E177" i="14"/>
  <c r="D177" i="14"/>
  <c r="C177" i="14"/>
  <c r="B177" i="14"/>
  <c r="N176" i="14"/>
  <c r="G176" i="14"/>
  <c r="F176" i="14"/>
  <c r="E176" i="14"/>
  <c r="D176" i="14"/>
  <c r="C176" i="14"/>
  <c r="B176" i="14"/>
  <c r="N175" i="14"/>
  <c r="B175" i="14"/>
  <c r="N174" i="14"/>
  <c r="G174" i="14"/>
  <c r="F174" i="14"/>
  <c r="E174" i="14"/>
  <c r="D174" i="14"/>
  <c r="C174" i="14"/>
  <c r="B174" i="14"/>
  <c r="N173" i="14"/>
  <c r="G173" i="14"/>
  <c r="F173" i="14"/>
  <c r="E173" i="14"/>
  <c r="D173" i="14"/>
  <c r="C173" i="14"/>
  <c r="B173" i="14"/>
  <c r="N172" i="14"/>
  <c r="G172" i="14"/>
  <c r="F172" i="14"/>
  <c r="E172" i="14"/>
  <c r="D172" i="14"/>
  <c r="C172" i="14"/>
  <c r="B172" i="14"/>
  <c r="N171" i="14"/>
  <c r="B171" i="14"/>
  <c r="N170" i="14"/>
  <c r="G170" i="14"/>
  <c r="F170" i="14"/>
  <c r="E170" i="14"/>
  <c r="D170" i="14"/>
  <c r="C170" i="14"/>
  <c r="B170" i="14"/>
  <c r="N169" i="14"/>
  <c r="B169" i="14"/>
  <c r="N168" i="14"/>
  <c r="G168" i="14"/>
  <c r="F168" i="14"/>
  <c r="E168" i="14"/>
  <c r="D168" i="14"/>
  <c r="C168" i="14"/>
  <c r="B168" i="14"/>
  <c r="N167" i="14"/>
  <c r="B167" i="14"/>
  <c r="N166" i="14"/>
  <c r="G166" i="14"/>
  <c r="F166" i="14"/>
  <c r="E166" i="14"/>
  <c r="D166" i="14"/>
  <c r="C166" i="14"/>
  <c r="B166" i="14"/>
  <c r="N165" i="14"/>
  <c r="B165" i="14"/>
  <c r="N164" i="14"/>
  <c r="G164" i="14"/>
  <c r="F164" i="14"/>
  <c r="E164" i="14"/>
  <c r="D164" i="14"/>
  <c r="C164" i="14"/>
  <c r="B164" i="14"/>
  <c r="N163" i="14"/>
  <c r="B163" i="14"/>
  <c r="N162" i="14"/>
  <c r="G162" i="14"/>
  <c r="F162" i="14"/>
  <c r="E162" i="14"/>
  <c r="D162" i="14"/>
  <c r="C162" i="14"/>
  <c r="B162" i="14"/>
  <c r="N161" i="14"/>
  <c r="B161" i="14"/>
  <c r="N160" i="14"/>
  <c r="G160" i="14"/>
  <c r="F160" i="14"/>
  <c r="E160" i="14"/>
  <c r="D160" i="14"/>
  <c r="C160" i="14"/>
  <c r="B160" i="14"/>
  <c r="N159" i="14"/>
  <c r="B159" i="14"/>
  <c r="N158" i="14"/>
  <c r="G158" i="14"/>
  <c r="F158" i="14"/>
  <c r="E158" i="14"/>
  <c r="D158" i="14"/>
  <c r="C158" i="14"/>
  <c r="B158" i="14"/>
  <c r="N157" i="14"/>
  <c r="B157" i="14"/>
  <c r="N156" i="14"/>
  <c r="B156" i="14"/>
  <c r="N155" i="14"/>
  <c r="G155" i="14"/>
  <c r="F155" i="14"/>
  <c r="E155" i="14"/>
  <c r="D155" i="14"/>
  <c r="C155" i="14"/>
  <c r="B155" i="14"/>
  <c r="N154" i="14"/>
  <c r="B154" i="14"/>
  <c r="N153" i="14"/>
  <c r="B153" i="14"/>
  <c r="N152" i="14"/>
  <c r="G152" i="14"/>
  <c r="F152" i="14"/>
  <c r="E152" i="14"/>
  <c r="D152" i="14"/>
  <c r="C152" i="14"/>
  <c r="B152" i="14"/>
  <c r="N151" i="14"/>
  <c r="B151" i="14"/>
  <c r="N150" i="14"/>
  <c r="G150" i="14"/>
  <c r="F150" i="14"/>
  <c r="E150" i="14"/>
  <c r="D150" i="14"/>
  <c r="C150" i="14"/>
  <c r="B150" i="14"/>
  <c r="N149" i="14"/>
  <c r="B149" i="14"/>
  <c r="N148" i="14"/>
  <c r="F148" i="14"/>
  <c r="E148" i="14"/>
  <c r="D148" i="14"/>
  <c r="B148" i="14"/>
  <c r="N147" i="14"/>
  <c r="F147" i="14"/>
  <c r="E147" i="14"/>
  <c r="D147" i="14"/>
  <c r="B147" i="14"/>
  <c r="N146" i="14"/>
  <c r="F146" i="14"/>
  <c r="E146" i="14"/>
  <c r="D146" i="14"/>
  <c r="B146" i="14"/>
  <c r="N145" i="14"/>
  <c r="F145" i="14"/>
  <c r="E145" i="14"/>
  <c r="D145" i="14"/>
  <c r="B145" i="14"/>
  <c r="N144" i="14"/>
  <c r="F144" i="14"/>
  <c r="E144" i="14"/>
  <c r="D144" i="14"/>
  <c r="C144" i="14"/>
  <c r="B144" i="14"/>
  <c r="N143" i="14"/>
  <c r="G143" i="14"/>
  <c r="F143" i="14"/>
  <c r="E143" i="14"/>
  <c r="D143" i="14"/>
  <c r="C143" i="14"/>
  <c r="B143" i="14"/>
  <c r="N142" i="14"/>
  <c r="B142" i="14"/>
  <c r="N141" i="14"/>
  <c r="G141" i="14"/>
  <c r="F141" i="14"/>
  <c r="E141" i="14"/>
  <c r="D141" i="14"/>
  <c r="B141" i="14"/>
  <c r="N140" i="14"/>
  <c r="G140" i="14"/>
  <c r="F140" i="14"/>
  <c r="E140" i="14"/>
  <c r="D140" i="14"/>
  <c r="C140" i="14"/>
  <c r="B140" i="14"/>
  <c r="N139" i="14"/>
  <c r="G139" i="14"/>
  <c r="F139" i="14"/>
  <c r="E139" i="14"/>
  <c r="D139" i="14"/>
  <c r="C139" i="14"/>
  <c r="B139" i="14"/>
  <c r="N138" i="14"/>
  <c r="B138" i="14"/>
  <c r="N137" i="14"/>
  <c r="B137" i="14"/>
  <c r="N136" i="14"/>
  <c r="G136" i="14"/>
  <c r="F136" i="14"/>
  <c r="E136" i="14"/>
  <c r="D136" i="14"/>
  <c r="C136" i="14"/>
  <c r="B136" i="14"/>
  <c r="N135" i="14"/>
  <c r="G135" i="14"/>
  <c r="F135" i="14"/>
  <c r="E135" i="14"/>
  <c r="D135" i="14"/>
  <c r="C135" i="14"/>
  <c r="B135" i="14"/>
  <c r="N134" i="14"/>
  <c r="B134" i="14"/>
  <c r="N133" i="14"/>
  <c r="G133" i="14"/>
  <c r="F133" i="14"/>
  <c r="E133" i="14"/>
  <c r="D133" i="14"/>
  <c r="C133" i="14"/>
  <c r="B133" i="14"/>
  <c r="N132" i="14"/>
  <c r="B132" i="14"/>
  <c r="N131" i="14"/>
  <c r="G131" i="14"/>
  <c r="F131" i="14"/>
  <c r="E131" i="14"/>
  <c r="D131" i="14"/>
  <c r="C131" i="14"/>
  <c r="B131" i="14"/>
  <c r="N130" i="14"/>
  <c r="G130" i="14"/>
  <c r="F130" i="14"/>
  <c r="E130" i="14"/>
  <c r="D130" i="14"/>
  <c r="C130" i="14"/>
  <c r="B130" i="14"/>
  <c r="N129" i="14"/>
  <c r="B129" i="14"/>
  <c r="N128" i="14"/>
  <c r="F128" i="14"/>
  <c r="E128" i="14"/>
  <c r="D128" i="14"/>
  <c r="B128" i="14"/>
  <c r="N127" i="14"/>
  <c r="F127" i="14"/>
  <c r="E127" i="14"/>
  <c r="D127" i="14"/>
  <c r="B127" i="14"/>
  <c r="N126" i="14"/>
  <c r="F126" i="14"/>
  <c r="E126" i="14"/>
  <c r="D126" i="14"/>
  <c r="B126" i="14"/>
  <c r="N125" i="14"/>
  <c r="B125" i="14"/>
  <c r="N124" i="14"/>
  <c r="G124" i="14"/>
  <c r="F124" i="14"/>
  <c r="E124" i="14"/>
  <c r="D124" i="14"/>
  <c r="C124" i="14"/>
  <c r="B124" i="14"/>
  <c r="N123" i="14"/>
  <c r="G123" i="14"/>
  <c r="F123" i="14"/>
  <c r="E123" i="14"/>
  <c r="D123" i="14"/>
  <c r="C123" i="14"/>
  <c r="B123" i="14"/>
  <c r="N122" i="14"/>
  <c r="B122" i="14"/>
  <c r="N121" i="14"/>
  <c r="G121" i="14"/>
  <c r="F121" i="14"/>
  <c r="E121" i="14"/>
  <c r="D121" i="14"/>
  <c r="C121" i="14"/>
  <c r="B121" i="14"/>
  <c r="N120" i="14"/>
  <c r="G120" i="14"/>
  <c r="F120" i="14"/>
  <c r="E120" i="14"/>
  <c r="D120" i="14"/>
  <c r="C120" i="14"/>
  <c r="B120" i="14"/>
  <c r="N119" i="14"/>
  <c r="B119" i="14"/>
  <c r="N118" i="14"/>
  <c r="G118" i="14"/>
  <c r="F118" i="14"/>
  <c r="E118" i="14"/>
  <c r="D118" i="14"/>
  <c r="C118" i="14"/>
  <c r="B118" i="14"/>
  <c r="N117" i="14"/>
  <c r="B117" i="14"/>
  <c r="N116" i="14"/>
  <c r="G116" i="14"/>
  <c r="F116" i="14"/>
  <c r="E116" i="14"/>
  <c r="D116" i="14"/>
  <c r="C116" i="14"/>
  <c r="B116" i="14"/>
  <c r="N115" i="14"/>
  <c r="G115" i="14"/>
  <c r="F115" i="14"/>
  <c r="E115" i="14"/>
  <c r="D115" i="14"/>
  <c r="C115" i="14"/>
  <c r="B115" i="14"/>
  <c r="N114" i="14"/>
  <c r="B114" i="14"/>
  <c r="N113" i="14"/>
  <c r="B113" i="14"/>
  <c r="N112" i="14"/>
  <c r="G112" i="14"/>
  <c r="F112" i="14"/>
  <c r="E112" i="14"/>
  <c r="D112" i="14"/>
  <c r="C112" i="14"/>
  <c r="B112" i="14"/>
  <c r="N111" i="14"/>
  <c r="B111" i="14"/>
  <c r="N110" i="14"/>
  <c r="G110" i="14"/>
  <c r="F110" i="14"/>
  <c r="E110" i="14"/>
  <c r="D110" i="14"/>
  <c r="C110" i="14"/>
  <c r="B110" i="14"/>
  <c r="N109" i="14"/>
  <c r="G109" i="14"/>
  <c r="F109" i="14"/>
  <c r="E109" i="14"/>
  <c r="D109" i="14"/>
  <c r="C109" i="14"/>
  <c r="B109" i="14"/>
  <c r="N108" i="14"/>
  <c r="B108" i="14"/>
  <c r="N107" i="14"/>
  <c r="G107" i="14"/>
  <c r="F107" i="14"/>
  <c r="E107" i="14"/>
  <c r="D107" i="14"/>
  <c r="C107" i="14"/>
  <c r="B107" i="14"/>
  <c r="N106" i="14"/>
  <c r="B106" i="14"/>
  <c r="N105" i="14"/>
  <c r="G105" i="14"/>
  <c r="F105" i="14"/>
  <c r="E105" i="14"/>
  <c r="D105" i="14"/>
  <c r="C105" i="14"/>
  <c r="B105" i="14"/>
  <c r="N104" i="14"/>
  <c r="B104" i="14"/>
  <c r="N103" i="14"/>
  <c r="B103" i="14"/>
  <c r="N102" i="14"/>
  <c r="B102" i="14"/>
  <c r="N101" i="14"/>
  <c r="B101" i="14"/>
  <c r="N100" i="14"/>
  <c r="B100" i="14"/>
  <c r="N99" i="14"/>
  <c r="B99" i="14"/>
  <c r="N98" i="14"/>
  <c r="B98" i="14"/>
  <c r="N97" i="14"/>
  <c r="B97" i="14"/>
  <c r="N96" i="14"/>
  <c r="B96" i="14"/>
  <c r="N95" i="14"/>
  <c r="B95" i="14"/>
  <c r="N94" i="14"/>
  <c r="B94" i="14"/>
  <c r="N93" i="14"/>
  <c r="F93" i="14"/>
  <c r="E93" i="14"/>
  <c r="D93" i="14"/>
  <c r="B93" i="14"/>
  <c r="N92" i="14"/>
  <c r="F92" i="14"/>
  <c r="E92" i="14"/>
  <c r="D92" i="14"/>
  <c r="B92" i="14"/>
  <c r="N91" i="14"/>
  <c r="G91" i="14"/>
  <c r="F91" i="14"/>
  <c r="E91" i="14"/>
  <c r="D91" i="14"/>
  <c r="C91" i="14"/>
  <c r="B91" i="14"/>
  <c r="N90" i="14"/>
  <c r="B90" i="14"/>
  <c r="N89" i="14"/>
  <c r="G89" i="14"/>
  <c r="F89" i="14"/>
  <c r="E89" i="14"/>
  <c r="D89" i="14"/>
  <c r="C89" i="14"/>
  <c r="B89" i="14"/>
  <c r="N88" i="14"/>
  <c r="B88" i="14"/>
  <c r="N87" i="14"/>
  <c r="B87" i="14"/>
  <c r="N86" i="14"/>
  <c r="G86" i="14"/>
  <c r="F86" i="14"/>
  <c r="E86" i="14"/>
  <c r="D86" i="14"/>
  <c r="C86" i="14"/>
  <c r="B86" i="14"/>
  <c r="N85" i="14"/>
  <c r="B85" i="14"/>
  <c r="N84" i="14"/>
  <c r="B84" i="14"/>
  <c r="N83" i="14"/>
  <c r="G83" i="14"/>
  <c r="F83" i="14"/>
  <c r="E83" i="14"/>
  <c r="D83" i="14"/>
  <c r="C83" i="14"/>
  <c r="B83" i="14"/>
  <c r="N82" i="14"/>
  <c r="B82" i="14"/>
  <c r="N81" i="14"/>
  <c r="G81" i="14"/>
  <c r="F81" i="14"/>
  <c r="E81" i="14"/>
  <c r="D81" i="14"/>
  <c r="C81" i="14"/>
  <c r="B81" i="14"/>
  <c r="N80" i="14"/>
  <c r="B80" i="14"/>
  <c r="N79" i="14"/>
  <c r="B79" i="14"/>
  <c r="N78" i="14"/>
  <c r="B78" i="14"/>
  <c r="N77" i="14"/>
  <c r="G77" i="14"/>
  <c r="F77" i="14"/>
  <c r="E77" i="14"/>
  <c r="D77" i="14"/>
  <c r="C77" i="14"/>
  <c r="B77" i="14"/>
  <c r="N76" i="14"/>
  <c r="B76" i="14"/>
  <c r="N75" i="14"/>
  <c r="G75" i="14"/>
  <c r="F75" i="14"/>
  <c r="E75" i="14"/>
  <c r="D75" i="14"/>
  <c r="C75" i="14"/>
  <c r="B75" i="14"/>
  <c r="N74" i="14"/>
  <c r="B74" i="14"/>
  <c r="N73" i="14"/>
  <c r="G73" i="14"/>
  <c r="F73" i="14"/>
  <c r="E73" i="14"/>
  <c r="D73" i="14"/>
  <c r="C73" i="14"/>
  <c r="B73" i="14"/>
  <c r="N72" i="14"/>
  <c r="B72" i="14"/>
  <c r="N71" i="14"/>
  <c r="G71" i="14"/>
  <c r="F71" i="14"/>
  <c r="E71" i="14"/>
  <c r="D71" i="14"/>
  <c r="C71" i="14"/>
  <c r="B71" i="14"/>
  <c r="N70" i="14"/>
  <c r="B70" i="14"/>
  <c r="N69" i="14"/>
  <c r="G69" i="14"/>
  <c r="F69" i="14"/>
  <c r="E69" i="14"/>
  <c r="D69" i="14"/>
  <c r="C69" i="14"/>
  <c r="B69" i="14"/>
  <c r="N68" i="14"/>
  <c r="G68" i="14"/>
  <c r="F68" i="14"/>
  <c r="E68" i="14"/>
  <c r="D68" i="14"/>
  <c r="C68" i="14"/>
  <c r="B68" i="14"/>
  <c r="N67" i="14"/>
  <c r="B67" i="14"/>
  <c r="N66" i="14"/>
  <c r="G66" i="14"/>
  <c r="F66" i="14"/>
  <c r="E66" i="14"/>
  <c r="D66" i="14"/>
  <c r="C66" i="14"/>
  <c r="B66" i="14"/>
  <c r="N65" i="14"/>
  <c r="G65" i="14"/>
  <c r="F65" i="14"/>
  <c r="E65" i="14"/>
  <c r="D65" i="14"/>
  <c r="C65" i="14"/>
  <c r="B65" i="14"/>
  <c r="N64" i="14"/>
  <c r="B64" i="14"/>
  <c r="N63" i="14"/>
  <c r="G63" i="14"/>
  <c r="F63" i="14"/>
  <c r="E63" i="14"/>
  <c r="D63" i="14"/>
  <c r="C63" i="14"/>
  <c r="B63" i="14"/>
  <c r="N62" i="14"/>
  <c r="G62" i="14"/>
  <c r="F62" i="14"/>
  <c r="E62" i="14"/>
  <c r="D62" i="14"/>
  <c r="C62" i="14"/>
  <c r="B62" i="14"/>
  <c r="N61" i="14"/>
  <c r="B61" i="14"/>
  <c r="N60" i="14"/>
  <c r="G60" i="14"/>
  <c r="F60" i="14"/>
  <c r="E60" i="14"/>
  <c r="D60" i="14"/>
  <c r="C60" i="14"/>
  <c r="B60" i="14"/>
  <c r="N59" i="14"/>
  <c r="B59" i="14"/>
  <c r="B58" i="14"/>
  <c r="N57" i="14"/>
  <c r="B57" i="14"/>
  <c r="N56" i="14"/>
  <c r="B56" i="14"/>
  <c r="N55" i="14"/>
  <c r="F55" i="14"/>
  <c r="E55" i="14"/>
  <c r="D55" i="14"/>
  <c r="C55" i="14"/>
  <c r="B55" i="14"/>
  <c r="N54" i="14"/>
  <c r="B54" i="14"/>
  <c r="N53" i="14"/>
  <c r="G53" i="14"/>
  <c r="F53" i="14"/>
  <c r="E53" i="14"/>
  <c r="D53" i="14"/>
  <c r="C53" i="14"/>
  <c r="B53" i="14"/>
  <c r="N52" i="14"/>
  <c r="B52" i="14"/>
  <c r="N51" i="14"/>
  <c r="B51" i="14"/>
  <c r="N50" i="14"/>
  <c r="B50" i="14"/>
  <c r="N49" i="14"/>
  <c r="B49" i="14"/>
  <c r="N48" i="14"/>
  <c r="G48" i="14"/>
  <c r="F48" i="14"/>
  <c r="E48" i="14"/>
  <c r="D48" i="14"/>
  <c r="C48" i="14"/>
  <c r="B48" i="14"/>
  <c r="N47" i="14"/>
  <c r="B47" i="14"/>
  <c r="N46" i="14"/>
  <c r="B46" i="14"/>
  <c r="N45" i="14"/>
  <c r="B45" i="14"/>
  <c r="N44" i="14"/>
  <c r="F44" i="14"/>
  <c r="E44" i="14"/>
  <c r="D44" i="14"/>
  <c r="C44" i="14"/>
  <c r="B44" i="14"/>
  <c r="N43" i="14"/>
  <c r="B43" i="14"/>
  <c r="N42" i="14"/>
  <c r="G42" i="14"/>
  <c r="F42" i="14"/>
  <c r="E42" i="14"/>
  <c r="D42" i="14"/>
  <c r="C42" i="14"/>
  <c r="B42" i="14"/>
  <c r="N41" i="14"/>
  <c r="B41" i="14"/>
  <c r="N40" i="14"/>
  <c r="G40" i="14"/>
  <c r="F40" i="14"/>
  <c r="E40" i="14"/>
  <c r="D40" i="14"/>
  <c r="C40" i="14"/>
  <c r="B40" i="14"/>
  <c r="N39" i="14"/>
  <c r="B39" i="14"/>
  <c r="N38" i="14"/>
  <c r="B38" i="14"/>
  <c r="N37" i="14"/>
  <c r="G37" i="14"/>
  <c r="F37" i="14"/>
  <c r="E37" i="14"/>
  <c r="D37" i="14"/>
  <c r="C37" i="14"/>
  <c r="B37" i="14"/>
  <c r="N36" i="14"/>
  <c r="B36" i="14"/>
  <c r="N35" i="14"/>
  <c r="G35" i="14"/>
  <c r="F35" i="14"/>
  <c r="E35" i="14"/>
  <c r="D35" i="14"/>
  <c r="C35" i="14"/>
  <c r="B35" i="14"/>
  <c r="N34" i="14"/>
  <c r="B34" i="14"/>
  <c r="N33" i="14"/>
  <c r="G33" i="14"/>
  <c r="F33" i="14"/>
  <c r="E33" i="14"/>
  <c r="D33" i="14"/>
  <c r="B33" i="14"/>
  <c r="N32" i="14"/>
  <c r="B32" i="14"/>
  <c r="N31" i="14"/>
  <c r="B31" i="14"/>
  <c r="N30" i="14"/>
  <c r="G30" i="14"/>
  <c r="F30" i="14"/>
  <c r="E30" i="14"/>
  <c r="D30" i="14"/>
  <c r="C30" i="14"/>
  <c r="B30" i="14"/>
  <c r="N29" i="14"/>
  <c r="B29" i="14"/>
  <c r="N28" i="14"/>
  <c r="G28" i="14"/>
  <c r="F28" i="14"/>
  <c r="E28" i="14"/>
  <c r="D28" i="14"/>
  <c r="C28" i="14"/>
  <c r="B28" i="14"/>
  <c r="N27" i="14"/>
  <c r="B27" i="14"/>
  <c r="N26" i="14"/>
  <c r="G26" i="14"/>
  <c r="F26" i="14"/>
  <c r="E26" i="14"/>
  <c r="D26" i="14"/>
  <c r="C26" i="14"/>
  <c r="B26" i="14"/>
  <c r="N25" i="14"/>
  <c r="B25" i="14"/>
  <c r="N24" i="14"/>
  <c r="G24" i="14"/>
  <c r="F24" i="14"/>
  <c r="E24" i="14"/>
  <c r="D24" i="14"/>
  <c r="C24" i="14"/>
  <c r="B24" i="14"/>
  <c r="N23" i="14"/>
  <c r="G23" i="14"/>
  <c r="F23" i="14"/>
  <c r="E23" i="14"/>
  <c r="D23" i="14"/>
  <c r="C23" i="14"/>
  <c r="B23" i="14"/>
  <c r="N22" i="14"/>
  <c r="B22" i="14"/>
  <c r="N21" i="14"/>
  <c r="G21" i="14"/>
  <c r="F21" i="14"/>
  <c r="E21" i="14"/>
  <c r="D21" i="14"/>
  <c r="C21" i="14"/>
  <c r="B21" i="14"/>
  <c r="N20" i="14"/>
  <c r="G20" i="14"/>
  <c r="F20" i="14"/>
  <c r="E20" i="14"/>
  <c r="D20" i="14"/>
  <c r="C20" i="14"/>
  <c r="B20" i="14"/>
  <c r="N19" i="14"/>
  <c r="N18" i="14"/>
  <c r="G18" i="14"/>
  <c r="F18" i="14"/>
  <c r="E18" i="14"/>
  <c r="D18" i="14"/>
  <c r="C18" i="14"/>
  <c r="B18" i="14"/>
  <c r="N17" i="14"/>
  <c r="G17" i="14"/>
  <c r="F17" i="14"/>
  <c r="E17" i="14"/>
  <c r="D17" i="14"/>
  <c r="C17" i="14"/>
  <c r="B17" i="14"/>
  <c r="N16" i="14"/>
  <c r="N15" i="14"/>
  <c r="B15" i="14"/>
  <c r="N14" i="14"/>
  <c r="B14" i="14"/>
  <c r="N13" i="14"/>
  <c r="G13" i="14"/>
  <c r="F13" i="14"/>
  <c r="E13" i="14"/>
  <c r="D13" i="14"/>
  <c r="C13" i="14"/>
  <c r="B13" i="14"/>
  <c r="N12" i="14"/>
  <c r="G12" i="14"/>
  <c r="F12" i="14"/>
  <c r="E12" i="14"/>
  <c r="D12" i="14"/>
  <c r="C12" i="14"/>
  <c r="B12" i="14"/>
  <c r="N11" i="14"/>
  <c r="B11" i="14"/>
  <c r="N10" i="14"/>
  <c r="G10" i="14"/>
  <c r="B10" i="14"/>
  <c r="N9" i="14"/>
  <c r="G9" i="14"/>
  <c r="F9" i="14"/>
  <c r="F10" i="14" s="1"/>
  <c r="E9" i="14"/>
  <c r="E10" i="14" s="1"/>
  <c r="D9" i="14"/>
  <c r="D10" i="14" s="1"/>
  <c r="C9" i="14"/>
  <c r="C10" i="14" s="1"/>
  <c r="B9" i="14"/>
  <c r="N8" i="14"/>
  <c r="B8" i="14"/>
  <c r="V236" i="13"/>
  <c r="N235" i="13"/>
  <c r="G235" i="13"/>
  <c r="F235" i="13"/>
  <c r="E235" i="13"/>
  <c r="D235" i="13"/>
  <c r="C235" i="13"/>
  <c r="B235" i="13"/>
  <c r="N234" i="13"/>
  <c r="B234" i="13"/>
  <c r="N233" i="13"/>
  <c r="B233" i="13"/>
  <c r="N232" i="13"/>
  <c r="B232" i="13"/>
  <c r="N231" i="13"/>
  <c r="G231" i="13"/>
  <c r="F231" i="13"/>
  <c r="E231" i="13"/>
  <c r="D231" i="13"/>
  <c r="C231" i="13"/>
  <c r="B231" i="13"/>
  <c r="N230" i="13"/>
  <c r="G230" i="13"/>
  <c r="F230" i="13"/>
  <c r="E230" i="13"/>
  <c r="D230" i="13"/>
  <c r="C230" i="13"/>
  <c r="B230" i="13"/>
  <c r="N229" i="13"/>
  <c r="B229" i="13"/>
  <c r="N228" i="13"/>
  <c r="G228" i="13"/>
  <c r="F228" i="13"/>
  <c r="E228" i="13"/>
  <c r="D228" i="13"/>
  <c r="C228" i="13"/>
  <c r="B228" i="13"/>
  <c r="N227" i="13"/>
  <c r="G227" i="13"/>
  <c r="F227" i="13"/>
  <c r="E227" i="13"/>
  <c r="D227" i="13"/>
  <c r="C227" i="13"/>
  <c r="B227" i="13"/>
  <c r="N226" i="13"/>
  <c r="B226" i="13"/>
  <c r="N225" i="13"/>
  <c r="B225" i="13"/>
  <c r="N224" i="13"/>
  <c r="B224" i="13"/>
  <c r="N223" i="13"/>
  <c r="B223" i="13"/>
  <c r="N222" i="13"/>
  <c r="B222" i="13"/>
  <c r="N221" i="13"/>
  <c r="B221" i="13"/>
  <c r="N220" i="13"/>
  <c r="G220" i="13"/>
  <c r="F220" i="13"/>
  <c r="E220" i="13"/>
  <c r="D220" i="13"/>
  <c r="C220" i="13"/>
  <c r="B220" i="13"/>
  <c r="N219" i="13"/>
  <c r="G219" i="13"/>
  <c r="F219" i="13"/>
  <c r="E219" i="13"/>
  <c r="D219" i="13"/>
  <c r="C219" i="13"/>
  <c r="B219" i="13"/>
  <c r="N218" i="13"/>
  <c r="B218" i="13"/>
  <c r="N217" i="13"/>
  <c r="G217" i="13"/>
  <c r="F217" i="13"/>
  <c r="E217" i="13"/>
  <c r="D217" i="13"/>
  <c r="C217" i="13"/>
  <c r="B217" i="13"/>
  <c r="N216" i="13"/>
  <c r="G216" i="13"/>
  <c r="F216" i="13"/>
  <c r="E216" i="13"/>
  <c r="D216" i="13"/>
  <c r="C216" i="13"/>
  <c r="B216" i="13"/>
  <c r="N215" i="13"/>
  <c r="B215" i="13"/>
  <c r="N214" i="13"/>
  <c r="F214" i="13"/>
  <c r="E214" i="13"/>
  <c r="D214" i="13"/>
  <c r="B214" i="13"/>
  <c r="N213" i="13"/>
  <c r="F213" i="13"/>
  <c r="E213" i="13"/>
  <c r="D213" i="13"/>
  <c r="B213" i="13"/>
  <c r="N212" i="13"/>
  <c r="F212" i="13"/>
  <c r="E212" i="13"/>
  <c r="D212" i="13"/>
  <c r="B212" i="13"/>
  <c r="N211" i="13"/>
  <c r="B211" i="13"/>
  <c r="N210" i="13"/>
  <c r="F210" i="13"/>
  <c r="E210" i="13"/>
  <c r="D210" i="13"/>
  <c r="B210" i="13"/>
  <c r="N209" i="13"/>
  <c r="G209" i="13"/>
  <c r="F209" i="13"/>
  <c r="E209" i="13"/>
  <c r="D209" i="13"/>
  <c r="C209" i="13"/>
  <c r="B209" i="13"/>
  <c r="N208" i="13"/>
  <c r="B208" i="13"/>
  <c r="N207" i="13"/>
  <c r="B207" i="13"/>
  <c r="N206" i="13"/>
  <c r="B206" i="13"/>
  <c r="N205" i="13"/>
  <c r="F205" i="13"/>
  <c r="E205" i="13"/>
  <c r="D205" i="13"/>
  <c r="B205" i="13"/>
  <c r="N204" i="13"/>
  <c r="B204" i="13"/>
  <c r="N203" i="13"/>
  <c r="B203" i="13"/>
  <c r="N202" i="13"/>
  <c r="G202" i="13"/>
  <c r="F202" i="13"/>
  <c r="E202" i="13"/>
  <c r="D202" i="13"/>
  <c r="C202" i="13"/>
  <c r="B202" i="13"/>
  <c r="N201" i="13"/>
  <c r="G201" i="13"/>
  <c r="F201" i="13"/>
  <c r="E201" i="13"/>
  <c r="D201" i="13"/>
  <c r="C201" i="13"/>
  <c r="B201" i="13"/>
  <c r="N200" i="13"/>
  <c r="G200" i="13"/>
  <c r="F200" i="13"/>
  <c r="E200" i="13"/>
  <c r="D200" i="13"/>
  <c r="C200" i="13"/>
  <c r="B200" i="13"/>
  <c r="N199" i="13"/>
  <c r="B199" i="13"/>
  <c r="N198" i="13"/>
  <c r="B198" i="13"/>
  <c r="N197" i="13"/>
  <c r="B197" i="13"/>
  <c r="N196" i="13"/>
  <c r="G196" i="13"/>
  <c r="F196" i="13"/>
  <c r="E196" i="13"/>
  <c r="D196" i="13"/>
  <c r="C196" i="13"/>
  <c r="B196" i="13"/>
  <c r="N195" i="13"/>
  <c r="G195" i="13"/>
  <c r="F195" i="13"/>
  <c r="E195" i="13"/>
  <c r="D195" i="13"/>
  <c r="C195" i="13"/>
  <c r="B195" i="13"/>
  <c r="N194" i="13"/>
  <c r="B194" i="13"/>
  <c r="N193" i="13"/>
  <c r="B193" i="13"/>
  <c r="N192" i="13"/>
  <c r="G192" i="13"/>
  <c r="F192" i="13"/>
  <c r="E192" i="13"/>
  <c r="D192" i="13"/>
  <c r="C192" i="13"/>
  <c r="B192" i="13"/>
  <c r="N191" i="13"/>
  <c r="G191" i="13"/>
  <c r="F191" i="13"/>
  <c r="E191" i="13"/>
  <c r="D191" i="13"/>
  <c r="C191" i="13"/>
  <c r="B191" i="13"/>
  <c r="N190" i="13"/>
  <c r="B190" i="13"/>
  <c r="N189" i="13"/>
  <c r="F189" i="13"/>
  <c r="E189" i="13"/>
  <c r="D189" i="13"/>
  <c r="B189" i="13"/>
  <c r="N188" i="13"/>
  <c r="B188" i="13"/>
  <c r="N187" i="13"/>
  <c r="F187" i="13"/>
  <c r="E187" i="13"/>
  <c r="D187" i="13"/>
  <c r="B187" i="13"/>
  <c r="N186" i="13"/>
  <c r="F186" i="13"/>
  <c r="E186" i="13"/>
  <c r="D186" i="13"/>
  <c r="B186" i="13"/>
  <c r="N185" i="13"/>
  <c r="F185" i="13"/>
  <c r="E185" i="13"/>
  <c r="D185" i="13"/>
  <c r="B185" i="13"/>
  <c r="N184" i="13"/>
  <c r="F184" i="13"/>
  <c r="E184" i="13"/>
  <c r="D184" i="13"/>
  <c r="B184" i="13"/>
  <c r="N183" i="13"/>
  <c r="F183" i="13"/>
  <c r="E183" i="13"/>
  <c r="D183" i="13"/>
  <c r="B183" i="13"/>
  <c r="N182" i="13"/>
  <c r="G182" i="13"/>
  <c r="F182" i="13"/>
  <c r="E182" i="13"/>
  <c r="D182" i="13"/>
  <c r="C182" i="13"/>
  <c r="B182" i="13"/>
  <c r="N181" i="13"/>
  <c r="G181" i="13"/>
  <c r="F181" i="13"/>
  <c r="E181" i="13"/>
  <c r="D181" i="13"/>
  <c r="C181" i="13"/>
  <c r="B181" i="13"/>
  <c r="N180" i="13"/>
  <c r="B180" i="13"/>
  <c r="N179" i="13"/>
  <c r="G179" i="13"/>
  <c r="F179" i="13"/>
  <c r="E179" i="13"/>
  <c r="D179" i="13"/>
  <c r="C179" i="13"/>
  <c r="B179" i="13"/>
  <c r="N178" i="13"/>
  <c r="B178" i="13"/>
  <c r="N177" i="13"/>
  <c r="G177" i="13"/>
  <c r="F177" i="13"/>
  <c r="E177" i="13"/>
  <c r="D177" i="13"/>
  <c r="C177" i="13"/>
  <c r="B177" i="13"/>
  <c r="N176" i="13"/>
  <c r="B176" i="13"/>
  <c r="N175" i="13"/>
  <c r="B175" i="13"/>
  <c r="N174" i="13"/>
  <c r="B174" i="13"/>
  <c r="N173" i="13"/>
  <c r="B173" i="13"/>
  <c r="N172" i="13"/>
  <c r="B172" i="13"/>
  <c r="N171" i="13"/>
  <c r="G171" i="13"/>
  <c r="F171" i="13"/>
  <c r="E171" i="13"/>
  <c r="D171" i="13"/>
  <c r="C171" i="13"/>
  <c r="B171" i="13"/>
  <c r="N170" i="13"/>
  <c r="B170" i="13"/>
  <c r="N169" i="13"/>
  <c r="B169" i="13"/>
  <c r="N168" i="13"/>
  <c r="G168" i="13"/>
  <c r="F168" i="13"/>
  <c r="E168" i="13"/>
  <c r="D168" i="13"/>
  <c r="C168" i="13"/>
  <c r="B168" i="13"/>
  <c r="N167" i="13"/>
  <c r="B167" i="13"/>
  <c r="N166" i="13"/>
  <c r="G166" i="13"/>
  <c r="F166" i="13"/>
  <c r="E166" i="13"/>
  <c r="D166" i="13"/>
  <c r="C166" i="13"/>
  <c r="B166" i="13"/>
  <c r="N165" i="13"/>
  <c r="B165" i="13"/>
  <c r="N164" i="13"/>
  <c r="F164" i="13"/>
  <c r="E164" i="13"/>
  <c r="D164" i="13"/>
  <c r="B164" i="13"/>
  <c r="N163" i="13"/>
  <c r="B163" i="13"/>
  <c r="N162" i="13"/>
  <c r="B162" i="13"/>
  <c r="N161" i="13"/>
  <c r="G161" i="13"/>
  <c r="F161" i="13"/>
  <c r="E161" i="13"/>
  <c r="D161" i="13"/>
  <c r="C161" i="13"/>
  <c r="B161" i="13"/>
  <c r="N160" i="13"/>
  <c r="B160" i="13"/>
  <c r="N159" i="13"/>
  <c r="G159" i="13"/>
  <c r="F159" i="13"/>
  <c r="E159" i="13"/>
  <c r="D159" i="13"/>
  <c r="C159" i="13"/>
  <c r="B159" i="13"/>
  <c r="N158" i="13"/>
  <c r="G158" i="13"/>
  <c r="F158" i="13"/>
  <c r="E158" i="13"/>
  <c r="D158" i="13"/>
  <c r="C158" i="13"/>
  <c r="B158" i="13"/>
  <c r="N157" i="13"/>
  <c r="B157" i="13"/>
  <c r="N156" i="13"/>
  <c r="G156" i="13"/>
  <c r="F156" i="13"/>
  <c r="E156" i="13"/>
  <c r="D156" i="13"/>
  <c r="C156" i="13"/>
  <c r="B156" i="13"/>
  <c r="N155" i="13"/>
  <c r="B155" i="13"/>
  <c r="N154" i="13"/>
  <c r="G154" i="13"/>
  <c r="F154" i="13"/>
  <c r="E154" i="13"/>
  <c r="D154" i="13"/>
  <c r="C154" i="13"/>
  <c r="B154" i="13"/>
  <c r="N153" i="13"/>
  <c r="B153" i="13"/>
  <c r="N152" i="13"/>
  <c r="G152" i="13"/>
  <c r="F152" i="13"/>
  <c r="E152" i="13"/>
  <c r="D152" i="13"/>
  <c r="C152" i="13"/>
  <c r="B152" i="13"/>
  <c r="N151" i="13"/>
  <c r="G151" i="13"/>
  <c r="F151" i="13"/>
  <c r="E151" i="13"/>
  <c r="D151" i="13"/>
  <c r="C151" i="13"/>
  <c r="B151" i="13"/>
  <c r="N150" i="13"/>
  <c r="B150" i="13"/>
  <c r="N149" i="13"/>
  <c r="B149" i="13"/>
  <c r="N148" i="13"/>
  <c r="B148" i="13"/>
  <c r="N147" i="13"/>
  <c r="G147" i="13"/>
  <c r="F147" i="13"/>
  <c r="E147" i="13"/>
  <c r="D147" i="13"/>
  <c r="C147" i="13"/>
  <c r="B147" i="13"/>
  <c r="N146" i="13"/>
  <c r="B146" i="13"/>
  <c r="N145" i="13"/>
  <c r="B145" i="13"/>
  <c r="N144" i="13"/>
  <c r="G144" i="13"/>
  <c r="F144" i="13"/>
  <c r="E144" i="13"/>
  <c r="D144" i="13"/>
  <c r="C144" i="13"/>
  <c r="B144" i="13"/>
  <c r="N143" i="13"/>
  <c r="B143" i="13"/>
  <c r="N142" i="13"/>
  <c r="F142" i="13"/>
  <c r="E142" i="13"/>
  <c r="D142" i="13"/>
  <c r="B142" i="13"/>
  <c r="N141" i="13"/>
  <c r="F141" i="13"/>
  <c r="E141" i="13"/>
  <c r="D141" i="13"/>
  <c r="B141" i="13"/>
  <c r="N140" i="13"/>
  <c r="F140" i="13"/>
  <c r="E140" i="13"/>
  <c r="D140" i="13"/>
  <c r="C140" i="13"/>
  <c r="B140" i="13"/>
  <c r="N139" i="13"/>
  <c r="G139" i="13"/>
  <c r="F139" i="13"/>
  <c r="E139" i="13"/>
  <c r="D139" i="13"/>
  <c r="C139" i="13"/>
  <c r="B139" i="13"/>
  <c r="N138" i="13"/>
  <c r="G138" i="13"/>
  <c r="F138" i="13"/>
  <c r="E138" i="13"/>
  <c r="D138" i="13"/>
  <c r="C138" i="13"/>
  <c r="B138" i="13"/>
  <c r="N137" i="13"/>
  <c r="B137" i="13"/>
  <c r="N136" i="13"/>
  <c r="G136" i="13"/>
  <c r="F136" i="13"/>
  <c r="E136" i="13"/>
  <c r="D136" i="13"/>
  <c r="C136" i="13"/>
  <c r="B136" i="13"/>
  <c r="N135" i="13"/>
  <c r="G135" i="13"/>
  <c r="F135" i="13"/>
  <c r="E135" i="13"/>
  <c r="D135" i="13"/>
  <c r="C135" i="13"/>
  <c r="B135" i="13"/>
  <c r="N134" i="13"/>
  <c r="B134" i="13"/>
  <c r="N133" i="13"/>
  <c r="G133" i="13"/>
  <c r="F133" i="13"/>
  <c r="E133" i="13"/>
  <c r="D133" i="13"/>
  <c r="C133" i="13"/>
  <c r="B133" i="13"/>
  <c r="N132" i="13"/>
  <c r="B132" i="13"/>
  <c r="N131" i="13"/>
  <c r="B131" i="13"/>
  <c r="N130" i="13"/>
  <c r="B130" i="13"/>
  <c r="N129" i="13"/>
  <c r="G129" i="13"/>
  <c r="F129" i="13"/>
  <c r="E129" i="13"/>
  <c r="D129" i="13"/>
  <c r="C129" i="13"/>
  <c r="B129" i="13"/>
  <c r="N128" i="13"/>
  <c r="B128" i="13"/>
  <c r="N127" i="13"/>
  <c r="B127" i="13"/>
  <c r="N126" i="13"/>
  <c r="G126" i="13"/>
  <c r="F126" i="13"/>
  <c r="E126" i="13"/>
  <c r="D126" i="13"/>
  <c r="C126" i="13"/>
  <c r="B126" i="13"/>
  <c r="N125" i="13"/>
  <c r="F125" i="13"/>
  <c r="E125" i="13"/>
  <c r="D125" i="13"/>
  <c r="B125" i="13"/>
  <c r="N124" i="13"/>
  <c r="B124" i="13"/>
  <c r="N123" i="13"/>
  <c r="G123" i="13"/>
  <c r="F123" i="13"/>
  <c r="E123" i="13"/>
  <c r="D123" i="13"/>
  <c r="C123" i="13"/>
  <c r="B123" i="13"/>
  <c r="N122" i="13"/>
  <c r="G122" i="13"/>
  <c r="F122" i="13"/>
  <c r="E122" i="13"/>
  <c r="D122" i="13"/>
  <c r="C122" i="13"/>
  <c r="B122" i="13"/>
  <c r="N121" i="13"/>
  <c r="B121" i="13"/>
  <c r="N120" i="13"/>
  <c r="F120" i="13"/>
  <c r="E120" i="13"/>
  <c r="D120" i="13"/>
  <c r="B120" i="13"/>
  <c r="N119" i="13"/>
  <c r="F119" i="13"/>
  <c r="E119" i="13"/>
  <c r="D119" i="13"/>
  <c r="B119" i="13"/>
  <c r="N118" i="13"/>
  <c r="F118" i="13"/>
  <c r="E118" i="13"/>
  <c r="D118" i="13"/>
  <c r="B118" i="13"/>
  <c r="N117" i="13"/>
  <c r="G117" i="13"/>
  <c r="F117" i="13"/>
  <c r="E117" i="13"/>
  <c r="D117" i="13"/>
  <c r="C117" i="13"/>
  <c r="B117" i="13"/>
  <c r="N116" i="13"/>
  <c r="G116" i="13"/>
  <c r="F116" i="13"/>
  <c r="E116" i="13"/>
  <c r="D116" i="13"/>
  <c r="C116" i="13"/>
  <c r="B116" i="13"/>
  <c r="N115" i="13"/>
  <c r="B115" i="13"/>
  <c r="N114" i="13"/>
  <c r="N113" i="13"/>
  <c r="G113" i="13"/>
  <c r="F113" i="13"/>
  <c r="E113" i="13"/>
  <c r="D113" i="13"/>
  <c r="C113" i="13"/>
  <c r="B113" i="13"/>
  <c r="N112" i="13"/>
  <c r="N111" i="13"/>
  <c r="G111" i="13"/>
  <c r="F111" i="13"/>
  <c r="E111" i="13"/>
  <c r="D111" i="13"/>
  <c r="C111" i="13"/>
  <c r="B111" i="13"/>
  <c r="N110" i="13"/>
  <c r="B110" i="13"/>
  <c r="N109" i="13"/>
  <c r="G109" i="13"/>
  <c r="F109" i="13"/>
  <c r="E109" i="13"/>
  <c r="D109" i="13"/>
  <c r="C109" i="13"/>
  <c r="B109" i="13"/>
  <c r="N108" i="13"/>
  <c r="G108" i="13"/>
  <c r="F108" i="13"/>
  <c r="E108" i="13"/>
  <c r="D108" i="13"/>
  <c r="C108" i="13"/>
  <c r="B108" i="13"/>
  <c r="N107" i="13"/>
  <c r="B107" i="13"/>
  <c r="N106" i="13"/>
  <c r="G106" i="13"/>
  <c r="F106" i="13"/>
  <c r="E106" i="13"/>
  <c r="D106" i="13"/>
  <c r="C106" i="13"/>
  <c r="B106" i="13"/>
  <c r="N105" i="13"/>
  <c r="B105" i="13"/>
  <c r="N104" i="13"/>
  <c r="G104" i="13"/>
  <c r="F104" i="13"/>
  <c r="E104" i="13"/>
  <c r="D104" i="13"/>
  <c r="C104" i="13"/>
  <c r="B104" i="13"/>
  <c r="N103" i="13"/>
  <c r="B103" i="13"/>
  <c r="N102" i="13"/>
  <c r="B102" i="13"/>
  <c r="N101" i="13"/>
  <c r="G101" i="13"/>
  <c r="F101" i="13"/>
  <c r="E101" i="13"/>
  <c r="D101" i="13"/>
  <c r="C101" i="13"/>
  <c r="B101" i="13"/>
  <c r="N100" i="13"/>
  <c r="B100" i="13"/>
  <c r="N99" i="13"/>
  <c r="B99" i="13"/>
  <c r="N98" i="13"/>
  <c r="B98" i="13"/>
  <c r="N97" i="13"/>
  <c r="G97" i="13"/>
  <c r="F97" i="13"/>
  <c r="E97" i="13"/>
  <c r="D97" i="13"/>
  <c r="C97" i="13"/>
  <c r="B97" i="13"/>
  <c r="N96" i="13"/>
  <c r="G96" i="13"/>
  <c r="F96" i="13"/>
  <c r="E96" i="13"/>
  <c r="D96" i="13"/>
  <c r="C96" i="13"/>
  <c r="B96" i="13"/>
  <c r="N95" i="13"/>
  <c r="B95" i="13"/>
  <c r="N94" i="13"/>
  <c r="G94" i="13"/>
  <c r="F94" i="13"/>
  <c r="E94" i="13"/>
  <c r="D94" i="13"/>
  <c r="C94" i="13"/>
  <c r="B94" i="13"/>
  <c r="N93" i="13"/>
  <c r="G93" i="13"/>
  <c r="F93" i="13"/>
  <c r="E93" i="13"/>
  <c r="D93" i="13"/>
  <c r="C93" i="13"/>
  <c r="B93" i="13"/>
  <c r="N92" i="13"/>
  <c r="B92" i="13"/>
  <c r="N91" i="13"/>
  <c r="G91" i="13"/>
  <c r="F91" i="13"/>
  <c r="E91" i="13"/>
  <c r="D91" i="13"/>
  <c r="C91" i="13"/>
  <c r="B91" i="13"/>
  <c r="N90" i="13"/>
  <c r="G90" i="13"/>
  <c r="F90" i="13"/>
  <c r="E90" i="13"/>
  <c r="D90" i="13"/>
  <c r="C90" i="13"/>
  <c r="B90" i="13"/>
  <c r="N89" i="13"/>
  <c r="B89" i="13"/>
  <c r="N88" i="13"/>
  <c r="G88" i="13"/>
  <c r="F88" i="13"/>
  <c r="E88" i="13"/>
  <c r="D88" i="13"/>
  <c r="C88" i="13"/>
  <c r="B88" i="13"/>
  <c r="N87" i="13"/>
  <c r="B87" i="13"/>
  <c r="N86" i="13"/>
  <c r="B86" i="13"/>
  <c r="N85" i="13"/>
  <c r="G85" i="13"/>
  <c r="F85" i="13"/>
  <c r="E85" i="13"/>
  <c r="D85" i="13"/>
  <c r="C85" i="13"/>
  <c r="B85" i="13"/>
  <c r="N84" i="13"/>
  <c r="G84" i="13"/>
  <c r="F84" i="13"/>
  <c r="E84" i="13"/>
  <c r="D84" i="13"/>
  <c r="C84" i="13"/>
  <c r="B84" i="13"/>
  <c r="N83" i="13"/>
  <c r="B83" i="13"/>
  <c r="N82" i="13"/>
  <c r="F82" i="13"/>
  <c r="E82" i="13"/>
  <c r="D82" i="13"/>
  <c r="B82" i="13"/>
  <c r="N81" i="13"/>
  <c r="F81" i="13"/>
  <c r="E81" i="13"/>
  <c r="D81" i="13"/>
  <c r="B81" i="13"/>
  <c r="N80" i="13"/>
  <c r="G80" i="13"/>
  <c r="F80" i="13"/>
  <c r="E80" i="13"/>
  <c r="D80" i="13"/>
  <c r="C80" i="13"/>
  <c r="B80" i="13"/>
  <c r="N79" i="13"/>
  <c r="B79" i="13"/>
  <c r="N78" i="13"/>
  <c r="G78" i="13"/>
  <c r="F78" i="13"/>
  <c r="E78" i="13"/>
  <c r="D78" i="13"/>
  <c r="C78" i="13"/>
  <c r="B78" i="13"/>
  <c r="N77" i="13"/>
  <c r="G77" i="13"/>
  <c r="F77" i="13"/>
  <c r="E77" i="13"/>
  <c r="D77" i="13"/>
  <c r="C77" i="13"/>
  <c r="B77" i="13"/>
  <c r="N76" i="13"/>
  <c r="B76" i="13"/>
  <c r="N75" i="13"/>
  <c r="F75" i="13"/>
  <c r="E75" i="13"/>
  <c r="D75" i="13"/>
  <c r="B75" i="13"/>
  <c r="N74" i="13"/>
  <c r="F74" i="13"/>
  <c r="E74" i="13"/>
  <c r="D74" i="13"/>
  <c r="B74" i="13"/>
  <c r="N73" i="13"/>
  <c r="B73" i="13"/>
  <c r="N72" i="13"/>
  <c r="B72" i="13"/>
  <c r="N71" i="13"/>
  <c r="B71" i="13"/>
  <c r="N70" i="13"/>
  <c r="F70" i="13"/>
  <c r="E70" i="13"/>
  <c r="D70" i="13"/>
  <c r="B70" i="13"/>
  <c r="N69" i="13"/>
  <c r="F69" i="13"/>
  <c r="E69" i="13"/>
  <c r="D69" i="13"/>
  <c r="B69" i="13"/>
  <c r="N68" i="13"/>
  <c r="G68" i="13"/>
  <c r="F68" i="13"/>
  <c r="E68" i="13"/>
  <c r="D68" i="13"/>
  <c r="C68" i="13"/>
  <c r="B68" i="13"/>
  <c r="N67" i="13"/>
  <c r="B67" i="13"/>
  <c r="N66" i="13"/>
  <c r="G66" i="13"/>
  <c r="F66" i="13"/>
  <c r="E66" i="13"/>
  <c r="D66" i="13"/>
  <c r="C66" i="13"/>
  <c r="B66" i="13"/>
  <c r="N65" i="13"/>
  <c r="B65" i="13"/>
  <c r="N64" i="13"/>
  <c r="G64" i="13"/>
  <c r="F64" i="13"/>
  <c r="E64" i="13"/>
  <c r="D64" i="13"/>
  <c r="C64" i="13"/>
  <c r="B64" i="13"/>
  <c r="N63" i="13"/>
  <c r="B63" i="13"/>
  <c r="G62" i="13"/>
  <c r="F62" i="13"/>
  <c r="E62" i="13"/>
  <c r="D62" i="13"/>
  <c r="C62" i="13"/>
  <c r="B62" i="13"/>
  <c r="N61" i="13"/>
  <c r="G61" i="13"/>
  <c r="F61" i="13"/>
  <c r="E61" i="13"/>
  <c r="D61" i="13"/>
  <c r="C61" i="13"/>
  <c r="B61" i="13"/>
  <c r="N60" i="13"/>
  <c r="B60" i="13"/>
  <c r="N59" i="13"/>
  <c r="B59" i="13"/>
  <c r="N58" i="13"/>
  <c r="G58" i="13"/>
  <c r="F58" i="13"/>
  <c r="E58" i="13"/>
  <c r="D58" i="13"/>
  <c r="C58" i="13"/>
  <c r="B58" i="13"/>
  <c r="N57" i="13"/>
  <c r="B57" i="13"/>
  <c r="N56" i="13"/>
  <c r="B56" i="13"/>
  <c r="N55" i="13"/>
  <c r="B55" i="13"/>
  <c r="N54" i="13"/>
  <c r="B54" i="13"/>
  <c r="N53" i="13"/>
  <c r="B53" i="13"/>
  <c r="N52" i="13"/>
  <c r="B52" i="13"/>
  <c r="N51" i="13"/>
  <c r="B51" i="13"/>
  <c r="N50" i="13"/>
  <c r="B50" i="13"/>
  <c r="N49" i="13"/>
  <c r="B49" i="13"/>
  <c r="N48" i="13"/>
  <c r="G48" i="13"/>
  <c r="F48" i="13"/>
  <c r="E48" i="13"/>
  <c r="D48" i="13"/>
  <c r="C48" i="13"/>
  <c r="B48" i="13"/>
  <c r="N47" i="13"/>
  <c r="B47" i="13"/>
  <c r="N46" i="13"/>
  <c r="B46" i="13"/>
  <c r="N45" i="13"/>
  <c r="B45" i="13"/>
  <c r="N44" i="13"/>
  <c r="G44" i="13"/>
  <c r="F44" i="13"/>
  <c r="E44" i="13"/>
  <c r="D44" i="13"/>
  <c r="C44" i="13"/>
  <c r="B44" i="13"/>
  <c r="N43" i="13"/>
  <c r="B43" i="13"/>
  <c r="N42" i="13"/>
  <c r="G42" i="13"/>
  <c r="F42" i="13"/>
  <c r="E42" i="13"/>
  <c r="D42" i="13"/>
  <c r="C42" i="13"/>
  <c r="B42" i="13"/>
  <c r="N41" i="13"/>
  <c r="B41" i="13"/>
  <c r="N40" i="13"/>
  <c r="B40" i="13"/>
  <c r="N39" i="13"/>
  <c r="B39" i="13"/>
  <c r="N38" i="13"/>
  <c r="B38" i="13"/>
  <c r="N37" i="13"/>
  <c r="G37" i="13"/>
  <c r="F37" i="13"/>
  <c r="E37" i="13"/>
  <c r="D37" i="13"/>
  <c r="C37" i="13"/>
  <c r="B37" i="13"/>
  <c r="N36" i="13"/>
  <c r="B36" i="13"/>
  <c r="N35" i="13"/>
  <c r="B35" i="13"/>
  <c r="N34" i="13"/>
  <c r="G34" i="13"/>
  <c r="F34" i="13"/>
  <c r="E34" i="13"/>
  <c r="D34" i="13"/>
  <c r="C34" i="13"/>
  <c r="B34" i="13"/>
  <c r="N33" i="13"/>
  <c r="B33" i="13"/>
  <c r="N32" i="13"/>
  <c r="G32" i="13"/>
  <c r="F32" i="13"/>
  <c r="E32" i="13"/>
  <c r="D32" i="13"/>
  <c r="C32" i="13"/>
  <c r="B32" i="13"/>
  <c r="N31" i="13"/>
  <c r="G31" i="13"/>
  <c r="F31" i="13"/>
  <c r="E31" i="13"/>
  <c r="D31" i="13"/>
  <c r="C31" i="13"/>
  <c r="B31" i="13"/>
  <c r="N30" i="13"/>
  <c r="B30" i="13"/>
  <c r="N29" i="13"/>
  <c r="G29" i="13"/>
  <c r="F29" i="13"/>
  <c r="E29" i="13"/>
  <c r="D29" i="13"/>
  <c r="C29" i="13"/>
  <c r="B29" i="13"/>
  <c r="N28" i="13"/>
  <c r="B28" i="13"/>
  <c r="N27" i="13"/>
  <c r="G27" i="13"/>
  <c r="F27" i="13"/>
  <c r="E27" i="13"/>
  <c r="D27" i="13"/>
  <c r="C27" i="13"/>
  <c r="B27" i="13"/>
  <c r="N26" i="13"/>
  <c r="B26" i="13"/>
  <c r="N25" i="13"/>
  <c r="B25" i="13"/>
  <c r="N24" i="13"/>
  <c r="G24" i="13"/>
  <c r="F24" i="13"/>
  <c r="E24" i="13"/>
  <c r="D24" i="13"/>
  <c r="C24" i="13"/>
  <c r="B24" i="13"/>
  <c r="N23" i="13"/>
  <c r="G23" i="13"/>
  <c r="F23" i="13"/>
  <c r="E23" i="13"/>
  <c r="D23" i="13"/>
  <c r="C23" i="13"/>
  <c r="B23" i="13"/>
  <c r="N22" i="13"/>
  <c r="G22" i="13"/>
  <c r="F22" i="13"/>
  <c r="E22" i="13"/>
  <c r="D22" i="13"/>
  <c r="C22" i="13"/>
  <c r="B22" i="13"/>
  <c r="N21" i="13"/>
  <c r="G21" i="13"/>
  <c r="F21" i="13"/>
  <c r="E21" i="13"/>
  <c r="D21" i="13"/>
  <c r="C21" i="13"/>
  <c r="B21" i="13"/>
  <c r="N20" i="13"/>
  <c r="B20" i="13"/>
  <c r="N19" i="13"/>
  <c r="G19" i="13"/>
  <c r="F19" i="13"/>
  <c r="E19" i="13"/>
  <c r="D19" i="13"/>
  <c r="C19" i="13"/>
  <c r="B19" i="13"/>
  <c r="N18" i="13"/>
  <c r="G18" i="13"/>
  <c r="F18" i="13"/>
  <c r="E18" i="13"/>
  <c r="D18" i="13"/>
  <c r="C18" i="13"/>
  <c r="B18" i="13"/>
  <c r="N17" i="13"/>
  <c r="B17" i="13"/>
  <c r="N16" i="13"/>
  <c r="B16" i="13"/>
  <c r="N15" i="13"/>
  <c r="G15" i="13"/>
  <c r="F15" i="13"/>
  <c r="E15" i="13"/>
  <c r="D15" i="13"/>
  <c r="C15" i="13"/>
  <c r="B15" i="13"/>
  <c r="N14" i="13"/>
  <c r="F14" i="13"/>
  <c r="E14" i="13"/>
  <c r="D14" i="13"/>
  <c r="C14" i="13"/>
  <c r="B14" i="13"/>
  <c r="N13" i="13"/>
  <c r="B13" i="13"/>
  <c r="N12" i="13"/>
  <c r="G12" i="13"/>
  <c r="F12" i="13"/>
  <c r="E12" i="13"/>
  <c r="D12" i="13"/>
  <c r="C12" i="13"/>
  <c r="B12" i="13"/>
  <c r="N11" i="13"/>
  <c r="B11" i="13"/>
  <c r="N10" i="13"/>
  <c r="B10" i="13"/>
  <c r="N9" i="13"/>
  <c r="G9" i="13"/>
  <c r="F9" i="13"/>
  <c r="E9" i="13"/>
  <c r="D9" i="13"/>
  <c r="C9" i="13"/>
  <c r="B9" i="13"/>
  <c r="N8" i="13"/>
  <c r="B8" i="13"/>
  <c r="U266" i="12"/>
  <c r="N265" i="12"/>
  <c r="B265" i="12"/>
  <c r="N264" i="12"/>
  <c r="G264" i="12"/>
  <c r="F264" i="12"/>
  <c r="E264" i="12"/>
  <c r="D264" i="12"/>
  <c r="C264" i="12"/>
  <c r="B264" i="12"/>
  <c r="N263" i="12"/>
  <c r="B263" i="12"/>
  <c r="N262" i="12"/>
  <c r="G262" i="12"/>
  <c r="F262" i="12"/>
  <c r="E262" i="12"/>
  <c r="D262" i="12"/>
  <c r="C262" i="12"/>
  <c r="B262" i="12"/>
  <c r="N261" i="12"/>
  <c r="B261" i="12"/>
  <c r="N260" i="12"/>
  <c r="B260" i="12"/>
  <c r="N259" i="12"/>
  <c r="B259" i="12"/>
  <c r="N258" i="12"/>
  <c r="B258" i="12"/>
  <c r="N257" i="12"/>
  <c r="B257" i="12"/>
  <c r="N256" i="12"/>
  <c r="B256" i="12"/>
  <c r="N255" i="12"/>
  <c r="B255" i="12"/>
  <c r="N254" i="12"/>
  <c r="G254" i="12"/>
  <c r="F254" i="12"/>
  <c r="E254" i="12"/>
  <c r="D254" i="12"/>
  <c r="C254" i="12"/>
  <c r="B254" i="12"/>
  <c r="N253" i="12"/>
  <c r="B253" i="12"/>
  <c r="N252" i="12"/>
  <c r="G252" i="12"/>
  <c r="F252" i="12"/>
  <c r="E252" i="12"/>
  <c r="D252" i="12"/>
  <c r="C252" i="12"/>
  <c r="B252" i="12"/>
  <c r="N251" i="12"/>
  <c r="B251" i="12"/>
  <c r="N250" i="12"/>
  <c r="G250" i="12"/>
  <c r="F250" i="12"/>
  <c r="E250" i="12"/>
  <c r="D250" i="12"/>
  <c r="C250" i="12"/>
  <c r="B250" i="12"/>
  <c r="N249" i="12"/>
  <c r="G249" i="12"/>
  <c r="F249" i="12"/>
  <c r="E249" i="12"/>
  <c r="D249" i="12"/>
  <c r="C249" i="12"/>
  <c r="B249" i="12"/>
  <c r="N248" i="12"/>
  <c r="G248" i="12"/>
  <c r="F248" i="12"/>
  <c r="E248" i="12"/>
  <c r="D248" i="12"/>
  <c r="C248" i="12"/>
  <c r="B248" i="12"/>
  <c r="N247" i="12"/>
  <c r="B247" i="12"/>
  <c r="N246" i="12"/>
  <c r="G246" i="12"/>
  <c r="F246" i="12"/>
  <c r="E246" i="12"/>
  <c r="D246" i="12"/>
  <c r="C246" i="12"/>
  <c r="B246" i="12"/>
  <c r="N245" i="12"/>
  <c r="B245" i="12"/>
  <c r="N244" i="12"/>
  <c r="G244" i="12"/>
  <c r="F244" i="12"/>
  <c r="E244" i="12"/>
  <c r="D244" i="12"/>
  <c r="C244" i="12"/>
  <c r="B244" i="12"/>
  <c r="N243" i="12"/>
  <c r="G243" i="12"/>
  <c r="F243" i="12"/>
  <c r="E243" i="12"/>
  <c r="D243" i="12"/>
  <c r="C243" i="12"/>
  <c r="B243" i="12"/>
  <c r="N242" i="12"/>
  <c r="B242" i="12"/>
  <c r="N241" i="12"/>
  <c r="G241" i="12"/>
  <c r="F241" i="12"/>
  <c r="E241" i="12"/>
  <c r="D241" i="12"/>
  <c r="C241" i="12"/>
  <c r="B241" i="12"/>
  <c r="N240" i="12"/>
  <c r="G240" i="12"/>
  <c r="F240" i="12"/>
  <c r="E240" i="12"/>
  <c r="D240" i="12"/>
  <c r="C240" i="12"/>
  <c r="B240" i="12"/>
  <c r="N239" i="12"/>
  <c r="B239" i="12"/>
  <c r="N238" i="12"/>
  <c r="B238" i="12"/>
  <c r="N237" i="12"/>
  <c r="B237" i="12"/>
  <c r="N236" i="12"/>
  <c r="F236" i="12"/>
  <c r="E236" i="12"/>
  <c r="D236" i="12"/>
  <c r="B236" i="12"/>
  <c r="N235" i="12"/>
  <c r="B235" i="12"/>
  <c r="N234" i="12"/>
  <c r="B234" i="12"/>
  <c r="N233" i="12"/>
  <c r="G233" i="12"/>
  <c r="F233" i="12"/>
  <c r="E233" i="12"/>
  <c r="D233" i="12"/>
  <c r="C233" i="12"/>
  <c r="B233" i="12"/>
  <c r="N232" i="12"/>
  <c r="B232" i="12"/>
  <c r="N231" i="12"/>
  <c r="B231" i="12"/>
  <c r="N230" i="12"/>
  <c r="G230" i="12"/>
  <c r="F230" i="12"/>
  <c r="E230" i="12"/>
  <c r="D230" i="12"/>
  <c r="C230" i="12"/>
  <c r="B230" i="12"/>
  <c r="N229" i="12"/>
  <c r="B229" i="12"/>
  <c r="N228" i="12"/>
  <c r="G228" i="12"/>
  <c r="F228" i="12"/>
  <c r="E228" i="12"/>
  <c r="D228" i="12"/>
  <c r="C228" i="12"/>
  <c r="B228" i="12"/>
  <c r="N227" i="12"/>
  <c r="B227" i="12"/>
  <c r="N226" i="12"/>
  <c r="F226" i="12"/>
  <c r="E226" i="12"/>
  <c r="D226" i="12"/>
  <c r="B226" i="12"/>
  <c r="N225" i="12"/>
  <c r="F225" i="12"/>
  <c r="E225" i="12"/>
  <c r="D225" i="12"/>
  <c r="B225" i="12"/>
  <c r="N224" i="12"/>
  <c r="G224" i="12"/>
  <c r="F224" i="12"/>
  <c r="E224" i="12"/>
  <c r="D224" i="12"/>
  <c r="C224" i="12"/>
  <c r="B224" i="12"/>
  <c r="N223" i="12"/>
  <c r="B223" i="12"/>
  <c r="N222" i="12"/>
  <c r="G222" i="12"/>
  <c r="F222" i="12"/>
  <c r="E222" i="12"/>
  <c r="D222" i="12"/>
  <c r="C222" i="12"/>
  <c r="B222" i="12"/>
  <c r="N221" i="12"/>
  <c r="G221" i="12"/>
  <c r="F221" i="12"/>
  <c r="E221" i="12"/>
  <c r="D221" i="12"/>
  <c r="C221" i="12"/>
  <c r="B221" i="12"/>
  <c r="N220" i="12"/>
  <c r="B220" i="12"/>
  <c r="N219" i="12"/>
  <c r="F219" i="12"/>
  <c r="E219" i="12"/>
  <c r="D219" i="12"/>
  <c r="B219" i="12"/>
  <c r="N218" i="12"/>
  <c r="F218" i="12"/>
  <c r="E218" i="12"/>
  <c r="D218" i="12"/>
  <c r="B218" i="12"/>
  <c r="N217" i="12"/>
  <c r="G217" i="12"/>
  <c r="F217" i="12"/>
  <c r="E217" i="12"/>
  <c r="D217" i="12"/>
  <c r="C217" i="12"/>
  <c r="B217" i="12"/>
  <c r="N216" i="12"/>
  <c r="G216" i="12"/>
  <c r="F216" i="12"/>
  <c r="E216" i="12"/>
  <c r="D216" i="12"/>
  <c r="C216" i="12"/>
  <c r="B216" i="12"/>
  <c r="N215" i="12"/>
  <c r="B215" i="12"/>
  <c r="N214" i="12"/>
  <c r="G214" i="12"/>
  <c r="F214" i="12"/>
  <c r="E214" i="12"/>
  <c r="D214" i="12"/>
  <c r="C214" i="12"/>
  <c r="B214" i="12"/>
  <c r="N213" i="12"/>
  <c r="G213" i="12"/>
  <c r="F213" i="12"/>
  <c r="E213" i="12"/>
  <c r="D213" i="12"/>
  <c r="C213" i="12"/>
  <c r="B213" i="12"/>
  <c r="N212" i="12"/>
  <c r="G212" i="12"/>
  <c r="F212" i="12"/>
  <c r="E212" i="12"/>
  <c r="D212" i="12"/>
  <c r="C212" i="12"/>
  <c r="B212" i="12"/>
  <c r="N211" i="12"/>
  <c r="B211" i="12"/>
  <c r="N210" i="12"/>
  <c r="G210" i="12"/>
  <c r="F210" i="12"/>
  <c r="E210" i="12"/>
  <c r="D210" i="12"/>
  <c r="C210" i="12"/>
  <c r="B210" i="12"/>
  <c r="N209" i="12"/>
  <c r="B209" i="12"/>
  <c r="N208" i="12"/>
  <c r="G208" i="12"/>
  <c r="F208" i="12"/>
  <c r="E208" i="12"/>
  <c r="D208" i="12"/>
  <c r="C208" i="12"/>
  <c r="B208" i="12"/>
  <c r="N207" i="12"/>
  <c r="B207" i="12"/>
  <c r="N206" i="12"/>
  <c r="G206" i="12"/>
  <c r="F206" i="12"/>
  <c r="E206" i="12"/>
  <c r="D206" i="12"/>
  <c r="C206" i="12"/>
  <c r="B206" i="12"/>
  <c r="N205" i="12"/>
  <c r="B205" i="12"/>
  <c r="N204" i="12"/>
  <c r="G204" i="12"/>
  <c r="F204" i="12"/>
  <c r="E204" i="12"/>
  <c r="D204" i="12"/>
  <c r="C204" i="12"/>
  <c r="B204" i="12"/>
  <c r="N203" i="12"/>
  <c r="B203" i="12"/>
  <c r="N202" i="12"/>
  <c r="G202" i="12"/>
  <c r="F202" i="12"/>
  <c r="E202" i="12"/>
  <c r="D202" i="12"/>
  <c r="C202" i="12"/>
  <c r="B202" i="12"/>
  <c r="N201" i="12"/>
  <c r="B201" i="12"/>
  <c r="N200" i="12"/>
  <c r="G200" i="12"/>
  <c r="F200" i="12"/>
  <c r="E200" i="12"/>
  <c r="D200" i="12"/>
  <c r="C200" i="12"/>
  <c r="B200" i="12"/>
  <c r="N199" i="12"/>
  <c r="B199" i="12"/>
  <c r="N198" i="12"/>
  <c r="G198" i="12"/>
  <c r="F198" i="12"/>
  <c r="E198" i="12"/>
  <c r="D198" i="12"/>
  <c r="C198" i="12"/>
  <c r="B198" i="12"/>
  <c r="N197" i="12"/>
  <c r="B197" i="12"/>
  <c r="N196" i="12"/>
  <c r="F196" i="12"/>
  <c r="E196" i="12"/>
  <c r="D196" i="12"/>
  <c r="B196" i="12"/>
  <c r="N195" i="12"/>
  <c r="G195" i="12"/>
  <c r="F195" i="12"/>
  <c r="E195" i="12"/>
  <c r="D195" i="12"/>
  <c r="C195" i="12"/>
  <c r="B195" i="12"/>
  <c r="N194" i="12"/>
  <c r="G194" i="12"/>
  <c r="F194" i="12"/>
  <c r="E194" i="12"/>
  <c r="D194" i="12"/>
  <c r="C194" i="12"/>
  <c r="B194" i="12"/>
  <c r="N193" i="12"/>
  <c r="B193" i="12"/>
  <c r="N192" i="12"/>
  <c r="B192" i="12"/>
  <c r="N191" i="12"/>
  <c r="B191" i="12"/>
  <c r="N190" i="12"/>
  <c r="G190" i="12"/>
  <c r="F190" i="12"/>
  <c r="E190" i="12"/>
  <c r="D190" i="12"/>
  <c r="C190" i="12"/>
  <c r="B190" i="12"/>
  <c r="N189" i="12"/>
  <c r="B189" i="12"/>
  <c r="N188" i="12"/>
  <c r="G188" i="12"/>
  <c r="F188" i="12"/>
  <c r="E188" i="12"/>
  <c r="D188" i="12"/>
  <c r="C188" i="12"/>
  <c r="B188" i="12"/>
  <c r="N187" i="12"/>
  <c r="B187" i="12"/>
  <c r="N186" i="12"/>
  <c r="G186" i="12"/>
  <c r="F186" i="12"/>
  <c r="E186" i="12"/>
  <c r="D186" i="12"/>
  <c r="C186" i="12"/>
  <c r="B186" i="12"/>
  <c r="N185" i="12"/>
  <c r="B185" i="12"/>
  <c r="N184" i="12"/>
  <c r="F184" i="12"/>
  <c r="E184" i="12"/>
  <c r="D184" i="12"/>
  <c r="B184" i="12"/>
  <c r="N183" i="12"/>
  <c r="F183" i="12"/>
  <c r="E183" i="12"/>
  <c r="D183" i="12"/>
  <c r="B183" i="12"/>
  <c r="N182" i="12"/>
  <c r="B182" i="12"/>
  <c r="N181" i="12"/>
  <c r="F181" i="12"/>
  <c r="E181" i="12"/>
  <c r="D181" i="12"/>
  <c r="B181" i="12"/>
  <c r="N180" i="12"/>
  <c r="G180" i="12"/>
  <c r="F180" i="12"/>
  <c r="E180" i="12"/>
  <c r="D180" i="12"/>
  <c r="C180" i="12"/>
  <c r="B180" i="12"/>
  <c r="N179" i="12"/>
  <c r="B179" i="12"/>
  <c r="N178" i="12"/>
  <c r="G178" i="12"/>
  <c r="F178" i="12"/>
  <c r="E178" i="12"/>
  <c r="D178" i="12"/>
  <c r="C178" i="12"/>
  <c r="B178" i="12"/>
  <c r="N177" i="12"/>
  <c r="B177" i="12"/>
  <c r="N176" i="12"/>
  <c r="G176" i="12"/>
  <c r="F176" i="12"/>
  <c r="E176" i="12"/>
  <c r="D176" i="12"/>
  <c r="C176" i="12"/>
  <c r="B176" i="12"/>
  <c r="N175" i="12"/>
  <c r="B175" i="12"/>
  <c r="N174" i="12"/>
  <c r="G174" i="12"/>
  <c r="F174" i="12"/>
  <c r="D174" i="12"/>
  <c r="B174" i="12"/>
  <c r="N173" i="12"/>
  <c r="G173" i="12"/>
  <c r="F173" i="12"/>
  <c r="E173" i="12"/>
  <c r="E174" i="12" s="1"/>
  <c r="D173" i="12"/>
  <c r="C173" i="12"/>
  <c r="C174" i="12" s="1"/>
  <c r="B173" i="12"/>
  <c r="N172" i="12"/>
  <c r="G172" i="12"/>
  <c r="F172" i="12"/>
  <c r="E172" i="12"/>
  <c r="D172" i="12"/>
  <c r="C172" i="12"/>
  <c r="B172" i="12"/>
  <c r="N171" i="12"/>
  <c r="B171" i="12"/>
  <c r="N170" i="12"/>
  <c r="G170" i="12"/>
  <c r="F170" i="12"/>
  <c r="E170" i="12"/>
  <c r="D170" i="12"/>
  <c r="C170" i="12"/>
  <c r="B170" i="12"/>
  <c r="N169" i="12"/>
  <c r="B169" i="12"/>
  <c r="N168" i="12"/>
  <c r="B168" i="12"/>
  <c r="N167" i="12"/>
  <c r="B167" i="12"/>
  <c r="N166" i="12"/>
  <c r="F166" i="12"/>
  <c r="E166" i="12"/>
  <c r="D166" i="12"/>
  <c r="B166" i="12"/>
  <c r="N165" i="12"/>
  <c r="G165" i="12"/>
  <c r="F165" i="12"/>
  <c r="E165" i="12"/>
  <c r="D165" i="12"/>
  <c r="C165" i="12"/>
  <c r="B165" i="12"/>
  <c r="N164" i="12"/>
  <c r="B164" i="12"/>
  <c r="N163" i="12"/>
  <c r="F163" i="12"/>
  <c r="E163" i="12"/>
  <c r="D163" i="12"/>
  <c r="B163" i="12"/>
  <c r="N162" i="12"/>
  <c r="F162" i="12"/>
  <c r="E162" i="12"/>
  <c r="D162" i="12"/>
  <c r="B162" i="12"/>
  <c r="N161" i="12"/>
  <c r="F161" i="12"/>
  <c r="E161" i="12"/>
  <c r="D161" i="12"/>
  <c r="B161" i="12"/>
  <c r="N160" i="12"/>
  <c r="B160" i="12"/>
  <c r="N159" i="12"/>
  <c r="B159" i="12"/>
  <c r="N158" i="12"/>
  <c r="B158" i="12"/>
  <c r="N157" i="12"/>
  <c r="B157" i="12"/>
  <c r="N156" i="12"/>
  <c r="B156" i="12"/>
  <c r="N155" i="12"/>
  <c r="B155" i="12"/>
  <c r="N154" i="12"/>
  <c r="B154" i="12"/>
  <c r="N153" i="12"/>
  <c r="B153" i="12"/>
  <c r="N152" i="12"/>
  <c r="B152" i="12"/>
  <c r="N151" i="12"/>
  <c r="B151" i="12"/>
  <c r="N150" i="12"/>
  <c r="B150" i="12"/>
  <c r="N149" i="12"/>
  <c r="B149" i="12"/>
  <c r="N148" i="12"/>
  <c r="B148" i="12"/>
  <c r="N147" i="12"/>
  <c r="B147" i="12"/>
  <c r="N146" i="12"/>
  <c r="G146" i="12"/>
  <c r="F146" i="12"/>
  <c r="E146" i="12"/>
  <c r="D146" i="12"/>
  <c r="C146" i="12"/>
  <c r="B146" i="12"/>
  <c r="N145" i="12"/>
  <c r="B145" i="12"/>
  <c r="N144" i="12"/>
  <c r="F144" i="12"/>
  <c r="E144" i="12"/>
  <c r="D144" i="12"/>
  <c r="B144" i="12"/>
  <c r="N143" i="12"/>
  <c r="F143" i="12"/>
  <c r="E143" i="12"/>
  <c r="D143" i="12"/>
  <c r="B143" i="12"/>
  <c r="N142" i="12"/>
  <c r="G142" i="12"/>
  <c r="F142" i="12"/>
  <c r="E142" i="12"/>
  <c r="D142" i="12"/>
  <c r="C142" i="12"/>
  <c r="B142" i="12"/>
  <c r="N141" i="12"/>
  <c r="G141" i="12"/>
  <c r="F141" i="12"/>
  <c r="E141" i="12"/>
  <c r="D141" i="12"/>
  <c r="C141" i="12"/>
  <c r="B141" i="12"/>
  <c r="N140" i="12"/>
  <c r="B140" i="12"/>
  <c r="N139" i="12"/>
  <c r="G139" i="12"/>
  <c r="F139" i="12"/>
  <c r="E139" i="12"/>
  <c r="D139" i="12"/>
  <c r="C139" i="12"/>
  <c r="B139" i="12"/>
  <c r="N138" i="12"/>
  <c r="G138" i="12"/>
  <c r="F138" i="12"/>
  <c r="E138" i="12"/>
  <c r="D138" i="12"/>
  <c r="C138" i="12"/>
  <c r="B138" i="12"/>
  <c r="N137" i="12"/>
  <c r="B137" i="12"/>
  <c r="N136" i="12"/>
  <c r="G136" i="12"/>
  <c r="F136" i="12"/>
  <c r="E136" i="12"/>
  <c r="D136" i="12"/>
  <c r="C136" i="12"/>
  <c r="B136" i="12"/>
  <c r="N135" i="12"/>
  <c r="G135" i="12"/>
  <c r="F135" i="12"/>
  <c r="E135" i="12"/>
  <c r="D135" i="12"/>
  <c r="C135" i="12"/>
  <c r="B135" i="12"/>
  <c r="N134" i="12"/>
  <c r="B134" i="12"/>
  <c r="N133" i="12"/>
  <c r="G133" i="12"/>
  <c r="F133" i="12"/>
  <c r="E133" i="12"/>
  <c r="D133" i="12"/>
  <c r="C133" i="12"/>
  <c r="B133" i="12"/>
  <c r="N132" i="12"/>
  <c r="G132" i="12"/>
  <c r="F132" i="12"/>
  <c r="E132" i="12"/>
  <c r="D132" i="12"/>
  <c r="C132" i="12"/>
  <c r="B132" i="12"/>
  <c r="N131" i="12"/>
  <c r="B131" i="12"/>
  <c r="N130" i="12"/>
  <c r="G130" i="12"/>
  <c r="F130" i="12"/>
  <c r="E130" i="12"/>
  <c r="D130" i="12"/>
  <c r="C130" i="12"/>
  <c r="B130" i="12"/>
  <c r="N129" i="12"/>
  <c r="G129" i="12"/>
  <c r="F129" i="12"/>
  <c r="E129" i="12"/>
  <c r="D129" i="12"/>
  <c r="C129" i="12"/>
  <c r="B129" i="12"/>
  <c r="N128" i="12"/>
  <c r="B128" i="12"/>
  <c r="N127" i="12"/>
  <c r="G127" i="12"/>
  <c r="F127" i="12"/>
  <c r="E127" i="12"/>
  <c r="D127" i="12"/>
  <c r="C127" i="12"/>
  <c r="B127" i="12"/>
  <c r="N126" i="12"/>
  <c r="G126" i="12"/>
  <c r="F126" i="12"/>
  <c r="E126" i="12"/>
  <c r="D126" i="12"/>
  <c r="C126" i="12"/>
  <c r="B126" i="12"/>
  <c r="N125" i="12"/>
  <c r="B125" i="12"/>
  <c r="N124" i="12"/>
  <c r="G124" i="12"/>
  <c r="F124" i="12"/>
  <c r="E124" i="12"/>
  <c r="D124" i="12"/>
  <c r="C124" i="12"/>
  <c r="B124" i="12"/>
  <c r="N123" i="12"/>
  <c r="B123" i="12"/>
  <c r="N122" i="12"/>
  <c r="G122" i="12"/>
  <c r="F122" i="12"/>
  <c r="E122" i="12"/>
  <c r="D122" i="12"/>
  <c r="C122" i="12"/>
  <c r="B122" i="12"/>
  <c r="N121" i="12"/>
  <c r="B121" i="12"/>
  <c r="N120" i="12"/>
  <c r="B120" i="12"/>
  <c r="N119" i="12"/>
  <c r="B119" i="12"/>
  <c r="N118" i="12"/>
  <c r="B118" i="12"/>
  <c r="N117" i="12"/>
  <c r="G117" i="12"/>
  <c r="F117" i="12"/>
  <c r="E117" i="12"/>
  <c r="D117" i="12"/>
  <c r="C117" i="12"/>
  <c r="B117" i="12"/>
  <c r="N116" i="12"/>
  <c r="B116" i="12"/>
  <c r="N115" i="12"/>
  <c r="G115" i="12"/>
  <c r="F115" i="12"/>
  <c r="E115" i="12"/>
  <c r="D115" i="12"/>
  <c r="C115" i="12"/>
  <c r="B115" i="12"/>
  <c r="N114" i="12"/>
  <c r="B114" i="12"/>
  <c r="N113" i="12"/>
  <c r="G113" i="12"/>
  <c r="F113" i="12"/>
  <c r="E113" i="12"/>
  <c r="D113" i="12"/>
  <c r="C113" i="12"/>
  <c r="B113" i="12"/>
  <c r="N112" i="12"/>
  <c r="B112" i="12"/>
  <c r="N111" i="12"/>
  <c r="F111" i="12"/>
  <c r="E111" i="12"/>
  <c r="D111" i="12"/>
  <c r="C111" i="12"/>
  <c r="B111" i="12"/>
  <c r="N110" i="12"/>
  <c r="B110" i="12"/>
  <c r="N109" i="12"/>
  <c r="F109" i="12"/>
  <c r="E109" i="12"/>
  <c r="D109" i="12"/>
  <c r="B109" i="12"/>
  <c r="N108" i="12"/>
  <c r="F108" i="12"/>
  <c r="E108" i="12"/>
  <c r="D108" i="12"/>
  <c r="B108" i="12"/>
  <c r="N107" i="12"/>
  <c r="G107" i="12"/>
  <c r="F107" i="12"/>
  <c r="E107" i="12"/>
  <c r="D107" i="12"/>
  <c r="C107" i="12"/>
  <c r="B107" i="12"/>
  <c r="N106" i="12"/>
  <c r="B106" i="12"/>
  <c r="N105" i="12"/>
  <c r="G105" i="12"/>
  <c r="F105" i="12"/>
  <c r="E105" i="12"/>
  <c r="D105" i="12"/>
  <c r="C105" i="12"/>
  <c r="B105" i="12"/>
  <c r="N104" i="12"/>
  <c r="B104" i="12"/>
  <c r="N103" i="12"/>
  <c r="G103" i="12"/>
  <c r="F103" i="12"/>
  <c r="E103" i="12"/>
  <c r="D103" i="12"/>
  <c r="C103" i="12"/>
  <c r="B103" i="12"/>
  <c r="N102" i="12"/>
  <c r="B102" i="12"/>
  <c r="N101" i="12"/>
  <c r="G101" i="12"/>
  <c r="F101" i="12"/>
  <c r="E101" i="12"/>
  <c r="D101" i="12"/>
  <c r="C101" i="12"/>
  <c r="B101" i="12"/>
  <c r="N100" i="12"/>
  <c r="B100" i="12"/>
  <c r="N99" i="12"/>
  <c r="G99" i="12"/>
  <c r="F99" i="12"/>
  <c r="E99" i="12"/>
  <c r="D99" i="12"/>
  <c r="C99" i="12"/>
  <c r="B99" i="12"/>
  <c r="N98" i="12"/>
  <c r="B98" i="12"/>
  <c r="N97" i="12"/>
  <c r="G97" i="12"/>
  <c r="F97" i="12"/>
  <c r="E97" i="12"/>
  <c r="D97" i="12"/>
  <c r="C97" i="12"/>
  <c r="B97" i="12"/>
  <c r="N96" i="12"/>
  <c r="B96" i="12"/>
  <c r="N95" i="12"/>
  <c r="B95" i="12"/>
  <c r="N94" i="12"/>
  <c r="G94" i="12"/>
  <c r="F94" i="12"/>
  <c r="E94" i="12"/>
  <c r="D94" i="12"/>
  <c r="C94" i="12"/>
  <c r="B94" i="12"/>
  <c r="N93" i="12"/>
  <c r="B93" i="12"/>
  <c r="N92" i="12"/>
  <c r="B92" i="12"/>
  <c r="N91" i="12"/>
  <c r="B91" i="12"/>
  <c r="N90" i="12"/>
  <c r="B90" i="12"/>
  <c r="N89" i="12"/>
  <c r="B89" i="12"/>
  <c r="N88" i="12"/>
  <c r="G88" i="12"/>
  <c r="F88" i="12"/>
  <c r="E88" i="12"/>
  <c r="D88" i="12"/>
  <c r="C88" i="12"/>
  <c r="B88" i="12"/>
  <c r="N87" i="12"/>
  <c r="G87" i="12"/>
  <c r="F87" i="12"/>
  <c r="E87" i="12"/>
  <c r="D87" i="12"/>
  <c r="C87" i="12"/>
  <c r="B87" i="12"/>
  <c r="N86" i="12"/>
  <c r="B86" i="12"/>
  <c r="N85" i="12"/>
  <c r="G85" i="12"/>
  <c r="F85" i="12"/>
  <c r="E85" i="12"/>
  <c r="D85" i="12"/>
  <c r="C85" i="12"/>
  <c r="B85" i="12"/>
  <c r="N84" i="12"/>
  <c r="B84" i="12"/>
  <c r="N83" i="12"/>
  <c r="B83" i="12"/>
  <c r="N82" i="12"/>
  <c r="B82" i="12"/>
  <c r="N81" i="12"/>
  <c r="G81" i="12"/>
  <c r="F81" i="12"/>
  <c r="E81" i="12"/>
  <c r="D81" i="12"/>
  <c r="C81" i="12"/>
  <c r="B81" i="12"/>
  <c r="N80" i="12"/>
  <c r="G80" i="12"/>
  <c r="F80" i="12"/>
  <c r="E80" i="12"/>
  <c r="D80" i="12"/>
  <c r="C80" i="12"/>
  <c r="B80" i="12"/>
  <c r="N79" i="12"/>
  <c r="B79" i="12"/>
  <c r="N78" i="12"/>
  <c r="G78" i="12"/>
  <c r="F78" i="12"/>
  <c r="E78" i="12"/>
  <c r="D78" i="12"/>
  <c r="C78" i="12"/>
  <c r="B78" i="12"/>
  <c r="N77" i="12"/>
  <c r="B77" i="12"/>
  <c r="N76" i="12"/>
  <c r="G76" i="12"/>
  <c r="F76" i="12"/>
  <c r="E76" i="12"/>
  <c r="D76" i="12"/>
  <c r="C76" i="12"/>
  <c r="B76" i="12"/>
  <c r="N75" i="12"/>
  <c r="B75" i="12"/>
  <c r="N74" i="12"/>
  <c r="B74" i="12"/>
  <c r="N73" i="12"/>
  <c r="B73" i="12"/>
  <c r="N72" i="12"/>
  <c r="G72" i="12"/>
  <c r="F72" i="12"/>
  <c r="E72" i="12"/>
  <c r="D72" i="12"/>
  <c r="C72" i="12"/>
  <c r="B72" i="12"/>
  <c r="N71" i="12"/>
  <c r="G71" i="12"/>
  <c r="F71" i="12"/>
  <c r="E71" i="12"/>
  <c r="D71" i="12"/>
  <c r="C71" i="12"/>
  <c r="B71" i="12"/>
  <c r="N70" i="12"/>
  <c r="B70" i="12"/>
  <c r="N69" i="12"/>
  <c r="G69" i="12"/>
  <c r="F69" i="12"/>
  <c r="E69" i="12"/>
  <c r="D69" i="12"/>
  <c r="C69" i="12"/>
  <c r="B69" i="12"/>
  <c r="N68" i="12"/>
  <c r="G68" i="12"/>
  <c r="F68" i="12"/>
  <c r="E68" i="12"/>
  <c r="D68" i="12"/>
  <c r="C68" i="12"/>
  <c r="B68" i="12"/>
  <c r="N67" i="12"/>
  <c r="B67" i="12"/>
  <c r="N66" i="12"/>
  <c r="F66" i="12"/>
  <c r="E66" i="12"/>
  <c r="D66" i="12"/>
  <c r="B66" i="12"/>
  <c r="N65" i="12"/>
  <c r="F65" i="12"/>
  <c r="E65" i="12"/>
  <c r="D65" i="12"/>
  <c r="B65" i="12"/>
  <c r="N64" i="12"/>
  <c r="F64" i="12"/>
  <c r="E64" i="12"/>
  <c r="D64" i="12"/>
  <c r="B64" i="12"/>
  <c r="N63" i="12"/>
  <c r="G63" i="12"/>
  <c r="F63" i="12"/>
  <c r="E63" i="12"/>
  <c r="D63" i="12"/>
  <c r="C63" i="12"/>
  <c r="B63" i="12"/>
  <c r="N62" i="12"/>
  <c r="B62" i="12"/>
  <c r="N61" i="12"/>
  <c r="F61" i="12"/>
  <c r="E61" i="12"/>
  <c r="D61" i="12"/>
  <c r="B61" i="12"/>
  <c r="N60" i="12"/>
  <c r="G60" i="12"/>
  <c r="F60" i="12"/>
  <c r="E60" i="12"/>
  <c r="D60" i="12"/>
  <c r="C60" i="12"/>
  <c r="B60" i="12"/>
  <c r="N59" i="12"/>
  <c r="B59" i="12"/>
  <c r="N58" i="12"/>
  <c r="G58" i="12"/>
  <c r="F58" i="12"/>
  <c r="E58" i="12"/>
  <c r="D58" i="12"/>
  <c r="C58" i="12"/>
  <c r="B58" i="12"/>
  <c r="N57" i="12"/>
  <c r="B57" i="12"/>
  <c r="N56" i="12"/>
  <c r="B56" i="12"/>
  <c r="N55" i="12"/>
  <c r="B55" i="12"/>
  <c r="N54" i="12"/>
  <c r="B54" i="12"/>
  <c r="N53" i="12"/>
  <c r="G53" i="12"/>
  <c r="F53" i="12"/>
  <c r="E53" i="12"/>
  <c r="D53" i="12"/>
  <c r="C53" i="12"/>
  <c r="B53" i="12"/>
  <c r="N52" i="12"/>
  <c r="B52" i="12"/>
  <c r="N51" i="12"/>
  <c r="B51" i="12"/>
  <c r="N50" i="12"/>
  <c r="G50" i="12"/>
  <c r="F50" i="12"/>
  <c r="E50" i="12"/>
  <c r="D50" i="12"/>
  <c r="C50" i="12"/>
  <c r="B50" i="12"/>
  <c r="N49" i="12"/>
  <c r="B49" i="12"/>
  <c r="N48" i="12"/>
  <c r="G48" i="12"/>
  <c r="F48" i="12"/>
  <c r="E48" i="12"/>
  <c r="D48" i="12"/>
  <c r="C48" i="12"/>
  <c r="B48" i="12"/>
  <c r="N47" i="12"/>
  <c r="B47" i="12"/>
  <c r="N46" i="12"/>
  <c r="G46" i="12"/>
  <c r="F46" i="12"/>
  <c r="E46" i="12"/>
  <c r="D46" i="12"/>
  <c r="C46" i="12"/>
  <c r="B46" i="12"/>
  <c r="N45" i="12"/>
  <c r="B45" i="12"/>
  <c r="N44" i="12"/>
  <c r="G44" i="12"/>
  <c r="F44" i="12"/>
  <c r="E44" i="12"/>
  <c r="D44" i="12"/>
  <c r="C44" i="12"/>
  <c r="B44" i="12"/>
  <c r="N43" i="12"/>
  <c r="B43" i="12"/>
  <c r="N42" i="12"/>
  <c r="G42" i="12"/>
  <c r="F42" i="12"/>
  <c r="E42" i="12"/>
  <c r="D42" i="12"/>
  <c r="C42" i="12"/>
  <c r="B42" i="12"/>
  <c r="N41" i="12"/>
  <c r="G41" i="12"/>
  <c r="F41" i="12"/>
  <c r="E41" i="12"/>
  <c r="D41" i="12"/>
  <c r="C41" i="12"/>
  <c r="B41" i="12"/>
  <c r="N40" i="12"/>
  <c r="B40" i="12"/>
  <c r="N39" i="12"/>
  <c r="G39" i="12"/>
  <c r="F39" i="12"/>
  <c r="E39" i="12"/>
  <c r="D39" i="12"/>
  <c r="C39" i="12"/>
  <c r="B39" i="12"/>
  <c r="N38" i="12"/>
  <c r="G38" i="12"/>
  <c r="F38" i="12"/>
  <c r="E38" i="12"/>
  <c r="D38" i="12"/>
  <c r="C38" i="12"/>
  <c r="B38" i="12"/>
  <c r="N37" i="12"/>
  <c r="B37" i="12"/>
  <c r="N36" i="12"/>
  <c r="B36" i="12"/>
  <c r="N35" i="12"/>
  <c r="G35" i="12"/>
  <c r="F35" i="12"/>
  <c r="E35" i="12"/>
  <c r="D35" i="12"/>
  <c r="C35" i="12"/>
  <c r="B35" i="12"/>
  <c r="N34" i="12"/>
  <c r="G34" i="12"/>
  <c r="F34" i="12"/>
  <c r="E34" i="12"/>
  <c r="D34" i="12"/>
  <c r="C34" i="12"/>
  <c r="B34" i="12"/>
  <c r="N33" i="12"/>
  <c r="B33" i="12"/>
  <c r="N32" i="12"/>
  <c r="B32" i="12"/>
  <c r="N31" i="12"/>
  <c r="G31" i="12"/>
  <c r="F31" i="12"/>
  <c r="E31" i="12"/>
  <c r="D31" i="12"/>
  <c r="C31" i="12"/>
  <c r="B31" i="12"/>
  <c r="N30" i="12"/>
  <c r="G30" i="12"/>
  <c r="F30" i="12"/>
  <c r="E30" i="12"/>
  <c r="D30" i="12"/>
  <c r="C30" i="12"/>
  <c r="B30" i="12"/>
  <c r="N29" i="12"/>
  <c r="B29" i="12"/>
  <c r="N28" i="12"/>
  <c r="B28" i="12"/>
  <c r="N27" i="12"/>
  <c r="G27" i="12"/>
  <c r="F27" i="12"/>
  <c r="E27" i="12"/>
  <c r="D27" i="12"/>
  <c r="C27" i="12"/>
  <c r="B27" i="12"/>
  <c r="N26" i="12"/>
  <c r="G26" i="12"/>
  <c r="F26" i="12"/>
  <c r="E26" i="12"/>
  <c r="D26" i="12"/>
  <c r="C26" i="12"/>
  <c r="B26" i="12"/>
  <c r="N25" i="12"/>
  <c r="B25" i="12"/>
  <c r="N24" i="12"/>
  <c r="F24" i="12"/>
  <c r="E24" i="12"/>
  <c r="D24" i="12"/>
  <c r="C24" i="12"/>
  <c r="B24" i="12"/>
  <c r="N23" i="12"/>
  <c r="B23" i="12"/>
  <c r="N22" i="12"/>
  <c r="B22" i="12"/>
  <c r="N21" i="12"/>
  <c r="B21" i="12"/>
  <c r="N20" i="12"/>
  <c r="G20" i="12"/>
  <c r="F20" i="12"/>
  <c r="E20" i="12"/>
  <c r="D20" i="12"/>
  <c r="C20" i="12"/>
  <c r="B20" i="12"/>
  <c r="N19" i="12"/>
  <c r="B19" i="12"/>
  <c r="N18" i="12"/>
  <c r="G18" i="12"/>
  <c r="F18" i="12"/>
  <c r="E18" i="12"/>
  <c r="D18" i="12"/>
  <c r="C18" i="12"/>
  <c r="B18" i="12"/>
  <c r="N17" i="12"/>
  <c r="B17" i="12"/>
  <c r="N16" i="12"/>
  <c r="F16" i="12"/>
  <c r="E16" i="12"/>
  <c r="D16" i="12"/>
  <c r="B16" i="12"/>
  <c r="N15" i="12"/>
  <c r="B15" i="12"/>
  <c r="N14" i="12"/>
  <c r="F14" i="12"/>
  <c r="E14" i="12"/>
  <c r="D14" i="12"/>
  <c r="B14" i="12"/>
  <c r="N13" i="12"/>
  <c r="B13" i="12"/>
  <c r="N12" i="12"/>
  <c r="B12" i="12"/>
  <c r="N11" i="12"/>
  <c r="B11" i="12"/>
  <c r="N10" i="12"/>
  <c r="D10" i="12"/>
  <c r="D74" i="12" s="1"/>
  <c r="B10" i="12"/>
  <c r="N9" i="12"/>
  <c r="G9" i="12"/>
  <c r="G10" i="12" s="1"/>
  <c r="G74" i="12" s="1"/>
  <c r="F9" i="12"/>
  <c r="F10" i="12" s="1"/>
  <c r="F74" i="12" s="1"/>
  <c r="E9" i="12"/>
  <c r="E10" i="12" s="1"/>
  <c r="E74" i="12" s="1"/>
  <c r="D9" i="12"/>
  <c r="C9" i="12"/>
  <c r="C10" i="12" s="1"/>
  <c r="C74" i="12" s="1"/>
  <c r="B9" i="12"/>
  <c r="N8" i="12"/>
  <c r="B8" i="12"/>
  <c r="U226" i="11"/>
  <c r="O225" i="11"/>
  <c r="N225" i="11"/>
  <c r="B225" i="11"/>
  <c r="N224" i="11"/>
  <c r="B224" i="11"/>
  <c r="N223" i="11"/>
  <c r="B223" i="11"/>
  <c r="N222" i="11"/>
  <c r="B222" i="11"/>
  <c r="N221" i="11"/>
  <c r="B221" i="11"/>
  <c r="N220" i="11"/>
  <c r="B220" i="11"/>
  <c r="N219" i="11"/>
  <c r="G219" i="11"/>
  <c r="F219" i="11"/>
  <c r="E219" i="11"/>
  <c r="D219" i="11"/>
  <c r="C219" i="11"/>
  <c r="B219" i="11"/>
  <c r="N218" i="11"/>
  <c r="B218" i="11"/>
  <c r="N217" i="11"/>
  <c r="B217" i="11"/>
  <c r="N216" i="11"/>
  <c r="B216" i="11"/>
  <c r="N215" i="11"/>
  <c r="G215" i="11"/>
  <c r="F215" i="11"/>
  <c r="E215" i="11"/>
  <c r="D215" i="11"/>
  <c r="C215" i="11"/>
  <c r="B215" i="11"/>
  <c r="N214" i="11"/>
  <c r="B214" i="11"/>
  <c r="N213" i="11"/>
  <c r="B213" i="11"/>
  <c r="N212" i="11"/>
  <c r="B212" i="11"/>
  <c r="N211" i="11"/>
  <c r="F211" i="11"/>
  <c r="E211" i="11"/>
  <c r="D211" i="11"/>
  <c r="B211" i="11"/>
  <c r="N210" i="11"/>
  <c r="F210" i="11"/>
  <c r="E210" i="11"/>
  <c r="D210" i="11"/>
  <c r="C210" i="11"/>
  <c r="B210" i="11"/>
  <c r="N209" i="11"/>
  <c r="F209" i="11"/>
  <c r="E209" i="11"/>
  <c r="D209" i="11"/>
  <c r="C209" i="11"/>
  <c r="B209" i="11"/>
  <c r="N208" i="11"/>
  <c r="F208" i="11"/>
  <c r="E208" i="11"/>
  <c r="D208" i="11"/>
  <c r="C208" i="11"/>
  <c r="B208" i="11"/>
  <c r="N207" i="11"/>
  <c r="G207" i="11"/>
  <c r="F207" i="11"/>
  <c r="E207" i="11"/>
  <c r="D207" i="11"/>
  <c r="C207" i="11"/>
  <c r="B207" i="11"/>
  <c r="N206" i="11"/>
  <c r="B206" i="11"/>
  <c r="N205" i="11"/>
  <c r="G205" i="11"/>
  <c r="F205" i="11"/>
  <c r="E205" i="11"/>
  <c r="D205" i="11"/>
  <c r="C205" i="11"/>
  <c r="B205" i="11"/>
  <c r="N204" i="11"/>
  <c r="B204" i="11"/>
  <c r="N203" i="11"/>
  <c r="G203" i="11"/>
  <c r="F203" i="11"/>
  <c r="E203" i="11"/>
  <c r="D203" i="11"/>
  <c r="C203" i="11"/>
  <c r="B203" i="11"/>
  <c r="N202" i="11"/>
  <c r="G202" i="11"/>
  <c r="F202" i="11"/>
  <c r="E202" i="11"/>
  <c r="D202" i="11"/>
  <c r="C202" i="11"/>
  <c r="B202" i="11"/>
  <c r="N201" i="11"/>
  <c r="B201" i="11"/>
  <c r="N200" i="11"/>
  <c r="G200" i="11"/>
  <c r="F200" i="11"/>
  <c r="E200" i="11"/>
  <c r="D200" i="11"/>
  <c r="C200" i="11"/>
  <c r="B200" i="11"/>
  <c r="N199" i="11"/>
  <c r="B199" i="11"/>
  <c r="N198" i="11"/>
  <c r="G198" i="11"/>
  <c r="F198" i="11"/>
  <c r="E198" i="11"/>
  <c r="D198" i="11"/>
  <c r="C198" i="11"/>
  <c r="B198" i="11"/>
  <c r="N197" i="11"/>
  <c r="G197" i="11"/>
  <c r="F197" i="11"/>
  <c r="E197" i="11"/>
  <c r="D197" i="11"/>
  <c r="C197" i="11"/>
  <c r="B197" i="11"/>
  <c r="N196" i="11"/>
  <c r="B196" i="11"/>
  <c r="N195" i="11"/>
  <c r="G195" i="11"/>
  <c r="F195" i="11"/>
  <c r="E195" i="11"/>
  <c r="D195" i="11"/>
  <c r="C195" i="11"/>
  <c r="B195" i="11"/>
  <c r="N194" i="11"/>
  <c r="B194" i="11"/>
  <c r="N193" i="11"/>
  <c r="B193" i="11"/>
  <c r="N192" i="11"/>
  <c r="G192" i="11"/>
  <c r="F192" i="11"/>
  <c r="E192" i="11"/>
  <c r="D192" i="11"/>
  <c r="C192" i="11"/>
  <c r="B192" i="11"/>
  <c r="N191" i="11"/>
  <c r="B191" i="11"/>
  <c r="N190" i="11"/>
  <c r="G190" i="11"/>
  <c r="F190" i="11"/>
  <c r="E190" i="11"/>
  <c r="D190" i="11"/>
  <c r="C190" i="11"/>
  <c r="B190" i="11"/>
  <c r="N189" i="11"/>
  <c r="B189" i="11"/>
  <c r="N188" i="11"/>
  <c r="F188" i="11"/>
  <c r="E188" i="11"/>
  <c r="D188" i="11"/>
  <c r="B188" i="11"/>
  <c r="N187" i="11"/>
  <c r="F187" i="11"/>
  <c r="E187" i="11"/>
  <c r="D187" i="11"/>
  <c r="B187" i="11"/>
  <c r="N186" i="11"/>
  <c r="B186" i="11"/>
  <c r="N185" i="11"/>
  <c r="F185" i="11"/>
  <c r="E185" i="11"/>
  <c r="D185" i="11"/>
  <c r="C185" i="11"/>
  <c r="B185" i="11"/>
  <c r="N184" i="11"/>
  <c r="B184" i="11"/>
  <c r="N183" i="11"/>
  <c r="F183" i="11"/>
  <c r="E183" i="11"/>
  <c r="D183" i="11"/>
  <c r="B183" i="11"/>
  <c r="N182" i="11"/>
  <c r="F182" i="11"/>
  <c r="E182" i="11"/>
  <c r="D182" i="11"/>
  <c r="B182" i="11"/>
  <c r="N181" i="11"/>
  <c r="G181" i="11"/>
  <c r="F181" i="11"/>
  <c r="E181" i="11"/>
  <c r="D181" i="11"/>
  <c r="C181" i="11"/>
  <c r="B181" i="11"/>
  <c r="N180" i="11"/>
  <c r="B180" i="11"/>
  <c r="N179" i="11"/>
  <c r="B179" i="11"/>
  <c r="N178" i="11"/>
  <c r="B178" i="11"/>
  <c r="N177" i="11"/>
  <c r="B177" i="11"/>
  <c r="N176" i="11"/>
  <c r="F176" i="11"/>
  <c r="E176" i="11"/>
  <c r="D176" i="11"/>
  <c r="B176" i="11"/>
  <c r="N175" i="11"/>
  <c r="F175" i="11"/>
  <c r="E175" i="11"/>
  <c r="D175" i="11"/>
  <c r="B175" i="11"/>
  <c r="N174" i="11"/>
  <c r="F174" i="11"/>
  <c r="E174" i="11"/>
  <c r="D174" i="11"/>
  <c r="B174" i="11"/>
  <c r="N173" i="11"/>
  <c r="G173" i="11"/>
  <c r="F173" i="11"/>
  <c r="E173" i="11"/>
  <c r="D173" i="11"/>
  <c r="C173" i="11"/>
  <c r="B173" i="11"/>
  <c r="N172" i="11"/>
  <c r="B172" i="11"/>
  <c r="N171" i="11"/>
  <c r="F171" i="11"/>
  <c r="E171" i="11"/>
  <c r="D171" i="11"/>
  <c r="B171" i="11"/>
  <c r="N170" i="11"/>
  <c r="G170" i="11"/>
  <c r="F170" i="11"/>
  <c r="E170" i="11"/>
  <c r="D170" i="11"/>
  <c r="C170" i="11"/>
  <c r="B170" i="11"/>
  <c r="N169" i="11"/>
  <c r="B169" i="11"/>
  <c r="N168" i="11"/>
  <c r="G168" i="11"/>
  <c r="F168" i="11"/>
  <c r="E168" i="11"/>
  <c r="D168" i="11"/>
  <c r="C168" i="11"/>
  <c r="B168" i="11"/>
  <c r="N167" i="11"/>
  <c r="B167" i="11"/>
  <c r="N166" i="11"/>
  <c r="G166" i="11"/>
  <c r="F166" i="11"/>
  <c r="E166" i="11"/>
  <c r="D166" i="11"/>
  <c r="C166" i="11"/>
  <c r="B166" i="11"/>
  <c r="N165" i="11"/>
  <c r="B165" i="11"/>
  <c r="N164" i="11"/>
  <c r="G164" i="11"/>
  <c r="F164" i="11"/>
  <c r="E164" i="11"/>
  <c r="D164" i="11"/>
  <c r="C164" i="11"/>
  <c r="B164" i="11"/>
  <c r="N163" i="11"/>
  <c r="B163" i="11"/>
  <c r="N162" i="11"/>
  <c r="G162" i="11"/>
  <c r="F162" i="11"/>
  <c r="E162" i="11"/>
  <c r="D162" i="11"/>
  <c r="C162" i="11"/>
  <c r="B162" i="11"/>
  <c r="N161" i="11"/>
  <c r="B161" i="11"/>
  <c r="N160" i="11"/>
  <c r="G160" i="11"/>
  <c r="F160" i="11"/>
  <c r="E160" i="11"/>
  <c r="D160" i="11"/>
  <c r="C160" i="11"/>
  <c r="B160" i="11"/>
  <c r="N159" i="11"/>
  <c r="B159" i="11"/>
  <c r="N158" i="11"/>
  <c r="B158" i="11"/>
  <c r="N157" i="11"/>
  <c r="B157" i="11"/>
  <c r="N156" i="11"/>
  <c r="B156" i="11"/>
  <c r="N155" i="11"/>
  <c r="G155" i="11"/>
  <c r="F155" i="11"/>
  <c r="E155" i="11"/>
  <c r="D155" i="11"/>
  <c r="C155" i="11"/>
  <c r="B155" i="11"/>
  <c r="N154" i="11"/>
  <c r="B154" i="11"/>
  <c r="F153" i="11"/>
  <c r="E153" i="11"/>
  <c r="D153" i="11"/>
  <c r="B153" i="11"/>
  <c r="F152" i="11"/>
  <c r="E152" i="11"/>
  <c r="D152" i="11"/>
  <c r="B152" i="11"/>
  <c r="N151" i="11"/>
  <c r="F151" i="11"/>
  <c r="E151" i="11"/>
  <c r="D151" i="11"/>
  <c r="B151" i="11"/>
  <c r="N150" i="11"/>
  <c r="F150" i="11"/>
  <c r="E150" i="11"/>
  <c r="D150" i="11"/>
  <c r="B150" i="11"/>
  <c r="N149" i="11"/>
  <c r="B149" i="11"/>
  <c r="N148" i="11"/>
  <c r="G148" i="11"/>
  <c r="F148" i="11"/>
  <c r="E148" i="11"/>
  <c r="D148" i="11"/>
  <c r="C148" i="11"/>
  <c r="B148" i="11"/>
  <c r="N147" i="11"/>
  <c r="B147" i="11"/>
  <c r="N146" i="11"/>
  <c r="G146" i="11"/>
  <c r="F146" i="11"/>
  <c r="E146" i="11"/>
  <c r="D146" i="11"/>
  <c r="C146" i="11"/>
  <c r="B146" i="11"/>
  <c r="N145" i="11"/>
  <c r="G145" i="11"/>
  <c r="F145" i="11"/>
  <c r="E145" i="11"/>
  <c r="D145" i="11"/>
  <c r="C145" i="11"/>
  <c r="B145" i="11"/>
  <c r="N144" i="11"/>
  <c r="B144" i="11"/>
  <c r="N143" i="11"/>
  <c r="G143" i="11"/>
  <c r="F143" i="11"/>
  <c r="E143" i="11"/>
  <c r="D143" i="11"/>
  <c r="C143" i="11"/>
  <c r="B143" i="11"/>
  <c r="N142" i="11"/>
  <c r="G142" i="11"/>
  <c r="F142" i="11"/>
  <c r="E142" i="11"/>
  <c r="D142" i="11"/>
  <c r="C142" i="11"/>
  <c r="B142" i="11"/>
  <c r="N141" i="11"/>
  <c r="B141" i="11"/>
  <c r="N140" i="11"/>
  <c r="G140" i="11"/>
  <c r="F140" i="11"/>
  <c r="E140" i="11"/>
  <c r="D140" i="11"/>
  <c r="C140" i="11"/>
  <c r="B140" i="11"/>
  <c r="N139" i="11"/>
  <c r="G139" i="11"/>
  <c r="F139" i="11"/>
  <c r="E139" i="11"/>
  <c r="D139" i="11"/>
  <c r="C139" i="11"/>
  <c r="B139" i="11"/>
  <c r="N138" i="11"/>
  <c r="G138" i="11"/>
  <c r="F138" i="11"/>
  <c r="E138" i="11"/>
  <c r="D138" i="11"/>
  <c r="C138" i="11"/>
  <c r="B138" i="11"/>
  <c r="N137" i="11"/>
  <c r="B137" i="11"/>
  <c r="N136" i="11"/>
  <c r="G136" i="11"/>
  <c r="F136" i="11"/>
  <c r="E136" i="11"/>
  <c r="D136" i="11"/>
  <c r="C136" i="11"/>
  <c r="B136" i="11"/>
  <c r="N135" i="11"/>
  <c r="G135" i="11"/>
  <c r="F135" i="11"/>
  <c r="E135" i="11"/>
  <c r="D135" i="11"/>
  <c r="C135" i="11"/>
  <c r="B135" i="11"/>
  <c r="N134" i="11"/>
  <c r="B134" i="11"/>
  <c r="N133" i="11"/>
  <c r="G133" i="11"/>
  <c r="F133" i="11"/>
  <c r="E133" i="11"/>
  <c r="D133" i="11"/>
  <c r="C133" i="11"/>
  <c r="B133" i="11"/>
  <c r="N132" i="11"/>
  <c r="B132" i="11"/>
  <c r="N131" i="11"/>
  <c r="G131" i="11"/>
  <c r="F131" i="11"/>
  <c r="E131" i="11"/>
  <c r="D131" i="11"/>
  <c r="C131" i="11"/>
  <c r="B131" i="11"/>
  <c r="N130" i="11"/>
  <c r="B130" i="11"/>
  <c r="N129" i="11"/>
  <c r="G129" i="11"/>
  <c r="F129" i="11"/>
  <c r="E129" i="11"/>
  <c r="D129" i="11"/>
  <c r="C129" i="11"/>
  <c r="B129" i="11"/>
  <c r="N128" i="11"/>
  <c r="B128" i="11"/>
  <c r="N127" i="11"/>
  <c r="G127" i="11"/>
  <c r="F127" i="11"/>
  <c r="E127" i="11"/>
  <c r="D127" i="11"/>
  <c r="C127" i="11"/>
  <c r="B127" i="11"/>
  <c r="N126" i="11"/>
  <c r="B126" i="11"/>
  <c r="N125" i="11"/>
  <c r="G125" i="11"/>
  <c r="F125" i="11"/>
  <c r="E125" i="11"/>
  <c r="D125" i="11"/>
  <c r="C125" i="11"/>
  <c r="B125" i="11"/>
  <c r="N124" i="11"/>
  <c r="B124" i="11"/>
  <c r="N123" i="11"/>
  <c r="B123" i="11"/>
  <c r="N122" i="11"/>
  <c r="B122" i="11"/>
  <c r="N121" i="11"/>
  <c r="B121" i="11"/>
  <c r="N120" i="11"/>
  <c r="G120" i="11"/>
  <c r="F120" i="11"/>
  <c r="E120" i="11"/>
  <c r="D120" i="11"/>
  <c r="C120" i="11"/>
  <c r="B120" i="11"/>
  <c r="N119" i="11"/>
  <c r="B119" i="11"/>
  <c r="N118" i="11"/>
  <c r="F118" i="11"/>
  <c r="E118" i="11"/>
  <c r="D118" i="11"/>
  <c r="B118" i="11"/>
  <c r="N117" i="11"/>
  <c r="F117" i="11"/>
  <c r="E117" i="11"/>
  <c r="D117" i="11"/>
  <c r="B117" i="11"/>
  <c r="N116" i="11"/>
  <c r="G116" i="11"/>
  <c r="F116" i="11"/>
  <c r="E116" i="11"/>
  <c r="D116" i="11"/>
  <c r="C116" i="11"/>
  <c r="B116" i="11"/>
  <c r="N115" i="11"/>
  <c r="B115" i="11"/>
  <c r="N114" i="11"/>
  <c r="B114" i="11"/>
  <c r="N113" i="11"/>
  <c r="B113" i="11"/>
  <c r="N112" i="11"/>
  <c r="F112" i="11"/>
  <c r="E112" i="11"/>
  <c r="D112" i="11"/>
  <c r="B112" i="11"/>
  <c r="N111" i="11"/>
  <c r="B111" i="11"/>
  <c r="N110" i="11"/>
  <c r="G110" i="11"/>
  <c r="F110" i="11"/>
  <c r="E110" i="11"/>
  <c r="D110" i="11"/>
  <c r="C110" i="11"/>
  <c r="B110" i="11"/>
  <c r="N109" i="11"/>
  <c r="B109" i="11"/>
  <c r="N108" i="11"/>
  <c r="F108" i="11"/>
  <c r="E108" i="11"/>
  <c r="D108" i="11"/>
  <c r="B108" i="11"/>
  <c r="N107" i="11"/>
  <c r="B107" i="11"/>
  <c r="N106" i="11"/>
  <c r="B106" i="11"/>
  <c r="N105" i="11"/>
  <c r="B105" i="11"/>
  <c r="N104" i="11"/>
  <c r="B104" i="11"/>
  <c r="N103" i="11"/>
  <c r="B103" i="11"/>
  <c r="N102" i="11"/>
  <c r="B102" i="11"/>
  <c r="N101" i="11"/>
  <c r="B101" i="11"/>
  <c r="N100" i="11"/>
  <c r="B100" i="11"/>
  <c r="N99" i="11"/>
  <c r="G99" i="11"/>
  <c r="F99" i="11"/>
  <c r="E99" i="11"/>
  <c r="D99" i="11"/>
  <c r="C99" i="11"/>
  <c r="B99" i="11"/>
  <c r="N98" i="11"/>
  <c r="B98" i="11"/>
  <c r="N97" i="11"/>
  <c r="B97" i="11"/>
  <c r="N96" i="11"/>
  <c r="B96" i="11"/>
  <c r="B95" i="11"/>
  <c r="N94" i="11"/>
  <c r="B94" i="11"/>
  <c r="N93" i="11"/>
  <c r="F93" i="11"/>
  <c r="E93" i="11"/>
  <c r="D93" i="11"/>
  <c r="B93" i="11"/>
  <c r="N92" i="11"/>
  <c r="F92" i="11"/>
  <c r="E92" i="11"/>
  <c r="D92" i="11"/>
  <c r="B92" i="11"/>
  <c r="N91" i="11"/>
  <c r="B91" i="11"/>
  <c r="N90" i="11"/>
  <c r="B90" i="11"/>
  <c r="N89" i="11"/>
  <c r="F89" i="11"/>
  <c r="E89" i="11"/>
  <c r="D89" i="11"/>
  <c r="B89" i="11"/>
  <c r="N88" i="11"/>
  <c r="F88" i="11"/>
  <c r="E88" i="11"/>
  <c r="D88" i="11"/>
  <c r="B88" i="11"/>
  <c r="N87" i="11"/>
  <c r="B87" i="11"/>
  <c r="N86" i="11"/>
  <c r="G86" i="11"/>
  <c r="F86" i="11"/>
  <c r="E86" i="11"/>
  <c r="D86" i="11"/>
  <c r="C86" i="11"/>
  <c r="B86" i="11"/>
  <c r="N85" i="11"/>
  <c r="B85" i="11"/>
  <c r="N84" i="11"/>
  <c r="G84" i="11"/>
  <c r="F84" i="11"/>
  <c r="E84" i="11"/>
  <c r="D84" i="11"/>
  <c r="C84" i="11"/>
  <c r="B84" i="11"/>
  <c r="N83" i="11"/>
  <c r="B83" i="11"/>
  <c r="N82" i="11"/>
  <c r="F82" i="11"/>
  <c r="E82" i="11"/>
  <c r="D82" i="11"/>
  <c r="B82" i="11"/>
  <c r="N81" i="11"/>
  <c r="F81" i="11"/>
  <c r="E81" i="11"/>
  <c r="D81" i="11"/>
  <c r="B81" i="11"/>
  <c r="N80" i="11"/>
  <c r="G80" i="11"/>
  <c r="F80" i="11"/>
  <c r="E80" i="11"/>
  <c r="D80" i="11"/>
  <c r="C80" i="11"/>
  <c r="B80" i="11"/>
  <c r="N79" i="11"/>
  <c r="G79" i="11"/>
  <c r="F79" i="11"/>
  <c r="E79" i="11"/>
  <c r="D79" i="11"/>
  <c r="C79" i="11"/>
  <c r="B79" i="11"/>
  <c r="N78" i="11"/>
  <c r="B78" i="11"/>
  <c r="N77" i="11"/>
  <c r="B77" i="11"/>
  <c r="N76" i="11"/>
  <c r="G76" i="11"/>
  <c r="F76" i="11"/>
  <c r="E76" i="11"/>
  <c r="D76" i="11"/>
  <c r="C76" i="11"/>
  <c r="B76" i="11"/>
  <c r="N75" i="11"/>
  <c r="G75" i="11"/>
  <c r="F75" i="11"/>
  <c r="E75" i="11"/>
  <c r="D75" i="11"/>
  <c r="C75" i="11"/>
  <c r="B75" i="11"/>
  <c r="N74" i="11"/>
  <c r="B74" i="11"/>
  <c r="N73" i="11"/>
  <c r="G73" i="11"/>
  <c r="F73" i="11"/>
  <c r="E73" i="11"/>
  <c r="D73" i="11"/>
  <c r="C73" i="11"/>
  <c r="B73" i="11"/>
  <c r="N72" i="11"/>
  <c r="G72" i="11"/>
  <c r="F72" i="11"/>
  <c r="E72" i="11"/>
  <c r="D72" i="11"/>
  <c r="C72" i="11"/>
  <c r="B72" i="11"/>
  <c r="N71" i="11"/>
  <c r="B71" i="11"/>
  <c r="N70" i="11"/>
  <c r="G70" i="11"/>
  <c r="F70" i="11"/>
  <c r="E70" i="11"/>
  <c r="D70" i="11"/>
  <c r="C70" i="11"/>
  <c r="B70" i="11"/>
  <c r="N69" i="11"/>
  <c r="G69" i="11"/>
  <c r="F69" i="11"/>
  <c r="E69" i="11"/>
  <c r="D69" i="11"/>
  <c r="C69" i="11"/>
  <c r="B69" i="11"/>
  <c r="N68" i="11"/>
  <c r="B68" i="11"/>
  <c r="N67" i="11"/>
  <c r="G67" i="11"/>
  <c r="F67" i="11"/>
  <c r="E67" i="11"/>
  <c r="D67" i="11"/>
  <c r="C67" i="11"/>
  <c r="B67" i="11"/>
  <c r="N66" i="11"/>
  <c r="G66" i="11"/>
  <c r="F66" i="11"/>
  <c r="E66" i="11"/>
  <c r="D66" i="11"/>
  <c r="C66" i="11"/>
  <c r="B66" i="11"/>
  <c r="N65" i="11"/>
  <c r="B65" i="11"/>
  <c r="N64" i="11"/>
  <c r="G64" i="11"/>
  <c r="F64" i="11"/>
  <c r="E64" i="11"/>
  <c r="D64" i="11"/>
  <c r="C64" i="11"/>
  <c r="B64" i="11"/>
  <c r="N63" i="11"/>
  <c r="G63" i="11"/>
  <c r="F63" i="11"/>
  <c r="E63" i="11"/>
  <c r="D63" i="11"/>
  <c r="C63" i="11"/>
  <c r="B63" i="11"/>
  <c r="N62" i="11"/>
  <c r="B62" i="11"/>
  <c r="N61" i="11"/>
  <c r="G61" i="11"/>
  <c r="F61" i="11"/>
  <c r="E61" i="11"/>
  <c r="D61" i="11"/>
  <c r="C61" i="11"/>
  <c r="B61" i="11"/>
  <c r="N60" i="11"/>
  <c r="G60" i="11"/>
  <c r="F60" i="11"/>
  <c r="E60" i="11"/>
  <c r="D60" i="11"/>
  <c r="C60" i="11"/>
  <c r="B60" i="11"/>
  <c r="N59" i="11"/>
  <c r="B59" i="11"/>
  <c r="N58" i="11"/>
  <c r="B58" i="11"/>
  <c r="N57" i="11"/>
  <c r="B57" i="11"/>
  <c r="N56" i="11"/>
  <c r="G56" i="11"/>
  <c r="F56" i="11"/>
  <c r="E56" i="11"/>
  <c r="D56" i="11"/>
  <c r="C56" i="11"/>
  <c r="B56" i="11"/>
  <c r="N55" i="11"/>
  <c r="G55" i="11"/>
  <c r="F55" i="11"/>
  <c r="E55" i="11"/>
  <c r="D55" i="11"/>
  <c r="C55" i="11"/>
  <c r="B55" i="11"/>
  <c r="N54" i="11"/>
  <c r="B54" i="11"/>
  <c r="N53" i="11"/>
  <c r="G53" i="11"/>
  <c r="F53" i="11"/>
  <c r="E53" i="11"/>
  <c r="D53" i="11"/>
  <c r="C53" i="11"/>
  <c r="B53" i="11"/>
  <c r="N52" i="11"/>
  <c r="B52" i="11"/>
  <c r="N51" i="11"/>
  <c r="G51" i="11"/>
  <c r="F51" i="11"/>
  <c r="E51" i="11"/>
  <c r="D51" i="11"/>
  <c r="C51" i="11"/>
  <c r="B51" i="11"/>
  <c r="N50" i="11"/>
  <c r="B50" i="11"/>
  <c r="N49" i="11"/>
  <c r="G49" i="11"/>
  <c r="F49" i="11"/>
  <c r="E49" i="11"/>
  <c r="D49" i="11"/>
  <c r="C49" i="11"/>
  <c r="B49" i="11"/>
  <c r="N48" i="11"/>
  <c r="G48" i="11"/>
  <c r="F48" i="11"/>
  <c r="E48" i="11"/>
  <c r="D48" i="11"/>
  <c r="C48" i="11"/>
  <c r="B48" i="11"/>
  <c r="N47" i="11"/>
  <c r="B47" i="11"/>
  <c r="N46" i="11"/>
  <c r="B46" i="11"/>
  <c r="N45" i="11"/>
  <c r="B45" i="11"/>
  <c r="N44" i="11"/>
  <c r="B44" i="11"/>
  <c r="N43" i="11"/>
  <c r="B43" i="11"/>
  <c r="N42" i="11"/>
  <c r="G42" i="11"/>
  <c r="F42" i="11"/>
  <c r="E42" i="11"/>
  <c r="D42" i="11"/>
  <c r="C42" i="11"/>
  <c r="B42" i="11"/>
  <c r="N41" i="11"/>
  <c r="B41" i="11"/>
  <c r="N40" i="11"/>
  <c r="B40" i="11"/>
  <c r="N39" i="11"/>
  <c r="G39" i="11"/>
  <c r="F39" i="11"/>
  <c r="E39" i="11"/>
  <c r="D39" i="11"/>
  <c r="C39" i="11"/>
  <c r="B39" i="11"/>
  <c r="N38" i="11"/>
  <c r="B38" i="11"/>
  <c r="N37" i="11"/>
  <c r="B37" i="11"/>
  <c r="N36" i="11"/>
  <c r="B36" i="11"/>
  <c r="N35" i="11"/>
  <c r="B35" i="11"/>
  <c r="N34" i="11"/>
  <c r="G34" i="11"/>
  <c r="F34" i="11"/>
  <c r="E34" i="11"/>
  <c r="D34" i="11"/>
  <c r="C34" i="11"/>
  <c r="B34" i="11"/>
  <c r="N33" i="11"/>
  <c r="B33" i="11"/>
  <c r="N32" i="11"/>
  <c r="G32" i="11"/>
  <c r="F32" i="11"/>
  <c r="E32" i="11"/>
  <c r="D32" i="11"/>
  <c r="C32" i="11"/>
  <c r="B32" i="11"/>
  <c r="N31" i="11"/>
  <c r="G31" i="11"/>
  <c r="F31" i="11"/>
  <c r="E31" i="11"/>
  <c r="D31" i="11"/>
  <c r="C31" i="11"/>
  <c r="B31" i="11"/>
  <c r="N30" i="11"/>
  <c r="B30" i="11"/>
  <c r="N29" i="11"/>
  <c r="B29" i="11"/>
  <c r="N28" i="11"/>
  <c r="G28" i="11"/>
  <c r="F28" i="11"/>
  <c r="E28" i="11"/>
  <c r="D28" i="11"/>
  <c r="C28" i="11"/>
  <c r="B28" i="11"/>
  <c r="N27" i="11"/>
  <c r="G27" i="11"/>
  <c r="F27" i="11"/>
  <c r="E27" i="11"/>
  <c r="D27" i="11"/>
  <c r="C27" i="11"/>
  <c r="B27" i="11"/>
  <c r="N26" i="11"/>
  <c r="B26" i="11"/>
  <c r="N25" i="11"/>
  <c r="G25" i="11"/>
  <c r="F25" i="11"/>
  <c r="E25" i="11"/>
  <c r="D25" i="11"/>
  <c r="C25" i="11"/>
  <c r="B25" i="11"/>
  <c r="N24" i="11"/>
  <c r="B24" i="11"/>
  <c r="N23" i="11"/>
  <c r="G23" i="11"/>
  <c r="F23" i="11"/>
  <c r="E23" i="11"/>
  <c r="D23" i="11"/>
  <c r="C23" i="11"/>
  <c r="B23" i="11"/>
  <c r="N22" i="11"/>
  <c r="G22" i="11"/>
  <c r="F22" i="11"/>
  <c r="E22" i="11"/>
  <c r="D22" i="11"/>
  <c r="C22" i="11"/>
  <c r="B22" i="11"/>
  <c r="N21" i="11"/>
  <c r="N20" i="11"/>
  <c r="G20" i="11"/>
  <c r="F20" i="11"/>
  <c r="E20" i="11"/>
  <c r="D20" i="11"/>
  <c r="C20" i="11"/>
  <c r="B20" i="11"/>
  <c r="N19" i="11"/>
  <c r="B19" i="11"/>
  <c r="N18" i="11"/>
  <c r="G18" i="11"/>
  <c r="F18" i="11"/>
  <c r="E18" i="11"/>
  <c r="D18" i="11"/>
  <c r="C18" i="11"/>
  <c r="B18" i="11"/>
  <c r="N17" i="11"/>
  <c r="G17" i="11"/>
  <c r="F17" i="11"/>
  <c r="E17" i="11"/>
  <c r="D17" i="11"/>
  <c r="C17" i="11"/>
  <c r="B17" i="11"/>
  <c r="N16" i="11"/>
  <c r="B16" i="11"/>
  <c r="N15" i="11"/>
  <c r="G15" i="11"/>
  <c r="F15" i="11"/>
  <c r="E15" i="11"/>
  <c r="D15" i="11"/>
  <c r="C15" i="11"/>
  <c r="B15" i="11"/>
  <c r="N14" i="11"/>
  <c r="B14" i="11"/>
  <c r="N13" i="11"/>
  <c r="B13" i="11"/>
  <c r="N12" i="11"/>
  <c r="G12" i="11"/>
  <c r="F12" i="11"/>
  <c r="E12" i="11"/>
  <c r="D12" i="11"/>
  <c r="C12" i="11"/>
  <c r="B12" i="11"/>
  <c r="N11" i="11"/>
  <c r="G11" i="11"/>
  <c r="F11" i="11"/>
  <c r="E11" i="11"/>
  <c r="D11" i="11"/>
  <c r="C11" i="11"/>
  <c r="B11" i="11"/>
  <c r="N10" i="11"/>
  <c r="B10" i="11"/>
  <c r="N9" i="11"/>
  <c r="G9" i="11"/>
  <c r="F9" i="11"/>
  <c r="E9" i="11"/>
  <c r="D9" i="11"/>
  <c r="C9" i="11"/>
  <c r="B9" i="11"/>
  <c r="N8" i="11"/>
  <c r="B8" i="11"/>
  <c r="U257" i="10"/>
  <c r="N256" i="10"/>
  <c r="B256" i="10"/>
  <c r="N255" i="10"/>
  <c r="B255" i="10"/>
  <c r="N254" i="10"/>
  <c r="G254" i="10"/>
  <c r="F254" i="10"/>
  <c r="E254" i="10"/>
  <c r="D254" i="10"/>
  <c r="C254" i="10"/>
  <c r="B254" i="10"/>
  <c r="N253" i="10"/>
  <c r="G253" i="10"/>
  <c r="F253" i="10"/>
  <c r="E253" i="10"/>
  <c r="D253" i="10"/>
  <c r="C253" i="10"/>
  <c r="B253" i="10"/>
  <c r="N252" i="10"/>
  <c r="B252" i="10"/>
  <c r="N251" i="10"/>
  <c r="G251" i="10"/>
  <c r="F251" i="10"/>
  <c r="E251" i="10"/>
  <c r="D251" i="10"/>
  <c r="C251" i="10"/>
  <c r="B251" i="10"/>
  <c r="N250" i="10"/>
  <c r="G250" i="10"/>
  <c r="F250" i="10"/>
  <c r="E250" i="10"/>
  <c r="D250" i="10"/>
  <c r="C250" i="10"/>
  <c r="B250" i="10"/>
  <c r="N249" i="10"/>
  <c r="B249" i="10"/>
  <c r="N248" i="10"/>
  <c r="F248" i="10"/>
  <c r="E248" i="10"/>
  <c r="D248" i="10"/>
  <c r="B248" i="10"/>
  <c r="N247" i="10"/>
  <c r="B247" i="10"/>
  <c r="N246" i="10"/>
  <c r="B246" i="10"/>
  <c r="N245" i="10"/>
  <c r="F245" i="10"/>
  <c r="E245" i="10"/>
  <c r="D245" i="10"/>
  <c r="B245" i="10"/>
  <c r="N244" i="10"/>
  <c r="F244" i="10"/>
  <c r="E244" i="10"/>
  <c r="D244" i="10"/>
  <c r="B244" i="10"/>
  <c r="N243" i="10"/>
  <c r="B243" i="10"/>
  <c r="N242" i="10"/>
  <c r="G242" i="10"/>
  <c r="F242" i="10"/>
  <c r="E242" i="10"/>
  <c r="D242" i="10"/>
  <c r="C242" i="10"/>
  <c r="B242" i="10"/>
  <c r="N241" i="10"/>
  <c r="B241" i="10"/>
  <c r="N240" i="10"/>
  <c r="G240" i="10"/>
  <c r="F240" i="10"/>
  <c r="E240" i="10"/>
  <c r="D240" i="10"/>
  <c r="C240" i="10"/>
  <c r="B240" i="10"/>
  <c r="N239" i="10"/>
  <c r="B239" i="10"/>
  <c r="N238" i="10"/>
  <c r="G238" i="10"/>
  <c r="F238" i="10"/>
  <c r="E238" i="10"/>
  <c r="D238" i="10"/>
  <c r="C238" i="10"/>
  <c r="B238" i="10"/>
  <c r="N237" i="10"/>
  <c r="B237" i="10"/>
  <c r="N236" i="10"/>
  <c r="G236" i="10"/>
  <c r="F236" i="10"/>
  <c r="E236" i="10"/>
  <c r="D236" i="10"/>
  <c r="C236" i="10"/>
  <c r="B236" i="10"/>
  <c r="N235" i="10"/>
  <c r="B235" i="10"/>
  <c r="N234" i="10"/>
  <c r="F234" i="10"/>
  <c r="E234" i="10"/>
  <c r="D234" i="10"/>
  <c r="B234" i="10"/>
  <c r="N233" i="10"/>
  <c r="F233" i="10"/>
  <c r="E233" i="10"/>
  <c r="D233" i="10"/>
  <c r="B233" i="10"/>
  <c r="N232" i="10"/>
  <c r="G232" i="10"/>
  <c r="F232" i="10"/>
  <c r="E232" i="10"/>
  <c r="D232" i="10"/>
  <c r="C232" i="10"/>
  <c r="B232" i="10"/>
  <c r="N231" i="10"/>
  <c r="B231" i="10"/>
  <c r="N230" i="10"/>
  <c r="B230" i="10"/>
  <c r="N229" i="10"/>
  <c r="G229" i="10"/>
  <c r="F229" i="10"/>
  <c r="E229" i="10"/>
  <c r="D229" i="10"/>
  <c r="C229" i="10"/>
  <c r="B229" i="10"/>
  <c r="N228" i="10"/>
  <c r="B228" i="10"/>
  <c r="N227" i="10"/>
  <c r="G227" i="10"/>
  <c r="F227" i="10"/>
  <c r="E227" i="10"/>
  <c r="D227" i="10"/>
  <c r="C227" i="10"/>
  <c r="B227" i="10"/>
  <c r="N226" i="10"/>
  <c r="G226" i="10"/>
  <c r="F226" i="10"/>
  <c r="E226" i="10"/>
  <c r="D226" i="10"/>
  <c r="C226" i="10"/>
  <c r="B226" i="10"/>
  <c r="N225" i="10"/>
  <c r="B225" i="10"/>
  <c r="N224" i="10"/>
  <c r="G224" i="10"/>
  <c r="F224" i="10"/>
  <c r="E224" i="10"/>
  <c r="D224" i="10"/>
  <c r="C224" i="10"/>
  <c r="B224" i="10"/>
  <c r="N223" i="10"/>
  <c r="B223" i="10"/>
  <c r="N222" i="10"/>
  <c r="F222" i="10"/>
  <c r="E222" i="10"/>
  <c r="D222" i="10"/>
  <c r="C222" i="10"/>
  <c r="B222" i="10"/>
  <c r="N221" i="10"/>
  <c r="B221" i="10"/>
  <c r="N220" i="10"/>
  <c r="G220" i="10"/>
  <c r="F220" i="10"/>
  <c r="E220" i="10"/>
  <c r="D220" i="10"/>
  <c r="C220" i="10"/>
  <c r="B220" i="10"/>
  <c r="N219" i="10"/>
  <c r="B219" i="10"/>
  <c r="N218" i="10"/>
  <c r="F218" i="10"/>
  <c r="E218" i="10"/>
  <c r="D218" i="10"/>
  <c r="B218" i="10"/>
  <c r="N217" i="10"/>
  <c r="F217" i="10"/>
  <c r="E217" i="10"/>
  <c r="D217" i="10"/>
  <c r="B217" i="10"/>
  <c r="N216" i="10"/>
  <c r="F216" i="10"/>
  <c r="E216" i="10"/>
  <c r="D216" i="10"/>
  <c r="C216" i="10"/>
  <c r="B216" i="10"/>
  <c r="N215" i="10"/>
  <c r="F215" i="10"/>
  <c r="E215" i="10"/>
  <c r="D215" i="10"/>
  <c r="C215" i="10"/>
  <c r="B215" i="10"/>
  <c r="N214" i="10"/>
  <c r="G214" i="10"/>
  <c r="F214" i="10"/>
  <c r="E214" i="10"/>
  <c r="D214" i="10"/>
  <c r="C214" i="10"/>
  <c r="B214" i="10"/>
  <c r="N213" i="10"/>
  <c r="B213" i="10"/>
  <c r="N212" i="10"/>
  <c r="G212" i="10"/>
  <c r="F212" i="10"/>
  <c r="E212" i="10"/>
  <c r="D212" i="10"/>
  <c r="C212" i="10"/>
  <c r="B212" i="10"/>
  <c r="N211" i="10"/>
  <c r="B211" i="10"/>
  <c r="N210" i="10"/>
  <c r="G210" i="10"/>
  <c r="F210" i="10"/>
  <c r="E210" i="10"/>
  <c r="D210" i="10"/>
  <c r="C210" i="10"/>
  <c r="B210" i="10"/>
  <c r="N209" i="10"/>
  <c r="B209" i="10"/>
  <c r="N208" i="10"/>
  <c r="G208" i="10"/>
  <c r="F208" i="10"/>
  <c r="E208" i="10"/>
  <c r="D208" i="10"/>
  <c r="C208" i="10"/>
  <c r="B208" i="10"/>
  <c r="N207" i="10"/>
  <c r="B207" i="10"/>
  <c r="N206" i="10"/>
  <c r="G206" i="10"/>
  <c r="F206" i="10"/>
  <c r="E206" i="10"/>
  <c r="D206" i="10"/>
  <c r="C206" i="10"/>
  <c r="B206" i="10"/>
  <c r="N205" i="10"/>
  <c r="G205" i="10"/>
  <c r="F205" i="10"/>
  <c r="E205" i="10"/>
  <c r="D205" i="10"/>
  <c r="C205" i="10"/>
  <c r="B205" i="10"/>
  <c r="N204" i="10"/>
  <c r="B204" i="10"/>
  <c r="N203" i="10"/>
  <c r="G203" i="10"/>
  <c r="F203" i="10"/>
  <c r="E203" i="10"/>
  <c r="D203" i="10"/>
  <c r="C203" i="10"/>
  <c r="B203" i="10"/>
  <c r="N202" i="10"/>
  <c r="B202" i="10"/>
  <c r="N201" i="10"/>
  <c r="G201" i="10"/>
  <c r="F201" i="10"/>
  <c r="E201" i="10"/>
  <c r="D201" i="10"/>
  <c r="C201" i="10"/>
  <c r="B201" i="10"/>
  <c r="N200" i="10"/>
  <c r="G200" i="10"/>
  <c r="F200" i="10"/>
  <c r="E200" i="10"/>
  <c r="D200" i="10"/>
  <c r="C200" i="10"/>
  <c r="B200" i="10"/>
  <c r="N199" i="10"/>
  <c r="B199" i="10"/>
  <c r="N198" i="10"/>
  <c r="G198" i="10"/>
  <c r="F198" i="10"/>
  <c r="E198" i="10"/>
  <c r="D198" i="10"/>
  <c r="C198" i="10"/>
  <c r="B198" i="10"/>
  <c r="N197" i="10"/>
  <c r="B197" i="10"/>
  <c r="N196" i="10"/>
  <c r="B196" i="10"/>
  <c r="N195" i="10"/>
  <c r="B195" i="10"/>
  <c r="N194" i="10"/>
  <c r="G194" i="10"/>
  <c r="F194" i="10"/>
  <c r="E194" i="10"/>
  <c r="D194" i="10"/>
  <c r="C194" i="10"/>
  <c r="B194" i="10"/>
  <c r="N193" i="10"/>
  <c r="B193" i="10"/>
  <c r="N192" i="10"/>
  <c r="G192" i="10"/>
  <c r="F192" i="10"/>
  <c r="E192" i="10"/>
  <c r="D192" i="10"/>
  <c r="C192" i="10"/>
  <c r="B192" i="10"/>
  <c r="N191" i="10"/>
  <c r="B191" i="10"/>
  <c r="N190" i="10"/>
  <c r="B190" i="10"/>
  <c r="N189" i="10"/>
  <c r="F189" i="10"/>
  <c r="E189" i="10"/>
  <c r="D189" i="10"/>
  <c r="B189" i="10"/>
  <c r="N188" i="10"/>
  <c r="F188" i="10"/>
  <c r="E188" i="10"/>
  <c r="D188" i="10"/>
  <c r="B188" i="10"/>
  <c r="N187" i="10"/>
  <c r="B187" i="10"/>
  <c r="N186" i="10"/>
  <c r="G186" i="10"/>
  <c r="F186" i="10"/>
  <c r="E186" i="10"/>
  <c r="D186" i="10"/>
  <c r="C186" i="10"/>
  <c r="B186" i="10"/>
  <c r="N185" i="10"/>
  <c r="G185" i="10"/>
  <c r="F185" i="10"/>
  <c r="E185" i="10"/>
  <c r="D185" i="10"/>
  <c r="C185" i="10"/>
  <c r="B185" i="10"/>
  <c r="N184" i="10"/>
  <c r="B184" i="10"/>
  <c r="N183" i="10"/>
  <c r="G183" i="10"/>
  <c r="F183" i="10"/>
  <c r="E183" i="10"/>
  <c r="D183" i="10"/>
  <c r="C183" i="10"/>
  <c r="B183" i="10"/>
  <c r="N182" i="10"/>
  <c r="G182" i="10"/>
  <c r="F182" i="10"/>
  <c r="E182" i="10"/>
  <c r="D182" i="10"/>
  <c r="C182" i="10"/>
  <c r="B182" i="10"/>
  <c r="N181" i="10"/>
  <c r="B181" i="10"/>
  <c r="N180" i="10"/>
  <c r="B180" i="10"/>
  <c r="N179" i="10"/>
  <c r="F179" i="10"/>
  <c r="E179" i="10"/>
  <c r="D179" i="10"/>
  <c r="C179" i="10"/>
  <c r="B179" i="10"/>
  <c r="N178" i="10"/>
  <c r="B178" i="10"/>
  <c r="N177" i="10"/>
  <c r="G177" i="10"/>
  <c r="F177" i="10"/>
  <c r="E177" i="10"/>
  <c r="D177" i="10"/>
  <c r="C177" i="10"/>
  <c r="B177" i="10"/>
  <c r="N176" i="10"/>
  <c r="G176" i="10"/>
  <c r="F176" i="10"/>
  <c r="E176" i="10"/>
  <c r="D176" i="10"/>
  <c r="C176" i="10"/>
  <c r="B176" i="10"/>
  <c r="N175" i="10"/>
  <c r="B175" i="10"/>
  <c r="N174" i="10"/>
  <c r="B174" i="10"/>
  <c r="N173" i="10"/>
  <c r="B173" i="10"/>
  <c r="N160" i="10"/>
  <c r="B160" i="10"/>
  <c r="N159" i="10"/>
  <c r="B159" i="10"/>
  <c r="N158" i="10"/>
  <c r="F158" i="10"/>
  <c r="E158" i="10"/>
  <c r="D158" i="10"/>
  <c r="B158" i="10"/>
  <c r="N157" i="10"/>
  <c r="B157" i="10"/>
  <c r="N156" i="10"/>
  <c r="B156" i="10"/>
  <c r="N155" i="10"/>
  <c r="F155" i="10"/>
  <c r="E155" i="10"/>
  <c r="D155" i="10"/>
  <c r="B155" i="10"/>
  <c r="N154" i="10"/>
  <c r="B154" i="10"/>
  <c r="N153" i="10"/>
  <c r="B153" i="10"/>
  <c r="N152" i="10"/>
  <c r="B152" i="10"/>
  <c r="N151" i="10"/>
  <c r="G151" i="10"/>
  <c r="F151" i="10"/>
  <c r="E151" i="10"/>
  <c r="D151" i="10"/>
  <c r="C151" i="10"/>
  <c r="B151" i="10"/>
  <c r="N150" i="10"/>
  <c r="B150" i="10"/>
  <c r="N149" i="10"/>
  <c r="B149" i="10"/>
  <c r="N148" i="10"/>
  <c r="B148" i="10"/>
  <c r="N147" i="10"/>
  <c r="B147" i="10"/>
  <c r="N146" i="10"/>
  <c r="G146" i="10"/>
  <c r="F146" i="10"/>
  <c r="E146" i="10"/>
  <c r="D146" i="10"/>
  <c r="C146" i="10"/>
  <c r="B146" i="10"/>
  <c r="N145" i="10"/>
  <c r="B145" i="10"/>
  <c r="N144" i="10"/>
  <c r="F144" i="10"/>
  <c r="E144" i="10"/>
  <c r="D144" i="10"/>
  <c r="B144" i="10"/>
  <c r="N143" i="10"/>
  <c r="B143" i="10"/>
  <c r="N142" i="10"/>
  <c r="F142" i="10"/>
  <c r="E142" i="10"/>
  <c r="D142" i="10"/>
  <c r="B142" i="10"/>
  <c r="N141" i="10"/>
  <c r="G141" i="10"/>
  <c r="F141" i="10"/>
  <c r="E141" i="10"/>
  <c r="D141" i="10"/>
  <c r="C141" i="10"/>
  <c r="B141" i="10"/>
  <c r="N140" i="10"/>
  <c r="B140" i="10"/>
  <c r="N139" i="10"/>
  <c r="G139" i="10"/>
  <c r="F139" i="10"/>
  <c r="E139" i="10"/>
  <c r="D139" i="10"/>
  <c r="C139" i="10"/>
  <c r="B139" i="10"/>
  <c r="N138" i="10"/>
  <c r="B138" i="10"/>
  <c r="N137" i="10"/>
  <c r="B137" i="10"/>
  <c r="N136" i="10"/>
  <c r="G136" i="10"/>
  <c r="F136" i="10"/>
  <c r="E136" i="10"/>
  <c r="D136" i="10"/>
  <c r="C136" i="10"/>
  <c r="B136" i="10"/>
  <c r="N135" i="10"/>
  <c r="B135" i="10"/>
  <c r="N134" i="10"/>
  <c r="B134" i="10"/>
  <c r="N133" i="10"/>
  <c r="B133" i="10"/>
  <c r="N132" i="10"/>
  <c r="G132" i="10"/>
  <c r="F132" i="10"/>
  <c r="E132" i="10"/>
  <c r="D132" i="10"/>
  <c r="C132" i="10"/>
  <c r="B132" i="10"/>
  <c r="N131" i="10"/>
  <c r="B131" i="10"/>
  <c r="N130" i="10"/>
  <c r="G130" i="10"/>
  <c r="F130" i="10"/>
  <c r="E130" i="10"/>
  <c r="D130" i="10"/>
  <c r="C130" i="10"/>
  <c r="B130" i="10"/>
  <c r="N129" i="10"/>
  <c r="B129" i="10"/>
  <c r="N128" i="10"/>
  <c r="G128" i="10"/>
  <c r="F128" i="10"/>
  <c r="E128" i="10"/>
  <c r="D128" i="10"/>
  <c r="C128" i="10"/>
  <c r="B128" i="10"/>
  <c r="N127" i="10"/>
  <c r="B127" i="10"/>
  <c r="N126" i="10"/>
  <c r="G126" i="10"/>
  <c r="F126" i="10"/>
  <c r="E126" i="10"/>
  <c r="D126" i="10"/>
  <c r="C126" i="10"/>
  <c r="B126" i="10"/>
  <c r="N125" i="10"/>
  <c r="B125" i="10"/>
  <c r="N124" i="10"/>
  <c r="G124" i="10"/>
  <c r="F124" i="10"/>
  <c r="E124" i="10"/>
  <c r="D124" i="10"/>
  <c r="C124" i="10"/>
  <c r="B124" i="10"/>
  <c r="N123" i="10"/>
  <c r="B123" i="10"/>
  <c r="N122" i="10"/>
  <c r="B122" i="10"/>
  <c r="N121" i="10"/>
  <c r="F121" i="10"/>
  <c r="E121" i="10"/>
  <c r="D121" i="10"/>
  <c r="B121" i="10"/>
  <c r="N120" i="10"/>
  <c r="G120" i="10"/>
  <c r="F120" i="10"/>
  <c r="E120" i="10"/>
  <c r="D120" i="10"/>
  <c r="C120" i="10"/>
  <c r="B120" i="10"/>
  <c r="N119" i="10"/>
  <c r="G119" i="10"/>
  <c r="F119" i="10"/>
  <c r="E119" i="10"/>
  <c r="D119" i="10"/>
  <c r="C119" i="10"/>
  <c r="B119" i="10"/>
  <c r="N118" i="10"/>
  <c r="B118" i="10"/>
  <c r="N117" i="10"/>
  <c r="G117" i="10"/>
  <c r="F117" i="10"/>
  <c r="E117" i="10"/>
  <c r="D117" i="10"/>
  <c r="C117" i="10"/>
  <c r="B117" i="10"/>
  <c r="N116" i="10"/>
  <c r="B116" i="10"/>
  <c r="N115" i="10"/>
  <c r="B115" i="10"/>
  <c r="B114" i="10"/>
  <c r="N113" i="10"/>
  <c r="G113" i="10"/>
  <c r="F113" i="10"/>
  <c r="E113" i="10"/>
  <c r="D113" i="10"/>
  <c r="C113" i="10"/>
  <c r="B113" i="10"/>
  <c r="N112" i="10"/>
  <c r="B112" i="10"/>
  <c r="N111" i="10"/>
  <c r="G111" i="10"/>
  <c r="F111" i="10"/>
  <c r="E111" i="10"/>
  <c r="D111" i="10"/>
  <c r="C111" i="10"/>
  <c r="B111" i="10"/>
  <c r="N110" i="10"/>
  <c r="B110" i="10"/>
  <c r="F101" i="10"/>
  <c r="E101" i="10"/>
  <c r="D101" i="10"/>
  <c r="F100" i="10"/>
  <c r="E100" i="10"/>
  <c r="D100" i="10"/>
  <c r="N99" i="10"/>
  <c r="G99" i="10"/>
  <c r="F99" i="10"/>
  <c r="E99" i="10"/>
  <c r="D99" i="10"/>
  <c r="C99" i="10"/>
  <c r="B99" i="10"/>
  <c r="N98" i="10"/>
  <c r="G98" i="10"/>
  <c r="F98" i="10"/>
  <c r="E98" i="10"/>
  <c r="D98" i="10"/>
  <c r="C98" i="10"/>
  <c r="B98" i="10"/>
  <c r="N97" i="10"/>
  <c r="N96" i="10"/>
  <c r="B96" i="10"/>
  <c r="N95" i="10"/>
  <c r="B95" i="10"/>
  <c r="N94" i="10"/>
  <c r="B94" i="10"/>
  <c r="N93" i="10"/>
  <c r="G93" i="10"/>
  <c r="F93" i="10"/>
  <c r="E93" i="10"/>
  <c r="D93" i="10"/>
  <c r="C93" i="10"/>
  <c r="B93" i="10"/>
  <c r="N92" i="10"/>
  <c r="B92" i="10"/>
  <c r="N91" i="10"/>
  <c r="G91" i="10"/>
  <c r="F91" i="10"/>
  <c r="E91" i="10"/>
  <c r="D91" i="10"/>
  <c r="C91" i="10"/>
  <c r="B91" i="10"/>
  <c r="N90" i="10"/>
  <c r="B90" i="10"/>
  <c r="N89" i="10"/>
  <c r="B89" i="10"/>
  <c r="N88" i="10"/>
  <c r="G88" i="10"/>
  <c r="F88" i="10"/>
  <c r="E88" i="10"/>
  <c r="D88" i="10"/>
  <c r="C88" i="10"/>
  <c r="B88" i="10"/>
  <c r="N87" i="10"/>
  <c r="G87" i="10"/>
  <c r="F87" i="10"/>
  <c r="E87" i="10"/>
  <c r="D87" i="10"/>
  <c r="C87" i="10"/>
  <c r="B87" i="10"/>
  <c r="N86" i="10"/>
  <c r="B86" i="10"/>
  <c r="N85" i="10"/>
  <c r="G85" i="10"/>
  <c r="F85" i="10"/>
  <c r="E85" i="10"/>
  <c r="D85" i="10"/>
  <c r="C85" i="10"/>
  <c r="B85" i="10"/>
  <c r="N84" i="10"/>
  <c r="B84" i="10"/>
  <c r="N83" i="10"/>
  <c r="B83" i="10"/>
  <c r="N82" i="10"/>
  <c r="G82" i="10"/>
  <c r="F82" i="10"/>
  <c r="E82" i="10"/>
  <c r="D82" i="10"/>
  <c r="C82" i="10"/>
  <c r="B82" i="10"/>
  <c r="N81" i="10"/>
  <c r="B81" i="10"/>
  <c r="N80" i="10"/>
  <c r="G80" i="10"/>
  <c r="F80" i="10"/>
  <c r="E80" i="10"/>
  <c r="D80" i="10"/>
  <c r="C80" i="10"/>
  <c r="B80" i="10"/>
  <c r="N79" i="10"/>
  <c r="B79" i="10"/>
  <c r="N78" i="10"/>
  <c r="G78" i="10"/>
  <c r="F78" i="10"/>
  <c r="E78" i="10"/>
  <c r="D78" i="10"/>
  <c r="C78" i="10"/>
  <c r="B78" i="10"/>
  <c r="N77" i="10"/>
  <c r="B77" i="10"/>
  <c r="N76" i="10"/>
  <c r="G76" i="10"/>
  <c r="F76" i="10"/>
  <c r="E76" i="10"/>
  <c r="D76" i="10"/>
  <c r="C76" i="10"/>
  <c r="B76" i="10"/>
  <c r="N75" i="10"/>
  <c r="G75" i="10"/>
  <c r="F75" i="10"/>
  <c r="E75" i="10"/>
  <c r="D75" i="10"/>
  <c r="C75" i="10"/>
  <c r="B75" i="10"/>
  <c r="N74" i="10"/>
  <c r="B74" i="10"/>
  <c r="N73" i="10"/>
  <c r="G73" i="10"/>
  <c r="F73" i="10"/>
  <c r="E73" i="10"/>
  <c r="D73" i="10"/>
  <c r="C73" i="10"/>
  <c r="B73" i="10"/>
  <c r="N72" i="10"/>
  <c r="B72" i="10"/>
  <c r="N71" i="10"/>
  <c r="G71" i="10"/>
  <c r="F71" i="10"/>
  <c r="E71" i="10"/>
  <c r="D71" i="10"/>
  <c r="C71" i="10"/>
  <c r="B71" i="10"/>
  <c r="N70" i="10"/>
  <c r="G70" i="10"/>
  <c r="F70" i="10"/>
  <c r="E70" i="10"/>
  <c r="D70" i="10"/>
  <c r="C70" i="10"/>
  <c r="B70" i="10"/>
  <c r="N69" i="10"/>
  <c r="B69" i="10"/>
  <c r="N68" i="10"/>
  <c r="G68" i="10"/>
  <c r="F68" i="10"/>
  <c r="E68" i="10"/>
  <c r="D68" i="10"/>
  <c r="C68" i="10"/>
  <c r="B68" i="10"/>
  <c r="N67" i="10"/>
  <c r="G67" i="10"/>
  <c r="F67" i="10"/>
  <c r="E67" i="10"/>
  <c r="D67" i="10"/>
  <c r="C67" i="10"/>
  <c r="B67" i="10"/>
  <c r="N66" i="10"/>
  <c r="B66" i="10"/>
  <c r="N65" i="10"/>
  <c r="F65" i="10"/>
  <c r="E65" i="10"/>
  <c r="D65" i="10"/>
  <c r="B65" i="10"/>
  <c r="N64" i="10"/>
  <c r="B64" i="10"/>
  <c r="N63" i="10"/>
  <c r="G63" i="10"/>
  <c r="F63" i="10"/>
  <c r="E63" i="10"/>
  <c r="D63" i="10"/>
  <c r="C63" i="10"/>
  <c r="B63" i="10"/>
  <c r="N62" i="10"/>
  <c r="B62" i="10"/>
  <c r="N61" i="10"/>
  <c r="F61" i="10"/>
  <c r="E61" i="10"/>
  <c r="D61" i="10"/>
  <c r="B61" i="10"/>
  <c r="N60" i="10"/>
  <c r="F60" i="10"/>
  <c r="E60" i="10"/>
  <c r="D60" i="10"/>
  <c r="B60" i="10"/>
  <c r="N59" i="10"/>
  <c r="G59" i="10"/>
  <c r="F59" i="10"/>
  <c r="E59" i="10"/>
  <c r="D59" i="10"/>
  <c r="C59" i="10"/>
  <c r="B59" i="10"/>
  <c r="N58" i="10"/>
  <c r="G58" i="10"/>
  <c r="F58" i="10"/>
  <c r="E58" i="10"/>
  <c r="D58" i="10"/>
  <c r="C58" i="10"/>
  <c r="B58" i="10"/>
  <c r="N57" i="10"/>
  <c r="B57" i="10"/>
  <c r="N56" i="10"/>
  <c r="G56" i="10"/>
  <c r="F56" i="10"/>
  <c r="E56" i="10"/>
  <c r="D56" i="10"/>
  <c r="C56" i="10"/>
  <c r="B56" i="10"/>
  <c r="N55" i="10"/>
  <c r="B55" i="10"/>
  <c r="N54" i="10"/>
  <c r="G54" i="10"/>
  <c r="F54" i="10"/>
  <c r="E54" i="10"/>
  <c r="D54" i="10"/>
  <c r="C54" i="10"/>
  <c r="B54" i="10"/>
  <c r="N53" i="10"/>
  <c r="G53" i="10"/>
  <c r="F53" i="10"/>
  <c r="E53" i="10"/>
  <c r="D53" i="10"/>
  <c r="C53" i="10"/>
  <c r="B53" i="10"/>
  <c r="N52" i="10"/>
  <c r="G52" i="10"/>
  <c r="F52" i="10"/>
  <c r="E52" i="10"/>
  <c r="D52" i="10"/>
  <c r="C52" i="10"/>
  <c r="B52" i="10"/>
  <c r="N51" i="10"/>
  <c r="B51" i="10"/>
  <c r="N50" i="10"/>
  <c r="G50" i="10"/>
  <c r="F50" i="10"/>
  <c r="E50" i="10"/>
  <c r="D50" i="10"/>
  <c r="C50" i="10"/>
  <c r="B50" i="10"/>
  <c r="N49" i="10"/>
  <c r="G49" i="10"/>
  <c r="F49" i="10"/>
  <c r="E49" i="10"/>
  <c r="D49" i="10"/>
  <c r="C49" i="10"/>
  <c r="B49" i="10"/>
  <c r="N48" i="10"/>
  <c r="B48" i="10"/>
  <c r="N47" i="10"/>
  <c r="G47" i="10"/>
  <c r="F47" i="10"/>
  <c r="E47" i="10"/>
  <c r="D47" i="10"/>
  <c r="C47" i="10"/>
  <c r="B47" i="10"/>
  <c r="N46" i="10"/>
  <c r="G46" i="10"/>
  <c r="F46" i="10"/>
  <c r="E46" i="10"/>
  <c r="D46" i="10"/>
  <c r="C46" i="10"/>
  <c r="B46" i="10"/>
  <c r="N45" i="10"/>
  <c r="B45" i="10"/>
  <c r="N44" i="10"/>
  <c r="G44" i="10"/>
  <c r="F44" i="10"/>
  <c r="E44" i="10"/>
  <c r="D44" i="10"/>
  <c r="C44" i="10"/>
  <c r="B44" i="10"/>
  <c r="N43" i="10"/>
  <c r="B43" i="10"/>
  <c r="N42" i="10"/>
  <c r="F42" i="10"/>
  <c r="E42" i="10"/>
  <c r="D42" i="10"/>
  <c r="B42" i="10"/>
  <c r="N41" i="10"/>
  <c r="F41" i="10"/>
  <c r="E41" i="10"/>
  <c r="D41" i="10"/>
  <c r="B41" i="10"/>
  <c r="N40" i="10"/>
  <c r="G40" i="10"/>
  <c r="F40" i="10"/>
  <c r="E40" i="10"/>
  <c r="D40" i="10"/>
  <c r="C40" i="10"/>
  <c r="B40" i="10"/>
  <c r="N39" i="10"/>
  <c r="G39" i="10"/>
  <c r="F39" i="10"/>
  <c r="E39" i="10"/>
  <c r="D39" i="10"/>
  <c r="C39" i="10"/>
  <c r="B39" i="10"/>
  <c r="N38" i="10"/>
  <c r="B38" i="10"/>
  <c r="N37" i="10"/>
  <c r="G37" i="10"/>
  <c r="F37" i="10"/>
  <c r="E37" i="10"/>
  <c r="D37" i="10"/>
  <c r="C37" i="10"/>
  <c r="B37" i="10"/>
  <c r="N36" i="10"/>
  <c r="G36" i="10"/>
  <c r="F36" i="10"/>
  <c r="E36" i="10"/>
  <c r="D36" i="10"/>
  <c r="C36" i="10"/>
  <c r="B36" i="10"/>
  <c r="N35" i="10"/>
  <c r="B35" i="10"/>
  <c r="N34" i="10"/>
  <c r="F34" i="10"/>
  <c r="E34" i="10"/>
  <c r="D34" i="10"/>
  <c r="B34" i="10"/>
  <c r="N33" i="10"/>
  <c r="F33" i="10"/>
  <c r="E33" i="10"/>
  <c r="D33" i="10"/>
  <c r="B33" i="10"/>
  <c r="N32" i="10"/>
  <c r="G32" i="10"/>
  <c r="F32" i="10"/>
  <c r="E32" i="10"/>
  <c r="D32" i="10"/>
  <c r="C32" i="10"/>
  <c r="B32" i="10"/>
  <c r="N31" i="10"/>
  <c r="B31" i="10"/>
  <c r="N30" i="10"/>
  <c r="G30" i="10"/>
  <c r="F30" i="10"/>
  <c r="E30" i="10"/>
  <c r="D30" i="10"/>
  <c r="C30" i="10"/>
  <c r="B30" i="10"/>
  <c r="N29" i="10"/>
  <c r="B29" i="10"/>
  <c r="N28" i="10"/>
  <c r="B28" i="10"/>
  <c r="N27" i="10"/>
  <c r="B27" i="10"/>
  <c r="N26" i="10"/>
  <c r="B26" i="10"/>
  <c r="N25" i="10"/>
  <c r="G25" i="10"/>
  <c r="F25" i="10"/>
  <c r="E25" i="10"/>
  <c r="D25" i="10"/>
  <c r="C25" i="10"/>
  <c r="B25" i="10"/>
  <c r="N24" i="10"/>
  <c r="G24" i="10"/>
  <c r="F24" i="10"/>
  <c r="E24" i="10"/>
  <c r="D24" i="10"/>
  <c r="C24" i="10"/>
  <c r="B24" i="10"/>
  <c r="N23" i="10"/>
  <c r="B23" i="10"/>
  <c r="N22" i="10"/>
  <c r="G22" i="10"/>
  <c r="F22" i="10"/>
  <c r="E22" i="10"/>
  <c r="D22" i="10"/>
  <c r="C22" i="10"/>
  <c r="B22" i="10"/>
  <c r="N21" i="10"/>
  <c r="G21" i="10"/>
  <c r="F21" i="10"/>
  <c r="E21" i="10"/>
  <c r="D21" i="10"/>
  <c r="C21" i="10"/>
  <c r="B21" i="10"/>
  <c r="N20" i="10"/>
  <c r="B20" i="10"/>
  <c r="N19" i="10"/>
  <c r="G19" i="10"/>
  <c r="F19" i="10"/>
  <c r="E19" i="10"/>
  <c r="D19" i="10"/>
  <c r="C19" i="10"/>
  <c r="B19" i="10"/>
  <c r="N18" i="10"/>
  <c r="B18" i="10"/>
  <c r="N17" i="10"/>
  <c r="G17" i="10"/>
  <c r="F17" i="10"/>
  <c r="E17" i="10"/>
  <c r="D17" i="10"/>
  <c r="C17" i="10"/>
  <c r="B17" i="10"/>
  <c r="N16" i="10"/>
  <c r="B16" i="10"/>
  <c r="N15" i="10"/>
  <c r="B15" i="10"/>
  <c r="N14" i="10"/>
  <c r="B14" i="10"/>
  <c r="N13" i="10"/>
  <c r="N12" i="10"/>
  <c r="B12" i="10"/>
  <c r="N11" i="10"/>
  <c r="B11" i="10"/>
  <c r="N10" i="10"/>
  <c r="B10" i="10"/>
  <c r="N9" i="10"/>
  <c r="B9" i="10"/>
  <c r="N8" i="10"/>
  <c r="U254" i="9"/>
  <c r="N253" i="9"/>
  <c r="F253" i="9"/>
  <c r="E253" i="9"/>
  <c r="D253" i="9"/>
  <c r="C253" i="9"/>
  <c r="B253" i="9"/>
  <c r="N252" i="9"/>
  <c r="B252" i="9"/>
  <c r="N251" i="9"/>
  <c r="G251" i="9"/>
  <c r="F251" i="9"/>
  <c r="E251" i="9"/>
  <c r="D251" i="9"/>
  <c r="C251" i="9"/>
  <c r="B251" i="9"/>
  <c r="N250" i="9"/>
  <c r="G250" i="9"/>
  <c r="F250" i="9"/>
  <c r="E250" i="9"/>
  <c r="D250" i="9"/>
  <c r="C250" i="9"/>
  <c r="B250" i="9"/>
  <c r="N249" i="9"/>
  <c r="G249" i="9"/>
  <c r="F249" i="9"/>
  <c r="E249" i="9"/>
  <c r="D249" i="9"/>
  <c r="C249" i="9"/>
  <c r="B249" i="9"/>
  <c r="N248" i="9"/>
  <c r="G248" i="9"/>
  <c r="F248" i="9"/>
  <c r="E248" i="9"/>
  <c r="D248" i="9"/>
  <c r="C248" i="9"/>
  <c r="B248" i="9"/>
  <c r="N247" i="9"/>
  <c r="B247" i="9"/>
  <c r="N246" i="9"/>
  <c r="G246" i="9"/>
  <c r="F246" i="9"/>
  <c r="E246" i="9"/>
  <c r="D246" i="9"/>
  <c r="C246" i="9"/>
  <c r="B246" i="9"/>
  <c r="N245" i="9"/>
  <c r="B245" i="9"/>
  <c r="N244" i="9"/>
  <c r="G244" i="9"/>
  <c r="F244" i="9"/>
  <c r="E244" i="9"/>
  <c r="D244" i="9"/>
  <c r="C244" i="9"/>
  <c r="B244" i="9"/>
  <c r="N243" i="9"/>
  <c r="B243" i="9"/>
  <c r="N242" i="9"/>
  <c r="B242" i="9"/>
  <c r="N241" i="9"/>
  <c r="G241" i="9"/>
  <c r="F241" i="9"/>
  <c r="E241" i="9"/>
  <c r="D241" i="9"/>
  <c r="C241" i="9"/>
  <c r="B241" i="9"/>
  <c r="N240" i="9"/>
  <c r="B240" i="9"/>
  <c r="N239" i="9"/>
  <c r="B239" i="9"/>
  <c r="N238" i="9"/>
  <c r="F238" i="9"/>
  <c r="E238" i="9"/>
  <c r="D238" i="9"/>
  <c r="C238" i="9"/>
  <c r="B238" i="9"/>
  <c r="N237" i="9"/>
  <c r="F237" i="9"/>
  <c r="E237" i="9"/>
  <c r="D237" i="9"/>
  <c r="C237" i="9"/>
  <c r="B237" i="9"/>
  <c r="N236" i="9"/>
  <c r="B236" i="9"/>
  <c r="N235" i="9"/>
  <c r="B235" i="9"/>
  <c r="N234" i="9"/>
  <c r="F234" i="9"/>
  <c r="E234" i="9"/>
  <c r="D234" i="9"/>
  <c r="C234" i="9"/>
  <c r="B234" i="9"/>
  <c r="N233" i="9"/>
  <c r="B233" i="9"/>
  <c r="N232" i="9"/>
  <c r="F232" i="9"/>
  <c r="E232" i="9"/>
  <c r="D232" i="9"/>
  <c r="B232" i="9"/>
  <c r="N231" i="9"/>
  <c r="F231" i="9"/>
  <c r="E231" i="9"/>
  <c r="D231" i="9"/>
  <c r="B231" i="9"/>
  <c r="N230" i="9"/>
  <c r="G230" i="9"/>
  <c r="F230" i="9"/>
  <c r="E230" i="9"/>
  <c r="D230" i="9"/>
  <c r="C230" i="9"/>
  <c r="B230" i="9"/>
  <c r="N229" i="9"/>
  <c r="B229" i="9"/>
  <c r="N228" i="9"/>
  <c r="G228" i="9"/>
  <c r="F228" i="9"/>
  <c r="E228" i="9"/>
  <c r="D228" i="9"/>
  <c r="C228" i="9"/>
  <c r="B228" i="9"/>
  <c r="N227" i="9"/>
  <c r="B227" i="9"/>
  <c r="N226" i="9"/>
  <c r="G226" i="9"/>
  <c r="F226" i="9"/>
  <c r="E226" i="9"/>
  <c r="D226" i="9"/>
  <c r="C226" i="9"/>
  <c r="B226" i="9"/>
  <c r="N225" i="9"/>
  <c r="G225" i="9"/>
  <c r="F225" i="9"/>
  <c r="E225" i="9"/>
  <c r="D225" i="9"/>
  <c r="C225" i="9"/>
  <c r="B225" i="9"/>
  <c r="N224" i="9"/>
  <c r="B224" i="9"/>
  <c r="N223" i="9"/>
  <c r="G223" i="9"/>
  <c r="F223" i="9"/>
  <c r="E223" i="9"/>
  <c r="D223" i="9"/>
  <c r="C223" i="9"/>
  <c r="B223" i="9"/>
  <c r="N222" i="9"/>
  <c r="G222" i="9"/>
  <c r="F222" i="9"/>
  <c r="E222" i="9"/>
  <c r="D222" i="9"/>
  <c r="C222" i="9"/>
  <c r="B222" i="9"/>
  <c r="N221" i="9"/>
  <c r="B221" i="9"/>
  <c r="N220" i="9"/>
  <c r="B220" i="9"/>
  <c r="N219" i="9"/>
  <c r="G219" i="9"/>
  <c r="F219" i="9"/>
  <c r="E219" i="9"/>
  <c r="D219" i="9"/>
  <c r="C219" i="9"/>
  <c r="B219" i="9"/>
  <c r="N218" i="9"/>
  <c r="B218" i="9"/>
  <c r="N217" i="9"/>
  <c r="G217" i="9"/>
  <c r="F217" i="9"/>
  <c r="E217" i="9"/>
  <c r="D217" i="9"/>
  <c r="C217" i="9"/>
  <c r="B217" i="9"/>
  <c r="N216" i="9"/>
  <c r="B216" i="9"/>
  <c r="N215" i="9"/>
  <c r="G215" i="9"/>
  <c r="F215" i="9"/>
  <c r="E215" i="9"/>
  <c r="D215" i="9"/>
  <c r="C215" i="9"/>
  <c r="B215" i="9"/>
  <c r="N214" i="9"/>
  <c r="B214" i="9"/>
  <c r="N213" i="9"/>
  <c r="G213" i="9"/>
  <c r="F213" i="9"/>
  <c r="E213" i="9"/>
  <c r="D213" i="9"/>
  <c r="C213" i="9"/>
  <c r="B213" i="9"/>
  <c r="N212" i="9"/>
  <c r="B212" i="9"/>
  <c r="N211" i="9"/>
  <c r="G211" i="9"/>
  <c r="F211" i="9"/>
  <c r="E211" i="9"/>
  <c r="D211" i="9"/>
  <c r="C211" i="9"/>
  <c r="B211" i="9"/>
  <c r="N210" i="9"/>
  <c r="B210" i="9"/>
  <c r="N209" i="9"/>
  <c r="G209" i="9"/>
  <c r="F209" i="9"/>
  <c r="E209" i="9"/>
  <c r="D209" i="9"/>
  <c r="C209" i="9"/>
  <c r="B209" i="9"/>
  <c r="N208" i="9"/>
  <c r="B208" i="9"/>
  <c r="N207" i="9"/>
  <c r="G207" i="9"/>
  <c r="F207" i="9"/>
  <c r="E207" i="9"/>
  <c r="D207" i="9"/>
  <c r="C207" i="9"/>
  <c r="B207" i="9"/>
  <c r="N206" i="9"/>
  <c r="B206" i="9"/>
  <c r="N205" i="9"/>
  <c r="F205" i="9"/>
  <c r="E205" i="9"/>
  <c r="D205" i="9"/>
  <c r="B205" i="9"/>
  <c r="N204" i="9"/>
  <c r="F204" i="9"/>
  <c r="E204" i="9"/>
  <c r="D204" i="9"/>
  <c r="B204" i="9"/>
  <c r="N203" i="9"/>
  <c r="G203" i="9"/>
  <c r="F203" i="9"/>
  <c r="E203" i="9"/>
  <c r="D203" i="9"/>
  <c r="C203" i="9"/>
  <c r="B203" i="9"/>
  <c r="N202" i="9"/>
  <c r="G202" i="9"/>
  <c r="F202" i="9"/>
  <c r="E202" i="9"/>
  <c r="D202" i="9"/>
  <c r="C202" i="9"/>
  <c r="B202" i="9"/>
  <c r="N201" i="9"/>
  <c r="B201" i="9"/>
  <c r="N200" i="9"/>
  <c r="G200" i="9"/>
  <c r="F200" i="9"/>
  <c r="E200" i="9"/>
  <c r="D200" i="9"/>
  <c r="C200" i="9"/>
  <c r="B200" i="9"/>
  <c r="N199" i="9"/>
  <c r="B199" i="9"/>
  <c r="N198" i="9"/>
  <c r="G198" i="9"/>
  <c r="F198" i="9"/>
  <c r="E198" i="9"/>
  <c r="D198" i="9"/>
  <c r="C198" i="9"/>
  <c r="B198" i="9"/>
  <c r="N197" i="9"/>
  <c r="B197" i="9"/>
  <c r="N196" i="9"/>
  <c r="G196" i="9"/>
  <c r="F196" i="9"/>
  <c r="E196" i="9"/>
  <c r="D196" i="9"/>
  <c r="C196" i="9"/>
  <c r="B196" i="9"/>
  <c r="N195" i="9"/>
  <c r="B195" i="9"/>
  <c r="N194" i="9"/>
  <c r="G194" i="9"/>
  <c r="F194" i="9"/>
  <c r="E194" i="9"/>
  <c r="D194" i="9"/>
  <c r="C194" i="9"/>
  <c r="B194" i="9"/>
  <c r="N193" i="9"/>
  <c r="G193" i="9"/>
  <c r="F193" i="9"/>
  <c r="E193" i="9"/>
  <c r="D193" i="9"/>
  <c r="C193" i="9"/>
  <c r="B193" i="9"/>
  <c r="N192" i="9"/>
  <c r="B192" i="9"/>
  <c r="N191" i="9"/>
  <c r="G191" i="9"/>
  <c r="F191" i="9"/>
  <c r="E191" i="9"/>
  <c r="D191" i="9"/>
  <c r="C191" i="9"/>
  <c r="B191" i="9"/>
  <c r="N190" i="9"/>
  <c r="B190" i="9"/>
  <c r="N189" i="9"/>
  <c r="F189" i="9"/>
  <c r="E189" i="9"/>
  <c r="D189" i="9"/>
  <c r="B189" i="9"/>
  <c r="N188" i="9"/>
  <c r="F188" i="9"/>
  <c r="E188" i="9"/>
  <c r="D188" i="9"/>
  <c r="B188" i="9"/>
  <c r="N187" i="9"/>
  <c r="G187" i="9"/>
  <c r="F187" i="9"/>
  <c r="E187" i="9"/>
  <c r="D187" i="9"/>
  <c r="C187" i="9"/>
  <c r="B187" i="9"/>
  <c r="N186" i="9"/>
  <c r="G186" i="9"/>
  <c r="F186" i="9"/>
  <c r="E186" i="9"/>
  <c r="D186" i="9"/>
  <c r="C186" i="9"/>
  <c r="B186" i="9"/>
  <c r="N185" i="9"/>
  <c r="B185" i="9"/>
  <c r="N184" i="9"/>
  <c r="G184" i="9"/>
  <c r="F184" i="9"/>
  <c r="E184" i="9"/>
  <c r="D184" i="9"/>
  <c r="C184" i="9"/>
  <c r="B184" i="9"/>
  <c r="N183" i="9"/>
  <c r="G183" i="9"/>
  <c r="F183" i="9"/>
  <c r="E183" i="9"/>
  <c r="D183" i="9"/>
  <c r="C183" i="9"/>
  <c r="B183" i="9"/>
  <c r="N182" i="9"/>
  <c r="B182" i="9"/>
  <c r="N181" i="9"/>
  <c r="B181" i="9"/>
  <c r="N180" i="9"/>
  <c r="G180" i="9"/>
  <c r="F180" i="9"/>
  <c r="E180" i="9"/>
  <c r="D180" i="9"/>
  <c r="C180" i="9"/>
  <c r="B180" i="9"/>
  <c r="N179" i="9"/>
  <c r="G179" i="9"/>
  <c r="F179" i="9"/>
  <c r="E179" i="9"/>
  <c r="D179" i="9"/>
  <c r="C179" i="9"/>
  <c r="B179" i="9"/>
  <c r="N178" i="9"/>
  <c r="B178" i="9"/>
  <c r="N177" i="9"/>
  <c r="G177" i="9"/>
  <c r="F177" i="9"/>
  <c r="E177" i="9"/>
  <c r="D177" i="9"/>
  <c r="C177" i="9"/>
  <c r="B177" i="9"/>
  <c r="N176" i="9"/>
  <c r="B176" i="9"/>
  <c r="N175" i="9"/>
  <c r="F175" i="9"/>
  <c r="E175" i="9"/>
  <c r="D175" i="9"/>
  <c r="C175" i="9"/>
  <c r="B175" i="9"/>
  <c r="N174" i="9"/>
  <c r="F174" i="9"/>
  <c r="E174" i="9"/>
  <c r="D174" i="9"/>
  <c r="C174" i="9"/>
  <c r="B174" i="9"/>
  <c r="N173" i="9"/>
  <c r="F173" i="9"/>
  <c r="E173" i="9"/>
  <c r="D173" i="9"/>
  <c r="C173" i="9"/>
  <c r="B173" i="9"/>
  <c r="N172" i="9"/>
  <c r="F172" i="9"/>
  <c r="E172" i="9"/>
  <c r="D172" i="9"/>
  <c r="C172" i="9"/>
  <c r="B172" i="9"/>
  <c r="N171" i="9"/>
  <c r="F171" i="9"/>
  <c r="E171" i="9"/>
  <c r="D171" i="9"/>
  <c r="C171" i="9"/>
  <c r="B171" i="9"/>
  <c r="N170" i="9"/>
  <c r="B170" i="9"/>
  <c r="N169" i="9"/>
  <c r="G169" i="9"/>
  <c r="F169" i="9"/>
  <c r="E169" i="9"/>
  <c r="D169" i="9"/>
  <c r="C169" i="9"/>
  <c r="B169" i="9"/>
  <c r="N168" i="9"/>
  <c r="G168" i="9"/>
  <c r="F168" i="9"/>
  <c r="E168" i="9"/>
  <c r="D168" i="9"/>
  <c r="C168" i="9"/>
  <c r="B168" i="9"/>
  <c r="N167" i="9"/>
  <c r="B167" i="9"/>
  <c r="N166" i="9"/>
  <c r="B166" i="9"/>
  <c r="N165" i="9"/>
  <c r="B165" i="9"/>
  <c r="N164" i="9"/>
  <c r="G164" i="9"/>
  <c r="F164" i="9"/>
  <c r="E164" i="9"/>
  <c r="D164" i="9"/>
  <c r="C164" i="9"/>
  <c r="B164" i="9"/>
  <c r="N163" i="9"/>
  <c r="B163" i="9"/>
  <c r="N162" i="9"/>
  <c r="B162" i="9"/>
  <c r="N161" i="9"/>
  <c r="B161" i="9"/>
  <c r="N160" i="9"/>
  <c r="B160" i="9"/>
  <c r="N159" i="9"/>
  <c r="G159" i="9"/>
  <c r="F159" i="9"/>
  <c r="E159" i="9"/>
  <c r="D159" i="9"/>
  <c r="C159" i="9"/>
  <c r="B159" i="9"/>
  <c r="N158" i="9"/>
  <c r="G158" i="9"/>
  <c r="F158" i="9"/>
  <c r="E158" i="9"/>
  <c r="D158" i="9"/>
  <c r="C158" i="9"/>
  <c r="B158" i="9"/>
  <c r="N157" i="9"/>
  <c r="B157" i="9"/>
  <c r="N156" i="9"/>
  <c r="G156" i="9"/>
  <c r="F156" i="9"/>
  <c r="E156" i="9"/>
  <c r="D156" i="9"/>
  <c r="C156" i="9"/>
  <c r="B156" i="9"/>
  <c r="N155" i="9"/>
  <c r="B155" i="9"/>
  <c r="N154" i="9"/>
  <c r="G154" i="9"/>
  <c r="F154" i="9"/>
  <c r="E154" i="9"/>
  <c r="D154" i="9"/>
  <c r="C154" i="9"/>
  <c r="B154" i="9"/>
  <c r="N153" i="9"/>
  <c r="G153" i="9"/>
  <c r="F153" i="9"/>
  <c r="E153" i="9"/>
  <c r="D153" i="9"/>
  <c r="C153" i="9"/>
  <c r="B153" i="9"/>
  <c r="N152" i="9"/>
  <c r="B152" i="9"/>
  <c r="N151" i="9"/>
  <c r="G151" i="9"/>
  <c r="F151" i="9"/>
  <c r="E151" i="9"/>
  <c r="D151" i="9"/>
  <c r="C151" i="9"/>
  <c r="B151" i="9"/>
  <c r="N150" i="9"/>
  <c r="G150" i="9"/>
  <c r="F150" i="9"/>
  <c r="E150" i="9"/>
  <c r="D150" i="9"/>
  <c r="C150" i="9"/>
  <c r="B150" i="9"/>
  <c r="N149" i="9"/>
  <c r="B149" i="9"/>
  <c r="N148" i="9"/>
  <c r="G148" i="9"/>
  <c r="F148" i="9"/>
  <c r="E148" i="9"/>
  <c r="D148" i="9"/>
  <c r="C148" i="9"/>
  <c r="B148" i="9"/>
  <c r="N147" i="9"/>
  <c r="B147" i="9"/>
  <c r="N146" i="9"/>
  <c r="B146" i="9"/>
  <c r="N145" i="9"/>
  <c r="G145" i="9"/>
  <c r="F145" i="9"/>
  <c r="E145" i="9"/>
  <c r="D145" i="9"/>
  <c r="C145" i="9"/>
  <c r="B145" i="9"/>
  <c r="N144" i="9"/>
  <c r="B144" i="9"/>
  <c r="N143" i="9"/>
  <c r="G143" i="9"/>
  <c r="F143" i="9"/>
  <c r="E143" i="9"/>
  <c r="D143" i="9"/>
  <c r="C143" i="9"/>
  <c r="B143" i="9"/>
  <c r="N142" i="9"/>
  <c r="G142" i="9"/>
  <c r="F142" i="9"/>
  <c r="E142" i="9"/>
  <c r="D142" i="9"/>
  <c r="C142" i="9"/>
  <c r="B142" i="9"/>
  <c r="N141" i="9"/>
  <c r="B141" i="9"/>
  <c r="N140" i="9"/>
  <c r="F140" i="9"/>
  <c r="E140" i="9"/>
  <c r="D140" i="9"/>
  <c r="B140" i="9"/>
  <c r="N139" i="9"/>
  <c r="F139" i="9"/>
  <c r="E139" i="9"/>
  <c r="D139" i="9"/>
  <c r="B139" i="9"/>
  <c r="N138" i="9"/>
  <c r="G138" i="9"/>
  <c r="F138" i="9"/>
  <c r="E138" i="9"/>
  <c r="D138" i="9"/>
  <c r="C138" i="9"/>
  <c r="B138" i="9"/>
  <c r="N137" i="9"/>
  <c r="B137" i="9"/>
  <c r="N136" i="9"/>
  <c r="G136" i="9"/>
  <c r="F136" i="9"/>
  <c r="E136" i="9"/>
  <c r="D136" i="9"/>
  <c r="C136" i="9"/>
  <c r="B136" i="9"/>
  <c r="N135" i="9"/>
  <c r="G135" i="9"/>
  <c r="F135" i="9"/>
  <c r="E135" i="9"/>
  <c r="D135" i="9"/>
  <c r="C135" i="9"/>
  <c r="B135" i="9"/>
  <c r="N134" i="9"/>
  <c r="B134" i="9"/>
  <c r="N133" i="9"/>
  <c r="G133" i="9"/>
  <c r="F133" i="9"/>
  <c r="E133" i="9"/>
  <c r="D133" i="9"/>
  <c r="C133" i="9"/>
  <c r="B133" i="9"/>
  <c r="N132" i="9"/>
  <c r="B132" i="9"/>
  <c r="N131" i="9"/>
  <c r="F131" i="9"/>
  <c r="B131" i="9"/>
  <c r="N130" i="9"/>
  <c r="B130" i="9"/>
  <c r="N129" i="9"/>
  <c r="G129" i="9"/>
  <c r="F129" i="9"/>
  <c r="E129" i="9"/>
  <c r="D129" i="9"/>
  <c r="C129" i="9"/>
  <c r="B129" i="9"/>
  <c r="N128" i="9"/>
  <c r="B128" i="9"/>
  <c r="N127" i="9"/>
  <c r="G127" i="9"/>
  <c r="F127" i="9"/>
  <c r="E127" i="9"/>
  <c r="D127" i="9"/>
  <c r="C127" i="9"/>
  <c r="B127" i="9"/>
  <c r="N126" i="9"/>
  <c r="B126" i="9"/>
  <c r="N125" i="9"/>
  <c r="B125" i="9"/>
  <c r="N124" i="9"/>
  <c r="G124" i="9"/>
  <c r="F124" i="9"/>
  <c r="E124" i="9"/>
  <c r="D124" i="9"/>
  <c r="C124" i="9"/>
  <c r="B124" i="9"/>
  <c r="N123" i="9"/>
  <c r="B123" i="9"/>
  <c r="N122" i="9"/>
  <c r="G122" i="9"/>
  <c r="F122" i="9"/>
  <c r="E122" i="9"/>
  <c r="D122" i="9"/>
  <c r="C122" i="9"/>
  <c r="B122" i="9"/>
  <c r="N121" i="9"/>
  <c r="B121" i="9"/>
  <c r="N120" i="9"/>
  <c r="G120" i="9"/>
  <c r="F120" i="9"/>
  <c r="E120" i="9"/>
  <c r="D120" i="9"/>
  <c r="C120" i="9"/>
  <c r="B120" i="9"/>
  <c r="N119" i="9"/>
  <c r="B119" i="9"/>
  <c r="N118" i="9"/>
  <c r="B118" i="9"/>
  <c r="N117" i="9"/>
  <c r="G117" i="9"/>
  <c r="F117" i="9"/>
  <c r="E117" i="9"/>
  <c r="D117" i="9"/>
  <c r="C117" i="9"/>
  <c r="B117" i="9"/>
  <c r="N116" i="9"/>
  <c r="B116" i="9"/>
  <c r="N115" i="9"/>
  <c r="F115" i="9"/>
  <c r="E115" i="9"/>
  <c r="D115" i="9"/>
  <c r="B115" i="9"/>
  <c r="N114" i="9"/>
  <c r="F114" i="9"/>
  <c r="E114" i="9"/>
  <c r="D114" i="9"/>
  <c r="B114" i="9"/>
  <c r="N113" i="9"/>
  <c r="G113" i="9"/>
  <c r="F113" i="9"/>
  <c r="E113" i="9"/>
  <c r="D113" i="9"/>
  <c r="C113" i="9"/>
  <c r="B113" i="9"/>
  <c r="N112" i="9"/>
  <c r="B112" i="9"/>
  <c r="N111" i="9"/>
  <c r="B111" i="9"/>
  <c r="N110" i="9"/>
  <c r="G110" i="9"/>
  <c r="F110" i="9"/>
  <c r="E110" i="9"/>
  <c r="D110" i="9"/>
  <c r="C110" i="9"/>
  <c r="B110" i="9"/>
  <c r="N109" i="9"/>
  <c r="B109" i="9"/>
  <c r="N108" i="9"/>
  <c r="G108" i="9"/>
  <c r="F108" i="9"/>
  <c r="E108" i="9"/>
  <c r="D108" i="9"/>
  <c r="C108" i="9"/>
  <c r="B108" i="9"/>
  <c r="N107" i="9"/>
  <c r="B107" i="9"/>
  <c r="N106" i="9"/>
  <c r="B106" i="9"/>
  <c r="N105" i="9"/>
  <c r="G105" i="9"/>
  <c r="F105" i="9"/>
  <c r="E105" i="9"/>
  <c r="D105" i="9"/>
  <c r="C105" i="9"/>
  <c r="B105" i="9"/>
  <c r="N104" i="9"/>
  <c r="G104" i="9"/>
  <c r="F104" i="9"/>
  <c r="E104" i="9"/>
  <c r="D104" i="9"/>
  <c r="C104" i="9"/>
  <c r="B104" i="9"/>
  <c r="N103" i="9"/>
  <c r="B103" i="9"/>
  <c r="N102" i="9"/>
  <c r="B102" i="9"/>
  <c r="N101" i="9"/>
  <c r="F101" i="9"/>
  <c r="E101" i="9"/>
  <c r="D101" i="9"/>
  <c r="C101" i="9"/>
  <c r="B101" i="9"/>
  <c r="N100" i="9"/>
  <c r="F100" i="9"/>
  <c r="E100" i="9"/>
  <c r="D100" i="9"/>
  <c r="C100" i="9"/>
  <c r="B100" i="9"/>
  <c r="N99" i="9"/>
  <c r="B99" i="9"/>
  <c r="N98" i="9"/>
  <c r="F98" i="9"/>
  <c r="E98" i="9"/>
  <c r="D98" i="9"/>
  <c r="C98" i="9"/>
  <c r="B98" i="9"/>
  <c r="N97" i="9"/>
  <c r="F97" i="9"/>
  <c r="E97" i="9"/>
  <c r="D97" i="9"/>
  <c r="C97" i="9"/>
  <c r="B97" i="9"/>
  <c r="N96" i="9"/>
  <c r="B96" i="9"/>
  <c r="N95" i="9"/>
  <c r="F95" i="9"/>
  <c r="E95" i="9"/>
  <c r="D95" i="9"/>
  <c r="C95" i="9"/>
  <c r="B95" i="9"/>
  <c r="N94" i="9"/>
  <c r="B94" i="9"/>
  <c r="N93" i="9"/>
  <c r="F93" i="9"/>
  <c r="E93" i="9"/>
  <c r="D93" i="9"/>
  <c r="C93" i="9"/>
  <c r="B93" i="9"/>
  <c r="N92" i="9"/>
  <c r="B92" i="9"/>
  <c r="N91" i="9"/>
  <c r="G91" i="9"/>
  <c r="F91" i="9"/>
  <c r="E91" i="9"/>
  <c r="D91" i="9"/>
  <c r="C91" i="9"/>
  <c r="B91" i="9"/>
  <c r="N90" i="9"/>
  <c r="B90" i="9"/>
  <c r="N89" i="9"/>
  <c r="G89" i="9"/>
  <c r="F89" i="9"/>
  <c r="E89" i="9"/>
  <c r="D89" i="9"/>
  <c r="C89" i="9"/>
  <c r="B89" i="9"/>
  <c r="N88" i="9"/>
  <c r="G88" i="9"/>
  <c r="F88" i="9"/>
  <c r="E88" i="9"/>
  <c r="D88" i="9"/>
  <c r="C88" i="9"/>
  <c r="B88" i="9"/>
  <c r="N87" i="9"/>
  <c r="B87" i="9"/>
  <c r="N86" i="9"/>
  <c r="B86" i="9"/>
  <c r="N85" i="9"/>
  <c r="F85" i="9"/>
  <c r="E85" i="9"/>
  <c r="D85" i="9"/>
  <c r="C85" i="9"/>
  <c r="B85" i="9"/>
  <c r="N84" i="9"/>
  <c r="B84" i="9"/>
  <c r="N83" i="9"/>
  <c r="F83" i="9"/>
  <c r="E83" i="9"/>
  <c r="D83" i="9"/>
  <c r="C83" i="9"/>
  <c r="B83" i="9"/>
  <c r="N82" i="9"/>
  <c r="B82" i="9"/>
  <c r="N81" i="9"/>
  <c r="F81" i="9"/>
  <c r="E81" i="9"/>
  <c r="D81" i="9"/>
  <c r="C81" i="9"/>
  <c r="B81" i="9"/>
  <c r="N80" i="9"/>
  <c r="B80" i="9"/>
  <c r="N79" i="9"/>
  <c r="B79" i="9"/>
  <c r="N78" i="9"/>
  <c r="F78" i="9"/>
  <c r="E78" i="9"/>
  <c r="D78" i="9"/>
  <c r="C78" i="9"/>
  <c r="B78" i="9"/>
  <c r="N77" i="9"/>
  <c r="B77" i="9"/>
  <c r="N76" i="9"/>
  <c r="F76" i="9"/>
  <c r="E76" i="9"/>
  <c r="D76" i="9"/>
  <c r="B76" i="9"/>
  <c r="N75" i="9"/>
  <c r="F75" i="9"/>
  <c r="E75" i="9"/>
  <c r="D75" i="9"/>
  <c r="C75" i="9"/>
  <c r="B75" i="9"/>
  <c r="N74" i="9"/>
  <c r="B74" i="9"/>
  <c r="N73" i="9"/>
  <c r="F73" i="9"/>
  <c r="E73" i="9"/>
  <c r="D73" i="9"/>
  <c r="C73" i="9"/>
  <c r="B73" i="9"/>
  <c r="N72" i="9"/>
  <c r="F72" i="9"/>
  <c r="E72" i="9"/>
  <c r="D72" i="9"/>
  <c r="C72" i="9"/>
  <c r="B72" i="9"/>
  <c r="N71" i="9"/>
  <c r="F71" i="9"/>
  <c r="E71" i="9"/>
  <c r="D71" i="9"/>
  <c r="C71" i="9"/>
  <c r="B71" i="9"/>
  <c r="N70" i="9"/>
  <c r="B70" i="9"/>
  <c r="N69" i="9"/>
  <c r="F69" i="9"/>
  <c r="E69" i="9"/>
  <c r="D69" i="9"/>
  <c r="C69" i="9"/>
  <c r="B69" i="9"/>
  <c r="N68" i="9"/>
  <c r="B68" i="9"/>
  <c r="N67" i="9"/>
  <c r="F67" i="9"/>
  <c r="E67" i="9"/>
  <c r="D67" i="9"/>
  <c r="B67" i="9"/>
  <c r="N66" i="9"/>
  <c r="B66" i="9"/>
  <c r="N65" i="9"/>
  <c r="B65" i="9"/>
  <c r="N64" i="9"/>
  <c r="G64" i="9"/>
  <c r="F64" i="9"/>
  <c r="E64" i="9"/>
  <c r="D64" i="9"/>
  <c r="C64" i="9"/>
  <c r="B64" i="9"/>
  <c r="N63" i="9"/>
  <c r="B63" i="9"/>
  <c r="N62" i="9"/>
  <c r="G62" i="9"/>
  <c r="F62" i="9"/>
  <c r="E62" i="9"/>
  <c r="D62" i="9"/>
  <c r="C62" i="9"/>
  <c r="B62" i="9"/>
  <c r="N61" i="9"/>
  <c r="B61" i="9"/>
  <c r="N60" i="9"/>
  <c r="B60" i="9"/>
  <c r="N59" i="9"/>
  <c r="B59" i="9"/>
  <c r="N58" i="9"/>
  <c r="B58" i="9"/>
  <c r="N57" i="9"/>
  <c r="B57" i="9"/>
  <c r="N56" i="9"/>
  <c r="B56" i="9"/>
  <c r="N55" i="9"/>
  <c r="B55" i="9"/>
  <c r="N54" i="9"/>
  <c r="B54" i="9"/>
  <c r="N53" i="9"/>
  <c r="B53" i="9"/>
  <c r="N52" i="9"/>
  <c r="B52" i="9"/>
  <c r="N51" i="9"/>
  <c r="B51" i="9"/>
  <c r="N50" i="9"/>
  <c r="B50" i="9"/>
  <c r="N49" i="9"/>
  <c r="B49" i="9"/>
  <c r="N48" i="9"/>
  <c r="F48" i="9"/>
  <c r="E48" i="9"/>
  <c r="D48" i="9"/>
  <c r="B48" i="9"/>
  <c r="N47" i="9"/>
  <c r="B47" i="9"/>
  <c r="N46" i="9"/>
  <c r="G46" i="9"/>
  <c r="F46" i="9"/>
  <c r="E46" i="9"/>
  <c r="D46" i="9"/>
  <c r="C46" i="9"/>
  <c r="B46" i="9"/>
  <c r="N45" i="9"/>
  <c r="B45" i="9"/>
  <c r="N44" i="9"/>
  <c r="G44" i="9"/>
  <c r="F44" i="9"/>
  <c r="E44" i="9"/>
  <c r="D44" i="9"/>
  <c r="C44" i="9"/>
  <c r="B44" i="9"/>
  <c r="N43" i="9"/>
  <c r="N42" i="9"/>
  <c r="G42" i="9"/>
  <c r="F42" i="9"/>
  <c r="E42" i="9"/>
  <c r="D42" i="9"/>
  <c r="B42" i="9"/>
  <c r="N41" i="9"/>
  <c r="G41" i="9"/>
  <c r="F41" i="9"/>
  <c r="E41" i="9"/>
  <c r="D41" i="9"/>
  <c r="C41" i="9"/>
  <c r="B41" i="9"/>
  <c r="N40" i="9"/>
  <c r="G40" i="9"/>
  <c r="F40" i="9"/>
  <c r="E40" i="9"/>
  <c r="D40" i="9"/>
  <c r="C40" i="9"/>
  <c r="B40" i="9"/>
  <c r="N39" i="9"/>
  <c r="B39" i="9"/>
  <c r="N38" i="9"/>
  <c r="N37" i="9"/>
  <c r="G37" i="9"/>
  <c r="F37" i="9"/>
  <c r="E37" i="9"/>
  <c r="D37" i="9"/>
  <c r="C37" i="9"/>
  <c r="B37" i="9"/>
  <c r="N36" i="9"/>
  <c r="N35" i="9"/>
  <c r="B35" i="9"/>
  <c r="N34" i="9"/>
  <c r="N33" i="9"/>
  <c r="G33" i="9"/>
  <c r="F33" i="9"/>
  <c r="E33" i="9"/>
  <c r="D33" i="9"/>
  <c r="C33" i="9"/>
  <c r="B33" i="9"/>
  <c r="N32" i="9"/>
  <c r="N31" i="9"/>
  <c r="G31" i="9"/>
  <c r="F31" i="9"/>
  <c r="E31" i="9"/>
  <c r="D31" i="9"/>
  <c r="C31" i="9"/>
  <c r="B31" i="9"/>
  <c r="N30" i="9"/>
  <c r="N29" i="9"/>
  <c r="B29" i="9"/>
  <c r="N28" i="9"/>
  <c r="B28" i="9"/>
  <c r="N27" i="9"/>
  <c r="B27" i="9"/>
  <c r="N26" i="9"/>
  <c r="G26" i="9"/>
  <c r="F26" i="9"/>
  <c r="E26" i="9"/>
  <c r="D26" i="9"/>
  <c r="C26" i="9"/>
  <c r="B26" i="9"/>
  <c r="N25" i="9"/>
  <c r="B25" i="9"/>
  <c r="N24" i="9"/>
  <c r="G24" i="9"/>
  <c r="F24" i="9"/>
  <c r="E24" i="9"/>
  <c r="D24" i="9"/>
  <c r="C24" i="9"/>
  <c r="B24" i="9"/>
  <c r="N23" i="9"/>
  <c r="N22" i="9"/>
  <c r="G22" i="9"/>
  <c r="F22" i="9"/>
  <c r="E22" i="9"/>
  <c r="D22" i="9"/>
  <c r="C22" i="9"/>
  <c r="B22" i="9"/>
  <c r="N21" i="9"/>
  <c r="G21" i="9"/>
  <c r="F21" i="9"/>
  <c r="E21" i="9"/>
  <c r="D21" i="9"/>
  <c r="C21" i="9"/>
  <c r="B21" i="9"/>
  <c r="N20" i="9"/>
  <c r="G20" i="9"/>
  <c r="F20" i="9"/>
  <c r="E20" i="9"/>
  <c r="D20" i="9"/>
  <c r="C20" i="9"/>
  <c r="B20" i="9"/>
  <c r="N19" i="9"/>
  <c r="B19" i="9"/>
  <c r="N18" i="9"/>
  <c r="B18" i="9"/>
  <c r="N17" i="9"/>
  <c r="G17" i="9"/>
  <c r="F17" i="9"/>
  <c r="E17" i="9"/>
  <c r="D17" i="9"/>
  <c r="C17" i="9"/>
  <c r="B17" i="9"/>
  <c r="N16" i="9"/>
  <c r="B16" i="9"/>
  <c r="N15" i="9"/>
  <c r="G15" i="9"/>
  <c r="F15" i="9"/>
  <c r="E15" i="9"/>
  <c r="D15" i="9"/>
  <c r="C15" i="9"/>
  <c r="B15" i="9"/>
  <c r="N14" i="9"/>
  <c r="G14" i="9"/>
  <c r="F14" i="9"/>
  <c r="E14" i="9"/>
  <c r="D14" i="9"/>
  <c r="C14" i="9"/>
  <c r="B14" i="9"/>
  <c r="N13" i="9"/>
  <c r="B13" i="9"/>
  <c r="N12" i="9"/>
  <c r="G12" i="9"/>
  <c r="F12" i="9"/>
  <c r="E12" i="9"/>
  <c r="D12" i="9"/>
  <c r="C12" i="9"/>
  <c r="B12" i="9"/>
  <c r="N11" i="9"/>
  <c r="B11" i="9"/>
  <c r="N10" i="9"/>
  <c r="F10" i="9"/>
  <c r="F235" i="9" s="1"/>
  <c r="B10" i="9"/>
  <c r="N9" i="9"/>
  <c r="G9" i="9"/>
  <c r="G10" i="9" s="1"/>
  <c r="F9" i="9"/>
  <c r="E9" i="9"/>
  <c r="E10" i="9" s="1"/>
  <c r="D9" i="9"/>
  <c r="D10" i="9" s="1"/>
  <c r="C9" i="9"/>
  <c r="C10" i="9" s="1"/>
  <c r="B9" i="9"/>
  <c r="N8" i="9"/>
  <c r="B8" i="9"/>
  <c r="U263" i="8"/>
  <c r="N262" i="8"/>
  <c r="B262" i="8"/>
  <c r="N261" i="8"/>
  <c r="B261" i="8"/>
  <c r="N260" i="8"/>
  <c r="B260" i="8"/>
  <c r="N259" i="8"/>
  <c r="B259" i="8"/>
  <c r="N258" i="8"/>
  <c r="G258" i="8"/>
  <c r="F258" i="8"/>
  <c r="E258" i="8"/>
  <c r="D258" i="8"/>
  <c r="C258" i="8"/>
  <c r="B258" i="8"/>
  <c r="N257" i="8"/>
  <c r="F257" i="8"/>
  <c r="E257" i="8"/>
  <c r="D257" i="8"/>
  <c r="B257" i="8"/>
  <c r="N256" i="8"/>
  <c r="G256" i="8"/>
  <c r="F256" i="8"/>
  <c r="E256" i="8"/>
  <c r="D256" i="8"/>
  <c r="C256" i="8"/>
  <c r="B256" i="8"/>
  <c r="N255" i="8"/>
  <c r="B255" i="8"/>
  <c r="N254" i="8"/>
  <c r="B254" i="8"/>
  <c r="N253" i="8"/>
  <c r="F253" i="8"/>
  <c r="E253" i="8"/>
  <c r="D253" i="8"/>
  <c r="B253" i="8"/>
  <c r="N252" i="8"/>
  <c r="G252" i="8"/>
  <c r="F252" i="8"/>
  <c r="E252" i="8"/>
  <c r="D252" i="8"/>
  <c r="B252" i="8"/>
  <c r="N251" i="8"/>
  <c r="G251" i="8"/>
  <c r="F251" i="8"/>
  <c r="E251" i="8"/>
  <c r="D251" i="8"/>
  <c r="C251" i="8"/>
  <c r="B251" i="8"/>
  <c r="N250" i="8"/>
  <c r="B250" i="8"/>
  <c r="N249" i="8"/>
  <c r="G249" i="8"/>
  <c r="F249" i="8"/>
  <c r="E249" i="8"/>
  <c r="D249" i="8"/>
  <c r="B249" i="8"/>
  <c r="N248" i="8"/>
  <c r="G248" i="8"/>
  <c r="F248" i="8"/>
  <c r="E248" i="8"/>
  <c r="D248" i="8"/>
  <c r="B248" i="8"/>
  <c r="N247" i="8"/>
  <c r="B247" i="8"/>
  <c r="N246" i="8"/>
  <c r="F246" i="8"/>
  <c r="E246" i="8"/>
  <c r="D246" i="8"/>
  <c r="C246" i="8"/>
  <c r="B246" i="8"/>
  <c r="N245" i="8"/>
  <c r="F245" i="8"/>
  <c r="E245" i="8"/>
  <c r="D245" i="8"/>
  <c r="C245" i="8"/>
  <c r="B245" i="8"/>
  <c r="N244" i="8"/>
  <c r="F244" i="8"/>
  <c r="E244" i="8"/>
  <c r="D244" i="8"/>
  <c r="C244" i="8"/>
  <c r="B244" i="8"/>
  <c r="N243" i="8"/>
  <c r="G243" i="8"/>
  <c r="F243" i="8"/>
  <c r="E243" i="8"/>
  <c r="D243" i="8"/>
  <c r="C243" i="8"/>
  <c r="B243" i="8"/>
  <c r="N242" i="8"/>
  <c r="G242" i="8"/>
  <c r="F242" i="8"/>
  <c r="E242" i="8"/>
  <c r="D242" i="8"/>
  <c r="C242" i="8"/>
  <c r="B242" i="8"/>
  <c r="N241" i="8"/>
  <c r="B241" i="8"/>
  <c r="N240" i="8"/>
  <c r="G240" i="8"/>
  <c r="F240" i="8"/>
  <c r="E240" i="8"/>
  <c r="D240" i="8"/>
  <c r="C240" i="8"/>
  <c r="B240" i="8"/>
  <c r="N239" i="8"/>
  <c r="G239" i="8"/>
  <c r="F239" i="8"/>
  <c r="E239" i="8"/>
  <c r="D239" i="8"/>
  <c r="C239" i="8"/>
  <c r="B239" i="8"/>
  <c r="N238" i="8"/>
  <c r="G238" i="8"/>
  <c r="F238" i="8"/>
  <c r="E238" i="8"/>
  <c r="D238" i="8"/>
  <c r="C238" i="8"/>
  <c r="B238" i="8"/>
  <c r="N237" i="8"/>
  <c r="B237" i="8"/>
  <c r="N236" i="8"/>
  <c r="G236" i="8"/>
  <c r="F236" i="8"/>
  <c r="E236" i="8"/>
  <c r="D236" i="8"/>
  <c r="C236" i="8"/>
  <c r="B236" i="8"/>
  <c r="N235" i="8"/>
  <c r="G235" i="8"/>
  <c r="F235" i="8"/>
  <c r="E235" i="8"/>
  <c r="D235" i="8"/>
  <c r="C235" i="8"/>
  <c r="B235" i="8"/>
  <c r="N234" i="8"/>
  <c r="B234" i="8"/>
  <c r="N233" i="8"/>
  <c r="G233" i="8"/>
  <c r="F233" i="8"/>
  <c r="E233" i="8"/>
  <c r="D233" i="8"/>
  <c r="C233" i="8"/>
  <c r="B233" i="8"/>
  <c r="N232" i="8"/>
  <c r="B232" i="8"/>
  <c r="N231" i="8"/>
  <c r="B231" i="8"/>
  <c r="N230" i="8"/>
  <c r="F230" i="8"/>
  <c r="E230" i="8"/>
  <c r="D230" i="8"/>
  <c r="B230" i="8"/>
  <c r="N229" i="8"/>
  <c r="G229" i="8"/>
  <c r="F229" i="8"/>
  <c r="E229" i="8"/>
  <c r="D229" i="8"/>
  <c r="C229" i="8"/>
  <c r="B229" i="8"/>
  <c r="N228" i="8"/>
  <c r="G228" i="8"/>
  <c r="F228" i="8"/>
  <c r="E228" i="8"/>
  <c r="D228" i="8"/>
  <c r="C228" i="8"/>
  <c r="B228" i="8"/>
  <c r="N227" i="8"/>
  <c r="B227" i="8"/>
  <c r="N226" i="8"/>
  <c r="B226" i="8"/>
  <c r="N225" i="8"/>
  <c r="B225" i="8"/>
  <c r="N224" i="8"/>
  <c r="B224" i="8"/>
  <c r="N223" i="8"/>
  <c r="B223" i="8"/>
  <c r="N222" i="8"/>
  <c r="B222" i="8"/>
  <c r="N221" i="8"/>
  <c r="B221" i="8"/>
  <c r="N220" i="8"/>
  <c r="B220" i="8"/>
  <c r="N219" i="8"/>
  <c r="G219" i="8"/>
  <c r="F219" i="8"/>
  <c r="E219" i="8"/>
  <c r="D219" i="8"/>
  <c r="C219" i="8"/>
  <c r="B219" i="8"/>
  <c r="N218" i="8"/>
  <c r="B218" i="8"/>
  <c r="N217" i="8"/>
  <c r="B217" i="8"/>
  <c r="N216" i="8"/>
  <c r="B216" i="8"/>
  <c r="N215" i="8"/>
  <c r="B215" i="8"/>
  <c r="N214" i="8"/>
  <c r="B214" i="8"/>
  <c r="N213" i="8"/>
  <c r="B213" i="8"/>
  <c r="N212" i="8"/>
  <c r="B212" i="8"/>
  <c r="N211" i="8"/>
  <c r="B211" i="8"/>
  <c r="N210" i="8"/>
  <c r="B210" i="8"/>
  <c r="N209" i="8"/>
  <c r="B209" i="8"/>
  <c r="N208" i="8"/>
  <c r="B208" i="8"/>
  <c r="N207" i="8"/>
  <c r="B207" i="8"/>
  <c r="N206" i="8"/>
  <c r="B206" i="8"/>
  <c r="N205" i="8"/>
  <c r="B205" i="8"/>
  <c r="N204" i="8"/>
  <c r="B204" i="8"/>
  <c r="N203" i="8"/>
  <c r="B203" i="8"/>
  <c r="N202" i="8"/>
  <c r="B202" i="8"/>
  <c r="N201" i="8"/>
  <c r="B201" i="8"/>
  <c r="N200" i="8"/>
  <c r="B200" i="8"/>
  <c r="N199" i="8"/>
  <c r="B199" i="8"/>
  <c r="N198" i="8"/>
  <c r="B198" i="8"/>
  <c r="N197" i="8"/>
  <c r="B197" i="8"/>
  <c r="N196" i="8"/>
  <c r="B196" i="8"/>
  <c r="N195" i="8"/>
  <c r="B195" i="8"/>
  <c r="N194" i="8"/>
  <c r="B194" i="8"/>
  <c r="N193" i="8"/>
  <c r="B193" i="8"/>
  <c r="N192" i="8"/>
  <c r="B192" i="8"/>
  <c r="N191" i="8"/>
  <c r="B191" i="8"/>
  <c r="N190" i="8"/>
  <c r="B190" i="8"/>
  <c r="N189" i="8"/>
  <c r="B189" i="8"/>
  <c r="N188" i="8"/>
  <c r="B188" i="8"/>
  <c r="N187" i="8"/>
  <c r="B187" i="8"/>
  <c r="N186" i="8"/>
  <c r="B186" i="8"/>
  <c r="N185" i="8"/>
  <c r="B185" i="8"/>
  <c r="N184" i="8"/>
  <c r="B184" i="8"/>
  <c r="N183" i="8"/>
  <c r="B183" i="8"/>
  <c r="N182" i="8"/>
  <c r="B182" i="8"/>
  <c r="N181" i="8"/>
  <c r="B181" i="8"/>
  <c r="N180" i="8"/>
  <c r="B180" i="8"/>
  <c r="N179" i="8"/>
  <c r="B179" i="8"/>
  <c r="N178" i="8"/>
  <c r="B178" i="8"/>
  <c r="N177" i="8"/>
  <c r="B177" i="8"/>
  <c r="N176" i="8"/>
  <c r="B176" i="8"/>
  <c r="N175" i="8"/>
  <c r="B175" i="8"/>
  <c r="N174" i="8"/>
  <c r="B174" i="8"/>
  <c r="N173" i="8"/>
  <c r="B173" i="8"/>
  <c r="N172" i="8"/>
  <c r="B172" i="8"/>
  <c r="N171" i="8"/>
  <c r="B171" i="8"/>
  <c r="N170" i="8"/>
  <c r="B170" i="8"/>
  <c r="N169" i="8"/>
  <c r="B169" i="8"/>
  <c r="N168" i="8"/>
  <c r="B168" i="8"/>
  <c r="N167" i="8"/>
  <c r="B167" i="8"/>
  <c r="N166" i="8"/>
  <c r="B166" i="8"/>
  <c r="N165" i="8"/>
  <c r="B165" i="8"/>
  <c r="N164" i="8"/>
  <c r="B164" i="8"/>
  <c r="N163" i="8"/>
  <c r="B163" i="8"/>
  <c r="N162" i="8"/>
  <c r="B162" i="8"/>
  <c r="N161" i="8"/>
  <c r="B161" i="8"/>
  <c r="N160" i="8"/>
  <c r="B160" i="8"/>
  <c r="N159" i="8"/>
  <c r="B159" i="8"/>
  <c r="N158" i="8"/>
  <c r="B158" i="8"/>
  <c r="N157" i="8"/>
  <c r="B157" i="8"/>
  <c r="N156" i="8"/>
  <c r="B156" i="8"/>
  <c r="N155" i="8"/>
  <c r="B155" i="8"/>
  <c r="N154" i="8"/>
  <c r="B154" i="8"/>
  <c r="N153" i="8"/>
  <c r="B153" i="8"/>
  <c r="N152" i="8"/>
  <c r="B152" i="8"/>
  <c r="N151" i="8"/>
  <c r="B151" i="8"/>
  <c r="N150" i="8"/>
  <c r="B150" i="8"/>
  <c r="N149" i="8"/>
  <c r="B149" i="8"/>
  <c r="N148" i="8"/>
  <c r="B148" i="8"/>
  <c r="N147" i="8"/>
  <c r="B147" i="8"/>
  <c r="N146" i="8"/>
  <c r="B146" i="8"/>
  <c r="N145" i="8"/>
  <c r="B145" i="8"/>
  <c r="N144" i="8"/>
  <c r="B144" i="8"/>
  <c r="N143" i="8"/>
  <c r="B143" i="8"/>
  <c r="N142" i="8"/>
  <c r="B142" i="8"/>
  <c r="N141" i="8"/>
  <c r="B141" i="8"/>
  <c r="N140" i="8"/>
  <c r="B140" i="8"/>
  <c r="N139" i="8"/>
  <c r="B139" i="8"/>
  <c r="N138" i="8"/>
  <c r="B138" i="8"/>
  <c r="N137" i="8"/>
  <c r="B137" i="8"/>
  <c r="N136" i="8"/>
  <c r="B136" i="8"/>
  <c r="N135" i="8"/>
  <c r="B135" i="8"/>
  <c r="N134" i="8"/>
  <c r="B134" i="8"/>
  <c r="N133" i="8"/>
  <c r="B133" i="8"/>
  <c r="N132" i="8"/>
  <c r="B132" i="8"/>
  <c r="N131" i="8"/>
  <c r="B131" i="8"/>
  <c r="N130" i="8"/>
  <c r="B130" i="8"/>
  <c r="N129" i="8"/>
  <c r="B129" i="8"/>
  <c r="N128" i="8"/>
  <c r="B128" i="8"/>
  <c r="N127" i="8"/>
  <c r="B127" i="8"/>
  <c r="N126" i="8"/>
  <c r="B126" i="8"/>
  <c r="B125" i="8"/>
  <c r="N124" i="8"/>
  <c r="B124" i="8"/>
  <c r="N123" i="8"/>
  <c r="B123" i="8"/>
  <c r="N122" i="8"/>
  <c r="B122" i="8"/>
  <c r="N121" i="8"/>
  <c r="B121" i="8"/>
  <c r="N120" i="8"/>
  <c r="B120" i="8"/>
  <c r="N119" i="8"/>
  <c r="B119" i="8"/>
  <c r="N118" i="8"/>
  <c r="B118" i="8"/>
  <c r="N117" i="8"/>
  <c r="B117" i="8"/>
  <c r="N116" i="8"/>
  <c r="B116" i="8"/>
  <c r="N115" i="8"/>
  <c r="B115" i="8"/>
  <c r="N114" i="8"/>
  <c r="B114" i="8"/>
  <c r="N113" i="8"/>
  <c r="B113" i="8"/>
  <c r="N112" i="8"/>
  <c r="B112" i="8"/>
  <c r="N111" i="8"/>
  <c r="B111" i="8"/>
  <c r="N110" i="8"/>
  <c r="B110" i="8"/>
  <c r="N109" i="8"/>
  <c r="B109" i="8"/>
  <c r="N108" i="8"/>
  <c r="B108" i="8"/>
  <c r="N107" i="8"/>
  <c r="B107" i="8"/>
  <c r="N106" i="8"/>
  <c r="B106" i="8"/>
  <c r="N105" i="8"/>
  <c r="B105" i="8"/>
  <c r="N104" i="8"/>
  <c r="B104" i="8"/>
  <c r="N103" i="8"/>
  <c r="B103" i="8"/>
  <c r="N102" i="8"/>
  <c r="B102" i="8"/>
  <c r="N101" i="8"/>
  <c r="B101" i="8"/>
  <c r="N100" i="8"/>
  <c r="B100" i="8"/>
  <c r="N99" i="8"/>
  <c r="B99" i="8"/>
  <c r="N98" i="8"/>
  <c r="B98" i="8"/>
  <c r="N97" i="8"/>
  <c r="B97" i="8"/>
  <c r="N96" i="8"/>
  <c r="B96" i="8"/>
  <c r="N95" i="8"/>
  <c r="B95" i="8"/>
  <c r="N94" i="8"/>
  <c r="B94" i="8"/>
  <c r="N93" i="8"/>
  <c r="B93" i="8"/>
  <c r="N92" i="8"/>
  <c r="B92" i="8"/>
  <c r="N91" i="8"/>
  <c r="B91" i="8"/>
  <c r="N90" i="8"/>
  <c r="B90" i="8"/>
  <c r="N89" i="8"/>
  <c r="B89" i="8"/>
  <c r="N88" i="8"/>
  <c r="B88" i="8"/>
  <c r="N87" i="8"/>
  <c r="B87" i="8"/>
  <c r="N86" i="8"/>
  <c r="B86" i="8"/>
  <c r="N85" i="8"/>
  <c r="B85" i="8"/>
  <c r="N84" i="8"/>
  <c r="B84" i="8"/>
  <c r="N83" i="8"/>
  <c r="B83" i="8"/>
  <c r="N82" i="8"/>
  <c r="B82" i="8"/>
  <c r="N81" i="8"/>
  <c r="B81" i="8"/>
  <c r="N80" i="8"/>
  <c r="B80" i="8"/>
  <c r="N79" i="8"/>
  <c r="B79" i="8"/>
  <c r="N78" i="8"/>
  <c r="B78" i="8"/>
  <c r="N77" i="8"/>
  <c r="B77" i="8"/>
  <c r="N76" i="8"/>
  <c r="B76" i="8"/>
  <c r="N75" i="8"/>
  <c r="B75" i="8"/>
  <c r="N74" i="8"/>
  <c r="B74" i="8"/>
  <c r="N73" i="8"/>
  <c r="B73" i="8"/>
  <c r="N72" i="8"/>
  <c r="B72" i="8"/>
  <c r="N71" i="8"/>
  <c r="B71" i="8"/>
  <c r="N70" i="8"/>
  <c r="B70" i="8"/>
  <c r="N69" i="8"/>
  <c r="B69" i="8"/>
  <c r="N68" i="8"/>
  <c r="B68" i="8"/>
  <c r="N67" i="8"/>
  <c r="B67" i="8"/>
  <c r="N66" i="8"/>
  <c r="B66" i="8"/>
  <c r="N65" i="8"/>
  <c r="B65" i="8"/>
  <c r="N64" i="8"/>
  <c r="B64" i="8"/>
  <c r="N63" i="8"/>
  <c r="B63" i="8"/>
  <c r="N62" i="8"/>
  <c r="B62" i="8"/>
  <c r="N61" i="8"/>
  <c r="B61" i="8"/>
  <c r="N60" i="8"/>
  <c r="B60" i="8"/>
  <c r="N59" i="8"/>
  <c r="B59" i="8"/>
  <c r="N58" i="8"/>
  <c r="B58" i="8"/>
  <c r="N57" i="8"/>
  <c r="B57" i="8"/>
  <c r="N56" i="8"/>
  <c r="B56" i="8"/>
  <c r="N55" i="8"/>
  <c r="B55" i="8"/>
  <c r="N54" i="8"/>
  <c r="B54" i="8"/>
  <c r="N53" i="8"/>
  <c r="B53" i="8"/>
  <c r="N52" i="8"/>
  <c r="B52" i="8"/>
  <c r="N51" i="8"/>
  <c r="B51" i="8"/>
  <c r="N50" i="8"/>
  <c r="B50" i="8"/>
  <c r="N49" i="8"/>
  <c r="B49" i="8"/>
  <c r="N48" i="8"/>
  <c r="B48" i="8"/>
  <c r="N47" i="8"/>
  <c r="B47" i="8"/>
  <c r="N46" i="8"/>
  <c r="B46" i="8"/>
  <c r="N45" i="8"/>
  <c r="B45" i="8"/>
  <c r="N44" i="8"/>
  <c r="B44" i="8"/>
  <c r="N43" i="8"/>
  <c r="B43" i="8"/>
  <c r="N42" i="8"/>
  <c r="B42" i="8"/>
  <c r="N41" i="8"/>
  <c r="B41" i="8"/>
  <c r="N40" i="8"/>
  <c r="B40" i="8"/>
  <c r="N39" i="8"/>
  <c r="B39" i="8"/>
  <c r="N38" i="8"/>
  <c r="B38" i="8"/>
  <c r="N37" i="8"/>
  <c r="B37" i="8"/>
  <c r="N36" i="8"/>
  <c r="B36" i="8"/>
  <c r="N35" i="8"/>
  <c r="B35" i="8"/>
  <c r="N34" i="8"/>
  <c r="B34" i="8"/>
  <c r="N33" i="8"/>
  <c r="B33" i="8"/>
  <c r="N32" i="8"/>
  <c r="B32" i="8"/>
  <c r="N31" i="8"/>
  <c r="B31" i="8"/>
  <c r="N30" i="8"/>
  <c r="B30" i="8"/>
  <c r="N29" i="8"/>
  <c r="B29" i="8"/>
  <c r="N28" i="8"/>
  <c r="B28" i="8"/>
  <c r="N27" i="8"/>
  <c r="B27" i="8"/>
  <c r="N26" i="8"/>
  <c r="B26" i="8"/>
  <c r="N25" i="8"/>
  <c r="B25" i="8"/>
  <c r="N24" i="8"/>
  <c r="B24" i="8"/>
  <c r="N23" i="8"/>
  <c r="B23" i="8"/>
  <c r="N22" i="8"/>
  <c r="B22" i="8"/>
  <c r="N21" i="8"/>
  <c r="B21" i="8"/>
  <c r="N20" i="8"/>
  <c r="B20" i="8"/>
  <c r="N19" i="8"/>
  <c r="B19" i="8"/>
  <c r="N18" i="8"/>
  <c r="B18" i="8"/>
  <c r="N17" i="8"/>
  <c r="B17" i="8"/>
  <c r="N16" i="8"/>
  <c r="B16" i="8"/>
  <c r="N15" i="8"/>
  <c r="B15" i="8"/>
  <c r="N14" i="8"/>
  <c r="B14" i="8"/>
  <c r="N13" i="8"/>
  <c r="B13" i="8"/>
  <c r="N12" i="8"/>
  <c r="B12" i="8"/>
  <c r="N11" i="8"/>
  <c r="B11" i="8"/>
  <c r="N10" i="8"/>
  <c r="B10" i="8"/>
  <c r="N9" i="8"/>
  <c r="B9" i="8"/>
  <c r="N8" i="8"/>
  <c r="B8" i="8"/>
  <c r="B469" i="7"/>
  <c r="B468" i="7"/>
  <c r="B467" i="7"/>
  <c r="B466" i="7"/>
  <c r="B465" i="7"/>
  <c r="B464" i="7"/>
  <c r="B463" i="7"/>
  <c r="B462" i="7"/>
  <c r="B461" i="7"/>
  <c r="B460" i="7"/>
  <c r="B459" i="7"/>
  <c r="B458" i="7"/>
  <c r="B457" i="7"/>
  <c r="B456" i="7"/>
  <c r="B455" i="7"/>
  <c r="B454" i="7"/>
  <c r="B453" i="7"/>
  <c r="B452" i="7"/>
  <c r="B451" i="7"/>
  <c r="B450" i="7"/>
  <c r="B449" i="7"/>
  <c r="B448" i="7"/>
  <c r="B447" i="7"/>
  <c r="B446" i="7"/>
  <c r="B445" i="7"/>
  <c r="B444" i="7"/>
  <c r="B443" i="7"/>
  <c r="B442" i="7"/>
  <c r="B441" i="7"/>
  <c r="B440" i="7"/>
  <c r="B439" i="7"/>
  <c r="B438" i="7"/>
  <c r="B437" i="7"/>
  <c r="B436" i="7"/>
  <c r="B435" i="7"/>
  <c r="B434" i="7"/>
  <c r="B433" i="7"/>
  <c r="B432" i="7"/>
  <c r="B431" i="7"/>
  <c r="B430" i="7"/>
  <c r="B429" i="7"/>
  <c r="B428" i="7"/>
  <c r="B427" i="7"/>
  <c r="B426" i="7"/>
  <c r="B425" i="7"/>
  <c r="B424" i="7"/>
  <c r="B423" i="7"/>
  <c r="B422" i="7"/>
  <c r="B421" i="7"/>
  <c r="B420" i="7"/>
  <c r="B419" i="7"/>
  <c r="B418" i="7"/>
  <c r="B417" i="7"/>
  <c r="B416" i="7"/>
  <c r="B415" i="7"/>
  <c r="B414" i="7"/>
  <c r="B413" i="7"/>
  <c r="B412" i="7"/>
  <c r="B411" i="7"/>
  <c r="B410" i="7"/>
  <c r="B409" i="7"/>
  <c r="B408" i="7"/>
  <c r="B407" i="7"/>
  <c r="B406" i="7"/>
  <c r="B405" i="7"/>
  <c r="B404" i="7"/>
  <c r="B403" i="7"/>
  <c r="B402" i="7"/>
  <c r="B401" i="7"/>
  <c r="B400" i="7"/>
  <c r="B399" i="7"/>
  <c r="B398" i="7"/>
  <c r="B397" i="7"/>
  <c r="B396" i="7"/>
  <c r="B395" i="7"/>
  <c r="B394" i="7"/>
  <c r="B393" i="7"/>
  <c r="B392" i="7"/>
  <c r="B391" i="7"/>
  <c r="B390" i="7"/>
  <c r="B389" i="7"/>
  <c r="B388" i="7"/>
  <c r="B387" i="7"/>
  <c r="B386" i="7"/>
  <c r="B385" i="7"/>
  <c r="B384" i="7"/>
  <c r="B383" i="7"/>
  <c r="B382" i="7"/>
  <c r="B381" i="7"/>
  <c r="B380" i="7"/>
  <c r="B379" i="7"/>
  <c r="B378" i="7"/>
  <c r="B377" i="7"/>
  <c r="B376" i="7"/>
  <c r="B375" i="7"/>
  <c r="B374" i="7"/>
  <c r="B373" i="7"/>
  <c r="B372" i="7"/>
  <c r="B371" i="7"/>
  <c r="B370" i="7"/>
  <c r="B369" i="7"/>
  <c r="B368" i="7"/>
  <c r="B367" i="7"/>
  <c r="B366" i="7"/>
  <c r="B365" i="7"/>
  <c r="B364" i="7"/>
  <c r="B363" i="7"/>
  <c r="B362" i="7"/>
  <c r="B361" i="7"/>
  <c r="B360" i="7"/>
  <c r="B359" i="7"/>
  <c r="B358" i="7"/>
  <c r="B357" i="7"/>
  <c r="B356" i="7"/>
  <c r="B355" i="7"/>
  <c r="B354" i="7"/>
  <c r="B353" i="7"/>
  <c r="B352" i="7"/>
  <c r="B351" i="7"/>
  <c r="B350" i="7"/>
  <c r="B349" i="7"/>
  <c r="B348" i="7"/>
  <c r="B347" i="7"/>
  <c r="B346" i="7"/>
  <c r="B345" i="7"/>
  <c r="B344" i="7"/>
  <c r="B343" i="7"/>
  <c r="B342" i="7"/>
  <c r="B341" i="7"/>
  <c r="B340" i="7"/>
  <c r="B339" i="7"/>
  <c r="B338" i="7"/>
  <c r="B337" i="7"/>
  <c r="B336" i="7"/>
  <c r="B335" i="7"/>
  <c r="B334" i="7"/>
  <c r="B333" i="7"/>
  <c r="B332" i="7"/>
  <c r="B331" i="7"/>
  <c r="B330" i="7"/>
  <c r="B329" i="7"/>
  <c r="B328" i="7"/>
  <c r="B327" i="7"/>
  <c r="B326" i="7"/>
  <c r="B325" i="7"/>
  <c r="B324" i="7"/>
  <c r="B323" i="7"/>
  <c r="B322" i="7"/>
  <c r="B321" i="7"/>
  <c r="B320" i="7"/>
  <c r="B319" i="7"/>
  <c r="B318" i="7"/>
  <c r="B317" i="7"/>
  <c r="B316" i="7"/>
  <c r="B315" i="7"/>
  <c r="B314" i="7"/>
  <c r="B313" i="7"/>
  <c r="B312" i="7"/>
  <c r="B311" i="7"/>
  <c r="B310" i="7"/>
  <c r="B309" i="7"/>
  <c r="B308" i="7"/>
  <c r="B307" i="7"/>
  <c r="B306" i="7"/>
  <c r="B305" i="7"/>
  <c r="B304" i="7"/>
  <c r="B303" i="7"/>
  <c r="U302" i="7"/>
  <c r="B302" i="7"/>
  <c r="N301" i="7"/>
  <c r="B301" i="7"/>
  <c r="N300" i="7"/>
  <c r="B300" i="7"/>
  <c r="N299" i="7"/>
  <c r="B299" i="7"/>
  <c r="N298" i="7"/>
  <c r="B298" i="7"/>
  <c r="N297" i="7"/>
  <c r="B297" i="7"/>
  <c r="N296" i="7"/>
  <c r="B296" i="7"/>
  <c r="N295" i="7"/>
  <c r="B295" i="7"/>
  <c r="N294" i="7"/>
  <c r="B294" i="7"/>
  <c r="N293" i="7"/>
  <c r="B293" i="7"/>
  <c r="N292" i="7"/>
  <c r="B292" i="7"/>
  <c r="N291" i="7"/>
  <c r="B291" i="7"/>
  <c r="N290" i="7"/>
  <c r="B290" i="7"/>
  <c r="N289" i="7"/>
  <c r="B289" i="7"/>
  <c r="N288" i="7"/>
  <c r="B288" i="7"/>
  <c r="N287" i="7"/>
  <c r="B287" i="7"/>
  <c r="N286" i="7"/>
  <c r="B286" i="7"/>
  <c r="N285" i="7"/>
  <c r="B285" i="7"/>
  <c r="N284" i="7"/>
  <c r="B284" i="7"/>
  <c r="N283" i="7"/>
  <c r="B283" i="7"/>
  <c r="N282" i="7"/>
  <c r="B282" i="7"/>
  <c r="N281" i="7"/>
  <c r="B281" i="7"/>
  <c r="N280" i="7"/>
  <c r="B280" i="7"/>
  <c r="N279" i="7"/>
  <c r="B279" i="7"/>
  <c r="N278" i="7"/>
  <c r="B278" i="7"/>
  <c r="N277" i="7"/>
  <c r="B277" i="7"/>
  <c r="N276" i="7"/>
  <c r="B276" i="7"/>
  <c r="N275" i="7"/>
  <c r="B275" i="7"/>
  <c r="N274" i="7"/>
  <c r="B274" i="7"/>
  <c r="N273" i="7"/>
  <c r="B273" i="7"/>
  <c r="N272" i="7"/>
  <c r="B272" i="7"/>
  <c r="N271" i="7"/>
  <c r="B271" i="7"/>
  <c r="N270" i="7"/>
  <c r="B270" i="7"/>
  <c r="N269" i="7"/>
  <c r="B269" i="7"/>
  <c r="N268" i="7"/>
  <c r="B268" i="7"/>
  <c r="N267" i="7"/>
  <c r="B267" i="7"/>
  <c r="N266" i="7"/>
  <c r="B266" i="7"/>
  <c r="N265" i="7"/>
  <c r="B265" i="7"/>
  <c r="N264" i="7"/>
  <c r="B264" i="7"/>
  <c r="N263" i="7"/>
  <c r="B263" i="7"/>
  <c r="N262" i="7"/>
  <c r="B262" i="7"/>
  <c r="N261" i="7"/>
  <c r="B261" i="7"/>
  <c r="N260" i="7"/>
  <c r="B260" i="7"/>
  <c r="N259" i="7"/>
  <c r="B259" i="7"/>
  <c r="N258" i="7"/>
  <c r="B258" i="7"/>
  <c r="N257" i="7"/>
  <c r="B257" i="7"/>
  <c r="N256" i="7"/>
  <c r="B256" i="7"/>
  <c r="N255" i="7"/>
  <c r="B255" i="7"/>
  <c r="B254" i="7"/>
  <c r="N253" i="7"/>
  <c r="B253" i="7"/>
  <c r="N252" i="7"/>
  <c r="B252" i="7"/>
  <c r="N251" i="7"/>
  <c r="B251" i="7"/>
  <c r="N250" i="7"/>
  <c r="B250" i="7"/>
  <c r="N249" i="7"/>
  <c r="B249" i="7"/>
  <c r="N248" i="7"/>
  <c r="B248" i="7"/>
  <c r="N247" i="7"/>
  <c r="B247" i="7"/>
  <c r="N246" i="7"/>
  <c r="B246" i="7"/>
  <c r="N245" i="7"/>
  <c r="B245" i="7"/>
  <c r="N244" i="7"/>
  <c r="B244" i="7"/>
  <c r="N243" i="7"/>
  <c r="B243" i="7"/>
  <c r="N242" i="7"/>
  <c r="B242" i="7"/>
  <c r="N241" i="7"/>
  <c r="B241" i="7"/>
  <c r="N240" i="7"/>
  <c r="B240" i="7"/>
  <c r="N239" i="7"/>
  <c r="B239" i="7"/>
  <c r="N238" i="7"/>
  <c r="B238" i="7"/>
  <c r="N237" i="7"/>
  <c r="B237" i="7"/>
  <c r="N236" i="7"/>
  <c r="B236" i="7"/>
  <c r="N235" i="7"/>
  <c r="B235" i="7"/>
  <c r="N234" i="7"/>
  <c r="B234" i="7"/>
  <c r="N233" i="7"/>
  <c r="B233" i="7"/>
  <c r="N232" i="7"/>
  <c r="B232" i="7"/>
  <c r="N231" i="7"/>
  <c r="B231" i="7"/>
  <c r="N230" i="7"/>
  <c r="B230" i="7"/>
  <c r="N229" i="7"/>
  <c r="B229" i="7"/>
  <c r="N228" i="7"/>
  <c r="B228" i="7"/>
  <c r="N227" i="7"/>
  <c r="B227" i="7"/>
  <c r="N226" i="7"/>
  <c r="B226" i="7"/>
  <c r="N225" i="7"/>
  <c r="B225" i="7"/>
  <c r="N224" i="7"/>
  <c r="B224" i="7"/>
  <c r="N223" i="7"/>
  <c r="B223" i="7"/>
  <c r="N222" i="7"/>
  <c r="B222" i="7"/>
  <c r="N221" i="7"/>
  <c r="B221" i="7"/>
  <c r="N220" i="7"/>
  <c r="B220" i="7"/>
  <c r="N219" i="7"/>
  <c r="B219" i="7"/>
  <c r="N218" i="7"/>
  <c r="B218" i="7"/>
  <c r="N217" i="7"/>
  <c r="B217" i="7"/>
  <c r="N216" i="7"/>
  <c r="B216" i="7"/>
  <c r="N215" i="7"/>
  <c r="B215" i="7"/>
  <c r="N214" i="7"/>
  <c r="B214" i="7"/>
  <c r="N213" i="7"/>
  <c r="B213" i="7"/>
  <c r="N212" i="7"/>
  <c r="B212" i="7"/>
  <c r="N211" i="7"/>
  <c r="B211" i="7"/>
  <c r="N210" i="7"/>
  <c r="B210" i="7"/>
  <c r="N209" i="7"/>
  <c r="B209" i="7"/>
  <c r="N208" i="7"/>
  <c r="B208" i="7"/>
  <c r="N207" i="7"/>
  <c r="B207" i="7"/>
  <c r="N206" i="7"/>
  <c r="B206" i="7"/>
  <c r="N205" i="7"/>
  <c r="B205" i="7"/>
  <c r="N204" i="7"/>
  <c r="B204" i="7"/>
  <c r="N203" i="7"/>
  <c r="B203" i="7"/>
  <c r="N202" i="7"/>
  <c r="B202" i="7"/>
  <c r="N201" i="7"/>
  <c r="B201" i="7"/>
  <c r="N200" i="7"/>
  <c r="B200" i="7"/>
  <c r="N199" i="7"/>
  <c r="B199" i="7"/>
  <c r="N198" i="7"/>
  <c r="B198" i="7"/>
  <c r="N197" i="7"/>
  <c r="B197" i="7"/>
  <c r="N196" i="7"/>
  <c r="B196" i="7"/>
  <c r="N195" i="7"/>
  <c r="B195" i="7"/>
  <c r="N194" i="7"/>
  <c r="B194" i="7"/>
  <c r="N193" i="7"/>
  <c r="B193" i="7"/>
  <c r="N192" i="7"/>
  <c r="B192" i="7"/>
  <c r="N191" i="7"/>
  <c r="B191" i="7"/>
  <c r="N190" i="7"/>
  <c r="B190" i="7"/>
  <c r="N189" i="7"/>
  <c r="B189" i="7"/>
  <c r="N188" i="7"/>
  <c r="B188" i="7"/>
  <c r="N187" i="7"/>
  <c r="B187" i="7"/>
  <c r="N186" i="7"/>
  <c r="B186" i="7"/>
  <c r="N185" i="7"/>
  <c r="B185" i="7"/>
  <c r="N184" i="7"/>
  <c r="B184" i="7"/>
  <c r="N183" i="7"/>
  <c r="B183" i="7"/>
  <c r="N182" i="7"/>
  <c r="B182" i="7"/>
  <c r="N181" i="7"/>
  <c r="B181" i="7"/>
  <c r="N180" i="7"/>
  <c r="B180" i="7"/>
  <c r="N179" i="7"/>
  <c r="B179" i="7"/>
  <c r="N178" i="7"/>
  <c r="B178" i="7"/>
  <c r="N177" i="7"/>
  <c r="B177" i="7"/>
  <c r="N176" i="7"/>
  <c r="B176" i="7"/>
  <c r="N175" i="7"/>
  <c r="B175" i="7"/>
  <c r="N174" i="7"/>
  <c r="B174" i="7"/>
  <c r="N173" i="7"/>
  <c r="B173" i="7"/>
  <c r="N172" i="7"/>
  <c r="B172" i="7"/>
  <c r="N171" i="7"/>
  <c r="B171" i="7"/>
  <c r="N170" i="7"/>
  <c r="B170" i="7"/>
  <c r="N169" i="7"/>
  <c r="B169" i="7"/>
  <c r="N168" i="7"/>
  <c r="B168" i="7"/>
  <c r="N167" i="7"/>
  <c r="B167" i="7"/>
  <c r="N166" i="7"/>
  <c r="B166" i="7"/>
  <c r="N165" i="7"/>
  <c r="B165" i="7"/>
  <c r="N164" i="7"/>
  <c r="B164" i="7"/>
  <c r="N163" i="7"/>
  <c r="B163" i="7"/>
  <c r="B162" i="7"/>
  <c r="N161" i="7"/>
  <c r="B161" i="7"/>
  <c r="N160" i="7"/>
  <c r="B160" i="7"/>
  <c r="N159" i="7"/>
  <c r="B159" i="7"/>
  <c r="N158" i="7"/>
  <c r="B158" i="7"/>
  <c r="N157" i="7"/>
  <c r="B157" i="7"/>
  <c r="N156" i="7"/>
  <c r="B156" i="7"/>
  <c r="N155" i="7"/>
  <c r="B155" i="7"/>
  <c r="N154" i="7"/>
  <c r="B154" i="7"/>
  <c r="N153" i="7"/>
  <c r="B153" i="7"/>
  <c r="N152" i="7"/>
  <c r="B152" i="7"/>
  <c r="N151" i="7"/>
  <c r="B151" i="7"/>
  <c r="N150" i="7"/>
  <c r="B150" i="7"/>
  <c r="N149" i="7"/>
  <c r="B149" i="7"/>
  <c r="N148" i="7"/>
  <c r="B148" i="7"/>
  <c r="N147" i="7"/>
  <c r="B147" i="7"/>
  <c r="N146" i="7"/>
  <c r="B146" i="7"/>
  <c r="N145" i="7"/>
  <c r="B145" i="7"/>
  <c r="N144" i="7"/>
  <c r="B144" i="7"/>
  <c r="N143" i="7"/>
  <c r="B143" i="7"/>
  <c r="N142" i="7"/>
  <c r="B142" i="7"/>
  <c r="N141" i="7"/>
  <c r="B141" i="7"/>
  <c r="N140" i="7"/>
  <c r="B140" i="7"/>
  <c r="N139" i="7"/>
  <c r="B139" i="7"/>
  <c r="N138" i="7"/>
  <c r="B138" i="7"/>
  <c r="N137" i="7"/>
  <c r="B137" i="7"/>
  <c r="N136" i="7"/>
  <c r="B136" i="7"/>
  <c r="N135" i="7"/>
  <c r="B135" i="7"/>
  <c r="N134" i="7"/>
  <c r="B134" i="7"/>
  <c r="N133" i="7"/>
  <c r="B133" i="7"/>
  <c r="N132" i="7"/>
  <c r="B132" i="7"/>
  <c r="N131" i="7"/>
  <c r="B131" i="7"/>
  <c r="N130" i="7"/>
  <c r="B130" i="7"/>
  <c r="N129" i="7"/>
  <c r="B129" i="7"/>
  <c r="N128" i="7"/>
  <c r="B128" i="7"/>
  <c r="N127" i="7"/>
  <c r="B127" i="7"/>
  <c r="N126" i="7"/>
  <c r="B126" i="7"/>
  <c r="N125" i="7"/>
  <c r="B125" i="7"/>
  <c r="N124" i="7"/>
  <c r="B124" i="7"/>
  <c r="N123" i="7"/>
  <c r="B123" i="7"/>
  <c r="N122" i="7"/>
  <c r="B122" i="7"/>
  <c r="N121" i="7"/>
  <c r="B121" i="7"/>
  <c r="N120" i="7"/>
  <c r="B120" i="7"/>
  <c r="N119" i="7"/>
  <c r="B119" i="7"/>
  <c r="N118" i="7"/>
  <c r="B118" i="7"/>
  <c r="N117" i="7"/>
  <c r="B117" i="7"/>
  <c r="N116" i="7"/>
  <c r="B116" i="7"/>
  <c r="N115" i="7"/>
  <c r="B115" i="7"/>
  <c r="N114" i="7"/>
  <c r="B114" i="7"/>
  <c r="N113" i="7"/>
  <c r="B113" i="7"/>
  <c r="N112" i="7"/>
  <c r="B112" i="7"/>
  <c r="N111" i="7"/>
  <c r="B111" i="7"/>
  <c r="N110" i="7"/>
  <c r="B110" i="7"/>
  <c r="N109" i="7"/>
  <c r="B109" i="7"/>
  <c r="N108" i="7"/>
  <c r="B108" i="7"/>
  <c r="N107" i="7"/>
  <c r="B107" i="7"/>
  <c r="N106" i="7"/>
  <c r="B106" i="7"/>
  <c r="N105" i="7"/>
  <c r="B105" i="7"/>
  <c r="N104" i="7"/>
  <c r="B104" i="7"/>
  <c r="N103" i="7"/>
  <c r="B103" i="7"/>
  <c r="N102" i="7"/>
  <c r="B102" i="7"/>
  <c r="N101" i="7"/>
  <c r="B101" i="7"/>
  <c r="N100" i="7"/>
  <c r="B100" i="7"/>
  <c r="N99" i="7"/>
  <c r="B99" i="7"/>
  <c r="N98" i="7"/>
  <c r="B98" i="7"/>
  <c r="N97" i="7"/>
  <c r="B97" i="7"/>
  <c r="N96" i="7"/>
  <c r="B96" i="7"/>
  <c r="N95" i="7"/>
  <c r="B95" i="7"/>
  <c r="N94" i="7"/>
  <c r="B94" i="7"/>
  <c r="N93" i="7"/>
  <c r="B93" i="7"/>
  <c r="N92" i="7"/>
  <c r="B92" i="7"/>
  <c r="N91" i="7"/>
  <c r="B91" i="7"/>
  <c r="N90" i="7"/>
  <c r="B90" i="7"/>
  <c r="N89" i="7"/>
  <c r="B89" i="7"/>
  <c r="N88" i="7"/>
  <c r="B88" i="7"/>
  <c r="N87" i="7"/>
  <c r="B87" i="7"/>
  <c r="N86" i="7"/>
  <c r="B86" i="7"/>
  <c r="N85" i="7"/>
  <c r="B85" i="7"/>
  <c r="N84" i="7"/>
  <c r="B84" i="7"/>
  <c r="N83" i="7"/>
  <c r="B83" i="7"/>
  <c r="N82" i="7"/>
  <c r="B82" i="7"/>
  <c r="N81" i="7"/>
  <c r="B81" i="7"/>
  <c r="N80" i="7"/>
  <c r="B80" i="7"/>
  <c r="N79" i="7"/>
  <c r="B79" i="7"/>
  <c r="N78" i="7"/>
  <c r="B78" i="7"/>
  <c r="N77" i="7"/>
  <c r="B77" i="7"/>
  <c r="N76" i="7"/>
  <c r="B76" i="7"/>
  <c r="N75" i="7"/>
  <c r="B75" i="7"/>
  <c r="N74" i="7"/>
  <c r="B74" i="7"/>
  <c r="N73" i="7"/>
  <c r="B73" i="7"/>
  <c r="N72" i="7"/>
  <c r="B72" i="7"/>
  <c r="N71" i="7"/>
  <c r="B71" i="7"/>
  <c r="N70" i="7"/>
  <c r="B70" i="7"/>
  <c r="N69" i="7"/>
  <c r="B69" i="7"/>
  <c r="N68" i="7"/>
  <c r="B68" i="7"/>
  <c r="N67" i="7"/>
  <c r="B67" i="7"/>
  <c r="N66" i="7"/>
  <c r="B66" i="7"/>
  <c r="N65" i="7"/>
  <c r="B65" i="7"/>
  <c r="N64" i="7"/>
  <c r="B64" i="7"/>
  <c r="N63" i="7"/>
  <c r="B63" i="7"/>
  <c r="N62" i="7"/>
  <c r="B62" i="7"/>
  <c r="N61" i="7"/>
  <c r="B61" i="7"/>
  <c r="N60" i="7"/>
  <c r="B60" i="7"/>
  <c r="N59" i="7"/>
  <c r="B59" i="7"/>
  <c r="N58" i="7"/>
  <c r="B58" i="7"/>
  <c r="N57" i="7"/>
  <c r="B57" i="7"/>
  <c r="N56" i="7"/>
  <c r="B56" i="7"/>
  <c r="N55" i="7"/>
  <c r="B55" i="7"/>
  <c r="N54" i="7"/>
  <c r="B54" i="7"/>
  <c r="N53" i="7"/>
  <c r="B53" i="7"/>
  <c r="N52" i="7"/>
  <c r="B52" i="7"/>
  <c r="N51" i="7"/>
  <c r="B51" i="7"/>
  <c r="N50" i="7"/>
  <c r="B50" i="7"/>
  <c r="N49" i="7"/>
  <c r="B49" i="7"/>
  <c r="N48" i="7"/>
  <c r="B48" i="7"/>
  <c r="N47" i="7"/>
  <c r="B47" i="7"/>
  <c r="N46" i="7"/>
  <c r="B46" i="7"/>
  <c r="N45" i="7"/>
  <c r="B45" i="7"/>
  <c r="N44" i="7"/>
  <c r="B44" i="7"/>
  <c r="N43" i="7"/>
  <c r="B43" i="7"/>
  <c r="N42" i="7"/>
  <c r="B42" i="7"/>
  <c r="N41" i="7"/>
  <c r="B41" i="7"/>
  <c r="N40" i="7"/>
  <c r="B40" i="7"/>
  <c r="N39" i="7"/>
  <c r="B39" i="7"/>
  <c r="N38" i="7"/>
  <c r="B38" i="7"/>
  <c r="N37" i="7"/>
  <c r="B37" i="7"/>
  <c r="N36" i="7"/>
  <c r="B36" i="7"/>
  <c r="N35" i="7"/>
  <c r="B35" i="7"/>
  <c r="N34" i="7"/>
  <c r="B34" i="7"/>
  <c r="N33" i="7"/>
  <c r="B33" i="7"/>
  <c r="N32" i="7"/>
  <c r="B32" i="7"/>
  <c r="N31" i="7"/>
  <c r="B31" i="7"/>
  <c r="N30" i="7"/>
  <c r="B30" i="7"/>
  <c r="N29" i="7"/>
  <c r="B29" i="7"/>
  <c r="N28" i="7"/>
  <c r="B28" i="7"/>
  <c r="N27" i="7"/>
  <c r="B27" i="7"/>
  <c r="N26" i="7"/>
  <c r="B26" i="7"/>
  <c r="N25" i="7"/>
  <c r="B25" i="7"/>
  <c r="N24" i="7"/>
  <c r="B24" i="7"/>
  <c r="N23" i="7"/>
  <c r="B23" i="7"/>
  <c r="N22" i="7"/>
  <c r="B22" i="7"/>
  <c r="N21" i="7"/>
  <c r="B21" i="7"/>
  <c r="N20" i="7"/>
  <c r="B20" i="7"/>
  <c r="N19" i="7"/>
  <c r="B19" i="7"/>
  <c r="N18" i="7"/>
  <c r="B18" i="7"/>
  <c r="N17" i="7"/>
  <c r="B17" i="7"/>
  <c r="N16" i="7"/>
  <c r="B16" i="7"/>
  <c r="N15" i="7"/>
  <c r="B15" i="7"/>
  <c r="N14" i="7"/>
  <c r="B14" i="7"/>
  <c r="N13" i="7"/>
  <c r="B13" i="7"/>
  <c r="N12" i="7"/>
  <c r="B12" i="7"/>
  <c r="N11" i="7"/>
  <c r="B11" i="7"/>
  <c r="N10" i="7"/>
  <c r="B10" i="7"/>
  <c r="N9" i="7"/>
  <c r="B9" i="7"/>
  <c r="N8" i="7"/>
  <c r="B8" i="7"/>
  <c r="U261" i="6"/>
  <c r="N260" i="6"/>
  <c r="B260" i="6"/>
  <c r="N259" i="6"/>
  <c r="B259" i="6"/>
  <c r="N258" i="6"/>
  <c r="B258" i="6"/>
  <c r="N257" i="6"/>
  <c r="B257" i="6"/>
  <c r="N256" i="6"/>
  <c r="B256" i="6"/>
  <c r="N255" i="6"/>
  <c r="B255" i="6"/>
  <c r="N254" i="6"/>
  <c r="B254" i="6"/>
  <c r="N253" i="6"/>
  <c r="B253" i="6"/>
  <c r="N252" i="6"/>
  <c r="B252" i="6"/>
  <c r="B251" i="6"/>
  <c r="N250" i="6"/>
  <c r="B250" i="6"/>
  <c r="N249" i="6"/>
  <c r="B249" i="6"/>
  <c r="N248" i="6"/>
  <c r="B248" i="6"/>
  <c r="N247" i="6"/>
  <c r="B247" i="6"/>
  <c r="N246" i="6"/>
  <c r="F246" i="6"/>
  <c r="E246" i="6"/>
  <c r="D246" i="6"/>
  <c r="B246" i="6"/>
  <c r="N245" i="6"/>
  <c r="B245" i="6"/>
  <c r="N244" i="6"/>
  <c r="B244" i="6"/>
  <c r="N243" i="6"/>
  <c r="B243" i="6"/>
  <c r="N242" i="6"/>
  <c r="B242" i="6"/>
  <c r="N241" i="6"/>
  <c r="B241" i="6"/>
  <c r="N240" i="6"/>
  <c r="B240" i="6"/>
  <c r="N239" i="6"/>
  <c r="B239" i="6"/>
  <c r="N238" i="6"/>
  <c r="B238" i="6"/>
  <c r="N237" i="6"/>
  <c r="B237" i="6"/>
  <c r="N236" i="6"/>
  <c r="B236" i="6"/>
  <c r="N235" i="6"/>
  <c r="F235" i="6"/>
  <c r="E235" i="6"/>
  <c r="D235" i="6"/>
  <c r="B235" i="6"/>
  <c r="N234" i="6"/>
  <c r="B234" i="6"/>
  <c r="N233" i="6"/>
  <c r="B233" i="6"/>
  <c r="N232" i="6"/>
  <c r="B232" i="6"/>
  <c r="N231" i="6"/>
  <c r="B231" i="6"/>
  <c r="N230" i="6"/>
  <c r="B230" i="6"/>
  <c r="N229" i="6"/>
  <c r="B229" i="6"/>
  <c r="N228" i="6"/>
  <c r="B228" i="6"/>
  <c r="N227" i="6"/>
  <c r="B227" i="6"/>
  <c r="N226" i="6"/>
  <c r="B226" i="6"/>
  <c r="N225" i="6"/>
  <c r="B225" i="6"/>
  <c r="N224" i="6"/>
  <c r="B224" i="6"/>
  <c r="N223" i="6"/>
  <c r="B223" i="6"/>
  <c r="N222" i="6"/>
  <c r="B222" i="6"/>
  <c r="N221" i="6"/>
  <c r="B221" i="6"/>
  <c r="N220" i="6"/>
  <c r="B220" i="6"/>
  <c r="N219" i="6"/>
  <c r="B219" i="6"/>
  <c r="N218" i="6"/>
  <c r="B218" i="6"/>
  <c r="N217" i="6"/>
  <c r="B217" i="6"/>
  <c r="N216" i="6"/>
  <c r="B216" i="6"/>
  <c r="N215" i="6"/>
  <c r="B215" i="6"/>
  <c r="N214" i="6"/>
  <c r="B214" i="6"/>
  <c r="N213" i="6"/>
  <c r="B213" i="6"/>
  <c r="N212" i="6"/>
  <c r="B212" i="6"/>
  <c r="N211" i="6"/>
  <c r="B211" i="6"/>
  <c r="N210" i="6"/>
  <c r="B210" i="6"/>
  <c r="N209" i="6"/>
  <c r="B209" i="6"/>
  <c r="N208" i="6"/>
  <c r="B208" i="6"/>
  <c r="N207" i="6"/>
  <c r="B207" i="6"/>
  <c r="N206" i="6"/>
  <c r="B206" i="6"/>
  <c r="N205" i="6"/>
  <c r="B205" i="6"/>
  <c r="N204" i="6"/>
  <c r="B204" i="6"/>
  <c r="N203" i="6"/>
  <c r="B203" i="6"/>
  <c r="N202" i="6"/>
  <c r="B202" i="6"/>
  <c r="N201" i="6"/>
  <c r="B201" i="6"/>
  <c r="N200" i="6"/>
  <c r="B200" i="6"/>
  <c r="N199" i="6"/>
  <c r="B199" i="6"/>
  <c r="N198" i="6"/>
  <c r="B198" i="6"/>
  <c r="N197" i="6"/>
  <c r="B197" i="6"/>
  <c r="N196" i="6"/>
  <c r="B196" i="6"/>
  <c r="N195" i="6"/>
  <c r="B195" i="6"/>
  <c r="N194" i="6"/>
  <c r="B194" i="6"/>
  <c r="N193" i="6"/>
  <c r="B193" i="6"/>
  <c r="N192" i="6"/>
  <c r="B192" i="6"/>
  <c r="N191" i="6"/>
  <c r="B191" i="6"/>
  <c r="N190" i="6"/>
  <c r="B190" i="6"/>
  <c r="N189" i="6"/>
  <c r="B189" i="6"/>
  <c r="N188" i="6"/>
  <c r="B188" i="6"/>
  <c r="N187" i="6"/>
  <c r="B187" i="6"/>
  <c r="N186" i="6"/>
  <c r="B186" i="6"/>
  <c r="N185" i="6"/>
  <c r="B185" i="6"/>
  <c r="N184" i="6"/>
  <c r="B184" i="6"/>
  <c r="N183" i="6"/>
  <c r="B183" i="6"/>
  <c r="N182" i="6"/>
  <c r="B182" i="6"/>
  <c r="N181" i="6"/>
  <c r="B181" i="6"/>
  <c r="N180" i="6"/>
  <c r="B180" i="6"/>
  <c r="N179" i="6"/>
  <c r="B179" i="6"/>
  <c r="N178" i="6"/>
  <c r="B178" i="6"/>
  <c r="N177" i="6"/>
  <c r="B177" i="6"/>
  <c r="N176" i="6"/>
  <c r="B176" i="6"/>
  <c r="N175" i="6"/>
  <c r="B175" i="6"/>
  <c r="N174" i="6"/>
  <c r="B174" i="6"/>
  <c r="N173" i="6"/>
  <c r="B173" i="6"/>
  <c r="N172" i="6"/>
  <c r="B172" i="6"/>
  <c r="N171" i="6"/>
  <c r="B171" i="6"/>
  <c r="N170" i="6"/>
  <c r="B170" i="6"/>
  <c r="N169" i="6"/>
  <c r="B169" i="6"/>
  <c r="N168" i="6"/>
  <c r="B168" i="6"/>
  <c r="N167" i="6"/>
  <c r="B167" i="6"/>
  <c r="N166" i="6"/>
  <c r="B166" i="6"/>
  <c r="N165" i="6"/>
  <c r="B165" i="6"/>
  <c r="N164" i="6"/>
  <c r="B164" i="6"/>
  <c r="N163" i="6"/>
  <c r="B163" i="6"/>
  <c r="N162" i="6"/>
  <c r="B162" i="6"/>
  <c r="N161" i="6"/>
  <c r="B161" i="6"/>
  <c r="N160" i="6"/>
  <c r="B160" i="6"/>
  <c r="N159" i="6"/>
  <c r="B159" i="6"/>
  <c r="N158" i="6"/>
  <c r="B158" i="6"/>
  <c r="N157" i="6"/>
  <c r="B157" i="6"/>
  <c r="N156" i="6"/>
  <c r="B156" i="6"/>
  <c r="N155" i="6"/>
  <c r="B155" i="6"/>
  <c r="N154" i="6"/>
  <c r="B154" i="6"/>
  <c r="N153" i="6"/>
  <c r="B153" i="6"/>
  <c r="N152" i="6"/>
  <c r="B152" i="6"/>
  <c r="N151" i="6"/>
  <c r="B151" i="6"/>
  <c r="N150" i="6"/>
  <c r="B150" i="6"/>
  <c r="N149" i="6"/>
  <c r="B149" i="6"/>
  <c r="N148" i="6"/>
  <c r="B148" i="6"/>
  <c r="N147" i="6"/>
  <c r="B147" i="6"/>
  <c r="N146" i="6"/>
  <c r="B146" i="6"/>
  <c r="N145" i="6"/>
  <c r="B145" i="6"/>
  <c r="N144" i="6"/>
  <c r="B144" i="6"/>
  <c r="N143" i="6"/>
  <c r="B143" i="6"/>
  <c r="N142" i="6"/>
  <c r="B142" i="6"/>
  <c r="N141" i="6"/>
  <c r="B141" i="6"/>
  <c r="N140" i="6"/>
  <c r="B140" i="6"/>
  <c r="N139" i="6"/>
  <c r="B139" i="6"/>
  <c r="N138" i="6"/>
  <c r="B138" i="6"/>
  <c r="N137" i="6"/>
  <c r="B137" i="6"/>
  <c r="N136" i="6"/>
  <c r="B136" i="6"/>
  <c r="N135" i="6"/>
  <c r="B135" i="6"/>
  <c r="N134" i="6"/>
  <c r="B134" i="6"/>
  <c r="N133" i="6"/>
  <c r="B133" i="6"/>
  <c r="N132" i="6"/>
  <c r="B132" i="6"/>
  <c r="N131" i="6"/>
  <c r="B131" i="6"/>
  <c r="N130" i="6"/>
  <c r="B130" i="6"/>
  <c r="N129" i="6"/>
  <c r="B129" i="6"/>
  <c r="N128" i="6"/>
  <c r="B128" i="6"/>
  <c r="N127" i="6"/>
  <c r="B127" i="6"/>
  <c r="N126" i="6"/>
  <c r="B126" i="6"/>
  <c r="N125" i="6"/>
  <c r="B125" i="6"/>
  <c r="N124" i="6"/>
  <c r="B124" i="6"/>
  <c r="N123" i="6"/>
  <c r="B123" i="6"/>
  <c r="N122" i="6"/>
  <c r="B122" i="6"/>
  <c r="N121" i="6"/>
  <c r="B121" i="6"/>
  <c r="N120" i="6"/>
  <c r="B120" i="6"/>
  <c r="N119" i="6"/>
  <c r="B119" i="6"/>
  <c r="N118" i="6"/>
  <c r="B118" i="6"/>
  <c r="N117" i="6"/>
  <c r="B117" i="6"/>
  <c r="N116" i="6"/>
  <c r="B116" i="6"/>
  <c r="N115" i="6"/>
  <c r="B115" i="6"/>
  <c r="N114" i="6"/>
  <c r="B114" i="6"/>
  <c r="N113" i="6"/>
  <c r="B113" i="6"/>
  <c r="N112" i="6"/>
  <c r="B112" i="6"/>
  <c r="N111" i="6"/>
  <c r="B111" i="6"/>
  <c r="N110" i="6"/>
  <c r="B110" i="6"/>
  <c r="N109" i="6"/>
  <c r="B109" i="6"/>
  <c r="N108" i="6"/>
  <c r="B108" i="6"/>
  <c r="N107" i="6"/>
  <c r="B107" i="6"/>
  <c r="N106" i="6"/>
  <c r="B106" i="6"/>
  <c r="N105" i="6"/>
  <c r="B105" i="6"/>
  <c r="N104" i="6"/>
  <c r="B104" i="6"/>
  <c r="N103" i="6"/>
  <c r="B103" i="6"/>
  <c r="N102" i="6"/>
  <c r="B102" i="6"/>
  <c r="N101" i="6"/>
  <c r="B101" i="6"/>
  <c r="N100" i="6"/>
  <c r="B100" i="6"/>
  <c r="N99" i="6"/>
  <c r="B99" i="6"/>
  <c r="N98" i="6"/>
  <c r="B98" i="6"/>
  <c r="N97" i="6"/>
  <c r="B97" i="6"/>
  <c r="N96" i="6"/>
  <c r="B96" i="6"/>
  <c r="N95" i="6"/>
  <c r="B95" i="6"/>
  <c r="N94" i="6"/>
  <c r="B94" i="6"/>
  <c r="N93" i="6"/>
  <c r="B93" i="6"/>
  <c r="N92" i="6"/>
  <c r="B92" i="6"/>
  <c r="N91" i="6"/>
  <c r="B91" i="6"/>
  <c r="N90" i="6"/>
  <c r="B90" i="6"/>
  <c r="N89" i="6"/>
  <c r="B89" i="6"/>
  <c r="N88" i="6"/>
  <c r="B88" i="6"/>
  <c r="N87" i="6"/>
  <c r="B87" i="6"/>
  <c r="N86" i="6"/>
  <c r="B86" i="6"/>
  <c r="N85" i="6"/>
  <c r="B85" i="6"/>
  <c r="N84" i="6"/>
  <c r="B84" i="6"/>
  <c r="N83" i="6"/>
  <c r="B83" i="6"/>
  <c r="N82" i="6"/>
  <c r="B82" i="6"/>
  <c r="N81" i="6"/>
  <c r="B81" i="6"/>
  <c r="N80" i="6"/>
  <c r="B80" i="6"/>
  <c r="N79" i="6"/>
  <c r="B79" i="6"/>
  <c r="N78" i="6"/>
  <c r="B78" i="6"/>
  <c r="N77" i="6"/>
  <c r="B77" i="6"/>
  <c r="N76" i="6"/>
  <c r="B76" i="6"/>
  <c r="N75" i="6"/>
  <c r="B75" i="6"/>
  <c r="N74" i="6"/>
  <c r="B74" i="6"/>
  <c r="N73" i="6"/>
  <c r="B73" i="6"/>
  <c r="N72" i="6"/>
  <c r="B72" i="6"/>
  <c r="N71" i="6"/>
  <c r="B71" i="6"/>
  <c r="N70" i="6"/>
  <c r="B70" i="6"/>
  <c r="N69" i="6"/>
  <c r="B69" i="6"/>
  <c r="N68" i="6"/>
  <c r="B68" i="6"/>
  <c r="N67" i="6"/>
  <c r="B67" i="6"/>
  <c r="N66" i="6"/>
  <c r="B66" i="6"/>
  <c r="N65" i="6"/>
  <c r="B65" i="6"/>
  <c r="N64" i="6"/>
  <c r="B64" i="6"/>
  <c r="N63" i="6"/>
  <c r="G63" i="6"/>
  <c r="B63" i="6"/>
  <c r="N62" i="6"/>
  <c r="B62" i="6"/>
  <c r="N61" i="6"/>
  <c r="B61" i="6"/>
  <c r="N60" i="6"/>
  <c r="B60" i="6"/>
  <c r="N59" i="6"/>
  <c r="B59" i="6"/>
  <c r="N58" i="6"/>
  <c r="B58" i="6"/>
  <c r="N57" i="6"/>
  <c r="B57" i="6"/>
  <c r="N56" i="6"/>
  <c r="B56" i="6"/>
  <c r="N55" i="6"/>
  <c r="B55" i="6"/>
  <c r="N54" i="6"/>
  <c r="B54" i="6"/>
  <c r="N53" i="6"/>
  <c r="B53" i="6"/>
  <c r="N52" i="6"/>
  <c r="B52" i="6"/>
  <c r="N51" i="6"/>
  <c r="B51" i="6"/>
  <c r="N50" i="6"/>
  <c r="B50" i="6"/>
  <c r="N49" i="6"/>
  <c r="B49" i="6"/>
  <c r="N48" i="6"/>
  <c r="B48" i="6"/>
  <c r="N47" i="6"/>
  <c r="B47" i="6"/>
  <c r="N46" i="6"/>
  <c r="B46" i="6"/>
  <c r="N45" i="6"/>
  <c r="B45" i="6"/>
  <c r="N44" i="6"/>
  <c r="B44" i="6"/>
  <c r="N43" i="6"/>
  <c r="B43" i="6"/>
  <c r="N42" i="6"/>
  <c r="B42" i="6"/>
  <c r="N41" i="6"/>
  <c r="B41" i="6"/>
  <c r="N40" i="6"/>
  <c r="B40" i="6"/>
  <c r="N39" i="6"/>
  <c r="B39" i="6"/>
  <c r="N38" i="6"/>
  <c r="B38" i="6"/>
  <c r="N37" i="6"/>
  <c r="B37" i="6"/>
  <c r="N36" i="6"/>
  <c r="B36" i="6"/>
  <c r="N35" i="6"/>
  <c r="B35" i="6"/>
  <c r="N34" i="6"/>
  <c r="B34" i="6"/>
  <c r="N33" i="6"/>
  <c r="B33" i="6"/>
  <c r="N32" i="6"/>
  <c r="B32" i="6"/>
  <c r="N31" i="6"/>
  <c r="B31" i="6"/>
  <c r="N30" i="6"/>
  <c r="B30" i="6"/>
  <c r="N29" i="6"/>
  <c r="B29" i="6"/>
  <c r="N28" i="6"/>
  <c r="B28" i="6"/>
  <c r="N27" i="6"/>
  <c r="B27" i="6"/>
  <c r="N26" i="6"/>
  <c r="B26" i="6"/>
  <c r="N25" i="6"/>
  <c r="B25" i="6"/>
  <c r="N24" i="6"/>
  <c r="B24" i="6"/>
  <c r="N23" i="6"/>
  <c r="B23" i="6"/>
  <c r="N22" i="6"/>
  <c r="B22" i="6"/>
  <c r="N21" i="6"/>
  <c r="B21" i="6"/>
  <c r="N20" i="6"/>
  <c r="B20" i="6"/>
  <c r="N19" i="6"/>
  <c r="B19" i="6"/>
  <c r="N18" i="6"/>
  <c r="B18" i="6"/>
  <c r="N17" i="6"/>
  <c r="B17" i="6"/>
  <c r="N16" i="6"/>
  <c r="B16" i="6"/>
  <c r="N15" i="6"/>
  <c r="B15" i="6"/>
  <c r="N14" i="6"/>
  <c r="B14" i="6"/>
  <c r="N13" i="6"/>
  <c r="B13" i="6"/>
  <c r="N12" i="6"/>
  <c r="B12" i="6"/>
  <c r="N11" i="6"/>
  <c r="B11" i="6"/>
  <c r="N10" i="6"/>
  <c r="B10" i="6"/>
  <c r="N9" i="6"/>
  <c r="B9" i="6"/>
  <c r="N8" i="6"/>
  <c r="B8" i="6"/>
  <c r="U130" i="5"/>
  <c r="N129" i="5"/>
  <c r="B129" i="5"/>
  <c r="N128" i="5"/>
  <c r="B128" i="5"/>
  <c r="N127" i="5"/>
  <c r="B127" i="5"/>
  <c r="N126" i="5"/>
  <c r="G126" i="5"/>
  <c r="B126" i="5"/>
  <c r="N125" i="5"/>
  <c r="B125" i="5"/>
  <c r="N124" i="5"/>
  <c r="B124" i="5"/>
  <c r="N123" i="5"/>
  <c r="B123" i="5"/>
  <c r="N122" i="5"/>
  <c r="B122" i="5"/>
  <c r="N121" i="5"/>
  <c r="B121" i="5"/>
  <c r="N120" i="5"/>
  <c r="B120" i="5"/>
  <c r="N119" i="5"/>
  <c r="B119" i="5"/>
  <c r="N118" i="5"/>
  <c r="B118" i="5"/>
  <c r="N117" i="5"/>
  <c r="B117" i="5"/>
  <c r="N116" i="5"/>
  <c r="B116" i="5"/>
  <c r="N115" i="5"/>
  <c r="B115" i="5"/>
  <c r="N114" i="5"/>
  <c r="B114" i="5"/>
  <c r="N113" i="5"/>
  <c r="B113" i="5"/>
  <c r="N112" i="5"/>
  <c r="B112" i="5"/>
  <c r="N111" i="5"/>
  <c r="B111" i="5"/>
  <c r="N110" i="5"/>
  <c r="B110" i="5"/>
  <c r="N109" i="5"/>
  <c r="B109" i="5"/>
  <c r="N108" i="5"/>
  <c r="B108" i="5"/>
  <c r="N107" i="5"/>
  <c r="B107" i="5"/>
  <c r="N106" i="5"/>
  <c r="B106" i="5"/>
  <c r="N105" i="5"/>
  <c r="G105" i="5"/>
  <c r="B105" i="5"/>
  <c r="N104" i="5"/>
  <c r="G104" i="5"/>
  <c r="B104" i="5"/>
  <c r="N103" i="5"/>
  <c r="B103" i="5"/>
  <c r="N102" i="5"/>
  <c r="B102" i="5"/>
  <c r="N101" i="5"/>
  <c r="B101" i="5"/>
  <c r="N100" i="5"/>
  <c r="B100" i="5"/>
  <c r="N99" i="5"/>
  <c r="B99" i="5"/>
  <c r="N98" i="5"/>
  <c r="B98" i="5"/>
  <c r="N97" i="5"/>
  <c r="B97" i="5"/>
  <c r="N96" i="5"/>
  <c r="B96" i="5"/>
  <c r="N95" i="5"/>
  <c r="B95" i="5"/>
  <c r="N94" i="5"/>
  <c r="B94" i="5"/>
  <c r="N93" i="5"/>
  <c r="B93" i="5"/>
  <c r="N92" i="5"/>
  <c r="G92" i="5"/>
  <c r="B92" i="5"/>
  <c r="N91" i="5"/>
  <c r="B91" i="5"/>
  <c r="N90" i="5"/>
  <c r="G90" i="5"/>
  <c r="F90" i="5"/>
  <c r="E90" i="5"/>
  <c r="D90" i="5"/>
  <c r="C90" i="5"/>
  <c r="B90" i="5"/>
  <c r="N89" i="5"/>
  <c r="G89" i="5"/>
  <c r="F89" i="5"/>
  <c r="E89" i="5"/>
  <c r="D89" i="5"/>
  <c r="C89" i="5"/>
  <c r="B89" i="5"/>
  <c r="N88" i="5"/>
  <c r="B88" i="5"/>
  <c r="N87" i="5"/>
  <c r="G87" i="5"/>
  <c r="F87" i="5"/>
  <c r="E87" i="5"/>
  <c r="D87" i="5"/>
  <c r="C87" i="5"/>
  <c r="B87" i="5"/>
  <c r="N86" i="5"/>
  <c r="B86" i="5"/>
  <c r="N85" i="5"/>
  <c r="F85" i="5"/>
  <c r="E85" i="5"/>
  <c r="D85" i="5"/>
  <c r="B85" i="5"/>
  <c r="N84" i="5"/>
  <c r="F84" i="5"/>
  <c r="E84" i="5"/>
  <c r="D84" i="5"/>
  <c r="B84" i="5"/>
  <c r="N83" i="5"/>
  <c r="G83" i="5"/>
  <c r="F83" i="5"/>
  <c r="E83" i="5"/>
  <c r="D83" i="5"/>
  <c r="C83" i="5"/>
  <c r="B83" i="5"/>
  <c r="N82" i="5"/>
  <c r="B82" i="5"/>
  <c r="N81" i="5"/>
  <c r="G81" i="5"/>
  <c r="F81" i="5"/>
  <c r="E81" i="5"/>
  <c r="D81" i="5"/>
  <c r="C81" i="5"/>
  <c r="B81" i="5"/>
  <c r="N80" i="5"/>
  <c r="B80" i="5"/>
  <c r="N79" i="5"/>
  <c r="B79" i="5"/>
  <c r="N78" i="5"/>
  <c r="B78" i="5"/>
  <c r="N77" i="5"/>
  <c r="B77" i="5"/>
  <c r="N76" i="5"/>
  <c r="G76" i="5"/>
  <c r="F76" i="5"/>
  <c r="E76" i="5"/>
  <c r="D76" i="5"/>
  <c r="C76" i="5"/>
  <c r="B76" i="5"/>
  <c r="N75" i="5"/>
  <c r="B75" i="5"/>
  <c r="N74" i="5"/>
  <c r="B74" i="5"/>
  <c r="N73" i="5"/>
  <c r="G73" i="5"/>
  <c r="F73" i="5"/>
  <c r="E73" i="5"/>
  <c r="D73" i="5"/>
  <c r="C73" i="5"/>
  <c r="B73" i="5"/>
  <c r="N72" i="5"/>
  <c r="B72" i="5"/>
  <c r="N71" i="5"/>
  <c r="G71" i="5"/>
  <c r="F71" i="5"/>
  <c r="E71" i="5"/>
  <c r="D71" i="5"/>
  <c r="C71" i="5"/>
  <c r="B71" i="5"/>
  <c r="N70" i="5"/>
  <c r="B70" i="5"/>
  <c r="N69" i="5"/>
  <c r="G69" i="5"/>
  <c r="F69" i="5"/>
  <c r="E69" i="5"/>
  <c r="D69" i="5"/>
  <c r="C69" i="5"/>
  <c r="B69" i="5"/>
  <c r="N68" i="5"/>
  <c r="B68" i="5"/>
  <c r="N67" i="5"/>
  <c r="G67" i="5"/>
  <c r="F67" i="5"/>
  <c r="E67" i="5"/>
  <c r="D67" i="5"/>
  <c r="C67" i="5"/>
  <c r="B67" i="5"/>
  <c r="N66" i="5"/>
  <c r="G66" i="5"/>
  <c r="F66" i="5"/>
  <c r="E66" i="5"/>
  <c r="D66" i="5"/>
  <c r="C66" i="5"/>
  <c r="B66" i="5"/>
  <c r="N65" i="5"/>
  <c r="G65" i="5"/>
  <c r="F65" i="5"/>
  <c r="E65" i="5"/>
  <c r="D65" i="5"/>
  <c r="C65" i="5"/>
  <c r="B65" i="5"/>
  <c r="N64" i="5"/>
  <c r="G64" i="5"/>
  <c r="F64" i="5"/>
  <c r="E64" i="5"/>
  <c r="D64" i="5"/>
  <c r="C64" i="5"/>
  <c r="B64" i="5"/>
  <c r="N63" i="5"/>
  <c r="B63" i="5"/>
  <c r="N62" i="5"/>
  <c r="B62" i="5"/>
  <c r="N61" i="5"/>
  <c r="B61" i="5"/>
  <c r="N60" i="5"/>
  <c r="G60" i="5"/>
  <c r="F60" i="5"/>
  <c r="E60" i="5"/>
  <c r="D60" i="5"/>
  <c r="C60" i="5"/>
  <c r="B60" i="5"/>
  <c r="N59" i="5"/>
  <c r="B59" i="5"/>
  <c r="N58" i="5"/>
  <c r="G58" i="5"/>
  <c r="F58" i="5"/>
  <c r="E58" i="5"/>
  <c r="D58" i="5"/>
  <c r="C58" i="5"/>
  <c r="B58" i="5"/>
  <c r="N57" i="5"/>
  <c r="B57" i="5"/>
  <c r="N56" i="5"/>
  <c r="G56" i="5"/>
  <c r="F56" i="5"/>
  <c r="E56" i="5"/>
  <c r="D56" i="5"/>
  <c r="C56" i="5"/>
  <c r="B56" i="5"/>
  <c r="N55" i="5"/>
  <c r="B55" i="5"/>
  <c r="N54" i="5"/>
  <c r="G54" i="5"/>
  <c r="F54" i="5"/>
  <c r="E54" i="5"/>
  <c r="D54" i="5"/>
  <c r="C54" i="5"/>
  <c r="B54" i="5"/>
  <c r="N53" i="5"/>
  <c r="B53" i="5"/>
  <c r="N52" i="5"/>
  <c r="F52" i="5"/>
  <c r="E52" i="5"/>
  <c r="D52" i="5"/>
  <c r="C52" i="5"/>
  <c r="B52" i="5"/>
  <c r="N51" i="5"/>
  <c r="F51" i="5"/>
  <c r="E51" i="5"/>
  <c r="D51" i="5"/>
  <c r="B51" i="5"/>
  <c r="N50" i="5"/>
  <c r="G50" i="5"/>
  <c r="F50" i="5"/>
  <c r="E50" i="5"/>
  <c r="D50" i="5"/>
  <c r="C50" i="5"/>
  <c r="B50" i="5"/>
  <c r="N49" i="5"/>
  <c r="B49" i="5"/>
  <c r="N48" i="5"/>
  <c r="B48" i="5"/>
  <c r="N47" i="5"/>
  <c r="G47" i="5"/>
  <c r="F47" i="5"/>
  <c r="E47" i="5"/>
  <c r="D47" i="5"/>
  <c r="C47" i="5"/>
  <c r="B47" i="5"/>
  <c r="N46" i="5"/>
  <c r="G46" i="5"/>
  <c r="F46" i="5"/>
  <c r="E46" i="5"/>
  <c r="D46" i="5"/>
  <c r="C46" i="5"/>
  <c r="B46" i="5"/>
  <c r="N45" i="5"/>
  <c r="B45" i="5"/>
  <c r="N44" i="5"/>
  <c r="B44" i="5"/>
  <c r="N43" i="5"/>
  <c r="B43" i="5"/>
  <c r="N42" i="5"/>
  <c r="G42" i="5"/>
  <c r="F42" i="5"/>
  <c r="E42" i="5"/>
  <c r="D42" i="5"/>
  <c r="C42" i="5"/>
  <c r="B42" i="5"/>
  <c r="N41" i="5"/>
  <c r="G41" i="5"/>
  <c r="F41" i="5"/>
  <c r="E41" i="5"/>
  <c r="D41" i="5"/>
  <c r="C41" i="5"/>
  <c r="B41" i="5"/>
  <c r="N40" i="5"/>
  <c r="B40" i="5"/>
  <c r="N39" i="5"/>
  <c r="B39" i="5"/>
  <c r="N38" i="5"/>
  <c r="G38" i="5"/>
  <c r="F38" i="5"/>
  <c r="E38" i="5"/>
  <c r="D38" i="5"/>
  <c r="C38" i="5"/>
  <c r="B38" i="5"/>
  <c r="N37" i="5"/>
  <c r="G37" i="5"/>
  <c r="F37" i="5"/>
  <c r="E37" i="5"/>
  <c r="D37" i="5"/>
  <c r="C37" i="5"/>
  <c r="B37" i="5"/>
  <c r="N36" i="5"/>
  <c r="B36" i="5"/>
  <c r="N35" i="5"/>
  <c r="G35" i="5"/>
  <c r="F35" i="5"/>
  <c r="E35" i="5"/>
  <c r="D35" i="5"/>
  <c r="C35" i="5"/>
  <c r="B35" i="5"/>
  <c r="N34" i="5"/>
  <c r="B34" i="5"/>
  <c r="N33" i="5"/>
  <c r="G33" i="5"/>
  <c r="F33" i="5"/>
  <c r="E33" i="5"/>
  <c r="D33" i="5"/>
  <c r="C33" i="5"/>
  <c r="B33" i="5"/>
  <c r="N32" i="5"/>
  <c r="B32" i="5"/>
  <c r="N31" i="5"/>
  <c r="G31" i="5"/>
  <c r="F31" i="5"/>
  <c r="E31" i="5"/>
  <c r="D31" i="5"/>
  <c r="C31" i="5"/>
  <c r="B31" i="5"/>
  <c r="N30" i="5"/>
  <c r="B30" i="5"/>
  <c r="N29" i="5"/>
  <c r="G29" i="5"/>
  <c r="F29" i="5"/>
  <c r="E29" i="5"/>
  <c r="D29" i="5"/>
  <c r="C29" i="5"/>
  <c r="B29" i="5"/>
  <c r="N28" i="5"/>
  <c r="G28" i="5"/>
  <c r="F28" i="5"/>
  <c r="E28" i="5"/>
  <c r="D28" i="5"/>
  <c r="C28" i="5"/>
  <c r="B28" i="5"/>
  <c r="N27" i="5"/>
  <c r="G27" i="5"/>
  <c r="F27" i="5"/>
  <c r="E27" i="5"/>
  <c r="D27" i="5"/>
  <c r="C27" i="5"/>
  <c r="B27" i="5"/>
  <c r="N26" i="5"/>
  <c r="N25" i="5"/>
  <c r="G25" i="5"/>
  <c r="F25" i="5"/>
  <c r="E25" i="5"/>
  <c r="D25" i="5"/>
  <c r="C25" i="5"/>
  <c r="B25" i="5"/>
  <c r="N24" i="5"/>
  <c r="G24" i="5"/>
  <c r="F24" i="5"/>
  <c r="E24" i="5"/>
  <c r="D24" i="5"/>
  <c r="C24" i="5"/>
  <c r="B24" i="5"/>
  <c r="N23" i="5"/>
  <c r="B23" i="5"/>
  <c r="N22" i="5"/>
  <c r="G22" i="5"/>
  <c r="F22" i="5"/>
  <c r="E22" i="5"/>
  <c r="D22" i="5"/>
  <c r="C22" i="5"/>
  <c r="B22" i="5"/>
  <c r="N21" i="5"/>
  <c r="G21" i="5"/>
  <c r="F21" i="5"/>
  <c r="E21" i="5"/>
  <c r="D21" i="5"/>
  <c r="C21" i="5"/>
  <c r="B21" i="5"/>
  <c r="N20" i="5"/>
  <c r="B20" i="5"/>
  <c r="N19" i="5"/>
  <c r="F19" i="5"/>
  <c r="E19" i="5"/>
  <c r="D19" i="5"/>
  <c r="B19" i="5"/>
  <c r="N18" i="5"/>
  <c r="F18" i="5"/>
  <c r="E18" i="5"/>
  <c r="D18" i="5"/>
  <c r="B18" i="5"/>
  <c r="N17" i="5"/>
  <c r="G17" i="5"/>
  <c r="F17" i="5"/>
  <c r="E17" i="5"/>
  <c r="D17" i="5"/>
  <c r="C17" i="5"/>
  <c r="B17" i="5"/>
  <c r="N16" i="5"/>
  <c r="B16" i="5"/>
  <c r="N15" i="5"/>
  <c r="G15" i="5"/>
  <c r="F15" i="5"/>
  <c r="E15" i="5"/>
  <c r="D15" i="5"/>
  <c r="C15" i="5"/>
  <c r="B15" i="5"/>
  <c r="N14" i="5"/>
  <c r="G14" i="5"/>
  <c r="F14" i="5"/>
  <c r="E14" i="5"/>
  <c r="D14" i="5"/>
  <c r="C14" i="5"/>
  <c r="B14" i="5"/>
  <c r="N13" i="5"/>
  <c r="B13" i="5"/>
  <c r="N12" i="5"/>
  <c r="G12" i="5"/>
  <c r="F12" i="5"/>
  <c r="E12" i="5"/>
  <c r="C12" i="5"/>
  <c r="B12" i="5"/>
  <c r="N11" i="5"/>
  <c r="B11" i="5"/>
  <c r="N10" i="5"/>
  <c r="D10" i="5"/>
  <c r="B10" i="5"/>
  <c r="N9" i="5"/>
  <c r="G9" i="5"/>
  <c r="G10" i="5" s="1"/>
  <c r="F9" i="5"/>
  <c r="F10" i="5" s="1"/>
  <c r="E9" i="5"/>
  <c r="E10" i="5" s="1"/>
  <c r="D9" i="5"/>
  <c r="C9" i="5"/>
  <c r="C10" i="5" s="1"/>
  <c r="B9" i="5"/>
  <c r="N8" i="5"/>
  <c r="B8" i="5"/>
  <c r="U228" i="4"/>
  <c r="N227" i="4"/>
  <c r="G227" i="4"/>
  <c r="F227" i="4"/>
  <c r="E227" i="4"/>
  <c r="D227" i="4"/>
  <c r="C227" i="4"/>
  <c r="B227" i="4"/>
  <c r="N226" i="4"/>
  <c r="B226" i="4"/>
  <c r="N225" i="4"/>
  <c r="G225" i="4"/>
  <c r="F225" i="4"/>
  <c r="E225" i="4"/>
  <c r="D225" i="4"/>
  <c r="C225" i="4"/>
  <c r="B225" i="4"/>
  <c r="N224" i="4"/>
  <c r="B224" i="4"/>
  <c r="N223" i="4"/>
  <c r="F223" i="4"/>
  <c r="E223" i="4"/>
  <c r="D223" i="4"/>
  <c r="B223" i="4"/>
  <c r="N222" i="4"/>
  <c r="F222" i="4"/>
  <c r="E222" i="4"/>
  <c r="D222" i="4"/>
  <c r="B222" i="4"/>
  <c r="N221" i="4"/>
  <c r="G221" i="4"/>
  <c r="F221" i="4"/>
  <c r="E221" i="4"/>
  <c r="D221" i="4"/>
  <c r="C221" i="4"/>
  <c r="B221" i="4"/>
  <c r="N220" i="4"/>
  <c r="B220" i="4"/>
  <c r="N219" i="4"/>
  <c r="G219" i="4"/>
  <c r="F219" i="4"/>
  <c r="E219" i="4"/>
  <c r="D219" i="4"/>
  <c r="C219" i="4"/>
  <c r="B219" i="4"/>
  <c r="N218" i="4"/>
  <c r="B218" i="4"/>
  <c r="N217" i="4"/>
  <c r="G217" i="4"/>
  <c r="F217" i="4"/>
  <c r="E217" i="4"/>
  <c r="D217" i="4"/>
  <c r="C217" i="4"/>
  <c r="B217" i="4"/>
  <c r="N216" i="4"/>
  <c r="B216" i="4"/>
  <c r="N215" i="4"/>
  <c r="G215" i="4"/>
  <c r="F215" i="4"/>
  <c r="E215" i="4"/>
  <c r="D215" i="4"/>
  <c r="C215" i="4"/>
  <c r="B215" i="4"/>
  <c r="N214" i="4"/>
  <c r="B214" i="4"/>
  <c r="N213" i="4"/>
  <c r="G213" i="4"/>
  <c r="F213" i="4"/>
  <c r="E213" i="4"/>
  <c r="D213" i="4"/>
  <c r="C213" i="4"/>
  <c r="B213" i="4"/>
  <c r="N212" i="4"/>
  <c r="B212" i="4"/>
  <c r="N211" i="4"/>
  <c r="F211" i="4"/>
  <c r="E211" i="4"/>
  <c r="D211" i="4"/>
  <c r="C211" i="4"/>
  <c r="B211" i="4"/>
  <c r="N210" i="4"/>
  <c r="B210" i="4"/>
  <c r="N209" i="4"/>
  <c r="B209" i="4"/>
  <c r="N208" i="4"/>
  <c r="F208" i="4"/>
  <c r="E208" i="4"/>
  <c r="D208" i="4"/>
  <c r="C208" i="4"/>
  <c r="B208" i="4"/>
  <c r="N207" i="4"/>
  <c r="F207" i="4"/>
  <c r="E207" i="4"/>
  <c r="D207" i="4"/>
  <c r="C207" i="4"/>
  <c r="B207" i="4"/>
  <c r="N206" i="4"/>
  <c r="F206" i="4"/>
  <c r="E206" i="4"/>
  <c r="D206" i="4"/>
  <c r="B206" i="4"/>
  <c r="N205" i="4"/>
  <c r="B205" i="4"/>
  <c r="N204" i="4"/>
  <c r="B204" i="4"/>
  <c r="N203" i="4"/>
  <c r="F203" i="4"/>
  <c r="E203" i="4"/>
  <c r="D203" i="4"/>
  <c r="B203" i="4"/>
  <c r="N202" i="4"/>
  <c r="F202" i="4"/>
  <c r="E202" i="4"/>
  <c r="D202" i="4"/>
  <c r="B202" i="4"/>
  <c r="N201" i="4"/>
  <c r="G201" i="4"/>
  <c r="F201" i="4"/>
  <c r="E201" i="4"/>
  <c r="D201" i="4"/>
  <c r="C201" i="4"/>
  <c r="B201" i="4"/>
  <c r="N200" i="4"/>
  <c r="B200" i="4"/>
  <c r="N199" i="4"/>
  <c r="F199" i="4"/>
  <c r="E199" i="4"/>
  <c r="D199" i="4"/>
  <c r="B199" i="4"/>
  <c r="N198" i="4"/>
  <c r="F198" i="4"/>
  <c r="E198" i="4"/>
  <c r="D198" i="4"/>
  <c r="B198" i="4"/>
  <c r="N197" i="4"/>
  <c r="F197" i="4"/>
  <c r="E197" i="4"/>
  <c r="D197" i="4"/>
  <c r="C197" i="4"/>
  <c r="B197" i="4"/>
  <c r="N196" i="4"/>
  <c r="F196" i="4"/>
  <c r="E196" i="4"/>
  <c r="D196" i="4"/>
  <c r="C196" i="4"/>
  <c r="B196" i="4"/>
  <c r="N195" i="4"/>
  <c r="B195" i="4"/>
  <c r="N194" i="4"/>
  <c r="F194" i="4"/>
  <c r="E194" i="4"/>
  <c r="D194" i="4"/>
  <c r="C194" i="4"/>
  <c r="B194" i="4"/>
  <c r="N193" i="4"/>
  <c r="B193" i="4"/>
  <c r="N192" i="4"/>
  <c r="B192" i="4"/>
  <c r="N191" i="4"/>
  <c r="B191" i="4"/>
  <c r="N190" i="4"/>
  <c r="B190" i="4"/>
  <c r="N189" i="4"/>
  <c r="B189" i="4"/>
  <c r="N188" i="4"/>
  <c r="B188" i="4"/>
  <c r="N187" i="4"/>
  <c r="B187" i="4"/>
  <c r="N186" i="4"/>
  <c r="B186" i="4"/>
  <c r="N185" i="4"/>
  <c r="G185" i="4"/>
  <c r="F185" i="4"/>
  <c r="E185" i="4"/>
  <c r="D185" i="4"/>
  <c r="C185" i="4"/>
  <c r="B185" i="4"/>
  <c r="N184" i="4"/>
  <c r="B184" i="4"/>
  <c r="N183" i="4"/>
  <c r="B183" i="4"/>
  <c r="N182" i="4"/>
  <c r="B182" i="4"/>
  <c r="N181" i="4"/>
  <c r="G181" i="4"/>
  <c r="F181" i="4"/>
  <c r="E181" i="4"/>
  <c r="D181" i="4"/>
  <c r="C181" i="4"/>
  <c r="B181" i="4"/>
  <c r="N180" i="4"/>
  <c r="B180" i="4"/>
  <c r="N179" i="4"/>
  <c r="B179" i="4"/>
  <c r="N178" i="4"/>
  <c r="G178" i="4"/>
  <c r="F178" i="4"/>
  <c r="E178" i="4"/>
  <c r="D178" i="4"/>
  <c r="C178" i="4"/>
  <c r="B178" i="4"/>
  <c r="N177" i="4"/>
  <c r="B177" i="4"/>
  <c r="N176" i="4"/>
  <c r="B176" i="4"/>
  <c r="N175" i="4"/>
  <c r="B175" i="4"/>
  <c r="N174" i="4"/>
  <c r="G174" i="4"/>
  <c r="F174" i="4"/>
  <c r="E174" i="4"/>
  <c r="D174" i="4"/>
  <c r="C174" i="4"/>
  <c r="B174" i="4"/>
  <c r="N173" i="4"/>
  <c r="B173" i="4"/>
  <c r="N172" i="4"/>
  <c r="G172" i="4"/>
  <c r="F172" i="4"/>
  <c r="E172" i="4"/>
  <c r="D172" i="4"/>
  <c r="C172" i="4"/>
  <c r="B172" i="4"/>
  <c r="N171" i="4"/>
  <c r="B171" i="4"/>
  <c r="N170" i="4"/>
  <c r="G170" i="4"/>
  <c r="F170" i="4"/>
  <c r="E170" i="4"/>
  <c r="D170" i="4"/>
  <c r="C170" i="4"/>
  <c r="B170" i="4"/>
  <c r="N169" i="4"/>
  <c r="B169" i="4"/>
  <c r="N168" i="4"/>
  <c r="G168" i="4"/>
  <c r="F168" i="4"/>
  <c r="E168" i="4"/>
  <c r="D168" i="4"/>
  <c r="C168" i="4"/>
  <c r="B168" i="4"/>
  <c r="N167" i="4"/>
  <c r="B167" i="4"/>
  <c r="N166" i="4"/>
  <c r="B166" i="4"/>
  <c r="N165" i="4"/>
  <c r="G165" i="4"/>
  <c r="F165" i="4"/>
  <c r="E165" i="4"/>
  <c r="D165" i="4"/>
  <c r="C165" i="4"/>
  <c r="B165" i="4"/>
  <c r="N164" i="4"/>
  <c r="B164" i="4"/>
  <c r="N163" i="4"/>
  <c r="G163" i="4"/>
  <c r="F163" i="4"/>
  <c r="E163" i="4"/>
  <c r="D163" i="4"/>
  <c r="C163" i="4"/>
  <c r="B163" i="4"/>
  <c r="N162" i="4"/>
  <c r="G162" i="4"/>
  <c r="F162" i="4"/>
  <c r="E162" i="4"/>
  <c r="D162" i="4"/>
  <c r="C162" i="4"/>
  <c r="B162" i="4"/>
  <c r="N161" i="4"/>
  <c r="B161" i="4"/>
  <c r="N160" i="4"/>
  <c r="G160" i="4"/>
  <c r="F160" i="4"/>
  <c r="E160" i="4"/>
  <c r="D160" i="4"/>
  <c r="C160" i="4"/>
  <c r="B160" i="4"/>
  <c r="N159" i="4"/>
  <c r="G159" i="4"/>
  <c r="F159" i="4"/>
  <c r="E159" i="4"/>
  <c r="D159" i="4"/>
  <c r="C159" i="4"/>
  <c r="B159" i="4"/>
  <c r="N158" i="4"/>
  <c r="B158" i="4"/>
  <c r="N157" i="4"/>
  <c r="G157" i="4"/>
  <c r="F157" i="4"/>
  <c r="E157" i="4"/>
  <c r="D157" i="4"/>
  <c r="C157" i="4"/>
  <c r="B157" i="4"/>
  <c r="N156" i="4"/>
  <c r="G156" i="4"/>
  <c r="F156" i="4"/>
  <c r="E156" i="4"/>
  <c r="D156" i="4"/>
  <c r="C156" i="4"/>
  <c r="B156" i="4"/>
  <c r="N155" i="4"/>
  <c r="B155" i="4"/>
  <c r="N154" i="4"/>
  <c r="G154" i="4"/>
  <c r="F154" i="4"/>
  <c r="E154" i="4"/>
  <c r="D154" i="4"/>
  <c r="C154" i="4"/>
  <c r="B154" i="4"/>
  <c r="N153" i="4"/>
  <c r="B153" i="4"/>
  <c r="N152" i="4"/>
  <c r="B152" i="4"/>
  <c r="N151" i="4"/>
  <c r="G151" i="4"/>
  <c r="F151" i="4"/>
  <c r="E151" i="4"/>
  <c r="D151" i="4"/>
  <c r="C151" i="4"/>
  <c r="B151" i="4"/>
  <c r="N150" i="4"/>
  <c r="G150" i="4"/>
  <c r="F150" i="4"/>
  <c r="E150" i="4"/>
  <c r="D150" i="4"/>
  <c r="C150" i="4"/>
  <c r="B150" i="4"/>
  <c r="N149" i="4"/>
  <c r="B149" i="4"/>
  <c r="N148" i="4"/>
  <c r="G148" i="4"/>
  <c r="F148" i="4"/>
  <c r="E148" i="4"/>
  <c r="D148" i="4"/>
  <c r="C148" i="4"/>
  <c r="B148" i="4"/>
  <c r="N147" i="4"/>
  <c r="G147" i="4"/>
  <c r="F147" i="4"/>
  <c r="E147" i="4"/>
  <c r="D147" i="4"/>
  <c r="C147" i="4"/>
  <c r="B147" i="4"/>
  <c r="N146" i="4"/>
  <c r="B146" i="4"/>
  <c r="N145" i="4"/>
  <c r="G145" i="4"/>
  <c r="F145" i="4"/>
  <c r="E145" i="4"/>
  <c r="D145" i="4"/>
  <c r="C145" i="4"/>
  <c r="B145" i="4"/>
  <c r="N144" i="4"/>
  <c r="G144" i="4"/>
  <c r="F144" i="4"/>
  <c r="E144" i="4"/>
  <c r="D144" i="4"/>
  <c r="C144" i="4"/>
  <c r="B144" i="4"/>
  <c r="N143" i="4"/>
  <c r="B143" i="4"/>
  <c r="N142" i="4"/>
  <c r="B142" i="4"/>
  <c r="N141" i="4"/>
  <c r="G141" i="4"/>
  <c r="F141" i="4"/>
  <c r="E141" i="4"/>
  <c r="D141" i="4"/>
  <c r="C141" i="4"/>
  <c r="B141" i="4"/>
  <c r="N140" i="4"/>
  <c r="G140" i="4"/>
  <c r="F140" i="4"/>
  <c r="E140" i="4"/>
  <c r="D140" i="4"/>
  <c r="C140" i="4"/>
  <c r="B140" i="4"/>
  <c r="N139" i="4"/>
  <c r="B139" i="4"/>
  <c r="N138" i="4"/>
  <c r="G138" i="4"/>
  <c r="F138" i="4"/>
  <c r="E138" i="4"/>
  <c r="D138" i="4"/>
  <c r="C138" i="4"/>
  <c r="B138" i="4"/>
  <c r="N137" i="4"/>
  <c r="G137" i="4"/>
  <c r="F137" i="4"/>
  <c r="E137" i="4"/>
  <c r="D137" i="4"/>
  <c r="C137" i="4"/>
  <c r="B137" i="4"/>
  <c r="N136" i="4"/>
  <c r="B136" i="4"/>
  <c r="N135" i="4"/>
  <c r="B135" i="4"/>
  <c r="N134" i="4"/>
  <c r="F134" i="4"/>
  <c r="E134" i="4"/>
  <c r="D134" i="4"/>
  <c r="C134" i="4"/>
  <c r="B134" i="4"/>
  <c r="N133" i="4"/>
  <c r="F133" i="4"/>
  <c r="E133" i="4"/>
  <c r="D133" i="4"/>
  <c r="C133" i="4"/>
  <c r="B133" i="4"/>
  <c r="N132" i="4"/>
  <c r="F132" i="4"/>
  <c r="E132" i="4"/>
  <c r="D132" i="4"/>
  <c r="C132" i="4"/>
  <c r="B132" i="4"/>
  <c r="N131" i="4"/>
  <c r="G131" i="4"/>
  <c r="F131" i="4"/>
  <c r="E131" i="4"/>
  <c r="C131" i="4"/>
  <c r="B131" i="4"/>
  <c r="N130" i="4"/>
  <c r="B130" i="4"/>
  <c r="N129" i="4"/>
  <c r="G129" i="4"/>
  <c r="F129" i="4"/>
  <c r="E129" i="4"/>
  <c r="D129" i="4"/>
  <c r="C129" i="4"/>
  <c r="B129" i="4"/>
  <c r="N128" i="4"/>
  <c r="G128" i="4"/>
  <c r="F128" i="4"/>
  <c r="E128" i="4"/>
  <c r="D128" i="4"/>
  <c r="C128" i="4"/>
  <c r="B128" i="4"/>
  <c r="N127" i="4"/>
  <c r="B127" i="4"/>
  <c r="N126" i="4"/>
  <c r="G126" i="4"/>
  <c r="F126" i="4"/>
  <c r="E126" i="4"/>
  <c r="D126" i="4"/>
  <c r="C126" i="4"/>
  <c r="B126" i="4"/>
  <c r="N125" i="4"/>
  <c r="G125" i="4"/>
  <c r="F125" i="4"/>
  <c r="E125" i="4"/>
  <c r="D125" i="4"/>
  <c r="C125" i="4"/>
  <c r="B125" i="4"/>
  <c r="N124" i="4"/>
  <c r="B124" i="4"/>
  <c r="N123" i="4"/>
  <c r="G123" i="4"/>
  <c r="F123" i="4"/>
  <c r="E123" i="4"/>
  <c r="D123" i="4"/>
  <c r="C123" i="4"/>
  <c r="B123" i="4"/>
  <c r="N122" i="4"/>
  <c r="G122" i="4"/>
  <c r="F122" i="4"/>
  <c r="E122" i="4"/>
  <c r="D122" i="4"/>
  <c r="C122" i="4"/>
  <c r="B122" i="4"/>
  <c r="N121" i="4"/>
  <c r="B121" i="4"/>
  <c r="N120" i="4"/>
  <c r="G120" i="4"/>
  <c r="F120" i="4"/>
  <c r="E120" i="4"/>
  <c r="D120" i="4"/>
  <c r="C120" i="4"/>
  <c r="B120" i="4"/>
  <c r="N119" i="4"/>
  <c r="B119" i="4"/>
  <c r="N118" i="4"/>
  <c r="G118" i="4"/>
  <c r="F118" i="4"/>
  <c r="E118" i="4"/>
  <c r="D118" i="4"/>
  <c r="C118" i="4"/>
  <c r="B118" i="4"/>
  <c r="N117" i="4"/>
  <c r="G117" i="4"/>
  <c r="F117" i="4"/>
  <c r="E117" i="4"/>
  <c r="D117" i="4"/>
  <c r="C117" i="4"/>
  <c r="B117" i="4"/>
  <c r="N116" i="4"/>
  <c r="B116" i="4"/>
  <c r="N115" i="4"/>
  <c r="G115" i="4"/>
  <c r="F115" i="4"/>
  <c r="E115" i="4"/>
  <c r="D115" i="4"/>
  <c r="C115" i="4"/>
  <c r="B115" i="4"/>
  <c r="N114" i="4"/>
  <c r="B114" i="4"/>
  <c r="N113" i="4"/>
  <c r="B113" i="4"/>
  <c r="N112" i="4"/>
  <c r="B112" i="4"/>
  <c r="N111" i="4"/>
  <c r="B111" i="4"/>
  <c r="N110" i="4"/>
  <c r="B110" i="4"/>
  <c r="N109" i="4"/>
  <c r="B109" i="4"/>
  <c r="N108" i="4"/>
  <c r="B108" i="4"/>
  <c r="N107" i="4"/>
  <c r="B107" i="4"/>
  <c r="N106" i="4"/>
  <c r="B106" i="4"/>
  <c r="N105" i="4"/>
  <c r="G105" i="4"/>
  <c r="B105" i="4"/>
  <c r="N104" i="4"/>
  <c r="B104" i="4"/>
  <c r="N103" i="4"/>
  <c r="G103" i="4"/>
  <c r="B103" i="4"/>
  <c r="N102" i="4"/>
  <c r="B102" i="4"/>
  <c r="N101" i="4"/>
  <c r="B101" i="4"/>
  <c r="N100" i="4"/>
  <c r="B100" i="4"/>
  <c r="N99" i="4"/>
  <c r="B99" i="4"/>
  <c r="N98" i="4"/>
  <c r="G98" i="4"/>
  <c r="F98" i="4"/>
  <c r="B98" i="4"/>
  <c r="N97" i="4"/>
  <c r="F97" i="4"/>
  <c r="B97" i="4"/>
  <c r="N96" i="4"/>
  <c r="B96" i="4"/>
  <c r="N95" i="4"/>
  <c r="B95" i="4"/>
  <c r="N94" i="4"/>
  <c r="B94" i="4"/>
  <c r="N93" i="4"/>
  <c r="B93" i="4"/>
  <c r="N92" i="4"/>
  <c r="B92" i="4"/>
  <c r="N91" i="4"/>
  <c r="B91" i="4"/>
  <c r="N90" i="4"/>
  <c r="G90" i="4"/>
  <c r="F90" i="4"/>
  <c r="E90" i="4"/>
  <c r="D90" i="4"/>
  <c r="C90" i="4"/>
  <c r="B90" i="4"/>
  <c r="N89" i="4"/>
  <c r="G89" i="4"/>
  <c r="F89" i="4"/>
  <c r="E89" i="4"/>
  <c r="D89" i="4"/>
  <c r="C89" i="4"/>
  <c r="B89" i="4"/>
  <c r="N88" i="4"/>
  <c r="B88" i="4"/>
  <c r="N87" i="4"/>
  <c r="B87" i="4"/>
  <c r="N86" i="4"/>
  <c r="B86" i="4"/>
  <c r="N85" i="4"/>
  <c r="C85" i="4"/>
  <c r="B85" i="4"/>
  <c r="N84" i="4"/>
  <c r="C84" i="4"/>
  <c r="B84" i="4"/>
  <c r="N83" i="4"/>
  <c r="B83" i="4"/>
  <c r="N82" i="4"/>
  <c r="G82" i="4"/>
  <c r="B82" i="4"/>
  <c r="N81" i="4"/>
  <c r="G81" i="4"/>
  <c r="B81" i="4"/>
  <c r="N80" i="4"/>
  <c r="B80" i="4"/>
  <c r="N79" i="4"/>
  <c r="B79" i="4"/>
  <c r="N78" i="4"/>
  <c r="B78" i="4"/>
  <c r="N77" i="4"/>
  <c r="B77" i="4"/>
  <c r="N76" i="4"/>
  <c r="B76" i="4"/>
  <c r="N75" i="4"/>
  <c r="B75" i="4"/>
  <c r="N74" i="4"/>
  <c r="B74" i="4"/>
  <c r="N73" i="4"/>
  <c r="B73" i="4"/>
  <c r="N72" i="4"/>
  <c r="B72" i="4"/>
  <c r="N71" i="4"/>
  <c r="B71" i="4"/>
  <c r="N70" i="4"/>
  <c r="B70" i="4"/>
  <c r="N69" i="4"/>
  <c r="B69" i="4"/>
  <c r="N68" i="4"/>
  <c r="B68" i="4"/>
  <c r="N67" i="4"/>
  <c r="B67" i="4"/>
  <c r="N66" i="4"/>
  <c r="B66" i="4"/>
  <c r="N65" i="4"/>
  <c r="B65" i="4"/>
  <c r="N64" i="4"/>
  <c r="B64" i="4"/>
  <c r="N63" i="4"/>
  <c r="B63" i="4"/>
  <c r="N62" i="4"/>
  <c r="G62" i="4"/>
  <c r="B62" i="4"/>
  <c r="N61" i="4"/>
  <c r="B61" i="4"/>
  <c r="N60" i="4"/>
  <c r="F60" i="4"/>
  <c r="E60" i="4"/>
  <c r="D60" i="4"/>
  <c r="B60" i="4"/>
  <c r="N59" i="4"/>
  <c r="F59" i="4"/>
  <c r="E59" i="4"/>
  <c r="D59" i="4"/>
  <c r="B59" i="4"/>
  <c r="N58" i="4"/>
  <c r="B58" i="4"/>
  <c r="N57" i="4"/>
  <c r="B57" i="4"/>
  <c r="N56" i="4"/>
  <c r="B56" i="4"/>
  <c r="N55" i="4"/>
  <c r="B55" i="4"/>
  <c r="N54" i="4"/>
  <c r="B54" i="4"/>
  <c r="N53" i="4"/>
  <c r="B53" i="4"/>
  <c r="N52" i="4"/>
  <c r="B52" i="4"/>
  <c r="N51" i="4"/>
  <c r="B51" i="4"/>
  <c r="N50" i="4"/>
  <c r="B50" i="4"/>
  <c r="N49" i="4"/>
  <c r="B49" i="4"/>
  <c r="N48" i="4"/>
  <c r="B48" i="4"/>
  <c r="N47" i="4"/>
  <c r="B47" i="4"/>
  <c r="N46" i="4"/>
  <c r="B46" i="4"/>
  <c r="N45" i="4"/>
  <c r="B45" i="4"/>
  <c r="N44" i="4"/>
  <c r="B44" i="4"/>
  <c r="N43" i="4"/>
  <c r="B43" i="4"/>
  <c r="N42" i="4"/>
  <c r="B42" i="4"/>
  <c r="N41" i="4"/>
  <c r="B41" i="4"/>
  <c r="N40" i="4"/>
  <c r="B40" i="4"/>
  <c r="N39" i="4"/>
  <c r="G39" i="4"/>
  <c r="B39" i="4"/>
  <c r="N38" i="4"/>
  <c r="G38" i="4"/>
  <c r="B38" i="4"/>
  <c r="N37" i="4"/>
  <c r="B37" i="4"/>
  <c r="N36" i="4"/>
  <c r="G36" i="4"/>
  <c r="B36" i="4"/>
  <c r="N35" i="4"/>
  <c r="G35" i="4"/>
  <c r="B35" i="4"/>
  <c r="N34" i="4"/>
  <c r="B34" i="4"/>
  <c r="N33" i="4"/>
  <c r="G33" i="4"/>
  <c r="B33" i="4"/>
  <c r="N32" i="4"/>
  <c r="B32" i="4"/>
  <c r="N31" i="4"/>
  <c r="G31" i="4"/>
  <c r="B31" i="4"/>
  <c r="N30" i="4"/>
  <c r="G30" i="4"/>
  <c r="B30" i="4"/>
  <c r="N29" i="4"/>
  <c r="B29" i="4"/>
  <c r="N28" i="4"/>
  <c r="B28" i="4"/>
  <c r="N27" i="4"/>
  <c r="B27" i="4"/>
  <c r="N26" i="4"/>
  <c r="B26" i="4"/>
  <c r="N25" i="4"/>
  <c r="B25" i="4"/>
  <c r="N24" i="4"/>
  <c r="B24" i="4"/>
  <c r="N23" i="4"/>
  <c r="B23" i="4"/>
  <c r="N22" i="4"/>
  <c r="B22" i="4"/>
  <c r="N21" i="4"/>
  <c r="B21" i="4"/>
  <c r="N20" i="4"/>
  <c r="G20" i="4"/>
  <c r="B20" i="4"/>
  <c r="N19" i="4"/>
  <c r="B19" i="4"/>
  <c r="N18" i="4"/>
  <c r="B18" i="4"/>
  <c r="N17" i="4"/>
  <c r="B17" i="4"/>
  <c r="N16" i="4"/>
  <c r="B16" i="4"/>
  <c r="N15" i="4"/>
  <c r="B15" i="4"/>
  <c r="N14" i="4"/>
  <c r="B14" i="4"/>
  <c r="N13" i="4"/>
  <c r="B13" i="4"/>
  <c r="N12" i="4"/>
  <c r="B12" i="4"/>
  <c r="N11" i="4"/>
  <c r="B11" i="4"/>
  <c r="N10" i="4"/>
  <c r="B10" i="4"/>
  <c r="N9" i="4"/>
  <c r="G9" i="4"/>
  <c r="G10" i="4" s="1"/>
  <c r="B9" i="4"/>
  <c r="N8" i="4"/>
  <c r="B8" i="4"/>
  <c r="U272" i="3"/>
  <c r="N271" i="3"/>
  <c r="B271" i="3"/>
  <c r="N270" i="3"/>
  <c r="B270" i="3"/>
  <c r="N269" i="3"/>
  <c r="G269" i="3"/>
  <c r="B269" i="3"/>
  <c r="N268" i="3"/>
  <c r="B268" i="3"/>
  <c r="N267" i="3"/>
  <c r="B267" i="3"/>
  <c r="N266" i="3"/>
  <c r="G266" i="3"/>
  <c r="B266" i="3"/>
  <c r="N265" i="3"/>
  <c r="B265" i="3"/>
  <c r="N264" i="3"/>
  <c r="B264" i="3"/>
  <c r="N263" i="3"/>
  <c r="B263" i="3"/>
  <c r="N262" i="3"/>
  <c r="B262" i="3"/>
  <c r="N261" i="3"/>
  <c r="B261" i="3"/>
  <c r="N260" i="3"/>
  <c r="B260" i="3"/>
  <c r="N259" i="3"/>
  <c r="B259" i="3"/>
  <c r="N258" i="3"/>
  <c r="G258" i="3"/>
  <c r="B258" i="3"/>
  <c r="N257" i="3"/>
  <c r="G257" i="3"/>
  <c r="B257" i="3"/>
  <c r="N256" i="3"/>
  <c r="B256" i="3"/>
  <c r="N255" i="3"/>
  <c r="B255" i="3"/>
  <c r="N254" i="3"/>
  <c r="B254" i="3"/>
  <c r="N253" i="3"/>
  <c r="B253" i="3"/>
  <c r="N252" i="3"/>
  <c r="B252" i="3"/>
  <c r="N251" i="3"/>
  <c r="G251" i="3"/>
  <c r="F251" i="3"/>
  <c r="E251" i="3"/>
  <c r="D251" i="3"/>
  <c r="C251" i="3"/>
  <c r="B251" i="3"/>
  <c r="N250" i="3"/>
  <c r="G250" i="3"/>
  <c r="F250" i="3"/>
  <c r="E250" i="3"/>
  <c r="D250" i="3"/>
  <c r="C250" i="3"/>
  <c r="B250" i="3"/>
  <c r="N249" i="3"/>
  <c r="G249" i="3"/>
  <c r="F249" i="3"/>
  <c r="E249" i="3"/>
  <c r="D249" i="3"/>
  <c r="C249" i="3"/>
  <c r="B249" i="3"/>
  <c r="N248" i="3"/>
  <c r="B248" i="3"/>
  <c r="N247" i="3"/>
  <c r="G247" i="3"/>
  <c r="F247" i="3"/>
  <c r="E247" i="3"/>
  <c r="D247" i="3"/>
  <c r="C247" i="3"/>
  <c r="B247" i="3"/>
  <c r="N246" i="3"/>
  <c r="B246" i="3"/>
  <c r="N245" i="3"/>
  <c r="F245" i="3"/>
  <c r="E245" i="3"/>
  <c r="D245" i="3"/>
  <c r="B245" i="3"/>
  <c r="N244" i="3"/>
  <c r="F244" i="3"/>
  <c r="E244" i="3"/>
  <c r="D244" i="3"/>
  <c r="B244" i="3"/>
  <c r="N243" i="3"/>
  <c r="F243" i="3"/>
  <c r="E243" i="3"/>
  <c r="D243" i="3"/>
  <c r="B243" i="3"/>
  <c r="N242" i="3"/>
  <c r="G242" i="3"/>
  <c r="F242" i="3"/>
  <c r="E242" i="3"/>
  <c r="D242" i="3"/>
  <c r="C242" i="3"/>
  <c r="B242" i="3"/>
  <c r="N241" i="3"/>
  <c r="G241" i="3"/>
  <c r="F241" i="3"/>
  <c r="E241" i="3"/>
  <c r="D241" i="3"/>
  <c r="C241" i="3"/>
  <c r="B241" i="3"/>
  <c r="N240" i="3"/>
  <c r="B240" i="3"/>
  <c r="N239" i="3"/>
  <c r="G239" i="3"/>
  <c r="F239" i="3"/>
  <c r="E239" i="3"/>
  <c r="D239" i="3"/>
  <c r="C239" i="3"/>
  <c r="B239" i="3"/>
  <c r="N238" i="3"/>
  <c r="B238" i="3"/>
  <c r="N237" i="3"/>
  <c r="G237" i="3"/>
  <c r="F237" i="3"/>
  <c r="E237" i="3"/>
  <c r="D237" i="3"/>
  <c r="C237" i="3"/>
  <c r="B237" i="3"/>
  <c r="N236" i="3"/>
  <c r="B236" i="3"/>
  <c r="N235" i="3"/>
  <c r="G235" i="3"/>
  <c r="F235" i="3"/>
  <c r="E235" i="3"/>
  <c r="D235" i="3"/>
  <c r="C235" i="3"/>
  <c r="B235" i="3"/>
  <c r="N234" i="3"/>
  <c r="B234" i="3"/>
  <c r="N233" i="3"/>
  <c r="G233" i="3"/>
  <c r="F233" i="3"/>
  <c r="E233" i="3"/>
  <c r="D233" i="3"/>
  <c r="C233" i="3"/>
  <c r="B233" i="3"/>
  <c r="N232" i="3"/>
  <c r="B232" i="3"/>
  <c r="N231" i="3"/>
  <c r="F231" i="3"/>
  <c r="E231" i="3"/>
  <c r="D231" i="3"/>
  <c r="B231" i="3"/>
  <c r="N230" i="3"/>
  <c r="F230" i="3"/>
  <c r="E230" i="3"/>
  <c r="D230" i="3"/>
  <c r="B230" i="3"/>
  <c r="N229" i="3"/>
  <c r="B229" i="3"/>
  <c r="N228" i="3"/>
  <c r="G228" i="3"/>
  <c r="F228" i="3"/>
  <c r="E228" i="3"/>
  <c r="D228" i="3"/>
  <c r="C228" i="3"/>
  <c r="B228" i="3"/>
  <c r="N227" i="3"/>
  <c r="B227" i="3"/>
  <c r="N226" i="3"/>
  <c r="B226" i="3"/>
  <c r="N225" i="3"/>
  <c r="G225" i="3"/>
  <c r="F225" i="3"/>
  <c r="E225" i="3"/>
  <c r="D225" i="3"/>
  <c r="C225" i="3"/>
  <c r="B225" i="3"/>
  <c r="N224" i="3"/>
  <c r="B224" i="3"/>
  <c r="N223" i="3"/>
  <c r="G223" i="3"/>
  <c r="F223" i="3"/>
  <c r="E223" i="3"/>
  <c r="D223" i="3"/>
  <c r="C223" i="3"/>
  <c r="B223" i="3"/>
  <c r="N222" i="3"/>
  <c r="B222" i="3"/>
  <c r="N221" i="3"/>
  <c r="F221" i="3"/>
  <c r="E221" i="3"/>
  <c r="D221" i="3"/>
  <c r="B221" i="3"/>
  <c r="N220" i="3"/>
  <c r="G220" i="3"/>
  <c r="F220" i="3"/>
  <c r="E220" i="3"/>
  <c r="D220" i="3"/>
  <c r="C220" i="3"/>
  <c r="B220" i="3"/>
  <c r="N219" i="3"/>
  <c r="B219" i="3"/>
  <c r="N218" i="3"/>
  <c r="G218" i="3"/>
  <c r="F218" i="3"/>
  <c r="E218" i="3"/>
  <c r="D218" i="3"/>
  <c r="C218" i="3"/>
  <c r="B218" i="3"/>
  <c r="N217" i="3"/>
  <c r="G217" i="3"/>
  <c r="F217" i="3"/>
  <c r="E217" i="3"/>
  <c r="D217" i="3"/>
  <c r="C217" i="3"/>
  <c r="B217" i="3"/>
  <c r="N216" i="3"/>
  <c r="B216" i="3"/>
  <c r="N215" i="3"/>
  <c r="G215" i="3"/>
  <c r="F215" i="3"/>
  <c r="E215" i="3"/>
  <c r="D215" i="3"/>
  <c r="C215" i="3"/>
  <c r="B215" i="3"/>
  <c r="N214" i="3"/>
  <c r="B214" i="3"/>
  <c r="N213" i="3"/>
  <c r="G213" i="3"/>
  <c r="F213" i="3"/>
  <c r="E213" i="3"/>
  <c r="D213" i="3"/>
  <c r="C213" i="3"/>
  <c r="B213" i="3"/>
  <c r="N212" i="3"/>
  <c r="B212" i="3"/>
  <c r="N211" i="3"/>
  <c r="G211" i="3"/>
  <c r="F211" i="3"/>
  <c r="E211" i="3"/>
  <c r="D211" i="3"/>
  <c r="C211" i="3"/>
  <c r="B211" i="3"/>
  <c r="N210" i="3"/>
  <c r="B210" i="3"/>
  <c r="N209" i="3"/>
  <c r="B209" i="3"/>
  <c r="N208" i="3"/>
  <c r="G208" i="3"/>
  <c r="F208" i="3"/>
  <c r="E208" i="3"/>
  <c r="D208" i="3"/>
  <c r="C208" i="3"/>
  <c r="B208" i="3"/>
  <c r="N207" i="3"/>
  <c r="B207" i="3"/>
  <c r="N206" i="3"/>
  <c r="G206" i="3"/>
  <c r="F206" i="3"/>
  <c r="E206" i="3"/>
  <c r="D206" i="3"/>
  <c r="C206" i="3"/>
  <c r="B206" i="3"/>
  <c r="N205" i="3"/>
  <c r="G205" i="3"/>
  <c r="F205" i="3"/>
  <c r="E205" i="3"/>
  <c r="D205" i="3"/>
  <c r="C205" i="3"/>
  <c r="B205" i="3"/>
  <c r="N204" i="3"/>
  <c r="G204" i="3"/>
  <c r="F204" i="3"/>
  <c r="E204" i="3"/>
  <c r="D204" i="3"/>
  <c r="C204" i="3"/>
  <c r="B204" i="3"/>
  <c r="N203" i="3"/>
  <c r="B203" i="3"/>
  <c r="N202" i="3"/>
  <c r="G202" i="3"/>
  <c r="F202" i="3"/>
  <c r="E202" i="3"/>
  <c r="D202" i="3"/>
  <c r="C202" i="3"/>
  <c r="B202" i="3"/>
  <c r="N201" i="3"/>
  <c r="B201" i="3"/>
  <c r="N200" i="3"/>
  <c r="B200" i="3"/>
  <c r="N199" i="3"/>
  <c r="N198" i="3"/>
  <c r="B198" i="3"/>
  <c r="N197" i="3"/>
  <c r="B197" i="3"/>
  <c r="N196" i="3"/>
  <c r="B196" i="3"/>
  <c r="N195" i="3"/>
  <c r="B195" i="3"/>
  <c r="N194" i="3"/>
  <c r="B194" i="3"/>
  <c r="N193" i="3"/>
  <c r="B193" i="3"/>
  <c r="N192" i="3"/>
  <c r="B192" i="3"/>
  <c r="N191" i="3"/>
  <c r="G191" i="3"/>
  <c r="F191" i="3"/>
  <c r="E191" i="3"/>
  <c r="D191" i="3"/>
  <c r="C191" i="3"/>
  <c r="B191" i="3"/>
  <c r="N190" i="3"/>
  <c r="B190" i="3"/>
  <c r="N189" i="3"/>
  <c r="G189" i="3"/>
  <c r="F189" i="3"/>
  <c r="E189" i="3"/>
  <c r="D189" i="3"/>
  <c r="C189" i="3"/>
  <c r="B189" i="3"/>
  <c r="N188" i="3"/>
  <c r="G188" i="3"/>
  <c r="F188" i="3"/>
  <c r="E188" i="3"/>
  <c r="D188" i="3"/>
  <c r="C188" i="3"/>
  <c r="B188" i="3"/>
  <c r="N187" i="3"/>
  <c r="B187" i="3"/>
  <c r="N186" i="3"/>
  <c r="G186" i="3"/>
  <c r="F186" i="3"/>
  <c r="E186" i="3"/>
  <c r="D186" i="3"/>
  <c r="C186" i="3"/>
  <c r="B186" i="3"/>
  <c r="N185" i="3"/>
  <c r="B185" i="3"/>
  <c r="N184" i="3"/>
  <c r="G184" i="3"/>
  <c r="F184" i="3"/>
  <c r="E184" i="3"/>
  <c r="D184" i="3"/>
  <c r="C184" i="3"/>
  <c r="B184" i="3"/>
  <c r="N183" i="3"/>
  <c r="B183" i="3"/>
  <c r="N182" i="3"/>
  <c r="B182" i="3"/>
  <c r="N181" i="3"/>
  <c r="B181" i="3"/>
  <c r="N180" i="3"/>
  <c r="G180" i="3"/>
  <c r="F180" i="3"/>
  <c r="E180" i="3"/>
  <c r="D180" i="3"/>
  <c r="C180" i="3"/>
  <c r="B180" i="3"/>
  <c r="N179" i="3"/>
  <c r="B179" i="3"/>
  <c r="N178" i="3"/>
  <c r="G178" i="3"/>
  <c r="F178" i="3"/>
  <c r="E178" i="3"/>
  <c r="D178" i="3"/>
  <c r="C178" i="3"/>
  <c r="B178" i="3"/>
  <c r="N177" i="3"/>
  <c r="B177" i="3"/>
  <c r="N176" i="3"/>
  <c r="G176" i="3"/>
  <c r="F176" i="3"/>
  <c r="E176" i="3"/>
  <c r="D176" i="3"/>
  <c r="C176" i="3"/>
  <c r="B176" i="3"/>
  <c r="N175" i="3"/>
  <c r="B175" i="3"/>
  <c r="N174" i="3"/>
  <c r="G174" i="3"/>
  <c r="F174" i="3"/>
  <c r="E174" i="3"/>
  <c r="D174" i="3"/>
  <c r="C174" i="3"/>
  <c r="B174" i="3"/>
  <c r="N173" i="3"/>
  <c r="B173" i="3"/>
  <c r="N172" i="3"/>
  <c r="G172" i="3"/>
  <c r="F172" i="3"/>
  <c r="E172" i="3"/>
  <c r="D172" i="3"/>
  <c r="C172" i="3"/>
  <c r="B172" i="3"/>
  <c r="N171" i="3"/>
  <c r="B171" i="3"/>
  <c r="N170" i="3"/>
  <c r="G170" i="3"/>
  <c r="F170" i="3"/>
  <c r="E170" i="3"/>
  <c r="D170" i="3"/>
  <c r="C170" i="3"/>
  <c r="B170" i="3"/>
  <c r="N169" i="3"/>
  <c r="B169" i="3"/>
  <c r="N168" i="3"/>
  <c r="B168" i="3"/>
  <c r="N167" i="3"/>
  <c r="G167" i="3"/>
  <c r="F167" i="3"/>
  <c r="E167" i="3"/>
  <c r="D167" i="3"/>
  <c r="C167" i="3"/>
  <c r="B167" i="3"/>
  <c r="N166" i="3"/>
  <c r="B166" i="3"/>
  <c r="N165" i="3"/>
  <c r="G165" i="3"/>
  <c r="F165" i="3"/>
  <c r="E165" i="3"/>
  <c r="D165" i="3"/>
  <c r="C165" i="3"/>
  <c r="B165" i="3"/>
  <c r="N164" i="3"/>
  <c r="G164" i="3"/>
  <c r="F164" i="3"/>
  <c r="E164" i="3"/>
  <c r="D164" i="3"/>
  <c r="C164" i="3"/>
  <c r="B164" i="3"/>
  <c r="N163" i="3"/>
  <c r="B163" i="3"/>
  <c r="N162" i="3"/>
  <c r="G162" i="3"/>
  <c r="F162" i="3"/>
  <c r="E162" i="3"/>
  <c r="D162" i="3"/>
  <c r="C162" i="3"/>
  <c r="B162" i="3"/>
  <c r="N161" i="3"/>
  <c r="G161" i="3"/>
  <c r="F161" i="3"/>
  <c r="E161" i="3"/>
  <c r="D161" i="3"/>
  <c r="C161" i="3"/>
  <c r="B161" i="3"/>
  <c r="N160" i="3"/>
  <c r="B160" i="3"/>
  <c r="N159" i="3"/>
  <c r="B159" i="3"/>
  <c r="N158" i="3"/>
  <c r="G158" i="3"/>
  <c r="F158" i="3"/>
  <c r="E158" i="3"/>
  <c r="D158" i="3"/>
  <c r="C158" i="3"/>
  <c r="B158" i="3"/>
  <c r="N157" i="3"/>
  <c r="B157" i="3"/>
  <c r="N156" i="3"/>
  <c r="G156" i="3"/>
  <c r="F156" i="3"/>
  <c r="E156" i="3"/>
  <c r="D156" i="3"/>
  <c r="C156" i="3"/>
  <c r="B156" i="3"/>
  <c r="N155" i="3"/>
  <c r="B155" i="3"/>
  <c r="N154" i="3"/>
  <c r="B154" i="3"/>
  <c r="N153" i="3"/>
  <c r="G153" i="3"/>
  <c r="F153" i="3"/>
  <c r="E153" i="3"/>
  <c r="D153" i="3"/>
  <c r="C153" i="3"/>
  <c r="B153" i="3"/>
  <c r="N152" i="3"/>
  <c r="B152" i="3"/>
  <c r="N151" i="3"/>
  <c r="F151" i="3"/>
  <c r="E151" i="3"/>
  <c r="D151" i="3"/>
  <c r="B151" i="3"/>
  <c r="N150" i="3"/>
  <c r="F150" i="3"/>
  <c r="E150" i="3"/>
  <c r="D150" i="3"/>
  <c r="B150" i="3"/>
  <c r="N149" i="3"/>
  <c r="B149" i="3"/>
  <c r="N148" i="3"/>
  <c r="B148" i="3"/>
  <c r="N147" i="3"/>
  <c r="B147" i="3"/>
  <c r="N146" i="3"/>
  <c r="B146" i="3"/>
  <c r="N145" i="3"/>
  <c r="B145" i="3"/>
  <c r="N144" i="3"/>
  <c r="B144" i="3"/>
  <c r="N143" i="3"/>
  <c r="G143" i="3"/>
  <c r="F143" i="3"/>
  <c r="E143" i="3"/>
  <c r="D143" i="3"/>
  <c r="C143" i="3"/>
  <c r="B143" i="3"/>
  <c r="N142" i="3"/>
  <c r="B142" i="3"/>
  <c r="N141" i="3"/>
  <c r="G141" i="3"/>
  <c r="F141" i="3"/>
  <c r="E141" i="3"/>
  <c r="D141" i="3"/>
  <c r="C141" i="3"/>
  <c r="B141" i="3"/>
  <c r="N140" i="3"/>
  <c r="B140" i="3"/>
  <c r="N139" i="3"/>
  <c r="G139" i="3"/>
  <c r="F139" i="3"/>
  <c r="E139" i="3"/>
  <c r="D139" i="3"/>
  <c r="C139" i="3"/>
  <c r="B139" i="3"/>
  <c r="N138" i="3"/>
  <c r="B138" i="3"/>
  <c r="N137" i="3"/>
  <c r="G137" i="3"/>
  <c r="F137" i="3"/>
  <c r="E137" i="3"/>
  <c r="D137" i="3"/>
  <c r="C137" i="3"/>
  <c r="B137" i="3"/>
  <c r="N136" i="3"/>
  <c r="G136" i="3"/>
  <c r="F136" i="3"/>
  <c r="E136" i="3"/>
  <c r="D136" i="3"/>
  <c r="C136" i="3"/>
  <c r="B136" i="3"/>
  <c r="N135" i="3"/>
  <c r="G135" i="3"/>
  <c r="F135" i="3"/>
  <c r="E135" i="3"/>
  <c r="D135" i="3"/>
  <c r="C135" i="3"/>
  <c r="B135" i="3"/>
  <c r="N134" i="3"/>
  <c r="B134" i="3"/>
  <c r="N133" i="3"/>
  <c r="G133" i="3"/>
  <c r="F133" i="3"/>
  <c r="E133" i="3"/>
  <c r="D133" i="3"/>
  <c r="C133" i="3"/>
  <c r="B133" i="3"/>
  <c r="N132" i="3"/>
  <c r="G132" i="3"/>
  <c r="F132" i="3"/>
  <c r="E132" i="3"/>
  <c r="D132" i="3"/>
  <c r="C132" i="3"/>
  <c r="B132" i="3"/>
  <c r="N131" i="3"/>
  <c r="G131" i="3"/>
  <c r="F131" i="3"/>
  <c r="E131" i="3"/>
  <c r="D131" i="3"/>
  <c r="C131" i="3"/>
  <c r="B131" i="3"/>
  <c r="N130" i="3"/>
  <c r="B130" i="3"/>
  <c r="N129" i="3"/>
  <c r="G129" i="3"/>
  <c r="F129" i="3"/>
  <c r="E129" i="3"/>
  <c r="D129" i="3"/>
  <c r="C129" i="3"/>
  <c r="B129" i="3"/>
  <c r="N128" i="3"/>
  <c r="B128" i="3"/>
  <c r="N127" i="3"/>
  <c r="B127" i="3"/>
  <c r="N126" i="3"/>
  <c r="G126" i="3"/>
  <c r="F126" i="3"/>
  <c r="E126" i="3"/>
  <c r="D126" i="3"/>
  <c r="C126" i="3"/>
  <c r="B126" i="3"/>
  <c r="N125" i="3"/>
  <c r="B125" i="3"/>
  <c r="N124" i="3"/>
  <c r="G124" i="3"/>
  <c r="F124" i="3"/>
  <c r="E124" i="3"/>
  <c r="D124" i="3"/>
  <c r="C124" i="3"/>
  <c r="B124" i="3"/>
  <c r="N123" i="3"/>
  <c r="B123" i="3"/>
  <c r="N122" i="3"/>
  <c r="G122" i="3"/>
  <c r="F122" i="3"/>
  <c r="E122" i="3"/>
  <c r="D122" i="3"/>
  <c r="C122" i="3"/>
  <c r="B122" i="3"/>
  <c r="N121" i="3"/>
  <c r="G121" i="3"/>
  <c r="F121" i="3"/>
  <c r="E121" i="3"/>
  <c r="D121" i="3"/>
  <c r="C121" i="3"/>
  <c r="B121" i="3"/>
  <c r="N120" i="3"/>
  <c r="B120" i="3"/>
  <c r="N119" i="3"/>
  <c r="G119" i="3"/>
  <c r="F119" i="3"/>
  <c r="E119" i="3"/>
  <c r="D119" i="3"/>
  <c r="C119" i="3"/>
  <c r="B119" i="3"/>
  <c r="N118" i="3"/>
  <c r="G118" i="3"/>
  <c r="F118" i="3"/>
  <c r="E118" i="3"/>
  <c r="D118" i="3"/>
  <c r="C118" i="3"/>
  <c r="B118" i="3"/>
  <c r="N117" i="3"/>
  <c r="B117" i="3"/>
  <c r="N116" i="3"/>
  <c r="G116" i="3"/>
  <c r="F116" i="3"/>
  <c r="E116" i="3"/>
  <c r="D116" i="3"/>
  <c r="C116" i="3"/>
  <c r="B116" i="3"/>
  <c r="N115" i="3"/>
  <c r="B115" i="3"/>
  <c r="N114" i="3"/>
  <c r="B114" i="3"/>
  <c r="N113" i="3"/>
  <c r="B113" i="3"/>
  <c r="N112" i="3"/>
  <c r="G112" i="3"/>
  <c r="F112" i="3"/>
  <c r="E112" i="3"/>
  <c r="D112" i="3"/>
  <c r="C112" i="3"/>
  <c r="B112" i="3"/>
  <c r="N111" i="3"/>
  <c r="B111" i="3"/>
  <c r="N110" i="3"/>
  <c r="G110" i="3"/>
  <c r="F110" i="3"/>
  <c r="E110" i="3"/>
  <c r="D110" i="3"/>
  <c r="C110" i="3"/>
  <c r="B110" i="3"/>
  <c r="N109" i="3"/>
  <c r="B109" i="3"/>
  <c r="N108" i="3"/>
  <c r="G108" i="3"/>
  <c r="F108" i="3"/>
  <c r="E108" i="3"/>
  <c r="D108" i="3"/>
  <c r="C108" i="3"/>
  <c r="B108" i="3"/>
  <c r="N107" i="3"/>
  <c r="B107" i="3"/>
  <c r="N106" i="3"/>
  <c r="G106" i="3"/>
  <c r="F106" i="3"/>
  <c r="E106" i="3"/>
  <c r="D106" i="3"/>
  <c r="C106" i="3"/>
  <c r="B106" i="3"/>
  <c r="N105" i="3"/>
  <c r="G105" i="3"/>
  <c r="F105" i="3"/>
  <c r="E105" i="3"/>
  <c r="D105" i="3"/>
  <c r="C105" i="3"/>
  <c r="B105" i="3"/>
  <c r="N104" i="3"/>
  <c r="B104" i="3"/>
  <c r="N103" i="3"/>
  <c r="G103" i="3"/>
  <c r="F103" i="3"/>
  <c r="E103" i="3"/>
  <c r="D103" i="3"/>
  <c r="C103" i="3"/>
  <c r="B103" i="3"/>
  <c r="N102" i="3"/>
  <c r="B102" i="3"/>
  <c r="N101" i="3"/>
  <c r="G101" i="3"/>
  <c r="F101" i="3"/>
  <c r="E101" i="3"/>
  <c r="D101" i="3"/>
  <c r="C101" i="3"/>
  <c r="B101" i="3"/>
  <c r="N100" i="3"/>
  <c r="G100" i="3"/>
  <c r="F100" i="3"/>
  <c r="E100" i="3"/>
  <c r="D100" i="3"/>
  <c r="C100" i="3"/>
  <c r="B100" i="3"/>
  <c r="N99" i="3"/>
  <c r="B99" i="3"/>
  <c r="N98" i="3"/>
  <c r="B98" i="3"/>
  <c r="N97" i="3"/>
  <c r="F97" i="3"/>
  <c r="E97" i="3"/>
  <c r="D97" i="3"/>
  <c r="C97" i="3"/>
  <c r="B97" i="3"/>
  <c r="N96" i="3"/>
  <c r="F96" i="3"/>
  <c r="E96" i="3"/>
  <c r="D96" i="3"/>
  <c r="C96" i="3"/>
  <c r="B96" i="3"/>
  <c r="N95" i="3"/>
  <c r="G95" i="3"/>
  <c r="F95" i="3"/>
  <c r="E95" i="3"/>
  <c r="D95" i="3"/>
  <c r="C95" i="3"/>
  <c r="B95" i="3"/>
  <c r="N94" i="3"/>
  <c r="B94" i="3"/>
  <c r="N93" i="3"/>
  <c r="G93" i="3"/>
  <c r="F93" i="3"/>
  <c r="E93" i="3"/>
  <c r="D93" i="3"/>
  <c r="C93" i="3"/>
  <c r="B93" i="3"/>
  <c r="N92" i="3"/>
  <c r="B92" i="3"/>
  <c r="N91" i="3"/>
  <c r="G91" i="3"/>
  <c r="F91" i="3"/>
  <c r="E91" i="3"/>
  <c r="D91" i="3"/>
  <c r="C91" i="3"/>
  <c r="B91" i="3"/>
  <c r="N90" i="3"/>
  <c r="B90" i="3"/>
  <c r="N89" i="3"/>
  <c r="F89" i="3"/>
  <c r="E89" i="3"/>
  <c r="D89" i="3"/>
  <c r="B89" i="3"/>
  <c r="N88" i="3"/>
  <c r="G88" i="3"/>
  <c r="F88" i="3"/>
  <c r="E88" i="3"/>
  <c r="D88" i="3"/>
  <c r="C88" i="3"/>
  <c r="B88" i="3"/>
  <c r="N87" i="3"/>
  <c r="B87" i="3"/>
  <c r="N86" i="3"/>
  <c r="G86" i="3"/>
  <c r="F86" i="3"/>
  <c r="E86" i="3"/>
  <c r="D86" i="3"/>
  <c r="C86" i="3"/>
  <c r="B86" i="3"/>
  <c r="N85" i="3"/>
  <c r="B85" i="3"/>
  <c r="N84" i="3"/>
  <c r="G84" i="3"/>
  <c r="F84" i="3"/>
  <c r="E84" i="3"/>
  <c r="D84" i="3"/>
  <c r="C84" i="3"/>
  <c r="B84" i="3"/>
  <c r="N83" i="3"/>
  <c r="B83" i="3"/>
  <c r="N82" i="3"/>
  <c r="G82" i="3"/>
  <c r="F82" i="3"/>
  <c r="E82" i="3"/>
  <c r="D82" i="3"/>
  <c r="C82" i="3"/>
  <c r="B82" i="3"/>
  <c r="N81" i="3"/>
  <c r="B81" i="3"/>
  <c r="N80" i="3"/>
  <c r="B80" i="3"/>
  <c r="N79" i="3"/>
  <c r="B79" i="3"/>
  <c r="N78" i="3"/>
  <c r="G78" i="3"/>
  <c r="F78" i="3"/>
  <c r="E78" i="3"/>
  <c r="D78" i="3"/>
  <c r="C78" i="3"/>
  <c r="B78" i="3"/>
  <c r="N77" i="3"/>
  <c r="B77" i="3"/>
  <c r="N76" i="3"/>
  <c r="B76" i="3"/>
  <c r="N75" i="3"/>
  <c r="F75" i="3"/>
  <c r="E75" i="3"/>
  <c r="D75" i="3"/>
  <c r="C75" i="3"/>
  <c r="B75" i="3"/>
  <c r="N74" i="3"/>
  <c r="B74" i="3"/>
  <c r="N73" i="3"/>
  <c r="B73" i="3"/>
  <c r="N72" i="3"/>
  <c r="G72" i="3"/>
  <c r="F72" i="3"/>
  <c r="E72" i="3"/>
  <c r="D72" i="3"/>
  <c r="C72" i="3"/>
  <c r="B72" i="3"/>
  <c r="N71" i="3"/>
  <c r="G71" i="3"/>
  <c r="F71" i="3"/>
  <c r="E71" i="3"/>
  <c r="D71" i="3"/>
  <c r="C71" i="3"/>
  <c r="B71" i="3"/>
  <c r="N70" i="3"/>
  <c r="B70" i="3"/>
  <c r="N69" i="3"/>
  <c r="G69" i="3"/>
  <c r="F69" i="3"/>
  <c r="E69" i="3"/>
  <c r="D69" i="3"/>
  <c r="C69" i="3"/>
  <c r="B69" i="3"/>
  <c r="N68" i="3"/>
  <c r="G68" i="3"/>
  <c r="F68" i="3"/>
  <c r="E68" i="3"/>
  <c r="D68" i="3"/>
  <c r="C68" i="3"/>
  <c r="B68" i="3"/>
  <c r="N67" i="3"/>
  <c r="B67" i="3"/>
  <c r="N66" i="3"/>
  <c r="B66" i="3"/>
  <c r="N65" i="3"/>
  <c r="G65" i="3"/>
  <c r="F65" i="3"/>
  <c r="E65" i="3"/>
  <c r="D65" i="3"/>
  <c r="C65" i="3"/>
  <c r="B65" i="3"/>
  <c r="N64" i="3"/>
  <c r="G64" i="3"/>
  <c r="F64" i="3"/>
  <c r="E64" i="3"/>
  <c r="D64" i="3"/>
  <c r="C64" i="3"/>
  <c r="B64" i="3"/>
  <c r="N63" i="3"/>
  <c r="B63" i="3"/>
  <c r="N62" i="3"/>
  <c r="G62" i="3"/>
  <c r="F62" i="3"/>
  <c r="E62" i="3"/>
  <c r="D62" i="3"/>
  <c r="C62" i="3"/>
  <c r="B62" i="3"/>
  <c r="N61" i="3"/>
  <c r="G61" i="3"/>
  <c r="F61" i="3"/>
  <c r="E61" i="3"/>
  <c r="D61" i="3"/>
  <c r="C61" i="3"/>
  <c r="B61" i="3"/>
  <c r="N60" i="3"/>
  <c r="B60" i="3"/>
  <c r="N59" i="3"/>
  <c r="G59" i="3"/>
  <c r="F59" i="3"/>
  <c r="E59" i="3"/>
  <c r="D59" i="3"/>
  <c r="C59" i="3"/>
  <c r="B59" i="3"/>
  <c r="N58" i="3"/>
  <c r="G58" i="3"/>
  <c r="F58" i="3"/>
  <c r="E58" i="3"/>
  <c r="D58" i="3"/>
  <c r="C58" i="3"/>
  <c r="B58" i="3"/>
  <c r="N57" i="3"/>
  <c r="B57" i="3"/>
  <c r="N56" i="3"/>
  <c r="F56" i="3"/>
  <c r="E56" i="3"/>
  <c r="D56" i="3"/>
  <c r="C56" i="3"/>
  <c r="B56" i="3"/>
  <c r="N55" i="3"/>
  <c r="B55" i="3"/>
  <c r="N54" i="3"/>
  <c r="G54" i="3"/>
  <c r="F54" i="3"/>
  <c r="E54" i="3"/>
  <c r="D54" i="3"/>
  <c r="C54" i="3"/>
  <c r="B54" i="3"/>
  <c r="N53" i="3"/>
  <c r="G53" i="3"/>
  <c r="F53" i="3"/>
  <c r="E53" i="3"/>
  <c r="D53" i="3"/>
  <c r="C53" i="3"/>
  <c r="B53" i="3"/>
  <c r="N52" i="3"/>
  <c r="B52" i="3"/>
  <c r="N51" i="3"/>
  <c r="B51" i="3"/>
  <c r="N50" i="3"/>
  <c r="G50" i="3"/>
  <c r="F50" i="3"/>
  <c r="E50" i="3"/>
  <c r="D50" i="3"/>
  <c r="C50" i="3"/>
  <c r="B50" i="3"/>
  <c r="N49" i="3"/>
  <c r="B49" i="3"/>
  <c r="N48" i="3"/>
  <c r="G48" i="3"/>
  <c r="F48" i="3"/>
  <c r="E48" i="3"/>
  <c r="D48" i="3"/>
  <c r="C48" i="3"/>
  <c r="B48" i="3"/>
  <c r="N47" i="3"/>
  <c r="G47" i="3"/>
  <c r="F47" i="3"/>
  <c r="E47" i="3"/>
  <c r="D47" i="3"/>
  <c r="C47" i="3"/>
  <c r="B47" i="3"/>
  <c r="N46" i="3"/>
  <c r="B46" i="3"/>
  <c r="N45" i="3"/>
  <c r="G45" i="3"/>
  <c r="F45" i="3"/>
  <c r="E45" i="3"/>
  <c r="D45" i="3"/>
  <c r="C45" i="3"/>
  <c r="B45" i="3"/>
  <c r="N44" i="3"/>
  <c r="G44" i="3"/>
  <c r="F44" i="3"/>
  <c r="E44" i="3"/>
  <c r="D44" i="3"/>
  <c r="C44" i="3"/>
  <c r="B44" i="3"/>
  <c r="N43" i="3"/>
  <c r="B43" i="3"/>
  <c r="N42" i="3"/>
  <c r="G42" i="3"/>
  <c r="F42" i="3"/>
  <c r="E42" i="3"/>
  <c r="D42" i="3"/>
  <c r="C42" i="3"/>
  <c r="B42" i="3"/>
  <c r="N41" i="3"/>
  <c r="G41" i="3"/>
  <c r="F41" i="3"/>
  <c r="E41" i="3"/>
  <c r="D41" i="3"/>
  <c r="C41" i="3"/>
  <c r="B41" i="3"/>
  <c r="N40" i="3"/>
  <c r="B40" i="3"/>
  <c r="N39" i="3"/>
  <c r="F39" i="3"/>
  <c r="E39" i="3"/>
  <c r="D39" i="3"/>
  <c r="B39" i="3"/>
  <c r="N38" i="3"/>
  <c r="F38" i="3"/>
  <c r="E38" i="3"/>
  <c r="D38" i="3"/>
  <c r="B38" i="3"/>
  <c r="N37" i="3"/>
  <c r="G37" i="3"/>
  <c r="F37" i="3"/>
  <c r="E37" i="3"/>
  <c r="D37" i="3"/>
  <c r="C37" i="3"/>
  <c r="B37" i="3"/>
  <c r="N36" i="3"/>
  <c r="B36" i="3"/>
  <c r="N35" i="3"/>
  <c r="G35" i="3"/>
  <c r="F35" i="3"/>
  <c r="E35" i="3"/>
  <c r="D35" i="3"/>
  <c r="C35" i="3"/>
  <c r="B35" i="3"/>
  <c r="N34" i="3"/>
  <c r="G34" i="3"/>
  <c r="F34" i="3"/>
  <c r="E34" i="3"/>
  <c r="D34" i="3"/>
  <c r="C34" i="3"/>
  <c r="B34" i="3"/>
  <c r="N33" i="3"/>
  <c r="B33" i="3"/>
  <c r="N32" i="3"/>
  <c r="B32" i="3"/>
  <c r="N31" i="3"/>
  <c r="N30" i="3"/>
  <c r="N29" i="3"/>
  <c r="N28" i="3"/>
  <c r="N27" i="3"/>
  <c r="N26" i="3"/>
  <c r="N25" i="3"/>
  <c r="N24" i="3"/>
  <c r="N22" i="3"/>
  <c r="N21" i="3"/>
  <c r="N20" i="3"/>
  <c r="N19" i="3"/>
  <c r="N18" i="3"/>
  <c r="G18" i="3"/>
  <c r="F18" i="3"/>
  <c r="E18" i="3"/>
  <c r="D18" i="3"/>
  <c r="C18" i="3"/>
  <c r="B18" i="3"/>
  <c r="N17" i="3"/>
  <c r="N16" i="3"/>
  <c r="N15" i="3"/>
  <c r="N14" i="3"/>
  <c r="G14" i="3"/>
  <c r="F14" i="3"/>
  <c r="E14" i="3"/>
  <c r="D14" i="3"/>
  <c r="C14" i="3"/>
  <c r="B14" i="3"/>
  <c r="N13" i="3"/>
  <c r="G13" i="3"/>
  <c r="F13" i="3"/>
  <c r="E13" i="3"/>
  <c r="D13" i="3"/>
  <c r="C13" i="3"/>
  <c r="B13" i="3"/>
  <c r="N12" i="3"/>
  <c r="B12" i="3"/>
  <c r="N11" i="3"/>
  <c r="G11" i="3"/>
  <c r="F11" i="3"/>
  <c r="E11" i="3"/>
  <c r="D11" i="3"/>
  <c r="C11" i="3"/>
  <c r="B11" i="3"/>
  <c r="N10" i="3"/>
  <c r="G10" i="3"/>
  <c r="F10" i="3"/>
  <c r="E10" i="3"/>
  <c r="D10" i="3"/>
  <c r="C10" i="3"/>
  <c r="B10" i="3"/>
  <c r="N9" i="3"/>
  <c r="B9" i="3"/>
  <c r="N8" i="3"/>
  <c r="B8" i="3"/>
  <c r="A35" i="1" l="1"/>
  <c r="E235" i="9"/>
  <c r="E132" i="9"/>
  <c r="E131" i="9"/>
  <c r="D235" i="9"/>
  <c r="D132" i="9"/>
  <c r="D131" i="9"/>
  <c r="F132" i="9"/>
  <c r="G10" i="13"/>
  <c r="C10" i="10"/>
  <c r="C26" i="10"/>
  <c r="G26" i="10"/>
  <c r="G10" i="10"/>
  <c r="G11" i="10"/>
  <c r="D26" i="10"/>
  <c r="D10" i="10"/>
  <c r="D11" i="10"/>
  <c r="F26" i="10"/>
  <c r="F10" i="10"/>
  <c r="F11" i="10"/>
  <c r="E26" i="10"/>
  <c r="E10" i="10"/>
  <c r="E11" i="10"/>
</calcChain>
</file>

<file path=xl/sharedStrings.xml><?xml version="1.0" encoding="utf-8"?>
<sst xmlns="http://schemas.openxmlformats.org/spreadsheetml/2006/main" count="32432" uniqueCount="1688">
  <si>
    <t>Mes</t>
  </si>
  <si>
    <t>Unidad</t>
  </si>
  <si>
    <t>Quincena</t>
  </si>
  <si>
    <t>Tipo de invasivo</t>
  </si>
  <si>
    <t>Procedencia</t>
  </si>
  <si>
    <t>Destino</t>
  </si>
  <si>
    <t>Año</t>
  </si>
  <si>
    <t>ARAISP</t>
  </si>
  <si>
    <t>IAAS</t>
  </si>
  <si>
    <t>Enero</t>
  </si>
  <si>
    <t>UCI infanto juvenil</t>
  </si>
  <si>
    <t>Primera quincena</t>
  </si>
  <si>
    <t>Independiente del invasivo</t>
  </si>
  <si>
    <t>Alta</t>
  </si>
  <si>
    <t>Si</t>
  </si>
  <si>
    <t>Febrero</t>
  </si>
  <si>
    <t>UCI neonatal</t>
  </si>
  <si>
    <t>Segunda quincena</t>
  </si>
  <si>
    <t>Catéter epicutáneo</t>
  </si>
  <si>
    <t>Anatomìa patológica</t>
  </si>
  <si>
    <t>No</t>
  </si>
  <si>
    <t>Marzo</t>
  </si>
  <si>
    <t>UCI</t>
  </si>
  <si>
    <t>Catéter hemodiálisis</t>
  </si>
  <si>
    <t>Cirugía</t>
  </si>
  <si>
    <t>Abril</t>
  </si>
  <si>
    <t>Neurología</t>
  </si>
  <si>
    <t>Catéter implantofix</t>
  </si>
  <si>
    <t>Emergencia</t>
  </si>
  <si>
    <t>Mayo</t>
  </si>
  <si>
    <t>UCO</t>
  </si>
  <si>
    <t>Catéter Midline NP periférica</t>
  </si>
  <si>
    <t>Extrasistema</t>
  </si>
  <si>
    <t>Junio</t>
  </si>
  <si>
    <t>UPA</t>
  </si>
  <si>
    <t>Catéter umbilical arterial</t>
  </si>
  <si>
    <t>Gine-obstetricia</t>
  </si>
  <si>
    <t>Julio</t>
  </si>
  <si>
    <t xml:space="preserve">Sala de cuidados intermedios </t>
  </si>
  <si>
    <t>Catéter umbilical venoso</t>
  </si>
  <si>
    <t>H. Penco-Lirquén</t>
  </si>
  <si>
    <t>Agosto</t>
  </si>
  <si>
    <t>Medicina</t>
  </si>
  <si>
    <t>Catéter venoso central</t>
  </si>
  <si>
    <t>H. Tome</t>
  </si>
  <si>
    <t>Septiembre</t>
  </si>
  <si>
    <t>Pensionado</t>
  </si>
  <si>
    <t>Sonda vesical foley</t>
  </si>
  <si>
    <t>Hemodinamia</t>
  </si>
  <si>
    <t>Octubre</t>
  </si>
  <si>
    <t>Diálisis</t>
  </si>
  <si>
    <t>Sonda vesical foley tres lúmenes</t>
  </si>
  <si>
    <t>Hospitalización domiciliaria</t>
  </si>
  <si>
    <t>Noviembre</t>
  </si>
  <si>
    <t>Unidad emergencia</t>
  </si>
  <si>
    <t>Ventilación mecánica</t>
  </si>
  <si>
    <t xml:space="preserve">Medicina </t>
  </si>
  <si>
    <t>Diciembre</t>
  </si>
  <si>
    <t>Pediatría</t>
  </si>
  <si>
    <t>DVE</t>
  </si>
  <si>
    <t>Neurológía</t>
  </si>
  <si>
    <t>Traumatología</t>
  </si>
  <si>
    <t>DVP</t>
  </si>
  <si>
    <t>Pabellón</t>
  </si>
  <si>
    <t>MAC</t>
  </si>
  <si>
    <t>Paciente sigue hospitalizado</t>
  </si>
  <si>
    <t>Urología</t>
  </si>
  <si>
    <t>Traqueotomía</t>
  </si>
  <si>
    <t>Cirugía prótesis cadera</t>
  </si>
  <si>
    <t>Traslado en red</t>
  </si>
  <si>
    <t>Ambulatorio</t>
  </si>
  <si>
    <t>Cirugía tumor SNC adultos</t>
  </si>
  <si>
    <t>Cirugía tumor SNC niños</t>
  </si>
  <si>
    <t>Cirugía hernia inguinal adulto c/s malla</t>
  </si>
  <si>
    <t>Área Dental</t>
  </si>
  <si>
    <t>Cirugía colecistectomía laparatómica</t>
  </si>
  <si>
    <t>Cirugía colecistectomía laparoscópica</t>
  </si>
  <si>
    <t>Cirugía de cesárea c/s trabajo de parto</t>
  </si>
  <si>
    <t>Sala de cuidados intermedios</t>
  </si>
  <si>
    <t>Endoftalmítis en cirugía de catarata c/s LIO</t>
  </si>
  <si>
    <t>Acceso arterial</t>
  </si>
  <si>
    <t>Acceso venoso periférico</t>
  </si>
  <si>
    <t>Fallece</t>
  </si>
  <si>
    <t>Oncología</t>
  </si>
  <si>
    <t>UTI neonatal</t>
  </si>
  <si>
    <t>Calculo IAAS anual</t>
  </si>
  <si>
    <t>NEO básico</t>
  </si>
  <si>
    <t>Código elemento</t>
  </si>
  <si>
    <t>Sin hallazgos IAAS</t>
  </si>
  <si>
    <t>No aplica</t>
  </si>
  <si>
    <t>A.I.a.e1.Fiebre igual o mayor a 38 °C axilar</t>
  </si>
  <si>
    <t>A.I.a.e2.Hipotermia igual o menor a 36 °C axilar</t>
  </si>
  <si>
    <t>A.I.a.e3.Hipotensión</t>
  </si>
  <si>
    <t>A.I.a.e4. Taquicardia o bradicardia</t>
  </si>
  <si>
    <t>A.I.a.e5.Apnea en pacientes menores de un año</t>
  </si>
  <si>
    <t>A.I.a.e6.Eritema y exudado en sitio de inserción del CVC</t>
  </si>
  <si>
    <t>A.I.b.e1.Detección en uno o más set de hemocultivos periféricos de un microorganismo patógeno no relacionado con otra infección activa en otra localización por el mismo agente</t>
  </si>
  <si>
    <t>A.I.b.e2.Detección de microorganismo comensal en al menos dos sets de hemocultivos periféricos tomados en sitios anatómicos diferentes no relacionado con otra infección activa en otra localización por el mismo agente</t>
  </si>
  <si>
    <t>A.I.b.e3.Detección de microorganismo comensal en al menos un set de hemocultivos periféricos y en cultivo de punta de catéter retirado por sospecha clínica de infección, no relacionado con otra infección activa en otra localización por el mismo agente</t>
  </si>
  <si>
    <t>B.I.a.e1.Fiebre igual o mayor a 38 °C axilar</t>
  </si>
  <si>
    <t>B.I.a.e2.Síntomas irritativos vesicales (tenesmo vesical, urgencia miccional, polaquiuria, disuria, dolor suprapúbico)</t>
  </si>
  <si>
    <t>B.I.a.e3.Dolor costo vertebral a la palpación o espontáneo</t>
  </si>
  <si>
    <t>B.I.a.e4.Alteración nueva del estado de conciencia en pacientes de 65 o más años</t>
  </si>
  <si>
    <t>B.I.b.e1.Leucocituria de acuerdo con los valores de referencia del laboratorio que procesó la muestra tomada</t>
  </si>
  <si>
    <t>B.I.b.e2.Presencia de placas de pus</t>
  </si>
  <si>
    <t>B.I.b.e3.Presencia de piocitos</t>
  </si>
  <si>
    <t>B.I.c.e1.Cultivo de orina con no más de dos microorganismos, en el que al menos uno de ellos tiene recuento de más de 100.000 UFC/ml</t>
  </si>
  <si>
    <t>C.I.a.e1.Presencia de pus (exudado purulento) en el sitio de incisión quirúrgica, incluido el sitio de la salida de drenaje por contrabertura, con o sin cultivos positivos</t>
  </si>
  <si>
    <t>C.II.a.e1.Fiebre igual o mayor a 38 °C no atribuible a otra causa</t>
  </si>
  <si>
    <t>C.II.a.e2.Sensibilidad o dolor en la zona de la incisión quirúrgica</t>
  </si>
  <si>
    <t>C.II.a.e3.Aumento de volumen localizado en la zona de la incisión quirúrgica</t>
  </si>
  <si>
    <t>C.II.a.e4.Eritema o calor local en la zona de la incisión quirúrgica</t>
  </si>
  <si>
    <t>C.II.a.e5.La incisión es deliberadamente abierta por un integrante del equipo de salud1 con presencia de exudado que, sin tener aspecto de pus, se describe como turbio, serohemático o seropurulento</t>
  </si>
  <si>
    <t>C.II.a.e6.Aislamiento de microorganismo en cultivo obtenido con técnica aséptica de la incisión o tejido subcutáneo</t>
  </si>
  <si>
    <t>D.I.a.e1.Paciente tiene dos o más deposiciones líquidas dentro de 12 horas con o sin otra sintomatología, no atribuible a causas no infecciosas</t>
  </si>
  <si>
    <t>D.I.b.e1.Si se cuenta con agente etiológico identificado, no hay evidencias que el microorganismo se haya encontrado presente o en periodo incubación al momento del ingreso hospitalario</t>
  </si>
  <si>
    <t>D.II.a.e1.Paciente presenta un episodio de deposiciones líquidas o disgregadas</t>
  </si>
  <si>
    <t>D.II.b.e1.Crecimiento de microorganismo patógeno entérico en cultivo de deposiciones o en muestra de hisopado rectal</t>
  </si>
  <si>
    <t>D.II.b.e2.Microorganismo patógeno entérico detectado por cualquier medio que no sea cultivo</t>
  </si>
  <si>
    <t>D.II.c.e1.No hay evidencias que el microorganismo se haya encontrado presente o en periodo incubación al momento del ingreso hospitalario</t>
  </si>
  <si>
    <t>E.I.a.e1.Presencia de más de una deposición líquida en 12 horas</t>
  </si>
  <si>
    <t>E.I.a.e2.Presencia de 3 o más deposiciones disgregadas o líquidas en 24 horas</t>
  </si>
  <si>
    <t>E.II.a.e1.Muestra de deposición positiva a toxina de C. difficile por cualquier técnica de laboratorio, o aislamiento de cepa productora de toxina detectada en deposición por cultivo u otro medio incluida biología molecular</t>
  </si>
  <si>
    <t>F.I.a1.e1.Infiltrado</t>
  </si>
  <si>
    <t>F.I.a1.e2.Condensación</t>
  </si>
  <si>
    <t>F.I.a1.e3.Cavitación</t>
  </si>
  <si>
    <t>F.I.a2.e1.Infiltrado nuevo o progresión de uno existente</t>
  </si>
  <si>
    <t>F.I.a2.e2.Condensación</t>
  </si>
  <si>
    <t>F.I.a2.e3.Cavitación</t>
  </si>
  <si>
    <t>F.I.b.e1.Fiebre mayor o igual a 38 °C axilar</t>
  </si>
  <si>
    <t>F.I.b.e2.Leucopenia (&lt;4.000 leucocitos/mm3) o leucocitosis (&gt;12.000 leucocitos/mm3)</t>
  </si>
  <si>
    <t>F.I.b.e3.Deterioro en el intercambio gaseoso no explicable por otra causa</t>
  </si>
  <si>
    <t>F.I.b.e4.Aspirado endotraqueal con aislamiento de microorganismo patógeno &gt; 100.000 UFC/ml o lavado bronco alveolar o cepillo protegido con recuento significativo (104 o 103 ufc/ml respectivamente) o panel molecular con recuento significativo para neumonía de acuerdo con laboratorio local</t>
  </si>
  <si>
    <t>F.II.a.e1.Infiltrado nuevo o progresión de uno existente</t>
  </si>
  <si>
    <t>F.II.a.e2.Condensación</t>
  </si>
  <si>
    <t>F.II.a.e3.Cavitación</t>
  </si>
  <si>
    <t>F.II.a.e4.Neumatoceles</t>
  </si>
  <si>
    <t>F.II.b.e1.Deterioro en el intercambio gaseoso no explicable por otra causa</t>
  </si>
  <si>
    <t>F.II.c.e1.Temperatura corporal inestable</t>
  </si>
  <si>
    <t>F.II.c.e2.Leucopenia (11.000 leucocitos/mm3) con desviación a izquierda (Mayor o igual a 10% de baciliformes o formas más inmaduras)</t>
  </si>
  <si>
    <t>F.II.c.e3.Aparición de expectoración purulenta, o cambios en las características, o aumento de la cantidad, o aumento en los requerimientos de aspiración de secreciones</t>
  </si>
  <si>
    <t>F.II.c.e4.Sibilancias, estertores o roncus</t>
  </si>
  <si>
    <t>F.II.c.e5.Inestabilidad hemodinámica</t>
  </si>
  <si>
    <t>F.II.c.e6.Aspirado endotraqueal con aislamiento de microorganismo patógeno &gt; 100.000 UFC/ml1010 o lavado bronco alveolar o cepillo protegido con recuento significativo (104 o 103 ufc/ml respectivamente) o panel molecular con recuento significativo para neumonía de acuerdo con laboratorio local</t>
  </si>
  <si>
    <t>F.III.a.e1.Presenta Deterioro en el intercambio gaseoso no explicable por otra causa</t>
  </si>
  <si>
    <t>F.III.b.e1.Aparición de expectoración, aumento o cambio en las características, o aumento de los requerimientos de aspiración o succión de secreciones</t>
  </si>
  <si>
    <t>F.III.b.e2.Hemoptisis</t>
  </si>
  <si>
    <t>F.III.b.e3.Aspirado endotraqueal con aislamiento de microorganismo patógeno &gt; 100.000 UFC3/ml o lavado bronco alveolar o cepillo protegido con recuento significativo (104 o 103 ufc/ml respectivamente) o panel molecular con recuento significativo para neumonía de acuerdo con laboratorio local</t>
  </si>
  <si>
    <t>G.I.a.e1.Fiebre igual o mayor a 38 °C axilar o hipotermia sin otra causa reconocible</t>
  </si>
  <si>
    <t>G.I.a.e2.Leucopenia (&lt;4.000 leucocitos/mm3) o leucocitosis (&gt;11.000 leucocitos/mm3)</t>
  </si>
  <si>
    <t>G.I.a.e3.Tos</t>
  </si>
  <si>
    <t>G.I.a.e4.Aparición o incremento de producción de expectoración</t>
  </si>
  <si>
    <t>G.I.a.e5.Roncus</t>
  </si>
  <si>
    <t>G.I.a.e6.Sibilancias</t>
  </si>
  <si>
    <t>G.I.a.e7.Distrés respiratorio o síndrome de dificultad respiratoria</t>
  </si>
  <si>
    <t>G.I.a.e8.Apnea</t>
  </si>
  <si>
    <t>G.I.a.e9.Bradicardia</t>
  </si>
  <si>
    <t>G.I.a.e10.Imagen pulmonar no presente al ingreso compatible con infección viral</t>
  </si>
  <si>
    <t>G.I.b.e1.Detección de agente viral respiratorio por cualquier técnica de laboratorio</t>
  </si>
  <si>
    <t>G.I.c.e1.No hay evidencias que el agente viral respiratorio se haya encontrado presente o en periodo incubación al momento del ingreso hospitalario</t>
  </si>
  <si>
    <t>H.I.a.e1.Fiebre igual o mayor a 37,8 °C axilar</t>
  </si>
  <si>
    <t>H.I.a.e2.Perdida brusca y completa del olfato (anosmia)</t>
  </si>
  <si>
    <t>H.I.a.e3.Perdida brusca y completa del gusto (ageusia)</t>
  </si>
  <si>
    <t>H.I.a.e4.Tos o estornudos</t>
  </si>
  <si>
    <t>H.I.a.e5.Congestión nasal</t>
  </si>
  <si>
    <t>H.I.a.e6.Disnea o dificultad respiratoria</t>
  </si>
  <si>
    <t>H.I.a.e7.Taquipnea</t>
  </si>
  <si>
    <t>H.I.a.e8.Odinofagia</t>
  </si>
  <si>
    <t>H.I.a.e9.Mialgia</t>
  </si>
  <si>
    <t>H.I.a.e10.Debilidad general o fatiga</t>
  </si>
  <si>
    <t>H.I.a.e11.Dolor torácico</t>
  </si>
  <si>
    <t>H.I.a.e12.Calofríos</t>
  </si>
  <si>
    <t>H.I.a.e13.Diarrea</t>
  </si>
  <si>
    <t>H.I.a.e14.Anorexia o nauseas o vómitos</t>
  </si>
  <si>
    <t>H.I.a.e15.Cefalea</t>
  </si>
  <si>
    <t>H.I.b.e1.Prueba PCR para SARS-CoV-2 positiva</t>
  </si>
  <si>
    <t>H.I.b.e2.Prueba de antígenos para SARS-CoV-2 positiva</t>
  </si>
  <si>
    <t>H.I.c.e1.Tomografía de tórax con opacidades bilaterales múltiples en vidrio esmerilado, con distribución pulmonar periférica y baja sin otra causa conocida</t>
  </si>
  <si>
    <t>H.II.a.e1.Fiebre igual o mayor a 37,8 °C axilar</t>
  </si>
  <si>
    <t>H.II.a.e2.Perdida brusca y completa del olfato (anosmia)</t>
  </si>
  <si>
    <t>H.II.a.e3. Perdida brusca y completa del gusto (ageusia)</t>
  </si>
  <si>
    <t>H.II.a.e4.Tos o estornudos</t>
  </si>
  <si>
    <t>H.II.a.e5.Congestión nasal</t>
  </si>
  <si>
    <t>H.II.a.e6.Disnea o dificultad respiratoria</t>
  </si>
  <si>
    <t>H.II.a.e7.Taquipnea</t>
  </si>
  <si>
    <t>H.II.a.e8.Odinofagia</t>
  </si>
  <si>
    <t>H.II.a.e9.Mialgia</t>
  </si>
  <si>
    <t>H.II.a.e10.Debilidad general o fatiga</t>
  </si>
  <si>
    <t>H.II.a.e11.Dolor torácico</t>
  </si>
  <si>
    <t>H.II.a.e12.Calofríos</t>
  </si>
  <si>
    <t>H.II.a.e13.Diarrea</t>
  </si>
  <si>
    <t>H.II.a.e14.Anorexia o nauseas o vómitos</t>
  </si>
  <si>
    <t>H.II.a.e15.Cefalea</t>
  </si>
  <si>
    <t>H.II.b.e1.Prueba PCR para SARS-CoV-2 positiva</t>
  </si>
  <si>
    <t>H.II.b.e2.Prueba de antígenos para SARS-CoV-2 positiva</t>
  </si>
  <si>
    <t>I.I.a.e1.Fiebre igual o mayor a 38 °C axilar</t>
  </si>
  <si>
    <t>I.I.a.e2.Sensibilidad uterina o subinvolución uterina</t>
  </si>
  <si>
    <t>I.I.a.e3.Loquios de aspecto purulento o cambio en la evolución de su aspecto o aumento de mal olor</t>
  </si>
  <si>
    <t>I.II.a.e1.La paciente tiene un cultivo de fluido o tejido endometrial positivo obtenidos intraoperatoriamente, por punción uterina o por aspirado uterino con técnica aséptica hasta 10 días posterior al parto</t>
  </si>
  <si>
    <t>J.I.a.e1.Detección de microorganismos (cultivo, test molecular) en líquido cefalorraquídeo (LCR) recolectado con técnica aséptica para fines diagnósticos o terapéuticos</t>
  </si>
  <si>
    <t>J.II.a.e1.Fiebre igual o mayor a 38 °C axilar</t>
  </si>
  <si>
    <t>J.II.a.e2.Dolor de cabeza</t>
  </si>
  <si>
    <t>J.II.a.e3.Signos meníngeos</t>
  </si>
  <si>
    <t>J.II.a.e4.Signos de nervios craneales</t>
  </si>
  <si>
    <t>J.II.a.e5.Modificación cualitativa o cuantitativa de conciencia.</t>
  </si>
  <si>
    <t>J.II.a.e6.Apnea (en menores de un año)</t>
  </si>
  <si>
    <t>J.II.a.e7.Bradicardia (en menores de un año)</t>
  </si>
  <si>
    <t>J.II.b.e1.LCR con aumento de glóbulos blancos o en los niveles de proteínas o con descenso de nivel de glucosa según rangos reportados por laboratorio local</t>
  </si>
  <si>
    <t>J.II.b.e2.Microorganismo observados en tinción de Gram del LCR</t>
  </si>
  <si>
    <t>J.II.b.e3.Identificación en uno o más set de hemocultivos periféricos de un microorganismo no relacionado con otra infección activa en otra localización por el mismo agente</t>
  </si>
  <si>
    <t>K.I.a.e1.Paciente presenta identificación de un microorganismo en muestra tomada con técnica aséptica de cámara anterior, posterior o humor vítreo</t>
  </si>
  <si>
    <t>K.II.a.e1.Dolor ocular</t>
  </si>
  <si>
    <t>K.II.a.e2.Visión borrosa</t>
  </si>
  <si>
    <t>K.II.a.e3.Hipopion</t>
  </si>
  <si>
    <t>K.II.b.e1.Como consecuencia de los signos y síntomas, el médico inicia terapia antibiótica de 2 o más días de duración</t>
  </si>
  <si>
    <t xml:space="preserve">Planilla elementos invasivos </t>
  </si>
  <si>
    <t>Unidad:</t>
  </si>
  <si>
    <t>Mes:</t>
  </si>
  <si>
    <t>Quincena:</t>
  </si>
  <si>
    <t>Año:</t>
  </si>
  <si>
    <t>Rut</t>
  </si>
  <si>
    <t>RUT</t>
  </si>
  <si>
    <t>Servicio</t>
  </si>
  <si>
    <t>Apellido paterno</t>
  </si>
  <si>
    <t>Apellido materno</t>
  </si>
  <si>
    <t>Nombres</t>
  </si>
  <si>
    <t>Fecha de ingreso</t>
  </si>
  <si>
    <t>Fecha de egreso</t>
  </si>
  <si>
    <t>Fecha de instalación</t>
  </si>
  <si>
    <t>Fecha de retiro</t>
  </si>
  <si>
    <t>Dias invasivo</t>
  </si>
  <si>
    <t>Criterio 1</t>
  </si>
  <si>
    <t>Criterio 2</t>
  </si>
  <si>
    <t>Criterio 3</t>
  </si>
  <si>
    <t>Criterio 4</t>
  </si>
  <si>
    <t>Criterio 5</t>
  </si>
  <si>
    <t>LARA</t>
  </si>
  <si>
    <t>LIRA</t>
  </si>
  <si>
    <t>LUIS</t>
  </si>
  <si>
    <t>6405077-k</t>
  </si>
  <si>
    <t>MARTINEZ</t>
  </si>
  <si>
    <t>FUENTES</t>
  </si>
  <si>
    <t>ANA LUISA</t>
  </si>
  <si>
    <t>7.926.615-9</t>
  </si>
  <si>
    <t>BECAR</t>
  </si>
  <si>
    <t>DAZA</t>
  </si>
  <si>
    <t>GLADYS</t>
  </si>
  <si>
    <t>19.599.381-5</t>
  </si>
  <si>
    <t>PINO</t>
  </si>
  <si>
    <t>RODRIGUEZ</t>
  </si>
  <si>
    <t>JOSE</t>
  </si>
  <si>
    <t>18.687.136-7</t>
  </si>
  <si>
    <t>SILVA</t>
  </si>
  <si>
    <t>SAEZ</t>
  </si>
  <si>
    <t>CONSTANZA</t>
  </si>
  <si>
    <t>16.600.645-7</t>
  </si>
  <si>
    <t>MONTECINO</t>
  </si>
  <si>
    <t>CHAVEZ</t>
  </si>
  <si>
    <t>CATALINA</t>
  </si>
  <si>
    <t>8081982K</t>
  </si>
  <si>
    <t>8.081.982-K</t>
  </si>
  <si>
    <t>ARAVENA</t>
  </si>
  <si>
    <t>CABEZAS</t>
  </si>
  <si>
    <t>EDGARDO</t>
  </si>
  <si>
    <t>6014263-7</t>
  </si>
  <si>
    <t>6.014.263-7</t>
  </si>
  <si>
    <t>SOTO</t>
  </si>
  <si>
    <t>RUBILAR</t>
  </si>
  <si>
    <t>SONIA</t>
  </si>
  <si>
    <t>14.372.934-6</t>
  </si>
  <si>
    <t>VILLALOBOS</t>
  </si>
  <si>
    <t>MANUEL</t>
  </si>
  <si>
    <t>11.682.245-8</t>
  </si>
  <si>
    <t>RAMOS</t>
  </si>
  <si>
    <t>PARDO</t>
  </si>
  <si>
    <t>CAROLINA</t>
  </si>
  <si>
    <t>5.851.572-8</t>
  </si>
  <si>
    <t>MORA</t>
  </si>
  <si>
    <t>RIVAS</t>
  </si>
  <si>
    <t>SILVIA</t>
  </si>
  <si>
    <t>14.608.036-7</t>
  </si>
  <si>
    <t>FIGUEROA</t>
  </si>
  <si>
    <t>CARRASCO</t>
  </si>
  <si>
    <t>ROCIO</t>
  </si>
  <si>
    <t>6.011.565-6</t>
  </si>
  <si>
    <t>JARA</t>
  </si>
  <si>
    <t>ARANERA</t>
  </si>
  <si>
    <t>RAMON</t>
  </si>
  <si>
    <t>PARADA</t>
  </si>
  <si>
    <t>NAVARRETE</t>
  </si>
  <si>
    <t>FERNANDO</t>
  </si>
  <si>
    <t>BRICEÑO</t>
  </si>
  <si>
    <t>PUENTE</t>
  </si>
  <si>
    <t>CRISTOBAL</t>
  </si>
  <si>
    <t>TAPIA</t>
  </si>
  <si>
    <t>OSORIO</t>
  </si>
  <si>
    <t>LISETTE</t>
  </si>
  <si>
    <t>ESTRADA</t>
  </si>
  <si>
    <t>JULIA</t>
  </si>
  <si>
    <t>HENRIQUEZ</t>
  </si>
  <si>
    <t>HERNANDEZ</t>
  </si>
  <si>
    <t>ULISES</t>
  </si>
  <si>
    <t>5684919K</t>
  </si>
  <si>
    <t>PEÑA</t>
  </si>
  <si>
    <t>ILLANES</t>
  </si>
  <si>
    <t>BERTA</t>
  </si>
  <si>
    <t>RIVERA</t>
  </si>
  <si>
    <t>ESCOBAR</t>
  </si>
  <si>
    <t>MIRIAM</t>
  </si>
  <si>
    <t>SEGURA</t>
  </si>
  <si>
    <t>MORALES</t>
  </si>
  <si>
    <t>ALICIA</t>
  </si>
  <si>
    <t>BUSTOS</t>
  </si>
  <si>
    <t>AGUILERA</t>
  </si>
  <si>
    <t>VILLARROEL</t>
  </si>
  <si>
    <t>ARIAS</t>
  </si>
  <si>
    <t>JEAN</t>
  </si>
  <si>
    <t>CANDIA</t>
  </si>
  <si>
    <t>VERA</t>
  </si>
  <si>
    <t>CEBALLO</t>
  </si>
  <si>
    <t>BECERRA</t>
  </si>
  <si>
    <t>OMAR</t>
  </si>
  <si>
    <t>VENEGAS</t>
  </si>
  <si>
    <t>BASCUÑAN</t>
  </si>
  <si>
    <t>DANIEL</t>
  </si>
  <si>
    <t>GARCIA</t>
  </si>
  <si>
    <t>ECHEVERRIA</t>
  </si>
  <si>
    <t>MONICA</t>
  </si>
  <si>
    <t>GUTIERREZ</t>
  </si>
  <si>
    <t>NUÑEZ</t>
  </si>
  <si>
    <t>BOBADILLA</t>
  </si>
  <si>
    <t xml:space="preserve">ANA </t>
  </si>
  <si>
    <t>ALABARRAN</t>
  </si>
  <si>
    <t>LATORRE</t>
  </si>
  <si>
    <t>VICTORIA</t>
  </si>
  <si>
    <t>NOVAS</t>
  </si>
  <si>
    <t>ANA</t>
  </si>
  <si>
    <t>20258750K</t>
  </si>
  <si>
    <t>PEDRERO</t>
  </si>
  <si>
    <t>ESPINOZA</t>
  </si>
  <si>
    <t>JULISSA</t>
  </si>
  <si>
    <t>LAGOS</t>
  </si>
  <si>
    <t>SALDIAS</t>
  </si>
  <si>
    <t>RUTH</t>
  </si>
  <si>
    <t>AYALA</t>
  </si>
  <si>
    <t>LEAL</t>
  </si>
  <si>
    <t>MARCELA</t>
  </si>
  <si>
    <t>SAAVEDRA</t>
  </si>
  <si>
    <t>MARIA</t>
  </si>
  <si>
    <t>ZUÑIGA</t>
  </si>
  <si>
    <t>MANCILLA</t>
  </si>
  <si>
    <t>OSCAR</t>
  </si>
  <si>
    <t>CONTRERAS</t>
  </si>
  <si>
    <t>BASTIAS</t>
  </si>
  <si>
    <t>JESSICA</t>
  </si>
  <si>
    <t>SI</t>
  </si>
  <si>
    <t>ARRSTIA</t>
  </si>
  <si>
    <t>AZUCENA</t>
  </si>
  <si>
    <t>CAMAÑO</t>
  </si>
  <si>
    <t>ESTELA</t>
  </si>
  <si>
    <t>12361559K</t>
  </si>
  <si>
    <t>QUIROZ</t>
  </si>
  <si>
    <t>JORGE</t>
  </si>
  <si>
    <t>DIAZ</t>
  </si>
  <si>
    <t>ITURRA</t>
  </si>
  <si>
    <t>BENJAMIN</t>
  </si>
  <si>
    <t>CID</t>
  </si>
  <si>
    <t>HERRERA</t>
  </si>
  <si>
    <t>JUANA</t>
  </si>
  <si>
    <t>SEGUEL</t>
  </si>
  <si>
    <t>GERMAN</t>
  </si>
  <si>
    <t>APARICIO</t>
  </si>
  <si>
    <t>CARO</t>
  </si>
  <si>
    <t>ELSA</t>
  </si>
  <si>
    <t>MONSALVE</t>
  </si>
  <si>
    <t>CASTILLO</t>
  </si>
  <si>
    <t>PASCUAL</t>
  </si>
  <si>
    <t>9265091K</t>
  </si>
  <si>
    <t>QUEZADA</t>
  </si>
  <si>
    <t>MENDOZA</t>
  </si>
  <si>
    <t>VICTOR</t>
  </si>
  <si>
    <t>FERRADA</t>
  </si>
  <si>
    <t>15461284K</t>
  </si>
  <si>
    <t>ARAYA</t>
  </si>
  <si>
    <t>MUÑOZ</t>
  </si>
  <si>
    <t>CECILIA</t>
  </si>
  <si>
    <t>OLGA</t>
  </si>
  <si>
    <t>SANHUEZA</t>
  </si>
  <si>
    <t>CORTES</t>
  </si>
  <si>
    <t>SALINAS</t>
  </si>
  <si>
    <t>RAUL</t>
  </si>
  <si>
    <t>CONCHA</t>
  </si>
  <si>
    <t>SARA</t>
  </si>
  <si>
    <t>FERNANDEZ</t>
  </si>
  <si>
    <t>PAILLALEF</t>
  </si>
  <si>
    <t>SAYEN</t>
  </si>
  <si>
    <t>GALVAN</t>
  </si>
  <si>
    <t>AGÜERO</t>
  </si>
  <si>
    <t>EZEQUIEL</t>
  </si>
  <si>
    <t>ARROYO</t>
  </si>
  <si>
    <t>JESUS</t>
  </si>
  <si>
    <t>PINCHEIRA</t>
  </si>
  <si>
    <t>PINTO</t>
  </si>
  <si>
    <t>GARRIDO</t>
  </si>
  <si>
    <t>CONSUELO</t>
  </si>
  <si>
    <t>MONSALVES</t>
  </si>
  <si>
    <t>ERNESTO</t>
  </si>
  <si>
    <t>4412648-6</t>
  </si>
  <si>
    <t>CANCINO</t>
  </si>
  <si>
    <t>VICENTE</t>
  </si>
  <si>
    <t>5429069-1</t>
  </si>
  <si>
    <t>ISLA</t>
  </si>
  <si>
    <t>REBOLLEDO</t>
  </si>
  <si>
    <t>SANTOS</t>
  </si>
  <si>
    <t>7644679-2</t>
  </si>
  <si>
    <t>VIVEROS</t>
  </si>
  <si>
    <t>OPORTO</t>
  </si>
  <si>
    <t>LOPEZ</t>
  </si>
  <si>
    <t>ARANEDA</t>
  </si>
  <si>
    <t xml:space="preserve">JUAN </t>
  </si>
  <si>
    <t>ZAVALA</t>
  </si>
  <si>
    <t>9070231-9</t>
  </si>
  <si>
    <t>TORRES</t>
  </si>
  <si>
    <t>GALVES</t>
  </si>
  <si>
    <t>ORTIZ</t>
  </si>
  <si>
    <t>HORTENSIA</t>
  </si>
  <si>
    <t>GODOY</t>
  </si>
  <si>
    <t>MOLINA</t>
  </si>
  <si>
    <t>CLAUDIA</t>
  </si>
  <si>
    <t>QUIROGA</t>
  </si>
  <si>
    <t>MARCELINO</t>
  </si>
  <si>
    <t>4865954-3</t>
  </si>
  <si>
    <t xml:space="preserve">RETAMAL </t>
  </si>
  <si>
    <t>BASUALTO</t>
  </si>
  <si>
    <t>EFRAIN</t>
  </si>
  <si>
    <t>VALLEJOS</t>
  </si>
  <si>
    <t>QUEVEDO</t>
  </si>
  <si>
    <t>MARCELO</t>
  </si>
  <si>
    <t>7961550-1</t>
  </si>
  <si>
    <t>GONZALEZ</t>
  </si>
  <si>
    <t>AMADO</t>
  </si>
  <si>
    <t>ESPINOSA</t>
  </si>
  <si>
    <t>FUENTEALBA</t>
  </si>
  <si>
    <t>9649165-4</t>
  </si>
  <si>
    <t>CABRERA</t>
  </si>
  <si>
    <t>RODOLFO</t>
  </si>
  <si>
    <t>8195724K</t>
  </si>
  <si>
    <t>ROCHA</t>
  </si>
  <si>
    <t>ROMERO</t>
  </si>
  <si>
    <t>GABRIELA</t>
  </si>
  <si>
    <t>8567775-6</t>
  </si>
  <si>
    <t>LUISA</t>
  </si>
  <si>
    <t>XIMENA</t>
  </si>
  <si>
    <t>3579477-8</t>
  </si>
  <si>
    <t>DE LA FUENTE</t>
  </si>
  <si>
    <t>ABELINA</t>
  </si>
  <si>
    <t>5539042-8</t>
  </si>
  <si>
    <t>CANALES</t>
  </si>
  <si>
    <t>BENAVIDES</t>
  </si>
  <si>
    <t>LUCILA</t>
  </si>
  <si>
    <t>8816018-5</t>
  </si>
  <si>
    <t>MEDINA</t>
  </si>
  <si>
    <t>FABIOLA</t>
  </si>
  <si>
    <t>8816018-6</t>
  </si>
  <si>
    <t>15592991k</t>
  </si>
  <si>
    <t>NAVARRO</t>
  </si>
  <si>
    <t>PAVEZ</t>
  </si>
  <si>
    <t>BELLO</t>
  </si>
  <si>
    <t>ALEJANDRO</t>
  </si>
  <si>
    <t>HENRY</t>
  </si>
  <si>
    <t>8147494K</t>
  </si>
  <si>
    <t>VASQUEZ</t>
  </si>
  <si>
    <t>HUMBERTO</t>
  </si>
  <si>
    <t>JIMENEZ</t>
  </si>
  <si>
    <t>PATRICIO</t>
  </si>
  <si>
    <t>ROSA</t>
  </si>
  <si>
    <t>MERINO</t>
  </si>
  <si>
    <t>AEDO</t>
  </si>
  <si>
    <t>MARINELA</t>
  </si>
  <si>
    <t>BUSTAMANTE</t>
  </si>
  <si>
    <t>ROZAS</t>
  </si>
  <si>
    <t>JUAN</t>
  </si>
  <si>
    <t>PEREZ</t>
  </si>
  <si>
    <t>CADIZ</t>
  </si>
  <si>
    <t>NELSON</t>
  </si>
  <si>
    <t>PEDRO</t>
  </si>
  <si>
    <t>CUEVAS</t>
  </si>
  <si>
    <t>CRISTIAN</t>
  </si>
  <si>
    <t>PARRA</t>
  </si>
  <si>
    <t>HECTOR</t>
  </si>
  <si>
    <t>BELTRAN</t>
  </si>
  <si>
    <t>AQUEVEDO</t>
  </si>
  <si>
    <t>SALAMANCA</t>
  </si>
  <si>
    <t>BAEZA</t>
  </si>
  <si>
    <t>EMILIA</t>
  </si>
  <si>
    <t>7273551-k</t>
  </si>
  <si>
    <t>ACUÑA</t>
  </si>
  <si>
    <t>OLATE</t>
  </si>
  <si>
    <t>TOLEDO</t>
  </si>
  <si>
    <t>LOCONADO</t>
  </si>
  <si>
    <t>ARCE</t>
  </si>
  <si>
    <t>REYES</t>
  </si>
  <si>
    <t>RUBEN</t>
  </si>
  <si>
    <t>CEA</t>
  </si>
  <si>
    <t>PATRICIA</t>
  </si>
  <si>
    <t>7213852K</t>
  </si>
  <si>
    <t>RICARDO</t>
  </si>
  <si>
    <t>CAMPOS</t>
  </si>
  <si>
    <t>HUGO</t>
  </si>
  <si>
    <t>17213985K</t>
  </si>
  <si>
    <t>RUBIERA</t>
  </si>
  <si>
    <t>FRANCO</t>
  </si>
  <si>
    <t>CACERES</t>
  </si>
  <si>
    <t>MEDALIN</t>
  </si>
  <si>
    <t>ZAMORANO</t>
  </si>
  <si>
    <t>CESAR</t>
  </si>
  <si>
    <t>IBACACHE</t>
  </si>
  <si>
    <t>CARVAJAL</t>
  </si>
  <si>
    <t>JANET</t>
  </si>
  <si>
    <t>ALMONACID</t>
  </si>
  <si>
    <t>DURAN</t>
  </si>
  <si>
    <t>EVELIN</t>
  </si>
  <si>
    <t>AVALOS</t>
  </si>
  <si>
    <t>MATAMALA</t>
  </si>
  <si>
    <t>NICOLAS</t>
  </si>
  <si>
    <t>MARCHAND</t>
  </si>
  <si>
    <t>.</t>
  </si>
  <si>
    <t>MICHEL</t>
  </si>
  <si>
    <t>PAULINO</t>
  </si>
  <si>
    <t>FILHO</t>
  </si>
  <si>
    <t>GERARLDO</t>
  </si>
  <si>
    <t>NO</t>
  </si>
  <si>
    <t>GRANDON</t>
  </si>
  <si>
    <t>AYDEE</t>
  </si>
  <si>
    <t>ACEVEDO</t>
  </si>
  <si>
    <t>DANTE</t>
  </si>
  <si>
    <t>RIQUELME</t>
  </si>
  <si>
    <t>FLORES</t>
  </si>
  <si>
    <t>ELBA</t>
  </si>
  <si>
    <t>CARRILLO</t>
  </si>
  <si>
    <t>JOB</t>
  </si>
  <si>
    <t>5386240-3</t>
  </si>
  <si>
    <t>7160781-K</t>
  </si>
  <si>
    <t>OSVALDO</t>
  </si>
  <si>
    <t>8097876-6</t>
  </si>
  <si>
    <t xml:space="preserve">NARCISA </t>
  </si>
  <si>
    <t>RIVEROS</t>
  </si>
  <si>
    <t>AVILA</t>
  </si>
  <si>
    <t>EDUARDO</t>
  </si>
  <si>
    <t>MOYA</t>
  </si>
  <si>
    <t>MONARES</t>
  </si>
  <si>
    <t>ADRIANA</t>
  </si>
  <si>
    <t>ALSINA</t>
  </si>
  <si>
    <t xml:space="preserve">PALMA </t>
  </si>
  <si>
    <t>12204386K</t>
  </si>
  <si>
    <t>MENDEZ</t>
  </si>
  <si>
    <t>ROSALES</t>
  </si>
  <si>
    <t>SEGUNDO</t>
  </si>
  <si>
    <t>CIFUENTES</t>
  </si>
  <si>
    <t>SEPULVEDA</t>
  </si>
  <si>
    <t>MAURICIO</t>
  </si>
  <si>
    <t>VERGARA</t>
  </si>
  <si>
    <t>INES</t>
  </si>
  <si>
    <t>ANDARIENA</t>
  </si>
  <si>
    <t>ANGELINA</t>
  </si>
  <si>
    <t xml:space="preserve">JOSE </t>
  </si>
  <si>
    <t xml:space="preserve">FLORES </t>
  </si>
  <si>
    <t>NARCISA</t>
  </si>
  <si>
    <t xml:space="preserve">BURGOS </t>
  </si>
  <si>
    <t>MELLADO</t>
  </si>
  <si>
    <t>RUBIO</t>
  </si>
  <si>
    <t>JOEL</t>
  </si>
  <si>
    <t>7965292K</t>
  </si>
  <si>
    <t>CHAMORRO</t>
  </si>
  <si>
    <t>NOVOA</t>
  </si>
  <si>
    <t>PINEDA</t>
  </si>
  <si>
    <t>7392351-4</t>
  </si>
  <si>
    <t>ERIK</t>
  </si>
  <si>
    <t>MEZA</t>
  </si>
  <si>
    <t>10729208K</t>
  </si>
  <si>
    <t>CASTRO</t>
  </si>
  <si>
    <t xml:space="preserve">RUBEN </t>
  </si>
  <si>
    <t>QUINTEROS</t>
  </si>
  <si>
    <t>ALVAREZ</t>
  </si>
  <si>
    <t>JOHN</t>
  </si>
  <si>
    <t>MORENO</t>
  </si>
  <si>
    <t>GLORIA</t>
  </si>
  <si>
    <t>ELVIRA</t>
  </si>
  <si>
    <t>3572841-4</t>
  </si>
  <si>
    <t>VELASQUEZ</t>
  </si>
  <si>
    <t>9113706-2</t>
  </si>
  <si>
    <t>ORMEÑO</t>
  </si>
  <si>
    <t>NADIA</t>
  </si>
  <si>
    <t>7859815-8</t>
  </si>
  <si>
    <t>BERLINDA</t>
  </si>
  <si>
    <t>MATUS</t>
  </si>
  <si>
    <t xml:space="preserve">URRUTIA </t>
  </si>
  <si>
    <t>LAURA</t>
  </si>
  <si>
    <t xml:space="preserve">RODOLFO </t>
  </si>
  <si>
    <t>MILLANAO</t>
  </si>
  <si>
    <t>LEUMAN</t>
  </si>
  <si>
    <t>FRANCISCO</t>
  </si>
  <si>
    <t>OLIVA</t>
  </si>
  <si>
    <t>ARTURO</t>
  </si>
  <si>
    <t>6011739K</t>
  </si>
  <si>
    <t xml:space="preserve">SANTOS </t>
  </si>
  <si>
    <t>CAVIERES</t>
  </si>
  <si>
    <t xml:space="preserve">ISLA </t>
  </si>
  <si>
    <t xml:space="preserve">LARA </t>
  </si>
  <si>
    <t>MISAEL</t>
  </si>
  <si>
    <t xml:space="preserve">SI </t>
  </si>
  <si>
    <t xml:space="preserve">ANDARIENA </t>
  </si>
  <si>
    <t xml:space="preserve">RIQUELME </t>
  </si>
  <si>
    <t>CARIAGA</t>
  </si>
  <si>
    <t>OVIEDO</t>
  </si>
  <si>
    <t xml:space="preserve">RICARDO </t>
  </si>
  <si>
    <t>ALVIAL</t>
  </si>
  <si>
    <t>BELMAR</t>
  </si>
  <si>
    <t xml:space="preserve">BELTRAN </t>
  </si>
  <si>
    <t>JAÑA</t>
  </si>
  <si>
    <t xml:space="preserve">PABLO </t>
  </si>
  <si>
    <t xml:space="preserve">BADILLA </t>
  </si>
  <si>
    <t>LARRAIN</t>
  </si>
  <si>
    <t>TIZNADO</t>
  </si>
  <si>
    <t>MICHELLE</t>
  </si>
  <si>
    <t>VARELA</t>
  </si>
  <si>
    <t>HIDALGO</t>
  </si>
  <si>
    <t>PASMIÑO</t>
  </si>
  <si>
    <t>FRIZ</t>
  </si>
  <si>
    <t>MARIO</t>
  </si>
  <si>
    <t>9731585K</t>
  </si>
  <si>
    <t>ALARCON</t>
  </si>
  <si>
    <t>ROA</t>
  </si>
  <si>
    <t>TOMAS</t>
  </si>
  <si>
    <t>ERNESTINA</t>
  </si>
  <si>
    <t>INZUNZA</t>
  </si>
  <si>
    <t>BRAVO</t>
  </si>
  <si>
    <t xml:space="preserve">GLORIA </t>
  </si>
  <si>
    <t>CARLOS</t>
  </si>
  <si>
    <t>SAN MARTIN</t>
  </si>
  <si>
    <t>ORELLANA</t>
  </si>
  <si>
    <t xml:space="preserve">UCO </t>
  </si>
  <si>
    <t>VALLADARES</t>
  </si>
  <si>
    <t>CALDERON</t>
  </si>
  <si>
    <t>MAREY</t>
  </si>
  <si>
    <t>VIANCKA</t>
  </si>
  <si>
    <t>ARRIAGADA</t>
  </si>
  <si>
    <t>CERECEDA</t>
  </si>
  <si>
    <t>FRANCISCA</t>
  </si>
  <si>
    <t>STEPHANIE</t>
  </si>
  <si>
    <t>COELLO</t>
  </si>
  <si>
    <t>PENDOLA</t>
  </si>
  <si>
    <t>AGUAYO</t>
  </si>
  <si>
    <t>DIOCARES</t>
  </si>
  <si>
    <t>SERGIO</t>
  </si>
  <si>
    <t>GAJARDO</t>
  </si>
  <si>
    <t>CARLA</t>
  </si>
  <si>
    <t>VIDAL</t>
  </si>
  <si>
    <t>RAQUEL</t>
  </si>
  <si>
    <t>4496396-5</t>
  </si>
  <si>
    <t>SALAZAR</t>
  </si>
  <si>
    <t>RONDANELLI</t>
  </si>
  <si>
    <t>ANDRADES</t>
  </si>
  <si>
    <t>ROLANDO</t>
  </si>
  <si>
    <t>AQUILES</t>
  </si>
  <si>
    <t>CURIMAN</t>
  </si>
  <si>
    <t>MOSCOSO</t>
  </si>
  <si>
    <t>11898451K</t>
  </si>
  <si>
    <t>SHERMAN</t>
  </si>
  <si>
    <t>JACQUELINE</t>
  </si>
  <si>
    <t>VALENZUELA</t>
  </si>
  <si>
    <t>GUIÑEZ</t>
  </si>
  <si>
    <t>KAREN</t>
  </si>
  <si>
    <t>NOVA</t>
  </si>
  <si>
    <t>9288127K</t>
  </si>
  <si>
    <t>SANDOVAL</t>
  </si>
  <si>
    <t>CARMEN</t>
  </si>
  <si>
    <t>MARDONES</t>
  </si>
  <si>
    <t>7353836K</t>
  </si>
  <si>
    <t>CEBALLOS</t>
  </si>
  <si>
    <t>INOSTROZA</t>
  </si>
  <si>
    <t>ERICES</t>
  </si>
  <si>
    <t>LUZ</t>
  </si>
  <si>
    <t xml:space="preserve">MELLA </t>
  </si>
  <si>
    <t>FIERRO</t>
  </si>
  <si>
    <t>ERICA</t>
  </si>
  <si>
    <t>AHUELCHE</t>
  </si>
  <si>
    <t>BAEZ</t>
  </si>
  <si>
    <t>HUICHALAF</t>
  </si>
  <si>
    <t>LIAN</t>
  </si>
  <si>
    <t>LEIVA</t>
  </si>
  <si>
    <t>ANANIAS</t>
  </si>
  <si>
    <t>YEVENEZ</t>
  </si>
  <si>
    <t>ISIDORA</t>
  </si>
  <si>
    <t>IRRIBARREN</t>
  </si>
  <si>
    <t>ALCAINO</t>
  </si>
  <si>
    <t>CARDENAS</t>
  </si>
  <si>
    <t>MOENA</t>
  </si>
  <si>
    <t>ZAMBRA</t>
  </si>
  <si>
    <t>SALGADO</t>
  </si>
  <si>
    <t>JAVIER</t>
  </si>
  <si>
    <t xml:space="preserve">MORA </t>
  </si>
  <si>
    <t>TITO</t>
  </si>
  <si>
    <t>BASTIAN</t>
  </si>
  <si>
    <t>SOBARZO</t>
  </si>
  <si>
    <t>POBLETE</t>
  </si>
  <si>
    <t>COLOMA</t>
  </si>
  <si>
    <t>ETHIELL</t>
  </si>
  <si>
    <t>TORO</t>
  </si>
  <si>
    <t>YASMIN</t>
  </si>
  <si>
    <t>PAZ</t>
  </si>
  <si>
    <t>VILLASECA</t>
  </si>
  <si>
    <t>RAMONA</t>
  </si>
  <si>
    <t>CAMARENA</t>
  </si>
  <si>
    <t>MAGADALENA</t>
  </si>
  <si>
    <t>ARCHA</t>
  </si>
  <si>
    <t>9375000-4</t>
  </si>
  <si>
    <t>ELIZABETH</t>
  </si>
  <si>
    <t>17222542K</t>
  </si>
  <si>
    <t>16.283.954-3</t>
  </si>
  <si>
    <t>MATURANA</t>
  </si>
  <si>
    <t>KLONICIA</t>
  </si>
  <si>
    <t>PROBOSTE</t>
  </si>
  <si>
    <t>PALMA</t>
  </si>
  <si>
    <t>GELBART</t>
  </si>
  <si>
    <t>ERIKA</t>
  </si>
  <si>
    <t>DURÁN</t>
  </si>
  <si>
    <t>ERODIA</t>
  </si>
  <si>
    <t>6938316-5</t>
  </si>
  <si>
    <t>MIREYA</t>
  </si>
  <si>
    <t>4076686-3</t>
  </si>
  <si>
    <t>QUEIROLO</t>
  </si>
  <si>
    <t>FONTENA</t>
  </si>
  <si>
    <t>MARTA</t>
  </si>
  <si>
    <t>8630792-8</t>
  </si>
  <si>
    <t>5626318-7</t>
  </si>
  <si>
    <t>BURGOS</t>
  </si>
  <si>
    <t>9560711-k</t>
  </si>
  <si>
    <t>MARGARITA</t>
  </si>
  <si>
    <t>9648952-8</t>
  </si>
  <si>
    <t>DOMÍNGUEZ</t>
  </si>
  <si>
    <t>CÁCERES</t>
  </si>
  <si>
    <t>MEDALÍN</t>
  </si>
  <si>
    <t>CHANDIA</t>
  </si>
  <si>
    <t>THOMAS</t>
  </si>
  <si>
    <t>ALCAREZ</t>
  </si>
  <si>
    <t>LEONARDO</t>
  </si>
  <si>
    <t>SIERRA</t>
  </si>
  <si>
    <t>PABLO</t>
  </si>
  <si>
    <t>VEJAR</t>
  </si>
  <si>
    <t>ALE</t>
  </si>
  <si>
    <t>BENITEZ</t>
  </si>
  <si>
    <t>7297204K</t>
  </si>
  <si>
    <t>VIELMA</t>
  </si>
  <si>
    <t>HERALDO</t>
  </si>
  <si>
    <t>ALBORNOZ</t>
  </si>
  <si>
    <t>ISRAELA</t>
  </si>
  <si>
    <t>ELAVAREZ</t>
  </si>
  <si>
    <t>JHON</t>
  </si>
  <si>
    <t>YUEN</t>
  </si>
  <si>
    <t>MERA</t>
  </si>
  <si>
    <t>SANTINO</t>
  </si>
  <si>
    <t>MASSIMO</t>
  </si>
  <si>
    <t>VIVIANA</t>
  </si>
  <si>
    <t>AYLEEN</t>
  </si>
  <si>
    <t>MONTARES</t>
  </si>
  <si>
    <t>HUMILDE</t>
  </si>
  <si>
    <t>NEIRA</t>
  </si>
  <si>
    <t>SUAZO</t>
  </si>
  <si>
    <t xml:space="preserve">GERMAN </t>
  </si>
  <si>
    <t>MERCEDES</t>
  </si>
  <si>
    <t>7034033k</t>
  </si>
  <si>
    <t xml:space="preserve">OLMOS </t>
  </si>
  <si>
    <t>ESCUDERO</t>
  </si>
  <si>
    <t>ELISA</t>
  </si>
  <si>
    <t>BEJAR</t>
  </si>
  <si>
    <t>RISCO</t>
  </si>
  <si>
    <t xml:space="preserve">QUILODRAN </t>
  </si>
  <si>
    <t>INGRID</t>
  </si>
  <si>
    <t xml:space="preserve">VILLAROEL </t>
  </si>
  <si>
    <t>LUENGO</t>
  </si>
  <si>
    <t>STUARDO</t>
  </si>
  <si>
    <t>TERESA</t>
  </si>
  <si>
    <t>ARCAS</t>
  </si>
  <si>
    <t>MONTILLA</t>
  </si>
  <si>
    <t>MERVIN</t>
  </si>
  <si>
    <t xml:space="preserve">ALARCON </t>
  </si>
  <si>
    <t>DOMINGO</t>
  </si>
  <si>
    <t>SANCHEZ</t>
  </si>
  <si>
    <t>MONTES</t>
  </si>
  <si>
    <t>CONSTANZO</t>
  </si>
  <si>
    <t>CRISOSTOMO</t>
  </si>
  <si>
    <t>RIOS</t>
  </si>
  <si>
    <t>MIGUEL</t>
  </si>
  <si>
    <t>ERMIGIDO</t>
  </si>
  <si>
    <t xml:space="preserve">CAAMAÑO </t>
  </si>
  <si>
    <t xml:space="preserve">HERNANDEZ </t>
  </si>
  <si>
    <t>VERDUGO</t>
  </si>
  <si>
    <t>CLAUDIO</t>
  </si>
  <si>
    <t>CRUCES</t>
  </si>
  <si>
    <t>JONHY</t>
  </si>
  <si>
    <t xml:space="preserve">SOTO </t>
  </si>
  <si>
    <t>RODRIGO</t>
  </si>
  <si>
    <t xml:space="preserve">AYLEEN </t>
  </si>
  <si>
    <t>VALDES</t>
  </si>
  <si>
    <t>JESSENIA</t>
  </si>
  <si>
    <t>5035119K</t>
  </si>
  <si>
    <t>BAQUERO</t>
  </si>
  <si>
    <t xml:space="preserve">AREVALO </t>
  </si>
  <si>
    <t>9558795K</t>
  </si>
  <si>
    <t>CARTES</t>
  </si>
  <si>
    <t>NURY</t>
  </si>
  <si>
    <t>MANRIQUEZ</t>
  </si>
  <si>
    <t>MEDEL</t>
  </si>
  <si>
    <t xml:space="preserve">RAUL </t>
  </si>
  <si>
    <t>DIGNA</t>
  </si>
  <si>
    <t>EIMY</t>
  </si>
  <si>
    <t>ACOSTA</t>
  </si>
  <si>
    <t>QUIÑONES</t>
  </si>
  <si>
    <t>SIMON</t>
  </si>
  <si>
    <t>RENATO</t>
  </si>
  <si>
    <t>QUILODRAN</t>
  </si>
  <si>
    <t xml:space="preserve">SAN MARTIN </t>
  </si>
  <si>
    <t>12069331K</t>
  </si>
  <si>
    <t>IDA</t>
  </si>
  <si>
    <t>4291590-4</t>
  </si>
  <si>
    <t xml:space="preserve">REBOLLEDO </t>
  </si>
  <si>
    <t>FLORDELIA</t>
  </si>
  <si>
    <t>6666449-K</t>
  </si>
  <si>
    <t xml:space="preserve">MARTEL </t>
  </si>
  <si>
    <t>FONSECA</t>
  </si>
  <si>
    <t xml:space="preserve">SEBASTIAN </t>
  </si>
  <si>
    <t>9729237K</t>
  </si>
  <si>
    <t>VERONICA</t>
  </si>
  <si>
    <t xml:space="preserve">BASSALETTI </t>
  </si>
  <si>
    <t>ROBERTO</t>
  </si>
  <si>
    <t>MURILLO</t>
  </si>
  <si>
    <t>CHACON</t>
  </si>
  <si>
    <t xml:space="preserve">ELGUETA </t>
  </si>
  <si>
    <t>TAMARA</t>
  </si>
  <si>
    <t>16769196K</t>
  </si>
  <si>
    <t>DANIELA</t>
  </si>
  <si>
    <t>RIFFO</t>
  </si>
  <si>
    <t>VIOLA</t>
  </si>
  <si>
    <t>OSSES</t>
  </si>
  <si>
    <t>ZARATE</t>
  </si>
  <si>
    <t>SANDRA</t>
  </si>
  <si>
    <t>LEMA</t>
  </si>
  <si>
    <t>LLANOS</t>
  </si>
  <si>
    <t>JOHNY</t>
  </si>
  <si>
    <t>MOISES</t>
  </si>
  <si>
    <t>PEÑAILILLO</t>
  </si>
  <si>
    <t>WOODHEAD</t>
  </si>
  <si>
    <t xml:space="preserve">CONEJEROS </t>
  </si>
  <si>
    <t>ESTER</t>
  </si>
  <si>
    <t xml:space="preserve">FABAIN </t>
  </si>
  <si>
    <t>VILLABLANCA</t>
  </si>
  <si>
    <t>FRIAS</t>
  </si>
  <si>
    <t>JUAN CARLOS</t>
  </si>
  <si>
    <t>CORREA</t>
  </si>
  <si>
    <t>CISTERNAS</t>
  </si>
  <si>
    <t>CUADRA</t>
  </si>
  <si>
    <t>8807372K</t>
  </si>
  <si>
    <t>BARRA</t>
  </si>
  <si>
    <t>MATEO</t>
  </si>
  <si>
    <t>FANAY</t>
  </si>
  <si>
    <t>BLAS</t>
  </si>
  <si>
    <t>CATALAN</t>
  </si>
  <si>
    <t>VALDIVIA</t>
  </si>
  <si>
    <t>RUIZ</t>
  </si>
  <si>
    <t xml:space="preserve">JOSELYN </t>
  </si>
  <si>
    <t>BOCAZ</t>
  </si>
  <si>
    <t>BERNARDO</t>
  </si>
  <si>
    <t>ZAPATA</t>
  </si>
  <si>
    <t xml:space="preserve">MOLINA </t>
  </si>
  <si>
    <t xml:space="preserve">ROBERTO </t>
  </si>
  <si>
    <t>IBIS</t>
  </si>
  <si>
    <t>LILLO</t>
  </si>
  <si>
    <t>11782179K</t>
  </si>
  <si>
    <t xml:space="preserve">LUIS </t>
  </si>
  <si>
    <t>25896358K</t>
  </si>
  <si>
    <t>CALIX</t>
  </si>
  <si>
    <t>RICHARD</t>
  </si>
  <si>
    <t>MARQUEZ</t>
  </si>
  <si>
    <t>JELDRES</t>
  </si>
  <si>
    <t>MARCO</t>
  </si>
  <si>
    <t xml:space="preserve">CATALAN </t>
  </si>
  <si>
    <t>RETAMAL</t>
  </si>
  <si>
    <t xml:space="preserve">CATRIEN </t>
  </si>
  <si>
    <t>JOSE LUIS</t>
  </si>
  <si>
    <t>BADILLA</t>
  </si>
  <si>
    <t>HUENCHUQUEO</t>
  </si>
  <si>
    <t>AGUSTO</t>
  </si>
  <si>
    <t>CARCAMO</t>
  </si>
  <si>
    <t xml:space="preserve">LILIAN </t>
  </si>
  <si>
    <t>EDITH</t>
  </si>
  <si>
    <t>BLANCA NIEVES</t>
  </si>
  <si>
    <t>ALEX</t>
  </si>
  <si>
    <t>KATHERINE</t>
  </si>
  <si>
    <t>12763257K</t>
  </si>
  <si>
    <t>GARAY</t>
  </si>
  <si>
    <t xml:space="preserve">JORGE </t>
  </si>
  <si>
    <t>RAMIREZ</t>
  </si>
  <si>
    <t>FERNANDA</t>
  </si>
  <si>
    <t xml:space="preserve">DELFIN </t>
  </si>
  <si>
    <t>ESPARZA</t>
  </si>
  <si>
    <t>MENA</t>
  </si>
  <si>
    <t>CISTERNA</t>
  </si>
  <si>
    <t xml:space="preserve">MANUEL </t>
  </si>
  <si>
    <t>ORIAS</t>
  </si>
  <si>
    <t>VILLAROEL</t>
  </si>
  <si>
    <t>ERNA</t>
  </si>
  <si>
    <t>PAULINA</t>
  </si>
  <si>
    <t>RAIMUNDO</t>
  </si>
  <si>
    <t>16896479K</t>
  </si>
  <si>
    <t>OPAZO</t>
  </si>
  <si>
    <t>ELIAS</t>
  </si>
  <si>
    <t>19/04/20245</t>
  </si>
  <si>
    <t>RIGOBERTO</t>
  </si>
  <si>
    <t>OÑATE</t>
  </si>
  <si>
    <t xml:space="preserve">PEÑA </t>
  </si>
  <si>
    <t>CLEMENTINA</t>
  </si>
  <si>
    <t>6661333K</t>
  </si>
  <si>
    <t>LORENZA</t>
  </si>
  <si>
    <t>MORAGA</t>
  </si>
  <si>
    <t>ENRIQUE</t>
  </si>
  <si>
    <t>YEVENES</t>
  </si>
  <si>
    <t>TRINIDAD</t>
  </si>
  <si>
    <t>MARIA INES</t>
  </si>
  <si>
    <t>CERDA</t>
  </si>
  <si>
    <t>GEROGINA</t>
  </si>
  <si>
    <t>PALMENIA</t>
  </si>
  <si>
    <t>12102229K</t>
  </si>
  <si>
    <t>JAIME</t>
  </si>
  <si>
    <t>7641637-0</t>
  </si>
  <si>
    <t>GALLEGOS</t>
  </si>
  <si>
    <t>MILLAN</t>
  </si>
  <si>
    <t>KATHYA</t>
  </si>
  <si>
    <t>VALET</t>
  </si>
  <si>
    <t>BERNARDA</t>
  </si>
  <si>
    <t>PICEROS</t>
  </si>
  <si>
    <t>ALVEAR</t>
  </si>
  <si>
    <t>8010314K</t>
  </si>
  <si>
    <t>GELDRES</t>
  </si>
  <si>
    <t>ELIANA</t>
  </si>
  <si>
    <t>BRUNET</t>
  </si>
  <si>
    <t>GOMEZ</t>
  </si>
  <si>
    <t>JULIETA</t>
  </si>
  <si>
    <t>RN</t>
  </si>
  <si>
    <t>25499040K</t>
  </si>
  <si>
    <t>RABANAL</t>
  </si>
  <si>
    <t xml:space="preserve">VERDUGO </t>
  </si>
  <si>
    <t>JOHANNA</t>
  </si>
  <si>
    <t>PANTOJA</t>
  </si>
  <si>
    <t>ESCALONA</t>
  </si>
  <si>
    <t>DEFAUR</t>
  </si>
  <si>
    <t>MARTA ISABEL</t>
  </si>
  <si>
    <t>OYARZO</t>
  </si>
  <si>
    <t>DANILO</t>
  </si>
  <si>
    <t>ECHAMANN</t>
  </si>
  <si>
    <t>JUAN FERNANDO</t>
  </si>
  <si>
    <t>ZOILA</t>
  </si>
  <si>
    <t>MARTIN</t>
  </si>
  <si>
    <t xml:space="preserve">OPAZO </t>
  </si>
  <si>
    <t>GATICA</t>
  </si>
  <si>
    <t>URREJOLA</t>
  </si>
  <si>
    <t xml:space="preserve">NELSON </t>
  </si>
  <si>
    <t>LISA</t>
  </si>
  <si>
    <t xml:space="preserve">CRISTIAN </t>
  </si>
  <si>
    <t>NORAMBUENA</t>
  </si>
  <si>
    <t>COFRE</t>
  </si>
  <si>
    <t>GUILLERMO</t>
  </si>
  <si>
    <t>GERARDO</t>
  </si>
  <si>
    <t>MENDY</t>
  </si>
  <si>
    <t>JOSÉ</t>
  </si>
  <si>
    <t>ANGELICA</t>
  </si>
  <si>
    <t>CHAMBLAS</t>
  </si>
  <si>
    <t>8746007K</t>
  </si>
  <si>
    <t>FAUNDEZ</t>
  </si>
  <si>
    <t>LEOPOLDO</t>
  </si>
  <si>
    <t>LUNA</t>
  </si>
  <si>
    <t>ISIDRO</t>
  </si>
  <si>
    <t>GUERRERO</t>
  </si>
  <si>
    <t>FELISA</t>
  </si>
  <si>
    <t>MAGDALENA</t>
  </si>
  <si>
    <t>LEYLA</t>
  </si>
  <si>
    <t>5883579K</t>
  </si>
  <si>
    <t>EDIS</t>
  </si>
  <si>
    <t>NELLY</t>
  </si>
  <si>
    <t>VALDERRAMA</t>
  </si>
  <si>
    <t>FERREIRA</t>
  </si>
  <si>
    <t>MACHADO</t>
  </si>
  <si>
    <t>ISABELA</t>
  </si>
  <si>
    <t>DELGADO</t>
  </si>
  <si>
    <t>NICOLICH</t>
  </si>
  <si>
    <t xml:space="preserve">AGUSTIN </t>
  </si>
  <si>
    <t>MATIAS</t>
  </si>
  <si>
    <t>12187718K</t>
  </si>
  <si>
    <t>STYL</t>
  </si>
  <si>
    <t>LABARRERA</t>
  </si>
  <si>
    <t>ROSEMARIE</t>
  </si>
  <si>
    <t xml:space="preserve">LONGART </t>
  </si>
  <si>
    <t>BARBOZA</t>
  </si>
  <si>
    <t>SUAREZ</t>
  </si>
  <si>
    <t>VILORIA</t>
  </si>
  <si>
    <t>14209391K</t>
  </si>
  <si>
    <t xml:space="preserve">SMITH </t>
  </si>
  <si>
    <t>NARVAEZ</t>
  </si>
  <si>
    <t>PRISCILA</t>
  </si>
  <si>
    <t>VIOLETA</t>
  </si>
  <si>
    <t xml:space="preserve">MUÑOZ </t>
  </si>
  <si>
    <t>JAQUES</t>
  </si>
  <si>
    <t>ALMAYA</t>
  </si>
  <si>
    <t>UYARTE</t>
  </si>
  <si>
    <t xml:space="preserve">ARAVENA </t>
  </si>
  <si>
    <t>ADOLFO</t>
  </si>
  <si>
    <t>PINILLA</t>
  </si>
  <si>
    <t>HERNAN</t>
  </si>
  <si>
    <t>GUZMAN</t>
  </si>
  <si>
    <t>ANA LUZ</t>
  </si>
  <si>
    <t>JOFRE</t>
  </si>
  <si>
    <t>SARO</t>
  </si>
  <si>
    <t>HAIDEE</t>
  </si>
  <si>
    <t>IRIS</t>
  </si>
  <si>
    <t>MEJIAS</t>
  </si>
  <si>
    <t>6358049K</t>
  </si>
  <si>
    <t xml:space="preserve">ELIZABETH </t>
  </si>
  <si>
    <t>FELIX</t>
  </si>
  <si>
    <t>TOLOZA</t>
  </si>
  <si>
    <t>BEROIZ</t>
  </si>
  <si>
    <t>DARIO</t>
  </si>
  <si>
    <t>MARIN</t>
  </si>
  <si>
    <t>5389903K</t>
  </si>
  <si>
    <t>OJEDA</t>
  </si>
  <si>
    <t>TRONCOSO</t>
  </si>
  <si>
    <t>JACOB</t>
  </si>
  <si>
    <t xml:space="preserve">MEDINA </t>
  </si>
  <si>
    <t>GUAJARDO</t>
  </si>
  <si>
    <t>ALEJANDRA</t>
  </si>
  <si>
    <t>ANTONIO</t>
  </si>
  <si>
    <t>HERVIA</t>
  </si>
  <si>
    <t>SALAS</t>
  </si>
  <si>
    <t>RONALD</t>
  </si>
  <si>
    <t>DAVID</t>
  </si>
  <si>
    <t>MALDONADO</t>
  </si>
  <si>
    <t>ISABELLA</t>
  </si>
  <si>
    <t>5246577K</t>
  </si>
  <si>
    <t>GENOVEVA</t>
  </si>
  <si>
    <t xml:space="preserve">SEGUNDO </t>
  </si>
  <si>
    <t>TEODORO</t>
  </si>
  <si>
    <t>15591887K</t>
  </si>
  <si>
    <t>GENESIS</t>
  </si>
  <si>
    <t>MONCADA</t>
  </si>
  <si>
    <t>BERTILIO</t>
  </si>
  <si>
    <t>ÑANCO</t>
  </si>
  <si>
    <t>TRAIMANTE</t>
  </si>
  <si>
    <t>MIERES</t>
  </si>
  <si>
    <t>DIEGO</t>
  </si>
  <si>
    <t>9390964K</t>
  </si>
  <si>
    <t>ANSELMO</t>
  </si>
  <si>
    <t>OYARCE</t>
  </si>
  <si>
    <t>BENEDICTO</t>
  </si>
  <si>
    <t>LEPE</t>
  </si>
  <si>
    <t>RAFAEL</t>
  </si>
  <si>
    <t>MACAYA</t>
  </si>
  <si>
    <t>MAITE</t>
  </si>
  <si>
    <t>BUITRAGO</t>
  </si>
  <si>
    <t>EMILIANO</t>
  </si>
  <si>
    <t>AVENDAÑO</t>
  </si>
  <si>
    <t xml:space="preserve">JUANA </t>
  </si>
  <si>
    <t>ERASMO</t>
  </si>
  <si>
    <t>ZUNILDA</t>
  </si>
  <si>
    <t>MACHIAVELLO</t>
  </si>
  <si>
    <t>YAÑEZ</t>
  </si>
  <si>
    <t xml:space="preserve">BRYAN </t>
  </si>
  <si>
    <t>MONTERO</t>
  </si>
  <si>
    <t>VILCHEZ</t>
  </si>
  <si>
    <t>YAJAIRA</t>
  </si>
  <si>
    <t>IRRIBARRA</t>
  </si>
  <si>
    <t>ARMIJO</t>
  </si>
  <si>
    <t>MUNDACA</t>
  </si>
  <si>
    <t>VALDEBENITO</t>
  </si>
  <si>
    <t>FRESIA</t>
  </si>
  <si>
    <t>7260485-7</t>
  </si>
  <si>
    <t>DAROCH</t>
  </si>
  <si>
    <t xml:space="preserve">DAROCH </t>
  </si>
  <si>
    <t>ALFONSO</t>
  </si>
  <si>
    <t>ORTEGA</t>
  </si>
  <si>
    <t>JUAN JOSE</t>
  </si>
  <si>
    <t>NORMA</t>
  </si>
  <si>
    <t>MIRANDA</t>
  </si>
  <si>
    <t>JUNIO</t>
  </si>
  <si>
    <t>INFLUENZA</t>
  </si>
  <si>
    <t xml:space="preserve">MARILYN </t>
  </si>
  <si>
    <t>OLIVARES</t>
  </si>
  <si>
    <t>CLARISA</t>
  </si>
  <si>
    <t xml:space="preserve">SEGUEL </t>
  </si>
  <si>
    <t>HEREDIA</t>
  </si>
  <si>
    <t>5957972K</t>
  </si>
  <si>
    <t>HERMOSILLA</t>
  </si>
  <si>
    <t>IRENE</t>
  </si>
  <si>
    <t>5417389K</t>
  </si>
  <si>
    <t>LEONOR</t>
  </si>
  <si>
    <t>8709085K</t>
  </si>
  <si>
    <t>BECHER</t>
  </si>
  <si>
    <t>COLLAO</t>
  </si>
  <si>
    <t>TORREJON</t>
  </si>
  <si>
    <t xml:space="preserve">ANCANTEN </t>
  </si>
  <si>
    <t>PALAVECINO</t>
  </si>
  <si>
    <t>ROXANA</t>
  </si>
  <si>
    <t xml:space="preserve">ERIKA </t>
  </si>
  <si>
    <t>GUELET</t>
  </si>
  <si>
    <t>URRUTIA</t>
  </si>
  <si>
    <t>MARIBEL</t>
  </si>
  <si>
    <t xml:space="preserve">RAFAEL </t>
  </si>
  <si>
    <t>LEPEZ</t>
  </si>
  <si>
    <t>VILLA</t>
  </si>
  <si>
    <t>CAREAGA</t>
  </si>
  <si>
    <t>MELGAREJO</t>
  </si>
  <si>
    <t>SILVINA</t>
  </si>
  <si>
    <t>IRMA</t>
  </si>
  <si>
    <t>LIEN</t>
  </si>
  <si>
    <t xml:space="preserve">LIEN </t>
  </si>
  <si>
    <t>LINEROS</t>
  </si>
  <si>
    <t>CAMILA</t>
  </si>
  <si>
    <t>15144699K</t>
  </si>
  <si>
    <t>ALEXIS</t>
  </si>
  <si>
    <t xml:space="preserve">SILVINA </t>
  </si>
  <si>
    <t xml:space="preserve">MARTA </t>
  </si>
  <si>
    <t>CAMERATI</t>
  </si>
  <si>
    <t>RINA</t>
  </si>
  <si>
    <t>BARRIGA</t>
  </si>
  <si>
    <t>MERCADO</t>
  </si>
  <si>
    <t xml:space="preserve">CONCHA </t>
  </si>
  <si>
    <t xml:space="preserve">MOYA </t>
  </si>
  <si>
    <t xml:space="preserve">GASTON </t>
  </si>
  <si>
    <t xml:space="preserve">NARCISO </t>
  </si>
  <si>
    <t>CHACANO</t>
  </si>
  <si>
    <t xml:space="preserve">BENJAMIN </t>
  </si>
  <si>
    <t xml:space="preserve">BASTIAN </t>
  </si>
  <si>
    <t>PARIS</t>
  </si>
  <si>
    <t>PEREIRA</t>
  </si>
  <si>
    <t xml:space="preserve">NOAH </t>
  </si>
  <si>
    <t>GACITUA</t>
  </si>
  <si>
    <t>DONOSO</t>
  </si>
  <si>
    <t xml:space="preserve">VICTOR </t>
  </si>
  <si>
    <t xml:space="preserve">SARO </t>
  </si>
  <si>
    <t>MONSALVEZ</t>
  </si>
  <si>
    <t>AMADA</t>
  </si>
  <si>
    <t>FLORENCIO</t>
  </si>
  <si>
    <t>CANARIO</t>
  </si>
  <si>
    <t>BIZAMA</t>
  </si>
  <si>
    <t>BRISALIA</t>
  </si>
  <si>
    <t>SANTANDER</t>
  </si>
  <si>
    <t>JIMENA</t>
  </si>
  <si>
    <t>DELFINA</t>
  </si>
  <si>
    <t>ENCINA</t>
  </si>
  <si>
    <t>ZARCO</t>
  </si>
  <si>
    <t>ZULEMA DEL CARMEN</t>
  </si>
  <si>
    <t>ANABALON</t>
  </si>
  <si>
    <t>JARAMILLO</t>
  </si>
  <si>
    <t>AVELLO</t>
  </si>
  <si>
    <t>15175113K</t>
  </si>
  <si>
    <t xml:space="preserve">CLAUDIO </t>
  </si>
  <si>
    <t xml:space="preserve">GAVILAN </t>
  </si>
  <si>
    <t>DEL SOLAR</t>
  </si>
  <si>
    <t xml:space="preserve">OÑATE </t>
  </si>
  <si>
    <t xml:space="preserve">CASTRO </t>
  </si>
  <si>
    <t xml:space="preserve">ORTIZ </t>
  </si>
  <si>
    <t>ULLOA</t>
  </si>
  <si>
    <t>RUMALTO</t>
  </si>
  <si>
    <t xml:space="preserve">JOAQUIN </t>
  </si>
  <si>
    <t>ZAMBRANO</t>
  </si>
  <si>
    <t>OTAROLA</t>
  </si>
  <si>
    <t>EUGENIO</t>
  </si>
  <si>
    <t>ASTUDILLO</t>
  </si>
  <si>
    <t>FERNADEZ</t>
  </si>
  <si>
    <t>CAQUES</t>
  </si>
  <si>
    <t>GEOVANNI</t>
  </si>
  <si>
    <t>PEDREROS</t>
  </si>
  <si>
    <t>MARIA ISABEL</t>
  </si>
  <si>
    <t>GUITIERREZ</t>
  </si>
  <si>
    <t xml:space="preserve">RAMON </t>
  </si>
  <si>
    <t>OCARES</t>
  </si>
  <si>
    <t xml:space="preserve">JARA </t>
  </si>
  <si>
    <t>5754225K</t>
  </si>
  <si>
    <t>LIRIA</t>
  </si>
  <si>
    <t>10839286K</t>
  </si>
  <si>
    <t>OGUEDA</t>
  </si>
  <si>
    <t xml:space="preserve">TERAN </t>
  </si>
  <si>
    <t xml:space="preserve">FABIAN </t>
  </si>
  <si>
    <t>ANDRADE</t>
  </si>
  <si>
    <t>JUAN GUILLERMO</t>
  </si>
  <si>
    <t>LORENZO</t>
  </si>
  <si>
    <t>4506203-1</t>
  </si>
  <si>
    <t>BETANZO</t>
  </si>
  <si>
    <t>VILLAGRA</t>
  </si>
  <si>
    <t>9938994K</t>
  </si>
  <si>
    <t>TERAN</t>
  </si>
  <si>
    <t>CARMONA</t>
  </si>
  <si>
    <t>FELIPE</t>
  </si>
  <si>
    <t>PLACENCIA</t>
  </si>
  <si>
    <t>6666449K</t>
  </si>
  <si>
    <t>MARTEL</t>
  </si>
  <si>
    <t>REINALDO</t>
  </si>
  <si>
    <t>MONTANARES</t>
  </si>
  <si>
    <t>15157436K</t>
  </si>
  <si>
    <t>UBERLINDA</t>
  </si>
  <si>
    <t>9237517K</t>
  </si>
  <si>
    <t>7.534.075-3</t>
  </si>
  <si>
    <t>15175113k</t>
  </si>
  <si>
    <t>10.654.971-0</t>
  </si>
  <si>
    <t>4.108.951-2</t>
  </si>
  <si>
    <t>11.446.729-4</t>
  </si>
  <si>
    <t>PR HC 29-06</t>
  </si>
  <si>
    <t>10.027.029-3</t>
  </si>
  <si>
    <t>28.445.879-6</t>
  </si>
  <si>
    <t>28.455.037-4</t>
  </si>
  <si>
    <t>HUAITRO</t>
  </si>
  <si>
    <t>9658459-8</t>
  </si>
  <si>
    <t>ORDENES</t>
  </si>
  <si>
    <t>BOZZO</t>
  </si>
  <si>
    <t>CONEJEROS</t>
  </si>
  <si>
    <t>JUNA</t>
  </si>
  <si>
    <t>MARILYN</t>
  </si>
  <si>
    <t>VELOSO</t>
  </si>
  <si>
    <t>GUILLERMINA</t>
  </si>
  <si>
    <t>6310087K</t>
  </si>
  <si>
    <t>TUSCHNER</t>
  </si>
  <si>
    <t>8155224K</t>
  </si>
  <si>
    <t>URBANO</t>
  </si>
  <si>
    <t>RISSO</t>
  </si>
  <si>
    <t>CHARPE</t>
  </si>
  <si>
    <t>LEONIDAS</t>
  </si>
  <si>
    <t>5485210K</t>
  </si>
  <si>
    <t>GAETE</t>
  </si>
  <si>
    <t>YASNA</t>
  </si>
  <si>
    <t>7507948-6</t>
  </si>
  <si>
    <t>NELSO</t>
  </si>
  <si>
    <t>MATAMOROS</t>
  </si>
  <si>
    <t>SEBASTIAN</t>
  </si>
  <si>
    <t>LOBOS</t>
  </si>
  <si>
    <t>ARMANDO</t>
  </si>
  <si>
    <t>6319087K</t>
  </si>
  <si>
    <t>9367779K</t>
  </si>
  <si>
    <t>MATORGA</t>
  </si>
  <si>
    <t>HAYRA</t>
  </si>
  <si>
    <t>14403659K</t>
  </si>
  <si>
    <t>SHARON</t>
  </si>
  <si>
    <t>CAÑETE</t>
  </si>
  <si>
    <t>ADELAIDA</t>
  </si>
  <si>
    <t>BERNAL</t>
  </si>
  <si>
    <t>GALVEZ</t>
  </si>
  <si>
    <t>TATIANA</t>
  </si>
  <si>
    <t>VALERIA</t>
  </si>
  <si>
    <t>CAPURRO</t>
  </si>
  <si>
    <t>DORALIZA</t>
  </si>
  <si>
    <t>ESQUIVEL</t>
  </si>
  <si>
    <t>TARDON</t>
  </si>
  <si>
    <t>PUENTES</t>
  </si>
  <si>
    <t>AGUSTIN</t>
  </si>
  <si>
    <t>RIOSECO</t>
  </si>
  <si>
    <t>BRITO</t>
  </si>
  <si>
    <t>AMBAR</t>
  </si>
  <si>
    <t>JABRE</t>
  </si>
  <si>
    <t>LLANCAFIL</t>
  </si>
  <si>
    <t>BRIGIDA</t>
  </si>
  <si>
    <t xml:space="preserve">GORE </t>
  </si>
  <si>
    <t>CHRISTIAN</t>
  </si>
  <si>
    <t>SANZANA</t>
  </si>
  <si>
    <t>9922469K</t>
  </si>
  <si>
    <t>BARRIENTOS</t>
  </si>
  <si>
    <t>ALFARO</t>
  </si>
  <si>
    <t>15227680K</t>
  </si>
  <si>
    <t>MITZI</t>
  </si>
  <si>
    <t>ESTEBAN</t>
  </si>
  <si>
    <t>VEGA</t>
  </si>
  <si>
    <t>10726406K</t>
  </si>
  <si>
    <t>URIBE</t>
  </si>
  <si>
    <t>RECABARREN</t>
  </si>
  <si>
    <t>MIRKO</t>
  </si>
  <si>
    <t>JULIO</t>
  </si>
  <si>
    <t>MACHUCA</t>
  </si>
  <si>
    <t>6416418K</t>
  </si>
  <si>
    <t>AREVALO</t>
  </si>
  <si>
    <t>NOLFA</t>
  </si>
  <si>
    <t>9455084K</t>
  </si>
  <si>
    <t>ARANCIBIA</t>
  </si>
  <si>
    <t>ZENEN</t>
  </si>
  <si>
    <t>NURIA</t>
  </si>
  <si>
    <t>EUGENIA</t>
  </si>
  <si>
    <t>ERWIN</t>
  </si>
  <si>
    <t>CARRERA</t>
  </si>
  <si>
    <t>ORSINI</t>
  </si>
  <si>
    <t>FLAMEZ</t>
  </si>
  <si>
    <t>YENI</t>
  </si>
  <si>
    <t>9821088-1</t>
  </si>
  <si>
    <t>13.132.420-0</t>
  </si>
  <si>
    <t>GALDAMES</t>
  </si>
  <si>
    <t>ANDREA</t>
  </si>
  <si>
    <t>CORRAL</t>
  </si>
  <si>
    <t>MATILDE</t>
  </si>
  <si>
    <t>10611160k</t>
  </si>
  <si>
    <t>FLORENTINA</t>
  </si>
  <si>
    <t>LAVIN</t>
  </si>
  <si>
    <t>16897261K</t>
  </si>
  <si>
    <t>ACEITUNO</t>
  </si>
  <si>
    <t>ANDRES</t>
  </si>
  <si>
    <t>7237309K</t>
  </si>
  <si>
    <t>7887967K</t>
  </si>
  <si>
    <t>NORA</t>
  </si>
  <si>
    <t>MACIAS</t>
  </si>
  <si>
    <t>LARSEN</t>
  </si>
  <si>
    <t>ROJAS</t>
  </si>
  <si>
    <t>YISSI</t>
  </si>
  <si>
    <t>QUEMEL</t>
  </si>
  <si>
    <t>8.307.425-6</t>
  </si>
  <si>
    <t>FABRICIANO</t>
  </si>
  <si>
    <t>12.380.250-0</t>
  </si>
  <si>
    <t>18.388.707-6</t>
  </si>
  <si>
    <t>9.247.989-7</t>
  </si>
  <si>
    <t>8.603.777-7</t>
  </si>
  <si>
    <t>14.374.037-4</t>
  </si>
  <si>
    <t>JOVANNY</t>
  </si>
  <si>
    <t>6836856-1</t>
  </si>
  <si>
    <t>8791836-k</t>
  </si>
  <si>
    <t>6416418-k</t>
  </si>
  <si>
    <t>16-08-204</t>
  </si>
  <si>
    <t>8603777-7</t>
  </si>
  <si>
    <t>5292366-2</t>
  </si>
  <si>
    <t>MACÍAS</t>
  </si>
  <si>
    <t>8756892-k</t>
  </si>
  <si>
    <t>VALDERAS</t>
  </si>
  <si>
    <t>WONG</t>
  </si>
  <si>
    <t>BARROS</t>
  </si>
  <si>
    <t>DUNIA</t>
  </si>
  <si>
    <t>LAZCANO</t>
  </si>
  <si>
    <t>BARRERA</t>
  </si>
  <si>
    <t>ROSSANA</t>
  </si>
  <si>
    <t>AMERICO</t>
  </si>
  <si>
    <t>ALEGRIA</t>
  </si>
  <si>
    <t>6395442-k</t>
  </si>
  <si>
    <t>MILDA</t>
  </si>
  <si>
    <t>5589942-8</t>
  </si>
  <si>
    <t>VÁSQUEZ</t>
  </si>
  <si>
    <t>MUNOZ</t>
  </si>
  <si>
    <t>FABIAN</t>
  </si>
  <si>
    <t>7353327-9</t>
  </si>
  <si>
    <t>ROBERTSON</t>
  </si>
  <si>
    <t>MCCULLOCH</t>
  </si>
  <si>
    <t>BRÍGIDA</t>
  </si>
  <si>
    <t xml:space="preserve">MENDOZA </t>
  </si>
  <si>
    <t>6523582k</t>
  </si>
  <si>
    <t>5.616.005-1</t>
  </si>
  <si>
    <t>MARQUIZANI</t>
  </si>
  <si>
    <t>MARISOL</t>
  </si>
  <si>
    <t>9428115-6</t>
  </si>
  <si>
    <t>MARCIA</t>
  </si>
  <si>
    <t>BASTIDAS</t>
  </si>
  <si>
    <t>BARRÍA</t>
  </si>
  <si>
    <t>MARLY</t>
  </si>
  <si>
    <t>WILLY</t>
  </si>
  <si>
    <t>HERNÁNDEZ</t>
  </si>
  <si>
    <t>10327558k</t>
  </si>
  <si>
    <t>GUTIÉRREZ</t>
  </si>
  <si>
    <t>ROMÁN</t>
  </si>
  <si>
    <t>NOLBERTO</t>
  </si>
  <si>
    <t>7005169-9</t>
  </si>
  <si>
    <t>ABURTO</t>
  </si>
  <si>
    <t>MILLAR</t>
  </si>
  <si>
    <t>IGNELIA</t>
  </si>
  <si>
    <t>ISABEL</t>
  </si>
  <si>
    <t>23-08-20245</t>
  </si>
  <si>
    <t>MAYORGA</t>
  </si>
  <si>
    <t>SOTTOLICHIO</t>
  </si>
  <si>
    <t>URQUIZA</t>
  </si>
  <si>
    <t>5112918-0</t>
  </si>
  <si>
    <t>9328110-1</t>
  </si>
  <si>
    <t>MELLA</t>
  </si>
  <si>
    <t>5373786-2</t>
  </si>
  <si>
    <t>AGUILAR</t>
  </si>
  <si>
    <t>MARLENE</t>
  </si>
  <si>
    <t>VARGAS</t>
  </si>
  <si>
    <t>DEJAIFFE</t>
  </si>
  <si>
    <t>CHÁVEZ</t>
  </si>
  <si>
    <t>5597853-0</t>
  </si>
  <si>
    <t>5217993-9</t>
  </si>
  <si>
    <t>PACHECO</t>
  </si>
  <si>
    <t>EIDAN</t>
  </si>
  <si>
    <t>28519671k</t>
  </si>
  <si>
    <t>GAEL</t>
  </si>
  <si>
    <t>5731089-8</t>
  </si>
  <si>
    <t>6335952-1</t>
  </si>
  <si>
    <t>GREGORIO</t>
  </si>
  <si>
    <t>ALDEA</t>
  </si>
  <si>
    <t>11.663.078-8</t>
  </si>
  <si>
    <t>AMADOR</t>
  </si>
  <si>
    <t>GONZÁLEZ</t>
  </si>
  <si>
    <t>12321658k</t>
  </si>
  <si>
    <t>URRA</t>
  </si>
  <si>
    <t>6750674k</t>
  </si>
  <si>
    <t>Edith</t>
  </si>
  <si>
    <t>Arce</t>
  </si>
  <si>
    <t>Espinoza</t>
  </si>
  <si>
    <t>ESTEFANY</t>
  </si>
  <si>
    <t>NEHEMIAS</t>
  </si>
  <si>
    <t xml:space="preserve"> FERREIRA</t>
  </si>
  <si>
    <t>ODRILA</t>
  </si>
  <si>
    <t>SOLEDAD</t>
  </si>
  <si>
    <t>PULGAR</t>
  </si>
  <si>
    <t xml:space="preserve">EDUARDO </t>
  </si>
  <si>
    <t>GARCES</t>
  </si>
  <si>
    <t>9738472k</t>
  </si>
  <si>
    <t>11291532K</t>
  </si>
  <si>
    <t>ALBERTO</t>
  </si>
  <si>
    <t>GALINDO</t>
  </si>
  <si>
    <t>ARRATIA</t>
  </si>
  <si>
    <t>5822362k</t>
  </si>
  <si>
    <t>9282683K</t>
  </si>
  <si>
    <t>LEONEL</t>
  </si>
  <si>
    <t>GABRIEL</t>
  </si>
  <si>
    <t>ANTILEF</t>
  </si>
  <si>
    <t>PAREDES</t>
  </si>
  <si>
    <t>9229854k</t>
  </si>
  <si>
    <t xml:space="preserve">CIFUENTES </t>
  </si>
  <si>
    <t>BURDILES</t>
  </si>
  <si>
    <t>DELIA</t>
  </si>
  <si>
    <t>8011060k</t>
  </si>
  <si>
    <t>FLOR</t>
  </si>
  <si>
    <t>5000100-8</t>
  </si>
  <si>
    <t>11967523-5</t>
  </si>
  <si>
    <t>ALARCÓN</t>
  </si>
  <si>
    <t>9174336-1</t>
  </si>
  <si>
    <t>6891066-8</t>
  </si>
  <si>
    <t xml:space="preserve">	6703807k	</t>
  </si>
  <si>
    <t>MARITZA</t>
  </si>
  <si>
    <t>8858046k</t>
  </si>
  <si>
    <t>MAFALDO</t>
  </si>
  <si>
    <t>PASTENE</t>
  </si>
  <si>
    <t>LAVANDEROS</t>
  </si>
  <si>
    <t xml:space="preserve">MARIA </t>
  </si>
  <si>
    <t>5822362K</t>
  </si>
  <si>
    <t>VIERA</t>
  </si>
  <si>
    <t>9289481-9</t>
  </si>
  <si>
    <t>YOLANDA</t>
  </si>
  <si>
    <t>15615461k</t>
  </si>
  <si>
    <t>SOTTA</t>
  </si>
  <si>
    <t>18068283k</t>
  </si>
  <si>
    <t>MADELEIN</t>
  </si>
  <si>
    <t>QUIELDA</t>
  </si>
  <si>
    <t>ERIC</t>
  </si>
  <si>
    <t>8617409k</t>
  </si>
  <si>
    <t>BUSTO</t>
  </si>
  <si>
    <t>MARÍA</t>
  </si>
  <si>
    <t>SEPÚLVEDA</t>
  </si>
  <si>
    <t>6203781-4</t>
  </si>
  <si>
    <t>JONES</t>
  </si>
  <si>
    <t>BARRAZA</t>
  </si>
  <si>
    <t>15175385k</t>
  </si>
  <si>
    <t>ARANDA</t>
  </si>
  <si>
    <t>VINET</t>
  </si>
  <si>
    <t>SARAVIA</t>
  </si>
  <si>
    <t>JOAQUÍN</t>
  </si>
  <si>
    <t>PANGAL</t>
  </si>
  <si>
    <t>15615461K</t>
  </si>
  <si>
    <t>5602824-2</t>
  </si>
  <si>
    <t>ISMAEL</t>
  </si>
  <si>
    <t>GUARACHE</t>
  </si>
  <si>
    <t>YENNY</t>
  </si>
  <si>
    <t>CORDERO</t>
  </si>
  <si>
    <t>LICANQUEO</t>
  </si>
  <si>
    <t>QUINTREL</t>
  </si>
  <si>
    <t>ZABALA</t>
  </si>
  <si>
    <t>NICANOR</t>
  </si>
  <si>
    <t>AMIGO</t>
  </si>
  <si>
    <t>CARREÑO</t>
  </si>
  <si>
    <t>7887192k</t>
  </si>
  <si>
    <t>7801463-6</t>
  </si>
  <si>
    <t>HERMINIA</t>
  </si>
  <si>
    <t>6217501K</t>
  </si>
  <si>
    <t>JIMÉNEZ</t>
  </si>
  <si>
    <t>VILLAGRÁN</t>
  </si>
  <si>
    <t>HÉCTOR</t>
  </si>
  <si>
    <t>ABELLO</t>
  </si>
  <si>
    <t>EVANDRO</t>
  </si>
  <si>
    <t>ELGUETA</t>
  </si>
  <si>
    <t>COLLANTE</t>
  </si>
  <si>
    <t>ÁVILA</t>
  </si>
  <si>
    <t>11155157k</t>
  </si>
  <si>
    <t>26786084k</t>
  </si>
  <si>
    <t>VALERA</t>
  </si>
  <si>
    <t>9070818k</t>
  </si>
  <si>
    <t>RACHEL</t>
  </si>
  <si>
    <t>ARTEMIO</t>
  </si>
  <si>
    <t>LEPILLAN</t>
  </si>
  <si>
    <t>VIVANCO</t>
  </si>
  <si>
    <t>BURBOA</t>
  </si>
  <si>
    <t>YOHANNINA</t>
  </si>
  <si>
    <t>VALENTINA</t>
  </si>
  <si>
    <t>RAINIER</t>
  </si>
  <si>
    <t>SANZ</t>
  </si>
  <si>
    <t>MIA</t>
  </si>
  <si>
    <t>7607653-7</t>
  </si>
  <si>
    <t>NANCY</t>
  </si>
  <si>
    <t>MICHELE</t>
  </si>
  <si>
    <t>MUñOZ</t>
  </si>
  <si>
    <t>RENE</t>
  </si>
  <si>
    <t>11155157K</t>
  </si>
  <si>
    <t>RUEDA</t>
  </si>
  <si>
    <t>SOFIA</t>
  </si>
  <si>
    <t>KEVIN</t>
  </si>
  <si>
    <t>YANEZ</t>
  </si>
  <si>
    <t>FRANCY</t>
  </si>
  <si>
    <t>10086214k</t>
  </si>
  <si>
    <t>NOGRADO</t>
  </si>
  <si>
    <t>9313183-5</t>
  </si>
  <si>
    <t>6721343-2</t>
  </si>
  <si>
    <t>PUBLIO</t>
  </si>
  <si>
    <t>CARRERAS</t>
  </si>
  <si>
    <t>PAOLA</t>
  </si>
  <si>
    <t>QUIJADA</t>
  </si>
  <si>
    <t>LINARES</t>
  </si>
  <si>
    <t>9931342-0</t>
  </si>
  <si>
    <t>LIZAMA</t>
  </si>
  <si>
    <t>ELVIS</t>
  </si>
  <si>
    <t>ARICELLY</t>
  </si>
  <si>
    <t>FELINDO</t>
  </si>
  <si>
    <t>OLIVEROS</t>
  </si>
  <si>
    <t>YANETH</t>
  </si>
  <si>
    <t>GUERRA</t>
  </si>
  <si>
    <t>ÑANCUL</t>
  </si>
  <si>
    <t>BELFOR</t>
  </si>
  <si>
    <t>DOMINGA</t>
  </si>
  <si>
    <t>ARENAS</t>
  </si>
  <si>
    <t>JONATHAN</t>
  </si>
  <si>
    <t>RUPERTO</t>
  </si>
  <si>
    <t>JAQUE</t>
  </si>
  <si>
    <t>22284553k</t>
  </si>
  <si>
    <t>ALVARO</t>
  </si>
  <si>
    <t>BERNARDINO</t>
  </si>
  <si>
    <t>6703807k</t>
  </si>
  <si>
    <t>PRADENAS</t>
  </si>
  <si>
    <t>5111289k</t>
  </si>
  <si>
    <t>MIRIA</t>
  </si>
  <si>
    <t>GUSTAVO</t>
  </si>
  <si>
    <t>MULCHI</t>
  </si>
  <si>
    <t>carbapenemasa (+)</t>
  </si>
  <si>
    <t>ALASKA</t>
  </si>
  <si>
    <t>ALLENDES</t>
  </si>
  <si>
    <t>usuario</t>
  </si>
  <si>
    <t>x tqt</t>
  </si>
  <si>
    <t>8554960k</t>
  </si>
  <si>
    <t>SÁNCHEZ</t>
  </si>
  <si>
    <t>9237517k</t>
  </si>
  <si>
    <t>ORFELINA</t>
  </si>
  <si>
    <t>MARCHANT</t>
  </si>
  <si>
    <t>MONTALBA</t>
  </si>
  <si>
    <t>ALBINA</t>
  </si>
  <si>
    <t>SANTIAGO</t>
  </si>
  <si>
    <t>CHEHIN</t>
  </si>
  <si>
    <t>ARELLANO</t>
  </si>
  <si>
    <t>LARRAZABAL</t>
  </si>
  <si>
    <t>MAXIMO</t>
  </si>
  <si>
    <t>PAUL</t>
  </si>
  <si>
    <t>GALGANI</t>
  </si>
  <si>
    <t>5287564-1</t>
  </si>
  <si>
    <t>5414403-2</t>
  </si>
  <si>
    <t>ENA</t>
  </si>
  <si>
    <t>GUEVARA</t>
  </si>
  <si>
    <t>MILLABUR</t>
  </si>
  <si>
    <t>IVÁN</t>
  </si>
  <si>
    <t>CHANDÍA</t>
  </si>
  <si>
    <t>GASTON</t>
  </si>
  <si>
    <t>28.556.143-4</t>
  </si>
  <si>
    <t>ADÁN</t>
  </si>
  <si>
    <t>FICA</t>
  </si>
  <si>
    <t>JEHIEL</t>
  </si>
  <si>
    <t>CENTENO</t>
  </si>
  <si>
    <t>6416418k</t>
  </si>
  <si>
    <t>HORMAZABAL</t>
  </si>
  <si>
    <t>LUCAS</t>
  </si>
  <si>
    <t>8736710k</t>
  </si>
  <si>
    <t>7702610k</t>
  </si>
  <si>
    <t>ENOLFA</t>
  </si>
  <si>
    <t>GASTÓN</t>
  </si>
  <si>
    <t>ZÚÑIGA</t>
  </si>
  <si>
    <t>HINOJOSA</t>
  </si>
  <si>
    <t>GREEN</t>
  </si>
  <si>
    <t>BASCUR</t>
  </si>
  <si>
    <t>7850286k</t>
  </si>
  <si>
    <t>LILIAN</t>
  </si>
  <si>
    <t>VERÓNICA</t>
  </si>
  <si>
    <t>SANTUBER</t>
  </si>
  <si>
    <t>JORQUERA</t>
  </si>
  <si>
    <t>ANTONIA</t>
  </si>
  <si>
    <t>MAYRA</t>
  </si>
  <si>
    <t>ITIEL</t>
  </si>
  <si>
    <t>ARANGUEZ</t>
  </si>
  <si>
    <t>IBAÑEZ</t>
  </si>
  <si>
    <t>NAVM</t>
  </si>
  <si>
    <t>HERESMANN</t>
  </si>
  <si>
    <t>FOX</t>
  </si>
  <si>
    <t>CERNA</t>
  </si>
  <si>
    <t>EXEQUIEL</t>
  </si>
  <si>
    <t>CONTARDO</t>
  </si>
  <si>
    <t>9882457k</t>
  </si>
  <si>
    <t>LANDEROS</t>
  </si>
  <si>
    <t>NICOLÁS</t>
  </si>
  <si>
    <t>VICTORINO</t>
  </si>
  <si>
    <t>BINIMELIS</t>
  </si>
  <si>
    <t>GILDA</t>
  </si>
  <si>
    <t>5647577-k</t>
  </si>
  <si>
    <t>MONJE</t>
  </si>
  <si>
    <t>ELENA</t>
  </si>
  <si>
    <t>GALAZ</t>
  </si>
  <si>
    <t>-</t>
  </si>
  <si>
    <t>7586437k</t>
  </si>
  <si>
    <t>IBETE</t>
  </si>
  <si>
    <t>17574424k</t>
  </si>
  <si>
    <t>VASTI</t>
  </si>
  <si>
    <t xml:space="preserve"> BARGOSSI </t>
  </si>
  <si>
    <t>7.242.391-7</t>
  </si>
  <si>
    <t>5.768.320-1</t>
  </si>
  <si>
    <t>CARTER</t>
  </si>
  <si>
    <t>BASTÍAS</t>
  </si>
  <si>
    <t>TRIPAILAO</t>
  </si>
  <si>
    <t>EMPERATRIZ</t>
  </si>
  <si>
    <t>ADELA</t>
  </si>
  <si>
    <t>VÍCTOR</t>
  </si>
  <si>
    <t>SANTANA</t>
  </si>
  <si>
    <t>7852751K</t>
  </si>
  <si>
    <t>KIMBERLY</t>
  </si>
  <si>
    <t>VILUGRON</t>
  </si>
  <si>
    <t>7210113-8</t>
  </si>
  <si>
    <t>MÉNDEZ</t>
  </si>
  <si>
    <t>BONILLA</t>
  </si>
  <si>
    <t>MONTANER</t>
  </si>
  <si>
    <t>5652164k</t>
  </si>
  <si>
    <t>DIGNO</t>
  </si>
  <si>
    <t>MIGUELINA</t>
  </si>
  <si>
    <t>BLANCA</t>
  </si>
  <si>
    <t>ISIS</t>
  </si>
  <si>
    <t>ROBLES</t>
  </si>
  <si>
    <t>ALICE</t>
  </si>
  <si>
    <t>10347647k</t>
  </si>
  <si>
    <t>7920112k</t>
  </si>
  <si>
    <t>GALLEGUILLOS</t>
  </si>
  <si>
    <t>OPORTUS</t>
  </si>
  <si>
    <t>PASTEN</t>
  </si>
  <si>
    <t>ROCO</t>
  </si>
  <si>
    <t>OYAMEDEL</t>
  </si>
  <si>
    <t>DENIS</t>
  </si>
  <si>
    <t>LEON</t>
  </si>
  <si>
    <t>MARDONEZ</t>
  </si>
  <si>
    <t>MONRROY</t>
  </si>
  <si>
    <t>APABLAZA</t>
  </si>
  <si>
    <t>ARRIAZA</t>
  </si>
  <si>
    <t>RIERA</t>
  </si>
  <si>
    <t>KATHERINNE</t>
  </si>
  <si>
    <t>BORQUEZ</t>
  </si>
  <si>
    <t>HELEN</t>
  </si>
  <si>
    <t>7942854K</t>
  </si>
  <si>
    <t>9370259K</t>
  </si>
  <si>
    <t>ASTETE</t>
  </si>
  <si>
    <t>5182685K</t>
  </si>
  <si>
    <t>AARON</t>
  </si>
  <si>
    <t>SOLIS</t>
  </si>
  <si>
    <t>VINCIS</t>
  </si>
  <si>
    <t xml:space="preserve">RIVAS </t>
  </si>
  <si>
    <t>BERNARDITA</t>
  </si>
  <si>
    <t>MONROY</t>
  </si>
  <si>
    <t>POLANCO</t>
  </si>
  <si>
    <t>ROCCO</t>
  </si>
  <si>
    <t>LUCRECIA</t>
  </si>
  <si>
    <t>CANTO</t>
  </si>
  <si>
    <t>18807989k</t>
  </si>
  <si>
    <t>BERATTO</t>
  </si>
  <si>
    <t>ALAN</t>
  </si>
  <si>
    <t>LLORENTE</t>
  </si>
  <si>
    <t>URBINA</t>
  </si>
  <si>
    <t>6571048K</t>
  </si>
  <si>
    <t>MONDACA</t>
  </si>
  <si>
    <t>GINA</t>
  </si>
  <si>
    <t>HILDA</t>
  </si>
  <si>
    <t>TARIFENO</t>
  </si>
  <si>
    <t>AYELEF</t>
  </si>
  <si>
    <t>PAILAPAN</t>
  </si>
  <si>
    <t>GANGAS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</si>
</sst>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-#"/>
    <numFmt numFmtId="165" formatCode="_-* #,##0.00\ [$€]_-;\-* #,##0.00\ [$€]_-;_-* &quot;-&quot;??\ [$€]_-;_-@_-"/>
    <numFmt numFmtId="166" formatCode="_-* #,##0_-;\-* #,##0_-;_-* &quot;-&quot;_-;_-@_-"/>
  </numFmts>
  <fonts count="3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0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1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1"/>
      <color rgb="FF000000"/>
      <name val="Arial"/>
      <family val="2"/>
    </font>
    <font>
      <sz val="10"/>
      <color rgb="FF333333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</font>
    <font>
      <b/>
      <sz val="11"/>
      <color indexed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87">
    <xf numFmtId="0" fontId="0" fillId="0" borderId="0"/>
    <xf numFmtId="0" fontId="5" fillId="0" borderId="0"/>
    <xf numFmtId="0" fontId="9" fillId="0" borderId="0"/>
    <xf numFmtId="0" fontId="19" fillId="0" borderId="0"/>
    <xf numFmtId="0" fontId="20" fillId="9" borderId="0"/>
    <xf numFmtId="0" fontId="20" fillId="10" borderId="0"/>
    <xf numFmtId="0" fontId="19" fillId="11" borderId="0"/>
    <xf numFmtId="0" fontId="21" fillId="12" borderId="0"/>
    <xf numFmtId="0" fontId="22" fillId="13" borderId="0"/>
    <xf numFmtId="0" fontId="18" fillId="0" borderId="0">
      <alignment vertical="top"/>
    </xf>
    <xf numFmtId="0" fontId="18" fillId="0" borderId="0">
      <alignment vertical="top"/>
    </xf>
    <xf numFmtId="165" fontId="5" fillId="0" borderId="0"/>
    <xf numFmtId="165" fontId="5" fillId="0" borderId="0"/>
    <xf numFmtId="0" fontId="23" fillId="0" borderId="0"/>
    <xf numFmtId="0" fontId="24" fillId="14" borderId="0"/>
    <xf numFmtId="0" fontId="25" fillId="0" borderId="0"/>
    <xf numFmtId="0" fontId="26" fillId="0" borderId="0"/>
    <xf numFmtId="0" fontId="27" fillId="0" borderId="0"/>
    <xf numFmtId="0" fontId="28" fillId="0" borderId="0"/>
    <xf numFmtId="0" fontId="29" fillId="15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16" fillId="0" borderId="0"/>
    <xf numFmtId="0" fontId="30" fillId="0" borderId="0"/>
    <xf numFmtId="0" fontId="17" fillId="0" borderId="0"/>
    <xf numFmtId="0" fontId="31" fillId="15" borderId="20"/>
    <xf numFmtId="0" fontId="30" fillId="0" borderId="0"/>
    <xf numFmtId="0" fontId="30" fillId="0" borderId="0"/>
    <xf numFmtId="0" fontId="21" fillId="0" borderId="0"/>
    <xf numFmtId="0" fontId="9" fillId="0" borderId="0"/>
    <xf numFmtId="0" fontId="32" fillId="0" borderId="0"/>
    <xf numFmtId="0" fontId="9" fillId="0" borderId="0"/>
    <xf numFmtId="0" fontId="6" fillId="0" borderId="0"/>
    <xf numFmtId="0" fontId="9" fillId="0" borderId="0"/>
    <xf numFmtId="0" fontId="6" fillId="0" borderId="0"/>
    <xf numFmtId="166" fontId="6" fillId="0" borderId="0"/>
    <xf numFmtId="0" fontId="32" fillId="0" borderId="0"/>
    <xf numFmtId="0" fontId="32" fillId="0" borderId="0"/>
    <xf numFmtId="0" fontId="9" fillId="0" borderId="0"/>
    <xf numFmtId="0" fontId="9" fillId="0" borderId="0"/>
    <xf numFmtId="0" fontId="33" fillId="0" borderId="0"/>
    <xf numFmtId="0" fontId="6" fillId="0" borderId="0"/>
    <xf numFmtId="0" fontId="32" fillId="0" borderId="0"/>
    <xf numFmtId="0" fontId="9" fillId="0" borderId="0"/>
    <xf numFmtId="0" fontId="32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32" fillId="0" borderId="0"/>
    <xf numFmtId="0" fontId="32" fillId="0" borderId="0"/>
    <xf numFmtId="0" fontId="9" fillId="0" borderId="0"/>
    <xf numFmtId="0" fontId="9" fillId="0" borderId="0"/>
    <xf numFmtId="0" fontId="32" fillId="0" borderId="0"/>
    <xf numFmtId="0" fontId="6" fillId="0" borderId="0"/>
    <xf numFmtId="0" fontId="6" fillId="0" borderId="0"/>
    <xf numFmtId="0" fontId="32" fillId="0" borderId="0"/>
    <xf numFmtId="0" fontId="9" fillId="0" borderId="0"/>
    <xf numFmtId="0" fontId="6" fillId="0" borderId="0"/>
    <xf numFmtId="0" fontId="32" fillId="0" borderId="0"/>
    <xf numFmtId="0" fontId="9" fillId="0" borderId="0"/>
    <xf numFmtId="0" fontId="9" fillId="0" borderId="0"/>
    <xf numFmtId="0" fontId="6" fillId="0" borderId="0"/>
    <xf numFmtId="0" fontId="32" fillId="0" borderId="0"/>
    <xf numFmtId="166" fontId="6" fillId="0" borderId="0"/>
    <xf numFmtId="0" fontId="9" fillId="0" borderId="0"/>
    <xf numFmtId="0" fontId="9" fillId="0" borderId="0"/>
    <xf numFmtId="0" fontId="9" fillId="0" borderId="0"/>
    <xf numFmtId="0" fontId="32" fillId="0" borderId="0"/>
    <xf numFmtId="0" fontId="9" fillId="0" borderId="0"/>
    <xf numFmtId="0" fontId="32" fillId="0" borderId="0"/>
    <xf numFmtId="0" fontId="32" fillId="0" borderId="0"/>
    <xf numFmtId="0" fontId="32" fillId="0" borderId="0"/>
    <xf numFmtId="0" fontId="9" fillId="0" borderId="0"/>
    <xf numFmtId="0" fontId="9" fillId="0" borderId="0"/>
    <xf numFmtId="0" fontId="9" fillId="0" borderId="0"/>
    <xf numFmtId="0" fontId="32" fillId="0" borderId="0"/>
    <xf numFmtId="0" fontId="9" fillId="0" borderId="0"/>
    <xf numFmtId="0" fontId="32" fillId="0" borderId="0"/>
    <xf numFmtId="0" fontId="9" fillId="0" borderId="0"/>
    <xf numFmtId="0" fontId="9" fillId="0" borderId="0"/>
  </cellStyleXfs>
  <cellXfs count="13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164" fontId="2" fillId="2" borderId="0" xfId="0" applyNumberFormat="1" applyFont="1" applyFill="1"/>
    <xf numFmtId="0" fontId="0" fillId="2" borderId="1" xfId="0" applyFill="1" applyBorder="1"/>
    <xf numFmtId="0" fontId="0" fillId="2" borderId="2" xfId="0" applyFill="1" applyBorder="1"/>
    <xf numFmtId="0" fontId="0" fillId="3" borderId="2" xfId="0" applyFill="1" applyBorder="1"/>
    <xf numFmtId="0" fontId="2" fillId="2" borderId="2" xfId="0" applyFont="1" applyFill="1" applyBorder="1"/>
    <xf numFmtId="0" fontId="2" fillId="2" borderId="0" xfId="0" applyFont="1" applyFill="1"/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wrapText="1"/>
    </xf>
    <xf numFmtId="0" fontId="3" fillId="0" borderId="5" xfId="0" applyFont="1" applyBorder="1"/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164" fontId="0" fillId="4" borderId="9" xfId="0" applyNumberFormat="1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/>
    </xf>
    <xf numFmtId="14" fontId="0" fillId="4" borderId="10" xfId="0" applyNumberFormat="1" applyFill="1" applyBorder="1" applyAlignment="1">
      <alignment horizontal="left" vertical="center"/>
    </xf>
    <xf numFmtId="164" fontId="0" fillId="0" borderId="11" xfId="0" applyNumberForma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49" fontId="0" fillId="0" borderId="12" xfId="0" applyNumberFormat="1" applyBorder="1" applyAlignment="1">
      <alignment horizontal="left" vertical="center"/>
    </xf>
    <xf numFmtId="14" fontId="0" fillId="0" borderId="12" xfId="0" applyNumberForma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1" fontId="0" fillId="0" borderId="3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1" fillId="0" borderId="12" xfId="0" applyFont="1" applyBorder="1"/>
    <xf numFmtId="0" fontId="1" fillId="0" borderId="12" xfId="0" applyFont="1" applyBorder="1" applyAlignment="1">
      <alignment horizontal="center" wrapText="1"/>
    </xf>
    <xf numFmtId="0" fontId="0" fillId="0" borderId="12" xfId="0" applyBorder="1"/>
    <xf numFmtId="1" fontId="0" fillId="4" borderId="13" xfId="0" applyNumberFormat="1" applyFill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14" fontId="0" fillId="0" borderId="0" xfId="0" applyNumberFormat="1"/>
    <xf numFmtId="14" fontId="0" fillId="5" borderId="1" xfId="0" applyNumberFormat="1" applyFill="1" applyBorder="1" applyAlignment="1">
      <alignment horizontal="left" vertical="center"/>
    </xf>
    <xf numFmtId="1" fontId="0" fillId="0" borderId="12" xfId="0" applyNumberFormat="1" applyBorder="1"/>
    <xf numFmtId="164" fontId="0" fillId="0" borderId="12" xfId="0" applyNumberFormat="1" applyBorder="1" applyAlignment="1">
      <alignment horizontal="left" vertical="center"/>
    </xf>
    <xf numFmtId="14" fontId="0" fillId="0" borderId="12" xfId="0" applyNumberFormat="1" applyBorder="1" applyAlignment="1">
      <alignment horizontal="left"/>
    </xf>
    <xf numFmtId="14" fontId="0" fillId="7" borderId="1" xfId="0" applyNumberFormat="1" applyFill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49" fontId="0" fillId="2" borderId="12" xfId="0" applyNumberForma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164" fontId="0" fillId="8" borderId="11" xfId="0" applyNumberFormat="1" applyFill="1" applyBorder="1" applyAlignment="1">
      <alignment horizontal="left" vertical="center"/>
    </xf>
    <xf numFmtId="0" fontId="0" fillId="8" borderId="12" xfId="0" applyFill="1" applyBorder="1" applyAlignment="1">
      <alignment horizontal="left" vertical="center"/>
    </xf>
    <xf numFmtId="49" fontId="0" fillId="8" borderId="12" xfId="0" applyNumberFormat="1" applyFill="1" applyBorder="1" applyAlignment="1">
      <alignment horizontal="left" vertical="center"/>
    </xf>
    <xf numFmtId="14" fontId="0" fillId="8" borderId="12" xfId="0" applyNumberFormat="1" applyFill="1" applyBorder="1" applyAlignment="1">
      <alignment horizontal="left" vertical="center"/>
    </xf>
    <xf numFmtId="0" fontId="2" fillId="8" borderId="12" xfId="0" applyFont="1" applyFill="1" applyBorder="1" applyAlignment="1">
      <alignment horizontal="left" vertical="center"/>
    </xf>
    <xf numFmtId="1" fontId="0" fillId="8" borderId="3" xfId="0" applyNumberFormat="1" applyFill="1" applyBorder="1" applyAlignment="1">
      <alignment horizontal="left" vertical="center"/>
    </xf>
    <xf numFmtId="14" fontId="0" fillId="8" borderId="1" xfId="0" applyNumberFormat="1" applyFill="1" applyBorder="1" applyAlignment="1">
      <alignment horizontal="left" vertical="center"/>
    </xf>
    <xf numFmtId="0" fontId="0" fillId="8" borderId="0" xfId="0" applyFill="1"/>
    <xf numFmtId="14" fontId="0" fillId="0" borderId="12" xfId="0" applyNumberFormat="1" applyBorder="1"/>
    <xf numFmtId="0" fontId="0" fillId="0" borderId="15" xfId="0" applyBorder="1"/>
    <xf numFmtId="0" fontId="8" fillId="0" borderId="12" xfId="0" applyFont="1" applyBorder="1" applyAlignment="1">
      <alignment horizontal="left"/>
    </xf>
    <xf numFmtId="0" fontId="0" fillId="0" borderId="12" xfId="0" applyBorder="1" applyAlignment="1">
      <alignment horizontal="center"/>
    </xf>
    <xf numFmtId="0" fontId="0" fillId="6" borderId="12" xfId="0" applyFill="1" applyBorder="1"/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12" xfId="0" applyFont="1" applyBorder="1"/>
    <xf numFmtId="0" fontId="7" fillId="2" borderId="0" xfId="0" applyFont="1" applyFill="1"/>
    <xf numFmtId="164" fontId="10" fillId="2" borderId="0" xfId="0" applyNumberFormat="1" applyFont="1" applyFill="1"/>
    <xf numFmtId="0" fontId="10" fillId="2" borderId="2" xfId="0" applyFont="1" applyFill="1" applyBorder="1"/>
    <xf numFmtId="0" fontId="10" fillId="2" borderId="0" xfId="0" applyFont="1" applyFill="1"/>
    <xf numFmtId="0" fontId="11" fillId="0" borderId="5" xfId="0" applyFont="1" applyBorder="1"/>
    <xf numFmtId="0" fontId="10" fillId="0" borderId="12" xfId="0" applyFont="1" applyBorder="1" applyAlignment="1">
      <alignment horizontal="left" vertical="center"/>
    </xf>
    <xf numFmtId="0" fontId="8" fillId="0" borderId="0" xfId="0" applyFont="1"/>
    <xf numFmtId="14" fontId="8" fillId="0" borderId="12" xfId="0" applyNumberFormat="1" applyFont="1" applyBorder="1" applyAlignment="1">
      <alignment horizontal="right"/>
    </xf>
    <xf numFmtId="0" fontId="12" fillId="0" borderId="12" xfId="0" applyFont="1" applyBorder="1"/>
    <xf numFmtId="0" fontId="0" fillId="2" borderId="0" xfId="0" applyFill="1" applyAlignment="1">
      <alignment horizontal="left"/>
    </xf>
    <xf numFmtId="0" fontId="0" fillId="0" borderId="12" xfId="0" applyBorder="1" applyAlignment="1">
      <alignment horizontal="left"/>
    </xf>
    <xf numFmtId="0" fontId="0" fillId="0" borderId="0" xfId="0" applyAlignment="1">
      <alignment horizontal="left"/>
    </xf>
    <xf numFmtId="0" fontId="0" fillId="7" borderId="12" xfId="0" applyFill="1" applyBorder="1"/>
    <xf numFmtId="164" fontId="0" fillId="0" borderId="19" xfId="0" applyNumberForma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49" fontId="0" fillId="0" borderId="15" xfId="0" applyNumberFormat="1" applyBorder="1" applyAlignment="1">
      <alignment horizontal="left" vertical="center"/>
    </xf>
    <xf numFmtId="14" fontId="0" fillId="0" borderId="15" xfId="0" applyNumberForma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1" fontId="0" fillId="0" borderId="18" xfId="0" applyNumberFormat="1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1" fontId="0" fillId="0" borderId="3" xfId="0" applyNumberFormat="1" applyBorder="1" applyAlignment="1">
      <alignment vertical="center"/>
    </xf>
    <xf numFmtId="0" fontId="0" fillId="0" borderId="12" xfId="0" applyBorder="1" applyAlignment="1">
      <alignment horizontal="right"/>
    </xf>
    <xf numFmtId="164" fontId="0" fillId="0" borderId="11" xfId="0" applyNumberFormat="1" applyBorder="1" applyAlignment="1">
      <alignment horizontal="right" vertical="center"/>
    </xf>
    <xf numFmtId="0" fontId="0" fillId="7" borderId="17" xfId="0" applyFill="1" applyBorder="1"/>
    <xf numFmtId="14" fontId="0" fillId="0" borderId="15" xfId="0" applyNumberFormat="1" applyBorder="1"/>
    <xf numFmtId="0" fontId="0" fillId="2" borderId="12" xfId="0" applyFill="1" applyBorder="1"/>
    <xf numFmtId="14" fontId="0" fillId="0" borderId="12" xfId="0" applyNumberFormat="1" applyBorder="1" applyAlignment="1">
      <alignment horizontal="center"/>
    </xf>
    <xf numFmtId="0" fontId="8" fillId="2" borderId="12" xfId="0" applyFont="1" applyFill="1" applyBorder="1"/>
    <xf numFmtId="0" fontId="1" fillId="0" borderId="5" xfId="0" applyFont="1" applyBorder="1" applyAlignment="1">
      <alignment horizontal="center"/>
    </xf>
    <xf numFmtId="0" fontId="7" fillId="2" borderId="0" xfId="0" applyFont="1" applyFill="1" applyAlignment="1">
      <alignment horizontal="left"/>
    </xf>
    <xf numFmtId="164" fontId="10" fillId="2" borderId="0" xfId="0" applyNumberFormat="1" applyFont="1" applyFill="1" applyAlignment="1">
      <alignment horizontal="left"/>
    </xf>
    <xf numFmtId="0" fontId="10" fillId="2" borderId="2" xfId="0" applyFont="1" applyFill="1" applyBorder="1" applyAlignment="1">
      <alignment horizontal="left"/>
    </xf>
    <xf numFmtId="0" fontId="10" fillId="2" borderId="0" xfId="0" applyFont="1" applyFill="1" applyAlignment="1">
      <alignment horizontal="left"/>
    </xf>
    <xf numFmtId="0" fontId="11" fillId="0" borderId="5" xfId="0" applyFont="1" applyBorder="1" applyAlignment="1">
      <alignment horizontal="left"/>
    </xf>
    <xf numFmtId="14" fontId="0" fillId="0" borderId="12" xfId="0" applyNumberFormat="1" applyBorder="1" applyAlignment="1">
      <alignment horizontal="center" vertical="center"/>
    </xf>
    <xf numFmtId="0" fontId="0" fillId="5" borderId="0" xfId="0" applyFill="1"/>
    <xf numFmtId="0" fontId="1" fillId="2" borderId="0" xfId="0" applyFont="1" applyFill="1" applyAlignment="1">
      <alignment horizontal="left"/>
    </xf>
    <xf numFmtId="0" fontId="0" fillId="3" borderId="2" xfId="0" applyFill="1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5" borderId="12" xfId="0" applyFill="1" applyBorder="1"/>
    <xf numFmtId="0" fontId="2" fillId="0" borderId="15" xfId="0" applyFont="1" applyBorder="1" applyAlignment="1">
      <alignment horizontal="left" vertical="center"/>
    </xf>
    <xf numFmtId="1" fontId="0" fillId="0" borderId="12" xfId="0" applyNumberFormat="1" applyBorder="1" applyAlignment="1">
      <alignment horizontal="left" vertical="center"/>
    </xf>
    <xf numFmtId="0" fontId="0" fillId="0" borderId="15" xfId="0" applyBorder="1" applyAlignment="1">
      <alignment horizontal="left"/>
    </xf>
    <xf numFmtId="0" fontId="13" fillId="0" borderId="0" xfId="0" applyFont="1"/>
    <xf numFmtId="0" fontId="1" fillId="0" borderId="5" xfId="0" applyFont="1" applyBorder="1" applyAlignment="1">
      <alignment horizontal="center" wrapText="1"/>
    </xf>
    <xf numFmtId="14" fontId="1" fillId="2" borderId="0" xfId="0" applyNumberFormat="1" applyFont="1" applyFill="1"/>
    <xf numFmtId="14" fontId="0" fillId="2" borderId="0" xfId="0" applyNumberFormat="1" applyFill="1"/>
    <xf numFmtId="14" fontId="0" fillId="3" borderId="2" xfId="0" applyNumberFormat="1" applyFill="1" applyBorder="1"/>
    <xf numFmtId="14" fontId="1" fillId="0" borderId="5" xfId="0" applyNumberFormat="1" applyFont="1" applyBorder="1" applyAlignment="1">
      <alignment wrapText="1"/>
    </xf>
    <xf numFmtId="49" fontId="0" fillId="5" borderId="12" xfId="0" applyNumberFormat="1" applyFill="1" applyBorder="1" applyAlignment="1">
      <alignment horizontal="left" vertical="center"/>
    </xf>
    <xf numFmtId="14" fontId="0" fillId="5" borderId="12" xfId="0" applyNumberFormat="1" applyFill="1" applyBorder="1"/>
    <xf numFmtId="0" fontId="2" fillId="5" borderId="12" xfId="0" applyFont="1" applyFill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14" fontId="15" fillId="0" borderId="12" xfId="0" applyNumberFormat="1" applyFont="1" applyBorder="1"/>
    <xf numFmtId="14" fontId="0" fillId="2" borderId="2" xfId="0" applyNumberFormat="1" applyFill="1" applyBorder="1"/>
    <xf numFmtId="49" fontId="0" fillId="6" borderId="12" xfId="0" applyNumberFormat="1" applyFill="1" applyBorder="1" applyAlignment="1">
      <alignment horizontal="left" vertical="center"/>
    </xf>
    <xf numFmtId="0" fontId="2" fillId="6" borderId="12" xfId="0" applyFont="1" applyFill="1" applyBorder="1" applyAlignment="1">
      <alignment horizontal="left" vertical="center"/>
    </xf>
    <xf numFmtId="14" fontId="0" fillId="6" borderId="12" xfId="0" applyNumberFormat="1" applyFill="1" applyBorder="1"/>
    <xf numFmtId="49" fontId="8" fillId="2" borderId="12" xfId="0" applyNumberFormat="1" applyFont="1" applyFill="1" applyBorder="1" applyAlignment="1">
      <alignment horizontal="left" vertical="center"/>
    </xf>
    <xf numFmtId="14" fontId="8" fillId="2" borderId="12" xfId="0" applyNumberFormat="1" applyFont="1" applyFill="1" applyBorder="1"/>
    <xf numFmtId="0" fontId="10" fillId="2" borderId="12" xfId="0" applyFont="1" applyFill="1" applyBorder="1" applyAlignment="1">
      <alignment horizontal="left" vertical="center"/>
    </xf>
    <xf numFmtId="0" fontId="8" fillId="2" borderId="0" xfId="0" applyFont="1" applyFill="1"/>
    <xf numFmtId="14" fontId="0" fillId="2" borderId="12" xfId="0" applyNumberFormat="1" applyFill="1" applyBorder="1"/>
    <xf numFmtId="49" fontId="0" fillId="0" borderId="12" xfId="0" applyNumberFormat="1" applyBorder="1"/>
    <xf numFmtId="0" fontId="0" fillId="2" borderId="0" xfId="0" applyFill="1" applyAlignment="1">
      <alignment horizontal="right"/>
    </xf>
    <xf numFmtId="0" fontId="0" fillId="2" borderId="1" xfId="0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14" xfId="0" applyFont="1" applyBorder="1"/>
    <xf numFmtId="0" fontId="0" fillId="0" borderId="14" xfId="0" applyBorder="1"/>
    <xf numFmtId="0" fontId="34" fillId="0" borderId="0" xfId="0" applyFont="1" applyAlignment="1">
      <alignment vertical="center" wrapText="1"/>
    </xf>
  </cellXfs>
  <cellStyles count="87">
    <cellStyle name="Accent" xfId="3" xr:uid="{00000000-0005-0000-0000-000003000000}"/>
    <cellStyle name="Accent 1" xfId="4" xr:uid="{00000000-0005-0000-0000-000004000000}"/>
    <cellStyle name="Accent 2" xfId="5" xr:uid="{00000000-0005-0000-0000-000005000000}"/>
    <cellStyle name="Accent 3" xfId="6" xr:uid="{00000000-0005-0000-0000-000006000000}"/>
    <cellStyle name="Bad" xfId="7" xr:uid="{00000000-0005-0000-0000-000007000000}"/>
    <cellStyle name="Error" xfId="8" xr:uid="{00000000-0005-0000-0000-000008000000}"/>
    <cellStyle name="Estilo 1" xfId="9" xr:uid="{00000000-0005-0000-0000-000009000000}"/>
    <cellStyle name="Estilo 1 2" xfId="10" xr:uid="{00000000-0005-0000-0000-00000A000000}"/>
    <cellStyle name="Euro" xfId="11" xr:uid="{00000000-0005-0000-0000-00000B000000}"/>
    <cellStyle name="Euro 2" xfId="12" xr:uid="{00000000-0005-0000-0000-00000C000000}"/>
    <cellStyle name="Footnote" xfId="13" xr:uid="{00000000-0005-0000-0000-00000D000000}"/>
    <cellStyle name="Good" xfId="14" xr:uid="{00000000-0005-0000-0000-00000E000000}"/>
    <cellStyle name="Heading" xfId="15" xr:uid="{00000000-0005-0000-0000-00000F000000}"/>
    <cellStyle name="Heading 1" xfId="16" xr:uid="{00000000-0005-0000-0000-000010000000}"/>
    <cellStyle name="Heading 2" xfId="17" xr:uid="{00000000-0005-0000-0000-000011000000}"/>
    <cellStyle name="Hipervínculo 2" xfId="44" xr:uid="{00000000-0005-0000-0000-00002C000000}"/>
    <cellStyle name="Hyperlink" xfId="18" xr:uid="{00000000-0005-0000-0000-000012000000}"/>
    <cellStyle name="Millares [0] 2" xfId="39" xr:uid="{00000000-0005-0000-0000-000027000000}"/>
    <cellStyle name="Millares [0] 2 2" xfId="70" xr:uid="{00000000-0005-0000-0000-000046000000}"/>
    <cellStyle name="Neutral 2" xfId="19" xr:uid="{00000000-0005-0000-0000-000013000000}"/>
    <cellStyle name="Normal" xfId="0" builtinId="0"/>
    <cellStyle name="Normal 10" xfId="53" xr:uid="{00000000-0005-0000-0000-000035000000}"/>
    <cellStyle name="Normal 10 2" xfId="68" xr:uid="{00000000-0005-0000-0000-000044000000}"/>
    <cellStyle name="Normal 10 3" xfId="33" xr:uid="{00000000-0005-0000-0000-000021000000}"/>
    <cellStyle name="Normal 11" xfId="52" xr:uid="{00000000-0005-0000-0000-000034000000}"/>
    <cellStyle name="Normal 11 2" xfId="2" xr:uid="{00000000-0005-0000-0000-000002000000}"/>
    <cellStyle name="Normal 12" xfId="71" xr:uid="{00000000-0005-0000-0000-000047000000}"/>
    <cellStyle name="Normal 13" xfId="69" xr:uid="{00000000-0005-0000-0000-000045000000}"/>
    <cellStyle name="Normal 13 2" xfId="72" xr:uid="{00000000-0005-0000-0000-000048000000}"/>
    <cellStyle name="Normal 14" xfId="34" xr:uid="{00000000-0005-0000-0000-000022000000}"/>
    <cellStyle name="Normal 14 2" xfId="79" xr:uid="{00000000-0005-0000-0000-00004F000000}"/>
    <cellStyle name="Normal 15" xfId="35" xr:uid="{00000000-0005-0000-0000-000023000000}"/>
    <cellStyle name="Normal 15 2" xfId="76" xr:uid="{00000000-0005-0000-0000-00004C000000}"/>
    <cellStyle name="Normal 15 2 2" xfId="84" xr:uid="{00000000-0005-0000-0000-000054000000}"/>
    <cellStyle name="Normal 15 3" xfId="77" xr:uid="{00000000-0005-0000-0000-00004D000000}"/>
    <cellStyle name="Normal 15 4" xfId="80" xr:uid="{00000000-0005-0000-0000-000050000000}"/>
    <cellStyle name="Normal 16" xfId="73" xr:uid="{00000000-0005-0000-0000-000049000000}"/>
    <cellStyle name="Normal 16 2" xfId="78" xr:uid="{00000000-0005-0000-0000-00004E000000}"/>
    <cellStyle name="Normal 16 3" xfId="81" xr:uid="{00000000-0005-0000-0000-000051000000}"/>
    <cellStyle name="Normal 17" xfId="74" xr:uid="{00000000-0005-0000-0000-00004A000000}"/>
    <cellStyle name="Normal 17 2" xfId="82" xr:uid="{00000000-0005-0000-0000-000052000000}"/>
    <cellStyle name="Normal 17 2 2" xfId="86" xr:uid="{00000000-0005-0000-0000-000056000000}"/>
    <cellStyle name="Normal 18" xfId="75" xr:uid="{00000000-0005-0000-0000-00004B000000}"/>
    <cellStyle name="Normal 18 2" xfId="83" xr:uid="{00000000-0005-0000-0000-000053000000}"/>
    <cellStyle name="Normal 19" xfId="85" xr:uid="{00000000-0005-0000-0000-000055000000}"/>
    <cellStyle name="Normal 2" xfId="20" xr:uid="{00000000-0005-0000-0000-000014000000}"/>
    <cellStyle name="Normal 2 2" xfId="21" xr:uid="{00000000-0005-0000-0000-000015000000}"/>
    <cellStyle name="Normal 2 2 2" xfId="49" xr:uid="{00000000-0005-0000-0000-000031000000}"/>
    <cellStyle name="Normal 2 2 3" xfId="62" xr:uid="{00000000-0005-0000-0000-00003E000000}"/>
    <cellStyle name="Normal 2 2 4" xfId="41" xr:uid="{00000000-0005-0000-0000-000029000000}"/>
    <cellStyle name="Normal 2 3" xfId="45" xr:uid="{00000000-0005-0000-0000-00002D000000}"/>
    <cellStyle name="Normal 2 3 2" xfId="64" xr:uid="{00000000-0005-0000-0000-000040000000}"/>
    <cellStyle name="Normal 2 3 3" xfId="56" xr:uid="{00000000-0005-0000-0000-000038000000}"/>
    <cellStyle name="Normal 2 4" xfId="37" xr:uid="{00000000-0005-0000-0000-000025000000}"/>
    <cellStyle name="Normal 3" xfId="22" xr:uid="{00000000-0005-0000-0000-000016000000}"/>
    <cellStyle name="Normal 3 2" xfId="42" xr:uid="{00000000-0005-0000-0000-00002A000000}"/>
    <cellStyle name="Normal 3 2 2" xfId="48" xr:uid="{00000000-0005-0000-0000-000030000000}"/>
    <cellStyle name="Normal 3 2 3" xfId="63" xr:uid="{00000000-0005-0000-0000-00003F000000}"/>
    <cellStyle name="Normal 3 3" xfId="57" xr:uid="{00000000-0005-0000-0000-000039000000}"/>
    <cellStyle name="Normal 3 4" xfId="61" xr:uid="{00000000-0005-0000-0000-00003D000000}"/>
    <cellStyle name="Normal 3 5" xfId="38" xr:uid="{00000000-0005-0000-0000-000026000000}"/>
    <cellStyle name="Normal 4" xfId="23" xr:uid="{00000000-0005-0000-0000-000017000000}"/>
    <cellStyle name="Normal 4 2" xfId="24" xr:uid="{00000000-0005-0000-0000-000018000000}"/>
    <cellStyle name="Normal 4 2 2" xfId="1" xr:uid="{00000000-0005-0000-0000-000001000000}"/>
    <cellStyle name="Normal 4 2 3" xfId="58" xr:uid="{00000000-0005-0000-0000-00003A000000}"/>
    <cellStyle name="Normal 4 3" xfId="43" xr:uid="{00000000-0005-0000-0000-00002B000000}"/>
    <cellStyle name="Normal 5" xfId="25" xr:uid="{00000000-0005-0000-0000-000019000000}"/>
    <cellStyle name="Normal 5 2" xfId="47" xr:uid="{00000000-0005-0000-0000-00002F000000}"/>
    <cellStyle name="Normal 5 3" xfId="55" xr:uid="{00000000-0005-0000-0000-000037000000}"/>
    <cellStyle name="Normal 5 4" xfId="40" xr:uid="{00000000-0005-0000-0000-000028000000}"/>
    <cellStyle name="Normal 6" xfId="26" xr:uid="{00000000-0005-0000-0000-00001A000000}"/>
    <cellStyle name="Normal 6 2" xfId="60" xr:uid="{00000000-0005-0000-0000-00003C000000}"/>
    <cellStyle name="Normal 6 3" xfId="59" xr:uid="{00000000-0005-0000-0000-00003B000000}"/>
    <cellStyle name="Normal 6 4" xfId="36" xr:uid="{00000000-0005-0000-0000-000024000000}"/>
    <cellStyle name="Normal 7" xfId="27" xr:uid="{00000000-0005-0000-0000-00001B000000}"/>
    <cellStyle name="Normal 7 2" xfId="65" xr:uid="{00000000-0005-0000-0000-000041000000}"/>
    <cellStyle name="Normal 7 3" xfId="67" xr:uid="{00000000-0005-0000-0000-000043000000}"/>
    <cellStyle name="Normal 7 4" xfId="54" xr:uid="{00000000-0005-0000-0000-000036000000}"/>
    <cellStyle name="Normal 7 5" xfId="46" xr:uid="{00000000-0005-0000-0000-00002E000000}"/>
    <cellStyle name="Normal 8" xfId="50" xr:uid="{00000000-0005-0000-0000-000032000000}"/>
    <cellStyle name="Normal 8 2" xfId="66" xr:uid="{00000000-0005-0000-0000-000042000000}"/>
    <cellStyle name="Normal 9" xfId="28" xr:uid="{00000000-0005-0000-0000-00001C000000}"/>
    <cellStyle name="Normal 9 2" xfId="51" xr:uid="{00000000-0005-0000-0000-000033000000}"/>
    <cellStyle name="Note" xfId="29" xr:uid="{00000000-0005-0000-0000-00001D000000}"/>
    <cellStyle name="Status" xfId="30" xr:uid="{00000000-0005-0000-0000-00001E000000}"/>
    <cellStyle name="Text" xfId="31" xr:uid="{00000000-0005-0000-0000-00001F000000}"/>
    <cellStyle name="Warning" xfId="32" xr:uid="{00000000-0005-0000-0000-00002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opLeftCell="A7" workbookViewId="0">
      <selection activeCell="A35" sqref="A35"/>
    </sheetView>
  </sheetViews>
  <sheetFormatPr baseColWidth="10" defaultRowHeight="14.25" x14ac:dyDescent="0.45"/>
  <cols>
    <col min="2" max="2" width="24.19921875" bestFit="1" customWidth="1"/>
    <col min="3" max="3" width="15" bestFit="1" customWidth="1"/>
    <col min="4" max="4" width="34.73046875" bestFit="1" customWidth="1"/>
    <col min="5" max="6" width="26.53125" bestFit="1" customWidth="1"/>
  </cols>
  <sheetData>
    <row r="1" spans="1:9" x14ac:dyDescent="0.45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8" t="s">
        <v>7</v>
      </c>
      <c r="I1" s="128" t="s">
        <v>8</v>
      </c>
    </row>
    <row r="2" spans="1:9" x14ac:dyDescent="0.45">
      <c r="A2" s="29" t="s">
        <v>9</v>
      </c>
      <c r="B2" s="29" t="s">
        <v>10</v>
      </c>
      <c r="C2" s="29" t="s">
        <v>11</v>
      </c>
      <c r="D2" s="29" t="s">
        <v>12</v>
      </c>
      <c r="E2" s="29" t="s">
        <v>13</v>
      </c>
      <c r="F2" s="29" t="s">
        <v>13</v>
      </c>
      <c r="G2" s="29">
        <v>2018</v>
      </c>
      <c r="H2" s="23" t="s">
        <v>14</v>
      </c>
      <c r="I2" s="129" t="s">
        <v>14</v>
      </c>
    </row>
    <row r="3" spans="1:9" x14ac:dyDescent="0.45">
      <c r="A3" s="29" t="s">
        <v>15</v>
      </c>
      <c r="B3" s="29" t="s">
        <v>16</v>
      </c>
      <c r="C3" s="29" t="s">
        <v>17</v>
      </c>
      <c r="D3" s="29" t="s">
        <v>18</v>
      </c>
      <c r="E3" s="29" t="s">
        <v>19</v>
      </c>
      <c r="F3" s="29" t="s">
        <v>19</v>
      </c>
      <c r="G3" s="29">
        <v>2019</v>
      </c>
      <c r="H3" s="23" t="s">
        <v>20</v>
      </c>
      <c r="I3" s="129" t="s">
        <v>20</v>
      </c>
    </row>
    <row r="4" spans="1:9" x14ac:dyDescent="0.45">
      <c r="A4" s="29" t="s">
        <v>21</v>
      </c>
      <c r="B4" s="29" t="s">
        <v>22</v>
      </c>
      <c r="C4" s="29"/>
      <c r="D4" s="29" t="s">
        <v>23</v>
      </c>
      <c r="E4" s="29" t="s">
        <v>24</v>
      </c>
      <c r="F4" s="29" t="s">
        <v>24</v>
      </c>
      <c r="G4" s="29">
        <v>2020</v>
      </c>
      <c r="H4" s="23"/>
    </row>
    <row r="5" spans="1:9" x14ac:dyDescent="0.45">
      <c r="A5" s="29" t="s">
        <v>25</v>
      </c>
      <c r="B5" s="29" t="s">
        <v>26</v>
      </c>
      <c r="C5" s="29"/>
      <c r="D5" s="29" t="s">
        <v>27</v>
      </c>
      <c r="E5" s="29" t="s">
        <v>28</v>
      </c>
      <c r="F5" s="29" t="s">
        <v>28</v>
      </c>
      <c r="G5" s="29">
        <v>2021</v>
      </c>
      <c r="H5" s="23"/>
    </row>
    <row r="6" spans="1:9" x14ac:dyDescent="0.45">
      <c r="A6" s="29" t="s">
        <v>29</v>
      </c>
      <c r="B6" s="29" t="s">
        <v>30</v>
      </c>
      <c r="C6" s="29"/>
      <c r="D6" s="29" t="s">
        <v>31</v>
      </c>
      <c r="E6" s="29" t="s">
        <v>32</v>
      </c>
      <c r="F6" s="29" t="s">
        <v>32</v>
      </c>
      <c r="G6" s="29">
        <v>2022</v>
      </c>
      <c r="H6" s="23"/>
    </row>
    <row r="7" spans="1:9" x14ac:dyDescent="0.45">
      <c r="A7" s="29" t="s">
        <v>33</v>
      </c>
      <c r="B7" s="29" t="s">
        <v>34</v>
      </c>
      <c r="C7" s="29"/>
      <c r="D7" s="29" t="s">
        <v>35</v>
      </c>
      <c r="E7" s="29" t="s">
        <v>36</v>
      </c>
      <c r="F7" s="29" t="s">
        <v>36</v>
      </c>
      <c r="G7" s="29">
        <v>2023</v>
      </c>
      <c r="H7" s="23"/>
    </row>
    <row r="8" spans="1:9" x14ac:dyDescent="0.45">
      <c r="A8" s="29" t="s">
        <v>37</v>
      </c>
      <c r="B8" s="29" t="s">
        <v>38</v>
      </c>
      <c r="C8" s="29"/>
      <c r="D8" s="29" t="s">
        <v>39</v>
      </c>
      <c r="E8" s="29" t="s">
        <v>40</v>
      </c>
      <c r="F8" s="29" t="s">
        <v>40</v>
      </c>
      <c r="G8" s="29">
        <v>2024</v>
      </c>
      <c r="H8" s="23"/>
    </row>
    <row r="9" spans="1:9" x14ac:dyDescent="0.45">
      <c r="A9" s="29" t="s">
        <v>41</v>
      </c>
      <c r="B9" s="29" t="s">
        <v>42</v>
      </c>
      <c r="C9" s="29"/>
      <c r="D9" s="29" t="s">
        <v>43</v>
      </c>
      <c r="E9" s="29" t="s">
        <v>44</v>
      </c>
      <c r="F9" s="29" t="s">
        <v>44</v>
      </c>
      <c r="G9" s="29">
        <v>2025</v>
      </c>
      <c r="H9" s="29"/>
    </row>
    <row r="10" spans="1:9" x14ac:dyDescent="0.45">
      <c r="A10" s="29" t="s">
        <v>45</v>
      </c>
      <c r="B10" s="29" t="s">
        <v>46</v>
      </c>
      <c r="C10" s="29"/>
      <c r="D10" s="29" t="s">
        <v>47</v>
      </c>
      <c r="E10" s="29" t="s">
        <v>48</v>
      </c>
      <c r="F10" s="29" t="s">
        <v>48</v>
      </c>
      <c r="G10" s="29">
        <v>2026</v>
      </c>
      <c r="H10" s="29"/>
    </row>
    <row r="11" spans="1:9" x14ac:dyDescent="0.45">
      <c r="A11" s="29" t="s">
        <v>49</v>
      </c>
      <c r="B11" s="29" t="s">
        <v>50</v>
      </c>
      <c r="C11" s="29"/>
      <c r="D11" s="29" t="s">
        <v>51</v>
      </c>
      <c r="E11" s="29" t="s">
        <v>52</v>
      </c>
      <c r="F11" s="29" t="s">
        <v>52</v>
      </c>
      <c r="G11" s="29">
        <v>2027</v>
      </c>
      <c r="H11" s="29"/>
    </row>
    <row r="12" spans="1:9" x14ac:dyDescent="0.45">
      <c r="A12" s="29" t="s">
        <v>53</v>
      </c>
      <c r="B12" s="29" t="s">
        <v>54</v>
      </c>
      <c r="C12" s="29"/>
      <c r="D12" s="29" t="s">
        <v>55</v>
      </c>
      <c r="E12" s="29" t="s">
        <v>56</v>
      </c>
      <c r="F12" s="29" t="s">
        <v>56</v>
      </c>
      <c r="G12" s="29">
        <v>2028</v>
      </c>
      <c r="H12" s="29"/>
    </row>
    <row r="13" spans="1:9" x14ac:dyDescent="0.45">
      <c r="A13" s="29" t="s">
        <v>57</v>
      </c>
      <c r="B13" s="29" t="s">
        <v>58</v>
      </c>
      <c r="C13" s="29"/>
      <c r="D13" s="29" t="s">
        <v>59</v>
      </c>
      <c r="E13" s="29" t="s">
        <v>60</v>
      </c>
      <c r="F13" s="29" t="s">
        <v>26</v>
      </c>
      <c r="G13" s="29">
        <v>2029</v>
      </c>
      <c r="H13" s="29"/>
    </row>
    <row r="14" spans="1:9" x14ac:dyDescent="0.45">
      <c r="A14" s="29"/>
      <c r="B14" s="29" t="s">
        <v>61</v>
      </c>
      <c r="C14" s="29"/>
      <c r="D14" s="29" t="s">
        <v>62</v>
      </c>
      <c r="E14" s="29" t="s">
        <v>63</v>
      </c>
      <c r="F14" s="29" t="s">
        <v>63</v>
      </c>
      <c r="G14" s="29">
        <v>2030</v>
      </c>
      <c r="H14" s="29"/>
    </row>
    <row r="15" spans="1:9" x14ac:dyDescent="0.45">
      <c r="A15" s="29"/>
      <c r="B15" s="29" t="s">
        <v>52</v>
      </c>
      <c r="C15" s="29"/>
      <c r="D15" s="29" t="s">
        <v>64</v>
      </c>
      <c r="E15" s="29" t="s">
        <v>65</v>
      </c>
      <c r="F15" s="29" t="s">
        <v>65</v>
      </c>
      <c r="G15" s="29">
        <v>2031</v>
      </c>
      <c r="H15" s="29"/>
    </row>
    <row r="16" spans="1:9" x14ac:dyDescent="0.45">
      <c r="A16" s="29"/>
      <c r="B16" s="29" t="s">
        <v>66</v>
      </c>
      <c r="C16" s="29"/>
      <c r="D16" s="29" t="s">
        <v>67</v>
      </c>
      <c r="E16" s="29" t="s">
        <v>46</v>
      </c>
      <c r="F16" s="29" t="s">
        <v>46</v>
      </c>
      <c r="G16" s="29">
        <v>2032</v>
      </c>
      <c r="H16" s="29"/>
    </row>
    <row r="17" spans="1:8" x14ac:dyDescent="0.45">
      <c r="A17" s="29"/>
      <c r="B17" s="29" t="s">
        <v>50</v>
      </c>
      <c r="C17" s="29"/>
      <c r="D17" s="29" t="s">
        <v>68</v>
      </c>
      <c r="E17" s="29" t="s">
        <v>69</v>
      </c>
      <c r="F17" s="29" t="s">
        <v>69</v>
      </c>
      <c r="G17" s="29">
        <v>2033</v>
      </c>
      <c r="H17" s="29"/>
    </row>
    <row r="18" spans="1:8" x14ac:dyDescent="0.45">
      <c r="A18" s="29"/>
      <c r="B18" s="29" t="s">
        <v>70</v>
      </c>
      <c r="C18" s="29"/>
      <c r="D18" s="29" t="s">
        <v>71</v>
      </c>
      <c r="E18" s="29" t="s">
        <v>61</v>
      </c>
      <c r="F18" s="29" t="s">
        <v>61</v>
      </c>
      <c r="G18" s="29">
        <v>2034</v>
      </c>
      <c r="H18" s="29"/>
    </row>
    <row r="19" spans="1:8" x14ac:dyDescent="0.45">
      <c r="A19" s="29"/>
      <c r="B19" s="29" t="s">
        <v>48</v>
      </c>
      <c r="C19" s="29"/>
      <c r="D19" s="29" t="s">
        <v>72</v>
      </c>
      <c r="E19" s="29" t="s">
        <v>10</v>
      </c>
      <c r="F19" s="29" t="s">
        <v>10</v>
      </c>
      <c r="G19" s="29">
        <v>2035</v>
      </c>
      <c r="H19" s="29"/>
    </row>
    <row r="20" spans="1:8" x14ac:dyDescent="0.45">
      <c r="A20" s="29"/>
      <c r="B20" s="29" t="s">
        <v>36</v>
      </c>
      <c r="C20" s="29"/>
      <c r="D20" s="29" t="s">
        <v>73</v>
      </c>
      <c r="E20" s="29" t="s">
        <v>16</v>
      </c>
      <c r="F20" s="29" t="s">
        <v>16</v>
      </c>
      <c r="G20" s="29">
        <v>2036</v>
      </c>
      <c r="H20" s="29"/>
    </row>
    <row r="21" spans="1:8" x14ac:dyDescent="0.45">
      <c r="A21" s="29"/>
      <c r="B21" s="29" t="s">
        <v>74</v>
      </c>
      <c r="C21" s="29"/>
      <c r="D21" s="29" t="s">
        <v>75</v>
      </c>
      <c r="E21" s="29" t="s">
        <v>22</v>
      </c>
      <c r="F21" s="29" t="s">
        <v>22</v>
      </c>
      <c r="G21" s="29">
        <v>2037</v>
      </c>
      <c r="H21" s="29"/>
    </row>
    <row r="22" spans="1:8" x14ac:dyDescent="0.45">
      <c r="A22" s="29"/>
      <c r="B22" s="29"/>
      <c r="C22" s="29"/>
      <c r="D22" s="29" t="s">
        <v>76</v>
      </c>
      <c r="E22" s="29" t="s">
        <v>54</v>
      </c>
      <c r="F22" s="29" t="s">
        <v>54</v>
      </c>
      <c r="G22" s="29">
        <v>2038</v>
      </c>
      <c r="H22" s="29"/>
    </row>
    <row r="23" spans="1:8" x14ac:dyDescent="0.45">
      <c r="A23" s="29"/>
      <c r="B23" s="29"/>
      <c r="C23" s="29"/>
      <c r="D23" s="29" t="s">
        <v>77</v>
      </c>
      <c r="E23" s="29" t="s">
        <v>78</v>
      </c>
      <c r="F23" s="29" t="s">
        <v>78</v>
      </c>
      <c r="G23" s="29">
        <v>2039</v>
      </c>
      <c r="H23" s="29"/>
    </row>
    <row r="24" spans="1:8" x14ac:dyDescent="0.45">
      <c r="A24" s="29"/>
      <c r="B24" s="29"/>
      <c r="C24" s="29"/>
      <c r="D24" s="29" t="s">
        <v>79</v>
      </c>
      <c r="E24" s="29" t="s">
        <v>30</v>
      </c>
      <c r="F24" s="29" t="s">
        <v>30</v>
      </c>
      <c r="G24" s="29">
        <v>2040</v>
      </c>
      <c r="H24" s="29"/>
    </row>
    <row r="25" spans="1:8" x14ac:dyDescent="0.45">
      <c r="A25" s="29"/>
      <c r="B25" s="29"/>
      <c r="C25" s="29"/>
      <c r="D25" s="29" t="s">
        <v>80</v>
      </c>
      <c r="E25" s="29" t="s">
        <v>34</v>
      </c>
      <c r="F25" s="29" t="s">
        <v>34</v>
      </c>
      <c r="G25" s="29">
        <v>2041</v>
      </c>
      <c r="H25" s="29"/>
    </row>
    <row r="26" spans="1:8" x14ac:dyDescent="0.45">
      <c r="A26" s="29"/>
      <c r="B26" s="29"/>
      <c r="C26" s="29"/>
      <c r="D26" s="29" t="s">
        <v>81</v>
      </c>
      <c r="E26" s="29" t="s">
        <v>66</v>
      </c>
      <c r="F26" s="29" t="s">
        <v>66</v>
      </c>
      <c r="G26" s="29">
        <v>2042</v>
      </c>
      <c r="H26" s="29"/>
    </row>
    <row r="27" spans="1:8" x14ac:dyDescent="0.45">
      <c r="A27" s="29"/>
      <c r="B27" s="29"/>
      <c r="C27" s="29"/>
      <c r="D27" s="29"/>
      <c r="E27" s="129" t="s">
        <v>70</v>
      </c>
      <c r="F27" s="129" t="s">
        <v>70</v>
      </c>
      <c r="G27" s="29">
        <v>2043</v>
      </c>
      <c r="H27" s="29"/>
    </row>
    <row r="28" spans="1:8" x14ac:dyDescent="0.45">
      <c r="D28" s="29"/>
      <c r="E28" s="129" t="s">
        <v>48</v>
      </c>
      <c r="F28" s="129" t="s">
        <v>48</v>
      </c>
      <c r="G28" s="29">
        <v>2044</v>
      </c>
    </row>
    <row r="29" spans="1:8" x14ac:dyDescent="0.45">
      <c r="E29" s="129" t="s">
        <v>63</v>
      </c>
      <c r="F29" s="129" t="s">
        <v>63</v>
      </c>
      <c r="G29" s="29">
        <v>2045</v>
      </c>
    </row>
    <row r="30" spans="1:8" x14ac:dyDescent="0.45">
      <c r="E30" s="29" t="s">
        <v>58</v>
      </c>
      <c r="F30" s="29" t="s">
        <v>58</v>
      </c>
      <c r="G30" s="29"/>
    </row>
    <row r="31" spans="1:8" x14ac:dyDescent="0.45">
      <c r="E31" s="129" t="s">
        <v>82</v>
      </c>
      <c r="F31" t="s">
        <v>82</v>
      </c>
    </row>
    <row r="32" spans="1:8" x14ac:dyDescent="0.45">
      <c r="E32" t="s">
        <v>83</v>
      </c>
      <c r="F32" t="s">
        <v>83</v>
      </c>
    </row>
    <row r="33" spans="1:6" x14ac:dyDescent="0.45">
      <c r="E33" t="s">
        <v>84</v>
      </c>
      <c r="F33" t="s">
        <v>84</v>
      </c>
    </row>
    <row r="34" spans="1:6" x14ac:dyDescent="0.45">
      <c r="A34" s="127" t="s">
        <v>85</v>
      </c>
      <c r="E34" t="s">
        <v>86</v>
      </c>
      <c r="F34" t="s">
        <v>86</v>
      </c>
    </row>
    <row r="35" spans="1:6" x14ac:dyDescent="0.45">
      <c r="A35" s="127">
        <f>SUM('ENERO 24'!U272,'FEBRERO 24'!U228,'MARZO 24'!U130,'ABRIL 24'!U261,'MAYO 24'!U302,'JUNIO 24'!U263,'JULIO 2024'!U254,'AGOSTO 2024'!U257,'SEPTIEMBRE 2024'!U226,'OCTUBRE 2024'!U266,'NOVIEMBRE 2024'!V236,'DICIEMBRE 2024'!U265)</f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8"/>
  <sheetViews>
    <sheetView topLeftCell="A13" workbookViewId="0">
      <selection activeCell="C33" sqref="C33"/>
    </sheetView>
  </sheetViews>
  <sheetFormatPr baseColWidth="10" defaultRowHeight="14.25" x14ac:dyDescent="0.45"/>
  <cols>
    <col min="1" max="1" width="254.59765625" bestFit="1" customWidth="1"/>
  </cols>
  <sheetData>
    <row r="1" spans="1:1" x14ac:dyDescent="0.45">
      <c r="A1" s="126" t="s">
        <v>87</v>
      </c>
    </row>
    <row r="2" spans="1:1" x14ac:dyDescent="0.45">
      <c r="A2" s="126" t="s">
        <v>88</v>
      </c>
    </row>
    <row r="3" spans="1:1" x14ac:dyDescent="0.45">
      <c r="A3" s="126" t="s">
        <v>89</v>
      </c>
    </row>
    <row r="4" spans="1:1" x14ac:dyDescent="0.45">
      <c r="A4" s="126" t="s">
        <v>90</v>
      </c>
    </row>
    <row r="5" spans="1:1" x14ac:dyDescent="0.45">
      <c r="A5" s="126" t="s">
        <v>91</v>
      </c>
    </row>
    <row r="6" spans="1:1" x14ac:dyDescent="0.45">
      <c r="A6" s="126" t="s">
        <v>92</v>
      </c>
    </row>
    <row r="7" spans="1:1" x14ac:dyDescent="0.45">
      <c r="A7" s="126" t="s">
        <v>93</v>
      </c>
    </row>
    <row r="8" spans="1:1" x14ac:dyDescent="0.45">
      <c r="A8" s="126" t="s">
        <v>94</v>
      </c>
    </row>
    <row r="9" spans="1:1" x14ac:dyDescent="0.45">
      <c r="A9" s="126" t="s">
        <v>95</v>
      </c>
    </row>
    <row r="10" spans="1:1" x14ac:dyDescent="0.45">
      <c r="A10" s="126" t="s">
        <v>96</v>
      </c>
    </row>
    <row r="11" spans="1:1" x14ac:dyDescent="0.45">
      <c r="A11" s="126" t="s">
        <v>97</v>
      </c>
    </row>
    <row r="12" spans="1:1" x14ac:dyDescent="0.45">
      <c r="A12" s="126" t="s">
        <v>98</v>
      </c>
    </row>
    <row r="13" spans="1:1" x14ac:dyDescent="0.45">
      <c r="A13" s="126" t="s">
        <v>99</v>
      </c>
    </row>
    <row r="14" spans="1:1" x14ac:dyDescent="0.45">
      <c r="A14" s="126" t="s">
        <v>100</v>
      </c>
    </row>
    <row r="15" spans="1:1" x14ac:dyDescent="0.45">
      <c r="A15" s="126" t="s">
        <v>101</v>
      </c>
    </row>
    <row r="16" spans="1:1" x14ac:dyDescent="0.45">
      <c r="A16" s="126" t="s">
        <v>102</v>
      </c>
    </row>
    <row r="17" spans="1:1" x14ac:dyDescent="0.45">
      <c r="A17" s="126" t="s">
        <v>103</v>
      </c>
    </row>
    <row r="18" spans="1:1" x14ac:dyDescent="0.45">
      <c r="A18" s="126" t="s">
        <v>104</v>
      </c>
    </row>
    <row r="19" spans="1:1" x14ac:dyDescent="0.45">
      <c r="A19" s="126" t="s">
        <v>105</v>
      </c>
    </row>
    <row r="20" spans="1:1" x14ac:dyDescent="0.45">
      <c r="A20" s="126" t="s">
        <v>106</v>
      </c>
    </row>
    <row r="21" spans="1:1" x14ac:dyDescent="0.45">
      <c r="A21" s="126" t="s">
        <v>107</v>
      </c>
    </row>
    <row r="22" spans="1:1" x14ac:dyDescent="0.45">
      <c r="A22" s="126" t="s">
        <v>108</v>
      </c>
    </row>
    <row r="23" spans="1:1" x14ac:dyDescent="0.45">
      <c r="A23" s="126" t="s">
        <v>109</v>
      </c>
    </row>
    <row r="24" spans="1:1" x14ac:dyDescent="0.45">
      <c r="A24" s="126" t="s">
        <v>110</v>
      </c>
    </row>
    <row r="25" spans="1:1" x14ac:dyDescent="0.45">
      <c r="A25" s="126" t="s">
        <v>111</v>
      </c>
    </row>
    <row r="26" spans="1:1" x14ac:dyDescent="0.45">
      <c r="A26" s="126" t="s">
        <v>112</v>
      </c>
    </row>
    <row r="27" spans="1:1" x14ac:dyDescent="0.45">
      <c r="A27" s="126" t="s">
        <v>113</v>
      </c>
    </row>
    <row r="28" spans="1:1" x14ac:dyDescent="0.45">
      <c r="A28" s="126" t="s">
        <v>114</v>
      </c>
    </row>
    <row r="29" spans="1:1" x14ac:dyDescent="0.45">
      <c r="A29" s="126" t="s">
        <v>115</v>
      </c>
    </row>
    <row r="30" spans="1:1" x14ac:dyDescent="0.45">
      <c r="A30" s="130" t="s">
        <v>116</v>
      </c>
    </row>
    <row r="31" spans="1:1" x14ac:dyDescent="0.45">
      <c r="A31" s="130" t="s">
        <v>117</v>
      </c>
    </row>
    <row r="32" spans="1:1" x14ac:dyDescent="0.45">
      <c r="A32" s="126" t="s">
        <v>118</v>
      </c>
    </row>
    <row r="33" spans="1:1" x14ac:dyDescent="0.45">
      <c r="A33" s="126" t="s">
        <v>119</v>
      </c>
    </row>
    <row r="34" spans="1:1" x14ac:dyDescent="0.45">
      <c r="A34" s="126" t="s">
        <v>120</v>
      </c>
    </row>
    <row r="35" spans="1:1" x14ac:dyDescent="0.45">
      <c r="A35" s="126" t="s">
        <v>121</v>
      </c>
    </row>
    <row r="36" spans="1:1" x14ac:dyDescent="0.45">
      <c r="A36" s="126" t="s">
        <v>122</v>
      </c>
    </row>
    <row r="37" spans="1:1" x14ac:dyDescent="0.45">
      <c r="A37" s="126" t="s">
        <v>123</v>
      </c>
    </row>
    <row r="38" spans="1:1" x14ac:dyDescent="0.45">
      <c r="A38" s="126" t="s">
        <v>124</v>
      </c>
    </row>
    <row r="39" spans="1:1" x14ac:dyDescent="0.45">
      <c r="A39" s="126" t="s">
        <v>125</v>
      </c>
    </row>
    <row r="40" spans="1:1" x14ac:dyDescent="0.45">
      <c r="A40" s="126" t="s">
        <v>126</v>
      </c>
    </row>
    <row r="41" spans="1:1" x14ac:dyDescent="0.45">
      <c r="A41" s="126" t="s">
        <v>127</v>
      </c>
    </row>
    <row r="42" spans="1:1" x14ac:dyDescent="0.45">
      <c r="A42" s="126" t="s">
        <v>128</v>
      </c>
    </row>
    <row r="43" spans="1:1" x14ac:dyDescent="0.45">
      <c r="A43" s="126" t="s">
        <v>129</v>
      </c>
    </row>
    <row r="44" spans="1:1" x14ac:dyDescent="0.45">
      <c r="A44" s="126" t="s">
        <v>130</v>
      </c>
    </row>
    <row r="45" spans="1:1" x14ac:dyDescent="0.45">
      <c r="A45" s="126" t="s">
        <v>131</v>
      </c>
    </row>
    <row r="46" spans="1:1" x14ac:dyDescent="0.45">
      <c r="A46" s="126" t="s">
        <v>132</v>
      </c>
    </row>
    <row r="47" spans="1:1" x14ac:dyDescent="0.45">
      <c r="A47" s="126" t="s">
        <v>133</v>
      </c>
    </row>
    <row r="48" spans="1:1" x14ac:dyDescent="0.45">
      <c r="A48" s="126" t="s">
        <v>134</v>
      </c>
    </row>
    <row r="49" spans="1:1" x14ac:dyDescent="0.45">
      <c r="A49" s="126" t="s">
        <v>135</v>
      </c>
    </row>
    <row r="50" spans="1:1" x14ac:dyDescent="0.45">
      <c r="A50" s="126" t="s">
        <v>136</v>
      </c>
    </row>
    <row r="51" spans="1:1" x14ac:dyDescent="0.45">
      <c r="A51" s="126" t="s">
        <v>137</v>
      </c>
    </row>
    <row r="52" spans="1:1" x14ac:dyDescent="0.45">
      <c r="A52" s="126" t="s">
        <v>138</v>
      </c>
    </row>
    <row r="53" spans="1:1" x14ac:dyDescent="0.45">
      <c r="A53" s="126" t="s">
        <v>139</v>
      </c>
    </row>
    <row r="54" spans="1:1" x14ac:dyDescent="0.45">
      <c r="A54" s="126" t="s">
        <v>140</v>
      </c>
    </row>
    <row r="55" spans="1:1" x14ac:dyDescent="0.45">
      <c r="A55" s="126" t="s">
        <v>141</v>
      </c>
    </row>
    <row r="56" spans="1:1" x14ac:dyDescent="0.45">
      <c r="A56" s="126" t="s">
        <v>142</v>
      </c>
    </row>
    <row r="57" spans="1:1" x14ac:dyDescent="0.45">
      <c r="A57" s="126" t="s">
        <v>143</v>
      </c>
    </row>
    <row r="58" spans="1:1" x14ac:dyDescent="0.45">
      <c r="A58" s="126" t="s">
        <v>144</v>
      </c>
    </row>
    <row r="59" spans="1:1" x14ac:dyDescent="0.45">
      <c r="A59" s="126" t="s">
        <v>145</v>
      </c>
    </row>
    <row r="60" spans="1:1" x14ac:dyDescent="0.45">
      <c r="A60" s="126" t="s">
        <v>146</v>
      </c>
    </row>
    <row r="61" spans="1:1" x14ac:dyDescent="0.45">
      <c r="A61" s="126" t="s">
        <v>147</v>
      </c>
    </row>
    <row r="62" spans="1:1" x14ac:dyDescent="0.45">
      <c r="A62" s="126" t="s">
        <v>148</v>
      </c>
    </row>
    <row r="63" spans="1:1" x14ac:dyDescent="0.45">
      <c r="A63" s="126" t="s">
        <v>149</v>
      </c>
    </row>
    <row r="64" spans="1:1" x14ac:dyDescent="0.45">
      <c r="A64" s="126" t="s">
        <v>150</v>
      </c>
    </row>
    <row r="65" spans="1:1" x14ac:dyDescent="0.45">
      <c r="A65" s="126" t="s">
        <v>151</v>
      </c>
    </row>
    <row r="66" spans="1:1" x14ac:dyDescent="0.45">
      <c r="A66" s="126" t="s">
        <v>152</v>
      </c>
    </row>
    <row r="67" spans="1:1" x14ac:dyDescent="0.45">
      <c r="A67" s="126" t="s">
        <v>153</v>
      </c>
    </row>
    <row r="68" spans="1:1" x14ac:dyDescent="0.45">
      <c r="A68" s="126" t="s">
        <v>154</v>
      </c>
    </row>
    <row r="69" spans="1:1" x14ac:dyDescent="0.45">
      <c r="A69" s="126" t="s">
        <v>155</v>
      </c>
    </row>
    <row r="70" spans="1:1" x14ac:dyDescent="0.45">
      <c r="A70" s="126" t="s">
        <v>156</v>
      </c>
    </row>
    <row r="71" spans="1:1" x14ac:dyDescent="0.45">
      <c r="A71" s="126" t="s">
        <v>157</v>
      </c>
    </row>
    <row r="72" spans="1:1" x14ac:dyDescent="0.45">
      <c r="A72" s="126" t="s">
        <v>158</v>
      </c>
    </row>
    <row r="73" spans="1:1" x14ac:dyDescent="0.45">
      <c r="A73" s="126" t="s">
        <v>159</v>
      </c>
    </row>
    <row r="74" spans="1:1" x14ac:dyDescent="0.45">
      <c r="A74" s="126" t="s">
        <v>160</v>
      </c>
    </row>
    <row r="75" spans="1:1" x14ac:dyDescent="0.45">
      <c r="A75" s="126" t="s">
        <v>161</v>
      </c>
    </row>
    <row r="76" spans="1:1" x14ac:dyDescent="0.45">
      <c r="A76" s="126" t="s">
        <v>162</v>
      </c>
    </row>
    <row r="77" spans="1:1" x14ac:dyDescent="0.45">
      <c r="A77" s="126" t="s">
        <v>163</v>
      </c>
    </row>
    <row r="78" spans="1:1" x14ac:dyDescent="0.45">
      <c r="A78" s="126" t="s">
        <v>164</v>
      </c>
    </row>
    <row r="79" spans="1:1" x14ac:dyDescent="0.45">
      <c r="A79" s="126" t="s">
        <v>165</v>
      </c>
    </row>
    <row r="80" spans="1:1" x14ac:dyDescent="0.45">
      <c r="A80" s="126" t="s">
        <v>166</v>
      </c>
    </row>
    <row r="81" spans="1:1" x14ac:dyDescent="0.45">
      <c r="A81" s="126" t="s">
        <v>167</v>
      </c>
    </row>
    <row r="82" spans="1:1" x14ac:dyDescent="0.45">
      <c r="A82" s="126" t="s">
        <v>168</v>
      </c>
    </row>
    <row r="83" spans="1:1" x14ac:dyDescent="0.45">
      <c r="A83" s="126" t="s">
        <v>169</v>
      </c>
    </row>
    <row r="84" spans="1:1" x14ac:dyDescent="0.45">
      <c r="A84" s="126" t="s">
        <v>170</v>
      </c>
    </row>
    <row r="85" spans="1:1" x14ac:dyDescent="0.45">
      <c r="A85" s="126" t="s">
        <v>171</v>
      </c>
    </row>
    <row r="86" spans="1:1" x14ac:dyDescent="0.45">
      <c r="A86" s="126" t="s">
        <v>172</v>
      </c>
    </row>
    <row r="87" spans="1:1" x14ac:dyDescent="0.45">
      <c r="A87" s="126" t="s">
        <v>173</v>
      </c>
    </row>
    <row r="88" spans="1:1" x14ac:dyDescent="0.45">
      <c r="A88" s="126" t="s">
        <v>174</v>
      </c>
    </row>
    <row r="89" spans="1:1" x14ac:dyDescent="0.45">
      <c r="A89" s="126" t="s">
        <v>175</v>
      </c>
    </row>
    <row r="90" spans="1:1" x14ac:dyDescent="0.45">
      <c r="A90" s="126" t="s">
        <v>176</v>
      </c>
    </row>
    <row r="91" spans="1:1" x14ac:dyDescent="0.45">
      <c r="A91" s="126" t="s">
        <v>177</v>
      </c>
    </row>
    <row r="92" spans="1:1" x14ac:dyDescent="0.45">
      <c r="A92" s="126" t="s">
        <v>178</v>
      </c>
    </row>
    <row r="93" spans="1:1" x14ac:dyDescent="0.45">
      <c r="A93" s="126" t="s">
        <v>179</v>
      </c>
    </row>
    <row r="94" spans="1:1" x14ac:dyDescent="0.45">
      <c r="A94" s="126" t="s">
        <v>180</v>
      </c>
    </row>
    <row r="95" spans="1:1" x14ac:dyDescent="0.45">
      <c r="A95" s="126" t="s">
        <v>181</v>
      </c>
    </row>
    <row r="96" spans="1:1" x14ac:dyDescent="0.45">
      <c r="A96" s="126" t="s">
        <v>182</v>
      </c>
    </row>
    <row r="97" spans="1:1" x14ac:dyDescent="0.45">
      <c r="A97" s="126" t="s">
        <v>183</v>
      </c>
    </row>
    <row r="98" spans="1:1" x14ac:dyDescent="0.45">
      <c r="A98" s="126" t="s">
        <v>184</v>
      </c>
    </row>
    <row r="99" spans="1:1" x14ac:dyDescent="0.45">
      <c r="A99" s="126" t="s">
        <v>185</v>
      </c>
    </row>
    <row r="100" spans="1:1" x14ac:dyDescent="0.45">
      <c r="A100" s="126" t="s">
        <v>186</v>
      </c>
    </row>
    <row r="101" spans="1:1" x14ac:dyDescent="0.45">
      <c r="A101" s="126" t="s">
        <v>187</v>
      </c>
    </row>
    <row r="102" spans="1:1" x14ac:dyDescent="0.45">
      <c r="A102" s="126" t="s">
        <v>188</v>
      </c>
    </row>
    <row r="103" spans="1:1" x14ac:dyDescent="0.45">
      <c r="A103" s="126" t="s">
        <v>189</v>
      </c>
    </row>
    <row r="104" spans="1:1" x14ac:dyDescent="0.45">
      <c r="A104" s="126" t="s">
        <v>190</v>
      </c>
    </row>
    <row r="105" spans="1:1" x14ac:dyDescent="0.45">
      <c r="A105" s="126" t="s">
        <v>191</v>
      </c>
    </row>
    <row r="106" spans="1:1" x14ac:dyDescent="0.45">
      <c r="A106" s="126" t="s">
        <v>192</v>
      </c>
    </row>
    <row r="107" spans="1:1" x14ac:dyDescent="0.45">
      <c r="A107" s="126" t="s">
        <v>193</v>
      </c>
    </row>
    <row r="108" spans="1:1" x14ac:dyDescent="0.45">
      <c r="A108" s="126" t="s">
        <v>194</v>
      </c>
    </row>
    <row r="109" spans="1:1" x14ac:dyDescent="0.45">
      <c r="A109" s="126" t="s">
        <v>195</v>
      </c>
    </row>
    <row r="110" spans="1:1" x14ac:dyDescent="0.45">
      <c r="A110" s="126" t="s">
        <v>196</v>
      </c>
    </row>
    <row r="111" spans="1:1" x14ac:dyDescent="0.45">
      <c r="A111" s="126" t="s">
        <v>197</v>
      </c>
    </row>
    <row r="112" spans="1:1" x14ac:dyDescent="0.45">
      <c r="A112" s="126" t="s">
        <v>198</v>
      </c>
    </row>
    <row r="113" spans="1:1" x14ac:dyDescent="0.45">
      <c r="A113" s="126" t="s">
        <v>199</v>
      </c>
    </row>
    <row r="114" spans="1:1" x14ac:dyDescent="0.45">
      <c r="A114" s="126" t="s">
        <v>200</v>
      </c>
    </row>
    <row r="115" spans="1:1" x14ac:dyDescent="0.45">
      <c r="A115" s="126" t="s">
        <v>201</v>
      </c>
    </row>
    <row r="116" spans="1:1" x14ac:dyDescent="0.45">
      <c r="A116" s="126" t="s">
        <v>202</v>
      </c>
    </row>
    <row r="117" spans="1:1" x14ac:dyDescent="0.45">
      <c r="A117" s="126" t="s">
        <v>203</v>
      </c>
    </row>
    <row r="118" spans="1:1" x14ac:dyDescent="0.45">
      <c r="A118" s="126" t="s">
        <v>204</v>
      </c>
    </row>
    <row r="119" spans="1:1" x14ac:dyDescent="0.45">
      <c r="A119" s="126" t="s">
        <v>205</v>
      </c>
    </row>
    <row r="120" spans="1:1" x14ac:dyDescent="0.45">
      <c r="A120" s="126" t="s">
        <v>206</v>
      </c>
    </row>
    <row r="121" spans="1:1" x14ac:dyDescent="0.45">
      <c r="A121" s="126" t="s">
        <v>207</v>
      </c>
    </row>
    <row r="122" spans="1:1" x14ac:dyDescent="0.45">
      <c r="A122" s="126" t="s">
        <v>208</v>
      </c>
    </row>
    <row r="123" spans="1:1" x14ac:dyDescent="0.45">
      <c r="A123" s="126" t="s">
        <v>209</v>
      </c>
    </row>
    <row r="124" spans="1:1" x14ac:dyDescent="0.45">
      <c r="A124" s="126" t="s">
        <v>210</v>
      </c>
    </row>
    <row r="125" spans="1:1" x14ac:dyDescent="0.45">
      <c r="A125" s="126" t="s">
        <v>211</v>
      </c>
    </row>
    <row r="126" spans="1:1" x14ac:dyDescent="0.45">
      <c r="A126" s="126" t="s">
        <v>212</v>
      </c>
    </row>
    <row r="127" spans="1:1" x14ac:dyDescent="0.45">
      <c r="A127" s="126" t="s">
        <v>213</v>
      </c>
    </row>
    <row r="128" spans="1:1" x14ac:dyDescent="0.45">
      <c r="A128" s="126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72"/>
  <sheetViews>
    <sheetView tabSelected="1" zoomScale="90" zoomScaleNormal="90" workbookViewId="0">
      <pane xSplit="2" topLeftCell="C1" activePane="topRight" state="frozen"/>
      <selection pane="topRight" activeCell="A7" sqref="A7:XFD7"/>
    </sheetView>
  </sheetViews>
  <sheetFormatPr baseColWidth="10" defaultRowHeight="14.25" x14ac:dyDescent="0.45"/>
  <cols>
    <col min="8" max="8" width="13" bestFit="1" customWidth="1"/>
    <col min="11" max="11" width="18.73046875" bestFit="1" customWidth="1"/>
    <col min="13" max="13" width="13" bestFit="1" customWidth="1"/>
    <col min="16" max="20" width="15.59765625" bestFit="1" customWidth="1"/>
  </cols>
  <sheetData>
    <row r="1" spans="1:21" x14ac:dyDescent="0.45">
      <c r="A1" s="1" t="s">
        <v>215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1" x14ac:dyDescent="0.45">
      <c r="A2" s="3"/>
      <c r="B2" s="3"/>
      <c r="C2" s="3"/>
      <c r="D2" s="3"/>
      <c r="E2" s="3"/>
      <c r="F2" s="3"/>
      <c r="G2" s="3"/>
      <c r="H2" s="3"/>
      <c r="I2" s="3"/>
      <c r="J2" s="3"/>
      <c r="K2" s="4"/>
      <c r="L2" s="3"/>
      <c r="M2" s="3"/>
      <c r="N2" s="3"/>
      <c r="O2" s="3"/>
    </row>
    <row r="3" spans="1:21" x14ac:dyDescent="0.45">
      <c r="A3" s="5" t="s">
        <v>216</v>
      </c>
      <c r="B3" s="6"/>
      <c r="C3" s="7" t="s">
        <v>22</v>
      </c>
      <c r="D3" s="6" t="s">
        <v>217</v>
      </c>
      <c r="E3" s="7" t="s">
        <v>21</v>
      </c>
      <c r="F3" s="6" t="s">
        <v>218</v>
      </c>
      <c r="G3" s="7"/>
      <c r="H3" s="6" t="s">
        <v>219</v>
      </c>
      <c r="I3" s="7">
        <v>2023</v>
      </c>
      <c r="J3" s="6"/>
      <c r="K3" s="8"/>
      <c r="L3" s="6"/>
      <c r="M3" s="6"/>
      <c r="N3" s="6"/>
      <c r="O3" s="6"/>
    </row>
    <row r="4" spans="1:21" x14ac:dyDescent="0.45">
      <c r="A4" s="3"/>
      <c r="B4" s="3"/>
      <c r="C4" s="3"/>
      <c r="D4" s="3"/>
      <c r="E4" s="3"/>
      <c r="F4" s="3"/>
      <c r="G4" s="3"/>
      <c r="H4" s="3"/>
      <c r="I4" s="3"/>
      <c r="J4" s="3"/>
      <c r="K4" s="9"/>
      <c r="L4" s="3"/>
      <c r="M4" s="3"/>
      <c r="N4" s="3"/>
      <c r="O4" s="3"/>
    </row>
    <row r="5" spans="1:21" x14ac:dyDescent="0.45">
      <c r="A5" s="3"/>
      <c r="B5" s="3"/>
      <c r="C5" s="3"/>
      <c r="D5" s="3"/>
      <c r="E5" s="3"/>
      <c r="F5" s="3"/>
      <c r="G5" s="3"/>
      <c r="H5" s="3"/>
      <c r="I5" s="3"/>
      <c r="J5" s="3"/>
      <c r="K5" s="9"/>
      <c r="L5" s="3"/>
      <c r="M5" s="3"/>
      <c r="N5" s="3"/>
      <c r="O5" s="3"/>
    </row>
    <row r="6" spans="1:21" ht="14.65" customHeight="1" thickBot="1" x14ac:dyDescent="0.5">
      <c r="A6" s="3"/>
      <c r="B6" s="3"/>
      <c r="C6" s="3"/>
      <c r="D6" s="3"/>
      <c r="E6" s="3"/>
      <c r="F6" s="3"/>
      <c r="G6" s="3"/>
      <c r="H6" s="3"/>
      <c r="I6" s="3"/>
      <c r="J6" s="3"/>
      <c r="K6" s="9"/>
      <c r="L6" s="3"/>
      <c r="M6" s="3"/>
      <c r="N6" s="3"/>
      <c r="O6" s="3"/>
    </row>
    <row r="7" spans="1:21" ht="30.75" customHeight="1" x14ac:dyDescent="0.45">
      <c r="A7" s="10" t="s">
        <v>220</v>
      </c>
      <c r="B7" s="11" t="s">
        <v>221</v>
      </c>
      <c r="C7" s="11" t="s">
        <v>222</v>
      </c>
      <c r="D7" s="12" t="s">
        <v>223</v>
      </c>
      <c r="E7" s="12" t="s">
        <v>224</v>
      </c>
      <c r="F7" s="11" t="s">
        <v>225</v>
      </c>
      <c r="G7" s="12" t="s">
        <v>226</v>
      </c>
      <c r="H7" s="12" t="s">
        <v>227</v>
      </c>
      <c r="I7" s="11" t="s">
        <v>4</v>
      </c>
      <c r="J7" s="11" t="s">
        <v>5</v>
      </c>
      <c r="K7" s="13" t="s">
        <v>3</v>
      </c>
      <c r="L7" s="12" t="s">
        <v>228</v>
      </c>
      <c r="M7" s="12" t="s">
        <v>229</v>
      </c>
      <c r="N7" s="14" t="s">
        <v>230</v>
      </c>
      <c r="O7" s="16" t="s">
        <v>7</v>
      </c>
      <c r="P7" s="127" t="s">
        <v>231</v>
      </c>
      <c r="Q7" s="127" t="s">
        <v>232</v>
      </c>
      <c r="R7" s="127" t="s">
        <v>233</v>
      </c>
      <c r="S7" s="127" t="s">
        <v>234</v>
      </c>
      <c r="T7" s="127" t="s">
        <v>235</v>
      </c>
      <c r="U7" s="127" t="s">
        <v>8</v>
      </c>
    </row>
    <row r="8" spans="1:21" x14ac:dyDescent="0.45">
      <c r="A8" s="17">
        <v>106468451</v>
      </c>
      <c r="B8" s="18" t="str">
        <f t="shared" ref="B8:B14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10.646.845-1</v>
      </c>
      <c r="C8" s="22" t="s">
        <v>22</v>
      </c>
      <c r="D8" s="18" t="s">
        <v>236</v>
      </c>
      <c r="E8" s="18" t="s">
        <v>237</v>
      </c>
      <c r="F8" s="18" t="s">
        <v>238</v>
      </c>
      <c r="G8" s="19">
        <v>45285</v>
      </c>
      <c r="H8" s="19">
        <v>45306</v>
      </c>
      <c r="I8" s="18" t="s">
        <v>54</v>
      </c>
      <c r="J8" s="18" t="s">
        <v>19</v>
      </c>
      <c r="K8" s="24" t="s">
        <v>55</v>
      </c>
      <c r="L8" s="19">
        <v>45297</v>
      </c>
      <c r="M8" s="19">
        <v>45306</v>
      </c>
      <c r="N8" s="30">
        <f t="shared" ref="N8:N22" si="1">+M8-L8</f>
        <v>9</v>
      </c>
      <c r="O8" s="26"/>
      <c r="P8" t="s">
        <v>88</v>
      </c>
      <c r="Q8" t="s">
        <v>88</v>
      </c>
      <c r="R8" t="s">
        <v>88</v>
      </c>
      <c r="S8" t="s">
        <v>88</v>
      </c>
      <c r="T8" t="s">
        <v>88</v>
      </c>
      <c r="U8" t="s">
        <v>20</v>
      </c>
    </row>
    <row r="9" spans="1:21" x14ac:dyDescent="0.45">
      <c r="A9" s="20">
        <v>106468451</v>
      </c>
      <c r="B9" s="21" t="str">
        <f t="shared" si="0"/>
        <v>10.646.845-1</v>
      </c>
      <c r="C9" s="22" t="s">
        <v>22</v>
      </c>
      <c r="D9" s="21" t="s">
        <v>236</v>
      </c>
      <c r="E9" s="21" t="s">
        <v>237</v>
      </c>
      <c r="F9" s="21" t="s">
        <v>238</v>
      </c>
      <c r="G9" s="23">
        <v>45285</v>
      </c>
      <c r="H9" s="23">
        <v>45306</v>
      </c>
      <c r="I9" s="21" t="s">
        <v>54</v>
      </c>
      <c r="J9" s="21" t="s">
        <v>19</v>
      </c>
      <c r="K9" s="24" t="s">
        <v>43</v>
      </c>
      <c r="L9" s="23">
        <v>45292</v>
      </c>
      <c r="M9" s="23">
        <v>45306</v>
      </c>
      <c r="N9" s="25">
        <f t="shared" si="1"/>
        <v>14</v>
      </c>
      <c r="O9" s="26"/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20</v>
      </c>
    </row>
    <row r="10" spans="1:21" x14ac:dyDescent="0.45">
      <c r="A10" s="20">
        <v>106468451</v>
      </c>
      <c r="B10" s="21" t="str">
        <f t="shared" si="0"/>
        <v>10.646.845-1</v>
      </c>
      <c r="C10" s="22" t="str">
        <f>IF(IFERROR(VLOOKUP(A10,$A$9:$I9,1,0),0)=0,"",VLOOKUP(A10,$A$9:$I9,3,0))</f>
        <v>UCI</v>
      </c>
      <c r="D10" s="21" t="str">
        <f>IF(IFERROR(VLOOKUP(A10,$A$9:$I9,1,0),0)=0,"",VLOOKUP(A10,$A$9:$I9,4,0))</f>
        <v>LARA</v>
      </c>
      <c r="E10" s="21" t="str">
        <f>IF(IFERROR(VLOOKUP(A10,$A$9:$I9,1,0),0)=0,"",VLOOKUP(A10,$A$9:$I9,5,0))</f>
        <v>LIRA</v>
      </c>
      <c r="F10" s="21" t="str">
        <f>IF(IFERROR(VLOOKUP(A10,$A$9:$I9,1,0),0)=0,"",VLOOKUP(A10,$A$9:$I9,6,0))</f>
        <v>LUIS</v>
      </c>
      <c r="G10" s="23">
        <f>IF(IFERROR(VLOOKUP(A10,$A$9:$I9,1,0),0)=0,"",VLOOKUP(A10,$A$9:$I9,7,0))</f>
        <v>45285</v>
      </c>
      <c r="H10" s="23">
        <v>45306</v>
      </c>
      <c r="I10" s="21" t="s">
        <v>54</v>
      </c>
      <c r="J10" s="21" t="s">
        <v>19</v>
      </c>
      <c r="K10" s="24" t="s">
        <v>47</v>
      </c>
      <c r="L10" s="23">
        <v>45292</v>
      </c>
      <c r="M10" s="23">
        <v>45306</v>
      </c>
      <c r="N10" s="25">
        <f t="shared" si="1"/>
        <v>14</v>
      </c>
      <c r="O10" s="26"/>
      <c r="P10" t="s">
        <v>88</v>
      </c>
      <c r="Q10" t="s">
        <v>88</v>
      </c>
      <c r="R10" t="s">
        <v>88</v>
      </c>
      <c r="S10" t="s">
        <v>88</v>
      </c>
      <c r="T10" t="s">
        <v>88</v>
      </c>
      <c r="U10" t="s">
        <v>20</v>
      </c>
    </row>
    <row r="11" spans="1:21" x14ac:dyDescent="0.45">
      <c r="A11" s="20">
        <v>106468451</v>
      </c>
      <c r="B11" s="21" t="str">
        <f t="shared" si="0"/>
        <v>10.646.845-1</v>
      </c>
      <c r="C11" s="22" t="str">
        <f>IF(IFERROR(VLOOKUP(A11,$A$9:$I10,1,0),0)=0,"",VLOOKUP(A11,$A$9:$I10,3,0))</f>
        <v>UCI</v>
      </c>
      <c r="D11" s="21" t="str">
        <f>IF(IFERROR(VLOOKUP(A11,$A$9:$I10,1,0),0)=0,"",VLOOKUP(A11,$A$9:$I10,4,0))</f>
        <v>LARA</v>
      </c>
      <c r="E11" s="21" t="str">
        <f>IF(IFERROR(VLOOKUP(A11,$A$9:$I10,1,0),0)=0,"",VLOOKUP(A11,$A$9:$I10,5,0))</f>
        <v>LIRA</v>
      </c>
      <c r="F11" s="21" t="str">
        <f>IF(IFERROR(VLOOKUP(A11,$A$9:$I10,1,0),0)=0,"",VLOOKUP(A11,$A$9:$I10,6,0))</f>
        <v>LUIS</v>
      </c>
      <c r="G11" s="23">
        <f>IF(IFERROR(VLOOKUP(A11,$A$9:$I10,1,0),0)=0,"",VLOOKUP(A11,$A$9:$I10,7,0))</f>
        <v>45285</v>
      </c>
      <c r="H11" s="23">
        <v>45306</v>
      </c>
      <c r="I11" s="21" t="s">
        <v>54</v>
      </c>
      <c r="J11" s="21" t="s">
        <v>19</v>
      </c>
      <c r="K11" s="24" t="s">
        <v>55</v>
      </c>
      <c r="L11" s="23">
        <v>45292</v>
      </c>
      <c r="M11" s="23">
        <v>45295</v>
      </c>
      <c r="N11" s="25">
        <f t="shared" si="1"/>
        <v>3</v>
      </c>
      <c r="O11" s="26"/>
      <c r="P11" t="s">
        <v>88</v>
      </c>
      <c r="Q11" t="s">
        <v>88</v>
      </c>
      <c r="R11" t="s">
        <v>88</v>
      </c>
      <c r="S11" t="s">
        <v>88</v>
      </c>
      <c r="T11" t="s">
        <v>88</v>
      </c>
      <c r="U11" t="s">
        <v>20</v>
      </c>
    </row>
    <row r="12" spans="1:21" x14ac:dyDescent="0.45">
      <c r="A12" s="20" t="s">
        <v>239</v>
      </c>
      <c r="B12" s="21" t="str">
        <f t="shared" si="0"/>
        <v>6.405.077-k</v>
      </c>
      <c r="C12" s="22" t="s">
        <v>22</v>
      </c>
      <c r="D12" s="21" t="s">
        <v>240</v>
      </c>
      <c r="E12" s="21" t="s">
        <v>241</v>
      </c>
      <c r="F12" s="21" t="s">
        <v>242</v>
      </c>
      <c r="G12" s="23">
        <v>45276</v>
      </c>
      <c r="H12" s="23">
        <v>45301</v>
      </c>
      <c r="I12" s="21" t="s">
        <v>22</v>
      </c>
      <c r="J12" s="31" t="s">
        <v>19</v>
      </c>
      <c r="K12" s="24" t="s">
        <v>43</v>
      </c>
      <c r="L12" s="23">
        <v>45292</v>
      </c>
      <c r="M12" s="23">
        <v>45301</v>
      </c>
      <c r="N12" s="25">
        <f t="shared" si="1"/>
        <v>9</v>
      </c>
      <c r="O12" s="26"/>
      <c r="P12" t="s">
        <v>88</v>
      </c>
      <c r="Q12" t="s">
        <v>88</v>
      </c>
      <c r="R12" t="s">
        <v>88</v>
      </c>
      <c r="S12" t="s">
        <v>88</v>
      </c>
      <c r="T12" t="s">
        <v>88</v>
      </c>
      <c r="U12" t="s">
        <v>20</v>
      </c>
    </row>
    <row r="13" spans="1:21" x14ac:dyDescent="0.45">
      <c r="A13" s="20" t="s">
        <v>239</v>
      </c>
      <c r="B13" s="21" t="str">
        <f t="shared" si="0"/>
        <v>6.405.077-k</v>
      </c>
      <c r="C13" s="22" t="str">
        <f>IF(IFERROR(VLOOKUP(A13,$A$9:$I12,1,0),0)=0,"",VLOOKUP(A13,$A$9:$I12,3,0))</f>
        <v>UCI</v>
      </c>
      <c r="D13" s="21" t="str">
        <f>IF(IFERROR(VLOOKUP(A13,$A$9:$I12,1,0),0)=0,"",VLOOKUP(A13,$A$9:$I12,4,0))</f>
        <v>MARTINEZ</v>
      </c>
      <c r="E13" s="21" t="str">
        <f>IF(IFERROR(VLOOKUP(A13,$A$9:$I12,1,0),0)=0,"",VLOOKUP(A13,$A$9:$I12,5,0))</f>
        <v>FUENTES</v>
      </c>
      <c r="F13" s="21" t="str">
        <f>IF(IFERROR(VLOOKUP(A13,$A$9:$I12,1,0),0)=0,"",VLOOKUP(A13,$A$9:$I12,6,0))</f>
        <v>ANA LUISA</v>
      </c>
      <c r="G13" s="23">
        <f>IF(IFERROR(VLOOKUP(A13,$A$9:$I12,1,0),0)=0,"",VLOOKUP(A13,$A$9:$I12,7,0))</f>
        <v>45276</v>
      </c>
      <c r="H13" s="23">
        <v>45302</v>
      </c>
      <c r="I13" s="21" t="s">
        <v>22</v>
      </c>
      <c r="J13" s="31" t="s">
        <v>19</v>
      </c>
      <c r="K13" s="24" t="s">
        <v>47</v>
      </c>
      <c r="L13" s="23">
        <v>45292</v>
      </c>
      <c r="M13" s="23">
        <v>45301</v>
      </c>
      <c r="N13" s="25">
        <f t="shared" si="1"/>
        <v>9</v>
      </c>
      <c r="O13" s="26"/>
      <c r="P13" t="s">
        <v>88</v>
      </c>
      <c r="Q13" t="s">
        <v>88</v>
      </c>
      <c r="R13" t="s">
        <v>88</v>
      </c>
      <c r="S13" t="s">
        <v>88</v>
      </c>
      <c r="T13" t="s">
        <v>88</v>
      </c>
      <c r="U13" t="s">
        <v>20</v>
      </c>
    </row>
    <row r="14" spans="1:21" x14ac:dyDescent="0.45">
      <c r="A14" s="20" t="s">
        <v>239</v>
      </c>
      <c r="B14" s="21" t="str">
        <f t="shared" si="0"/>
        <v>6.405.077-k</v>
      </c>
      <c r="C14" s="22" t="str">
        <f>IF(IFERROR(VLOOKUP(A14,$A$9:$I13,1,0),0)=0,"",VLOOKUP(A14,$A$9:$I13,3,0))</f>
        <v>UCI</v>
      </c>
      <c r="D14" s="21" t="str">
        <f>IF(IFERROR(VLOOKUP(A14,$A$9:$I13,1,0),0)=0,"",VLOOKUP(A14,$A$9:$I13,4,0))</f>
        <v>MARTINEZ</v>
      </c>
      <c r="E14" s="21" t="str">
        <f>IF(IFERROR(VLOOKUP(A14,$A$9:$I13,1,0),0)=0,"",VLOOKUP(A14,$A$9:$I13,5,0))</f>
        <v>FUENTES</v>
      </c>
      <c r="F14" s="21" t="str">
        <f>IF(IFERROR(VLOOKUP(A14,$A$9:$I13,1,0),0)=0,"",VLOOKUP(A14,$A$9:$I13,6,0))</f>
        <v>ANA LUISA</v>
      </c>
      <c r="G14" s="23">
        <f>IF(IFERROR(VLOOKUP(A14,$A$9:$I13,1,0),0)=0,"",VLOOKUP(A14,$A$9:$I13,7,0))</f>
        <v>45276</v>
      </c>
      <c r="H14" s="23">
        <v>45303</v>
      </c>
      <c r="I14" s="21" t="s">
        <v>22</v>
      </c>
      <c r="J14" s="31" t="s">
        <v>19</v>
      </c>
      <c r="K14" s="24" t="s">
        <v>55</v>
      </c>
      <c r="L14" s="23">
        <v>45292</v>
      </c>
      <c r="M14" s="23">
        <v>45301</v>
      </c>
      <c r="N14" s="25">
        <f t="shared" si="1"/>
        <v>9</v>
      </c>
      <c r="O14" s="26"/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20</v>
      </c>
    </row>
    <row r="15" spans="1:21" x14ac:dyDescent="0.45">
      <c r="A15" s="20">
        <v>79266159</v>
      </c>
      <c r="B15" s="21" t="s">
        <v>243</v>
      </c>
      <c r="C15" s="22" t="s">
        <v>22</v>
      </c>
      <c r="D15" s="21" t="s">
        <v>244</v>
      </c>
      <c r="E15" s="21" t="s">
        <v>245</v>
      </c>
      <c r="F15" s="21" t="s">
        <v>246</v>
      </c>
      <c r="G15" s="23">
        <v>45285</v>
      </c>
      <c r="H15" s="23">
        <v>45299</v>
      </c>
      <c r="I15" s="21" t="s">
        <v>22</v>
      </c>
      <c r="J15" s="21" t="s">
        <v>13</v>
      </c>
      <c r="K15" s="24" t="s">
        <v>43</v>
      </c>
      <c r="L15" s="23">
        <v>45292</v>
      </c>
      <c r="M15" s="23">
        <v>45296</v>
      </c>
      <c r="N15" s="25">
        <f t="shared" si="1"/>
        <v>4</v>
      </c>
      <c r="O15" s="26"/>
      <c r="P15" t="s">
        <v>88</v>
      </c>
      <c r="Q15" t="s">
        <v>88</v>
      </c>
      <c r="R15" t="s">
        <v>88</v>
      </c>
      <c r="S15" t="s">
        <v>88</v>
      </c>
      <c r="T15" t="s">
        <v>88</v>
      </c>
      <c r="U15" t="s">
        <v>20</v>
      </c>
    </row>
    <row r="16" spans="1:21" x14ac:dyDescent="0.45">
      <c r="A16" s="20">
        <v>79266159</v>
      </c>
      <c r="B16" s="21" t="s">
        <v>243</v>
      </c>
      <c r="C16" s="22" t="s">
        <v>22</v>
      </c>
      <c r="D16" s="21" t="s">
        <v>244</v>
      </c>
      <c r="E16" s="21" t="s">
        <v>245</v>
      </c>
      <c r="F16" s="21" t="s">
        <v>246</v>
      </c>
      <c r="G16" s="23">
        <v>45285</v>
      </c>
      <c r="H16" s="23">
        <v>45299</v>
      </c>
      <c r="I16" s="21" t="s">
        <v>22</v>
      </c>
      <c r="J16" s="21" t="s">
        <v>13</v>
      </c>
      <c r="K16" s="24" t="s">
        <v>47</v>
      </c>
      <c r="L16" s="23">
        <v>45292</v>
      </c>
      <c r="M16" s="23">
        <v>45293</v>
      </c>
      <c r="N16" s="25">
        <f t="shared" si="1"/>
        <v>1</v>
      </c>
      <c r="O16" s="26"/>
      <c r="P16" t="s">
        <v>88</v>
      </c>
      <c r="Q16" t="s">
        <v>88</v>
      </c>
      <c r="R16" t="s">
        <v>88</v>
      </c>
      <c r="S16" t="s">
        <v>88</v>
      </c>
      <c r="T16" t="s">
        <v>88</v>
      </c>
      <c r="U16" t="s">
        <v>20</v>
      </c>
    </row>
    <row r="17" spans="1:21" x14ac:dyDescent="0.45">
      <c r="A17" s="20">
        <v>195993815</v>
      </c>
      <c r="B17" s="21" t="s">
        <v>247</v>
      </c>
      <c r="C17" s="22" t="s">
        <v>22</v>
      </c>
      <c r="D17" s="21" t="s">
        <v>248</v>
      </c>
      <c r="E17" s="21" t="s">
        <v>249</v>
      </c>
      <c r="F17" s="21" t="s">
        <v>250</v>
      </c>
      <c r="G17" s="23">
        <v>45627</v>
      </c>
      <c r="H17" s="23">
        <v>45303</v>
      </c>
      <c r="I17" s="21" t="s">
        <v>46</v>
      </c>
      <c r="J17" s="21" t="s">
        <v>13</v>
      </c>
      <c r="K17" s="24" t="s">
        <v>43</v>
      </c>
      <c r="L17" s="23">
        <v>45292</v>
      </c>
      <c r="M17" s="23">
        <v>45303</v>
      </c>
      <c r="N17" s="25">
        <f t="shared" si="1"/>
        <v>11</v>
      </c>
      <c r="O17" s="26"/>
      <c r="P17" t="s">
        <v>88</v>
      </c>
      <c r="Q17" t="s">
        <v>88</v>
      </c>
      <c r="R17" t="s">
        <v>88</v>
      </c>
      <c r="S17" t="s">
        <v>88</v>
      </c>
      <c r="T17" t="s">
        <v>88</v>
      </c>
      <c r="U17" t="s">
        <v>20</v>
      </c>
    </row>
    <row r="18" spans="1:21" x14ac:dyDescent="0.45">
      <c r="A18" s="20">
        <v>195993815</v>
      </c>
      <c r="B18" s="21" t="str">
        <f>IF(LEN(A18)=8,MID(A18,1,1)&amp;"."&amp;MID(A18,2,3)&amp;"."&amp;MID(A18,5,3)&amp;"-"&amp;RIGHT(A18,1),IF(LEFT(RIGHT(A18,2),1)="-",MID(A18,1,1)&amp;"."&amp;MID(A18,2,3)&amp;"."&amp;MID(A18,5,3)&amp;"-"&amp;RIGHT(A18,1),MID(A18,1,2)&amp;"."&amp;MID(A18,3,3)&amp;"."&amp;MID(A18,6,3)&amp;"-"&amp;MID(A18,9,1)))</f>
        <v>19.599.381-5</v>
      </c>
      <c r="C18" s="22" t="str">
        <f>IF(IFERROR(VLOOKUP(A18,$A$9:$I17,1,0),0)=0,"",VLOOKUP(A18,$A$9:$I17,3,0))</f>
        <v>UCI</v>
      </c>
      <c r="D18" s="21" t="str">
        <f>IF(IFERROR(VLOOKUP(A18,$A$9:$I17,1,0),0)=0,"",VLOOKUP(A18,$A$9:$I17,4,0))</f>
        <v>PINO</v>
      </c>
      <c r="E18" s="21" t="str">
        <f>IF(IFERROR(VLOOKUP(A18,$A$9:$I17,1,0),0)=0,"",VLOOKUP(A18,$A$9:$I17,5,0))</f>
        <v>RODRIGUEZ</v>
      </c>
      <c r="F18" s="21" t="str">
        <f>IF(IFERROR(VLOOKUP(A18,$A$9:$I17,1,0),0)=0,"",VLOOKUP(A18,$A$9:$I17,6,0))</f>
        <v>JOSE</v>
      </c>
      <c r="G18" s="23">
        <f>IF(IFERROR(VLOOKUP(A18,$A$9:$I17,1,0),0)=0,"",VLOOKUP(A18,$A$9:$I17,7,0))</f>
        <v>45627</v>
      </c>
      <c r="H18" s="23">
        <v>45303</v>
      </c>
      <c r="I18" s="21" t="s">
        <v>46</v>
      </c>
      <c r="J18" s="21" t="s">
        <v>13</v>
      </c>
      <c r="K18" s="24" t="s">
        <v>47</v>
      </c>
      <c r="L18" s="23">
        <v>45292</v>
      </c>
      <c r="M18" s="23">
        <v>45303</v>
      </c>
      <c r="N18" s="25">
        <f t="shared" si="1"/>
        <v>11</v>
      </c>
      <c r="O18" s="26"/>
      <c r="P18" t="s">
        <v>106</v>
      </c>
      <c r="Q18" t="s">
        <v>88</v>
      </c>
      <c r="R18" t="s">
        <v>88</v>
      </c>
      <c r="S18" t="s">
        <v>88</v>
      </c>
      <c r="T18" t="s">
        <v>88</v>
      </c>
      <c r="U18" t="s">
        <v>20</v>
      </c>
    </row>
    <row r="19" spans="1:21" x14ac:dyDescent="0.45">
      <c r="A19" s="20">
        <v>186871367</v>
      </c>
      <c r="B19" s="21" t="s">
        <v>251</v>
      </c>
      <c r="C19" s="22" t="s">
        <v>22</v>
      </c>
      <c r="D19" s="21" t="s">
        <v>252</v>
      </c>
      <c r="E19" s="21" t="s">
        <v>253</v>
      </c>
      <c r="F19" s="21" t="s">
        <v>254</v>
      </c>
      <c r="G19" s="23">
        <v>45253</v>
      </c>
      <c r="H19" s="23">
        <v>45302</v>
      </c>
      <c r="I19" s="21" t="s">
        <v>22</v>
      </c>
      <c r="J19" s="21" t="s">
        <v>13</v>
      </c>
      <c r="K19" s="24" t="s">
        <v>18</v>
      </c>
      <c r="L19" s="23">
        <v>45292</v>
      </c>
      <c r="M19" s="23">
        <v>45302</v>
      </c>
      <c r="N19" s="25">
        <f t="shared" si="1"/>
        <v>10</v>
      </c>
      <c r="O19" s="26"/>
      <c r="P19" t="s">
        <v>88</v>
      </c>
      <c r="Q19" t="s">
        <v>88</v>
      </c>
      <c r="R19" t="s">
        <v>88</v>
      </c>
      <c r="S19" t="s">
        <v>88</v>
      </c>
      <c r="T19" t="s">
        <v>88</v>
      </c>
      <c r="U19" t="s">
        <v>20</v>
      </c>
    </row>
    <row r="20" spans="1:21" x14ac:dyDescent="0.45">
      <c r="A20" s="20">
        <v>166006457</v>
      </c>
      <c r="B20" s="21" t="s">
        <v>255</v>
      </c>
      <c r="C20" s="22" t="s">
        <v>22</v>
      </c>
      <c r="D20" s="21" t="s">
        <v>256</v>
      </c>
      <c r="E20" s="21" t="s">
        <v>257</v>
      </c>
      <c r="F20" s="21" t="s">
        <v>258</v>
      </c>
      <c r="G20" s="23">
        <v>45244</v>
      </c>
      <c r="H20" s="23">
        <v>45295</v>
      </c>
      <c r="I20" s="21" t="s">
        <v>22</v>
      </c>
      <c r="J20" s="21" t="s">
        <v>13</v>
      </c>
      <c r="K20" s="24" t="s">
        <v>18</v>
      </c>
      <c r="L20" s="23">
        <v>45292</v>
      </c>
      <c r="M20" s="23">
        <v>45295</v>
      </c>
      <c r="N20" s="25">
        <f t="shared" si="1"/>
        <v>3</v>
      </c>
      <c r="O20" s="26"/>
      <c r="P20" t="s">
        <v>88</v>
      </c>
      <c r="Q20" t="s">
        <v>88</v>
      </c>
      <c r="R20" t="s">
        <v>88</v>
      </c>
      <c r="S20" t="s">
        <v>88</v>
      </c>
      <c r="T20" t="s">
        <v>88</v>
      </c>
      <c r="U20" t="s">
        <v>20</v>
      </c>
    </row>
    <row r="21" spans="1:21" x14ac:dyDescent="0.45">
      <c r="A21" s="20" t="s">
        <v>259</v>
      </c>
      <c r="B21" s="21" t="s">
        <v>260</v>
      </c>
      <c r="C21" s="22" t="s">
        <v>22</v>
      </c>
      <c r="D21" s="21" t="s">
        <v>261</v>
      </c>
      <c r="E21" s="21" t="s">
        <v>262</v>
      </c>
      <c r="F21" s="21" t="s">
        <v>263</v>
      </c>
      <c r="G21" s="23">
        <v>45271</v>
      </c>
      <c r="H21" s="23">
        <v>45293</v>
      </c>
      <c r="I21" s="21" t="s">
        <v>56</v>
      </c>
      <c r="J21" s="21" t="s">
        <v>19</v>
      </c>
      <c r="K21" s="24" t="s">
        <v>43</v>
      </c>
      <c r="L21" s="23">
        <v>45292</v>
      </c>
      <c r="M21" s="23">
        <v>45293</v>
      </c>
      <c r="N21" s="25">
        <f t="shared" si="1"/>
        <v>1</v>
      </c>
      <c r="O21" s="26"/>
      <c r="P21" t="s">
        <v>88</v>
      </c>
      <c r="Q21" t="s">
        <v>88</v>
      </c>
      <c r="R21" t="s">
        <v>88</v>
      </c>
      <c r="S21" t="s">
        <v>88</v>
      </c>
      <c r="T21" t="s">
        <v>88</v>
      </c>
      <c r="U21" t="s">
        <v>20</v>
      </c>
    </row>
    <row r="22" spans="1:21" x14ac:dyDescent="0.45">
      <c r="A22" s="20" t="s">
        <v>259</v>
      </c>
      <c r="B22" s="21" t="s">
        <v>260</v>
      </c>
      <c r="C22" s="22" t="s">
        <v>22</v>
      </c>
      <c r="D22" s="21" t="s">
        <v>261</v>
      </c>
      <c r="E22" s="21" t="s">
        <v>262</v>
      </c>
      <c r="F22" s="21" t="s">
        <v>263</v>
      </c>
      <c r="G22" s="23">
        <v>45271</v>
      </c>
      <c r="H22" s="23">
        <v>45293</v>
      </c>
      <c r="I22" s="21" t="s">
        <v>56</v>
      </c>
      <c r="J22" s="21" t="s">
        <v>19</v>
      </c>
      <c r="K22" s="24" t="s">
        <v>55</v>
      </c>
      <c r="L22" s="23">
        <v>45292</v>
      </c>
      <c r="M22" s="23">
        <v>45293</v>
      </c>
      <c r="N22" s="25">
        <f t="shared" si="1"/>
        <v>1</v>
      </c>
      <c r="O22" s="26"/>
      <c r="P22" t="s">
        <v>88</v>
      </c>
      <c r="Q22" t="s">
        <v>88</v>
      </c>
      <c r="R22" t="s">
        <v>88</v>
      </c>
      <c r="S22" t="s">
        <v>88</v>
      </c>
      <c r="T22" t="s">
        <v>88</v>
      </c>
      <c r="U22" t="s">
        <v>20</v>
      </c>
    </row>
    <row r="23" spans="1:21" x14ac:dyDescent="0.45">
      <c r="A23" s="20" t="s">
        <v>259</v>
      </c>
      <c r="B23" s="21" t="s">
        <v>260</v>
      </c>
      <c r="C23" s="22" t="s">
        <v>22</v>
      </c>
      <c r="D23" s="21" t="s">
        <v>261</v>
      </c>
      <c r="E23" s="21" t="s">
        <v>262</v>
      </c>
      <c r="F23" s="21" t="s">
        <v>263</v>
      </c>
      <c r="G23" s="23">
        <v>45271</v>
      </c>
      <c r="H23" s="23">
        <v>45293</v>
      </c>
      <c r="I23" s="21" t="s">
        <v>56</v>
      </c>
      <c r="J23" s="21" t="s">
        <v>19</v>
      </c>
      <c r="K23" s="24" t="s">
        <v>12</v>
      </c>
      <c r="L23" s="23">
        <v>45646</v>
      </c>
      <c r="M23" s="23"/>
      <c r="N23" s="25"/>
      <c r="O23" s="26"/>
      <c r="P23" t="s">
        <v>120</v>
      </c>
      <c r="Q23" t="s">
        <v>122</v>
      </c>
      <c r="R23" t="s">
        <v>88</v>
      </c>
      <c r="S23" t="s">
        <v>88</v>
      </c>
      <c r="T23" t="s">
        <v>88</v>
      </c>
      <c r="U23" t="s">
        <v>14</v>
      </c>
    </row>
    <row r="24" spans="1:21" x14ac:dyDescent="0.45">
      <c r="A24" s="20" t="s">
        <v>264</v>
      </c>
      <c r="B24" s="21" t="s">
        <v>265</v>
      </c>
      <c r="C24" s="22" t="s">
        <v>22</v>
      </c>
      <c r="D24" s="21" t="s">
        <v>266</v>
      </c>
      <c r="E24" s="21" t="s">
        <v>267</v>
      </c>
      <c r="F24" s="21" t="s">
        <v>268</v>
      </c>
      <c r="G24" s="23">
        <v>45284</v>
      </c>
      <c r="H24" s="23">
        <v>45317</v>
      </c>
      <c r="I24" s="21" t="s">
        <v>22</v>
      </c>
      <c r="J24" s="21" t="s">
        <v>13</v>
      </c>
      <c r="K24" s="24" t="s">
        <v>43</v>
      </c>
      <c r="L24" s="23">
        <v>45284</v>
      </c>
      <c r="M24" s="23">
        <v>45317</v>
      </c>
      <c r="N24" s="25">
        <f t="shared" ref="N24:N87" si="2">+M24-L24</f>
        <v>33</v>
      </c>
      <c r="O24" s="26"/>
      <c r="P24" t="s">
        <v>88</v>
      </c>
      <c r="Q24" t="s">
        <v>88</v>
      </c>
      <c r="R24" t="s">
        <v>88</v>
      </c>
      <c r="S24" t="s">
        <v>88</v>
      </c>
      <c r="T24" t="s">
        <v>88</v>
      </c>
      <c r="U24" t="s">
        <v>20</v>
      </c>
    </row>
    <row r="25" spans="1:21" x14ac:dyDescent="0.45">
      <c r="A25" s="20">
        <v>143729346</v>
      </c>
      <c r="B25" s="21" t="s">
        <v>269</v>
      </c>
      <c r="C25" s="22" t="s">
        <v>22</v>
      </c>
      <c r="D25" s="21" t="s">
        <v>267</v>
      </c>
      <c r="E25" s="21" t="s">
        <v>270</v>
      </c>
      <c r="F25" s="21" t="s">
        <v>271</v>
      </c>
      <c r="G25" s="23">
        <v>45284</v>
      </c>
      <c r="H25" s="23">
        <v>45315</v>
      </c>
      <c r="I25" s="21" t="s">
        <v>56</v>
      </c>
      <c r="J25" s="21" t="s">
        <v>13</v>
      </c>
      <c r="K25" s="24" t="s">
        <v>43</v>
      </c>
      <c r="L25" s="23">
        <v>45284</v>
      </c>
      <c r="M25" s="23">
        <v>45299</v>
      </c>
      <c r="N25" s="25">
        <f t="shared" si="2"/>
        <v>15</v>
      </c>
      <c r="O25" s="26"/>
      <c r="P25" t="s">
        <v>88</v>
      </c>
      <c r="Q25" t="s">
        <v>88</v>
      </c>
      <c r="R25" t="s">
        <v>88</v>
      </c>
      <c r="S25" t="s">
        <v>88</v>
      </c>
      <c r="T25" t="s">
        <v>88</v>
      </c>
      <c r="U25" t="s">
        <v>20</v>
      </c>
    </row>
    <row r="26" spans="1:21" x14ac:dyDescent="0.45">
      <c r="A26" s="20">
        <v>143729346</v>
      </c>
      <c r="B26" s="21" t="s">
        <v>269</v>
      </c>
      <c r="C26" s="22" t="s">
        <v>22</v>
      </c>
      <c r="D26" s="21" t="s">
        <v>267</v>
      </c>
      <c r="E26" s="21" t="s">
        <v>270</v>
      </c>
      <c r="F26" s="21" t="s">
        <v>271</v>
      </c>
      <c r="G26" s="23">
        <v>45284</v>
      </c>
      <c r="H26" s="23">
        <v>45315</v>
      </c>
      <c r="I26" s="21" t="s">
        <v>56</v>
      </c>
      <c r="J26" s="21" t="s">
        <v>13</v>
      </c>
      <c r="K26" s="24" t="s">
        <v>47</v>
      </c>
      <c r="L26" s="23">
        <v>45292</v>
      </c>
      <c r="M26" s="23">
        <v>45299</v>
      </c>
      <c r="N26" s="25">
        <f t="shared" si="2"/>
        <v>7</v>
      </c>
      <c r="O26" s="26"/>
      <c r="P26" t="s">
        <v>88</v>
      </c>
      <c r="Q26" t="s">
        <v>88</v>
      </c>
      <c r="R26" t="s">
        <v>88</v>
      </c>
      <c r="S26" t="s">
        <v>88</v>
      </c>
      <c r="T26" t="s">
        <v>88</v>
      </c>
      <c r="U26" t="s">
        <v>20</v>
      </c>
    </row>
    <row r="27" spans="1:21" x14ac:dyDescent="0.45">
      <c r="A27" s="20">
        <v>116822458</v>
      </c>
      <c r="B27" s="21" t="s">
        <v>272</v>
      </c>
      <c r="C27" s="22" t="s">
        <v>22</v>
      </c>
      <c r="D27" s="21" t="s">
        <v>273</v>
      </c>
      <c r="E27" s="21" t="s">
        <v>274</v>
      </c>
      <c r="F27" s="21" t="s">
        <v>275</v>
      </c>
      <c r="G27" s="23">
        <v>45286</v>
      </c>
      <c r="H27" s="23">
        <v>45298</v>
      </c>
      <c r="I27" s="21" t="s">
        <v>56</v>
      </c>
      <c r="J27" s="21" t="s">
        <v>22</v>
      </c>
      <c r="K27" s="24" t="s">
        <v>43</v>
      </c>
      <c r="L27" s="23">
        <v>45292</v>
      </c>
      <c r="M27" s="23">
        <v>45298</v>
      </c>
      <c r="N27" s="25">
        <f t="shared" si="2"/>
        <v>6</v>
      </c>
      <c r="O27" s="26"/>
      <c r="P27" t="s">
        <v>88</v>
      </c>
      <c r="Q27" t="s">
        <v>88</v>
      </c>
      <c r="R27" t="s">
        <v>88</v>
      </c>
      <c r="S27" t="s">
        <v>88</v>
      </c>
      <c r="T27" t="s">
        <v>88</v>
      </c>
      <c r="U27" t="s">
        <v>20</v>
      </c>
    </row>
    <row r="28" spans="1:21" x14ac:dyDescent="0.45">
      <c r="A28" s="20">
        <v>116822458</v>
      </c>
      <c r="B28" s="21" t="s">
        <v>272</v>
      </c>
      <c r="C28" s="22" t="s">
        <v>22</v>
      </c>
      <c r="D28" s="21" t="s">
        <v>273</v>
      </c>
      <c r="E28" s="21" t="s">
        <v>274</v>
      </c>
      <c r="F28" s="21" t="s">
        <v>275</v>
      </c>
      <c r="G28" s="23">
        <v>45286</v>
      </c>
      <c r="H28" s="23">
        <v>45298</v>
      </c>
      <c r="I28" s="21" t="s">
        <v>56</v>
      </c>
      <c r="J28" s="21" t="s">
        <v>22</v>
      </c>
      <c r="K28" s="24" t="s">
        <v>47</v>
      </c>
      <c r="L28" s="23">
        <v>45292</v>
      </c>
      <c r="M28" s="23">
        <v>45298</v>
      </c>
      <c r="N28" s="25">
        <f t="shared" si="2"/>
        <v>6</v>
      </c>
      <c r="O28" s="26"/>
      <c r="P28" t="s">
        <v>88</v>
      </c>
      <c r="Q28" t="s">
        <v>88</v>
      </c>
      <c r="R28" t="s">
        <v>88</v>
      </c>
      <c r="S28" t="s">
        <v>88</v>
      </c>
      <c r="T28" t="s">
        <v>88</v>
      </c>
      <c r="U28" t="s">
        <v>20</v>
      </c>
    </row>
    <row r="29" spans="1:21" x14ac:dyDescent="0.45">
      <c r="A29" s="20">
        <v>58515728</v>
      </c>
      <c r="B29" s="21" t="s">
        <v>276</v>
      </c>
      <c r="C29" s="22" t="s">
        <v>38</v>
      </c>
      <c r="D29" s="21" t="s">
        <v>277</v>
      </c>
      <c r="E29" s="21" t="s">
        <v>278</v>
      </c>
      <c r="F29" s="21" t="s">
        <v>279</v>
      </c>
      <c r="G29" s="23">
        <v>45284</v>
      </c>
      <c r="H29" s="23">
        <v>45322</v>
      </c>
      <c r="I29" s="21" t="s">
        <v>54</v>
      </c>
      <c r="J29" s="21" t="s">
        <v>13</v>
      </c>
      <c r="K29" s="24" t="s">
        <v>43</v>
      </c>
      <c r="L29" s="23">
        <v>45292</v>
      </c>
      <c r="M29" s="23">
        <v>45322</v>
      </c>
      <c r="N29" s="25">
        <f t="shared" si="2"/>
        <v>30</v>
      </c>
      <c r="O29" s="26"/>
      <c r="P29" t="s">
        <v>88</v>
      </c>
      <c r="Q29" t="s">
        <v>88</v>
      </c>
      <c r="R29" t="s">
        <v>88</v>
      </c>
      <c r="S29" t="s">
        <v>88</v>
      </c>
      <c r="T29" t="s">
        <v>88</v>
      </c>
      <c r="U29" t="s">
        <v>20</v>
      </c>
    </row>
    <row r="30" spans="1:21" x14ac:dyDescent="0.45">
      <c r="A30" s="20">
        <v>146080367</v>
      </c>
      <c r="B30" s="21" t="s">
        <v>280</v>
      </c>
      <c r="C30" s="22" t="s">
        <v>38</v>
      </c>
      <c r="D30" s="21" t="s">
        <v>281</v>
      </c>
      <c r="E30" s="21" t="s">
        <v>282</v>
      </c>
      <c r="F30" s="21" t="s">
        <v>283</v>
      </c>
      <c r="G30" s="23">
        <v>45289</v>
      </c>
      <c r="H30" s="23">
        <v>45318</v>
      </c>
      <c r="I30" s="21" t="s">
        <v>54</v>
      </c>
      <c r="J30" s="21" t="s">
        <v>13</v>
      </c>
      <c r="K30" s="24" t="s">
        <v>43</v>
      </c>
      <c r="L30" s="23">
        <v>45292</v>
      </c>
      <c r="M30" s="23">
        <v>45318</v>
      </c>
      <c r="N30" s="25">
        <f t="shared" si="2"/>
        <v>26</v>
      </c>
      <c r="O30" s="26"/>
      <c r="P30" t="s">
        <v>88</v>
      </c>
      <c r="Q30" t="s">
        <v>88</v>
      </c>
      <c r="R30" t="s">
        <v>88</v>
      </c>
      <c r="S30" t="s">
        <v>88</v>
      </c>
      <c r="T30" t="s">
        <v>88</v>
      </c>
      <c r="U30" t="s">
        <v>20</v>
      </c>
    </row>
    <row r="31" spans="1:21" x14ac:dyDescent="0.45">
      <c r="A31" s="35">
        <v>60115656</v>
      </c>
      <c r="B31" s="21" t="s">
        <v>284</v>
      </c>
      <c r="C31" s="22" t="s">
        <v>46</v>
      </c>
      <c r="D31" s="21" t="s">
        <v>285</v>
      </c>
      <c r="E31" s="21" t="s">
        <v>286</v>
      </c>
      <c r="F31" s="21" t="s">
        <v>287</v>
      </c>
      <c r="G31" s="23">
        <v>45285</v>
      </c>
      <c r="H31" s="23">
        <v>45300</v>
      </c>
      <c r="I31" s="21" t="s">
        <v>22</v>
      </c>
      <c r="J31" s="21" t="s">
        <v>13</v>
      </c>
      <c r="K31" s="24" t="s">
        <v>43</v>
      </c>
      <c r="L31" s="23">
        <v>45292</v>
      </c>
      <c r="M31" s="23">
        <v>45295</v>
      </c>
      <c r="N31" s="25">
        <f t="shared" si="2"/>
        <v>3</v>
      </c>
      <c r="O31" s="26"/>
      <c r="P31" t="s">
        <v>88</v>
      </c>
      <c r="Q31" t="s">
        <v>88</v>
      </c>
      <c r="R31" t="s">
        <v>88</v>
      </c>
      <c r="S31" t="s">
        <v>88</v>
      </c>
      <c r="T31" t="s">
        <v>88</v>
      </c>
      <c r="U31" t="s">
        <v>20</v>
      </c>
    </row>
    <row r="32" spans="1:21" x14ac:dyDescent="0.45">
      <c r="A32" s="20">
        <v>58243728</v>
      </c>
      <c r="B32" s="21" t="str">
        <f t="shared" ref="B32:B63" si="3">IF(LEN(A32)=8,MID(A32,1,1)&amp;"."&amp;MID(A32,2,3)&amp;"."&amp;MID(A32,5,3)&amp;"-"&amp;RIGHT(A32,1),IF(LEFT(RIGHT(A32,2),1)="-",MID(A32,1,1)&amp;"."&amp;MID(A32,2,3)&amp;"."&amp;MID(A32,5,3)&amp;"-"&amp;RIGHT(A32,1),MID(A32,1,2)&amp;"."&amp;MID(A32,3,3)&amp;"."&amp;MID(A32,6,3)&amp;"-"&amp;MID(A32,9,1)))</f>
        <v>5.824.372-8</v>
      </c>
      <c r="C32" s="22" t="s">
        <v>22</v>
      </c>
      <c r="D32" s="21" t="s">
        <v>288</v>
      </c>
      <c r="E32" s="21" t="s">
        <v>289</v>
      </c>
      <c r="F32" s="21" t="s">
        <v>290</v>
      </c>
      <c r="G32" s="23">
        <v>45289</v>
      </c>
      <c r="H32" s="23"/>
      <c r="I32" s="21" t="s">
        <v>22</v>
      </c>
      <c r="J32" s="21" t="s">
        <v>65</v>
      </c>
      <c r="K32" s="24" t="s">
        <v>43</v>
      </c>
      <c r="L32" s="23">
        <v>45292</v>
      </c>
      <c r="M32" s="23">
        <v>45322</v>
      </c>
      <c r="N32" s="25">
        <f t="shared" si="2"/>
        <v>30</v>
      </c>
      <c r="O32" s="26"/>
      <c r="P32" t="s">
        <v>88</v>
      </c>
      <c r="Q32" t="s">
        <v>88</v>
      </c>
      <c r="R32" t="s">
        <v>88</v>
      </c>
      <c r="S32" t="s">
        <v>88</v>
      </c>
      <c r="T32" t="s">
        <v>88</v>
      </c>
      <c r="U32" t="s">
        <v>20</v>
      </c>
    </row>
    <row r="33" spans="1:21" x14ac:dyDescent="0.45">
      <c r="A33" s="20">
        <v>58243728</v>
      </c>
      <c r="B33" s="21" t="str">
        <f t="shared" si="3"/>
        <v>5.824.372-8</v>
      </c>
      <c r="C33" s="22" t="s">
        <v>22</v>
      </c>
      <c r="D33" s="21" t="s">
        <v>288</v>
      </c>
      <c r="E33" s="21" t="s">
        <v>289</v>
      </c>
      <c r="F33" s="21" t="s">
        <v>290</v>
      </c>
      <c r="G33" s="23">
        <v>45289</v>
      </c>
      <c r="H33" s="23"/>
      <c r="I33" s="21" t="s">
        <v>22</v>
      </c>
      <c r="J33" s="21" t="s">
        <v>65</v>
      </c>
      <c r="K33" s="24" t="s">
        <v>43</v>
      </c>
      <c r="L33" s="23">
        <v>45293</v>
      </c>
      <c r="M33" s="23">
        <v>45322</v>
      </c>
      <c r="N33" s="25">
        <f t="shared" si="2"/>
        <v>29</v>
      </c>
      <c r="P33" t="s">
        <v>88</v>
      </c>
      <c r="Q33" t="s">
        <v>88</v>
      </c>
      <c r="R33" t="s">
        <v>88</v>
      </c>
      <c r="S33" t="s">
        <v>88</v>
      </c>
      <c r="T33" t="s">
        <v>88</v>
      </c>
      <c r="U33" t="s">
        <v>20</v>
      </c>
    </row>
    <row r="34" spans="1:21" x14ac:dyDescent="0.45">
      <c r="A34" s="20">
        <v>58243728</v>
      </c>
      <c r="B34" s="21" t="str">
        <f t="shared" si="3"/>
        <v>5.824.372-8</v>
      </c>
      <c r="C34" s="22" t="str">
        <f>IF(IFERROR(VLOOKUP(A34,$A$9:$I32,1,0),0)=0,"",VLOOKUP(A34,$A$9:$I32,3,0))</f>
        <v>UCI</v>
      </c>
      <c r="D34" s="21" t="str">
        <f>IF(IFERROR(VLOOKUP(A34,$A$9:$I32,1,0),0)=0,"",VLOOKUP(A34,$A$9:$I32,4,0))</f>
        <v>PARADA</v>
      </c>
      <c r="E34" s="21" t="str">
        <f>IF(IFERROR(VLOOKUP(A34,$A$9:$I32,1,0),0)=0,"",VLOOKUP(A34,$A$9:$I32,5,0))</f>
        <v>NAVARRETE</v>
      </c>
      <c r="F34" s="21" t="str">
        <f>IF(IFERROR(VLOOKUP(A34,$A$9:$I32,1,0),0)=0,"",VLOOKUP(A34,$A$9:$I32,6,0))</f>
        <v>FERNANDO</v>
      </c>
      <c r="G34" s="23">
        <f>IF(IFERROR(VLOOKUP(A34,$A$9:$I32,1,0),0)=0,"",VLOOKUP(A34,$A$9:$I32,7,0))</f>
        <v>45289</v>
      </c>
      <c r="H34" s="23"/>
      <c r="I34" s="21" t="s">
        <v>22</v>
      </c>
      <c r="J34" s="21" t="s">
        <v>65</v>
      </c>
      <c r="K34" s="24" t="s">
        <v>47</v>
      </c>
      <c r="L34" s="23">
        <v>45292</v>
      </c>
      <c r="M34" s="23">
        <v>45322</v>
      </c>
      <c r="N34" s="25">
        <f t="shared" si="2"/>
        <v>30</v>
      </c>
      <c r="O34" s="37" t="s">
        <v>14</v>
      </c>
      <c r="P34" t="s">
        <v>88</v>
      </c>
      <c r="Q34" t="s">
        <v>88</v>
      </c>
      <c r="R34" t="s">
        <v>88</v>
      </c>
      <c r="S34" t="s">
        <v>88</v>
      </c>
      <c r="T34" t="s">
        <v>88</v>
      </c>
      <c r="U34" t="s">
        <v>20</v>
      </c>
    </row>
    <row r="35" spans="1:21" x14ac:dyDescent="0.45">
      <c r="A35" s="20">
        <v>58243728</v>
      </c>
      <c r="B35" s="21" t="str">
        <f t="shared" si="3"/>
        <v>5.824.372-8</v>
      </c>
      <c r="C35" s="22" t="str">
        <f>IF(IFERROR(VLOOKUP(A35,$A$9:$I34,1,0),0)=0,"",VLOOKUP(A35,$A$9:$I34,3,0))</f>
        <v>UCI</v>
      </c>
      <c r="D35" s="21" t="str">
        <f>IF(IFERROR(VLOOKUP(A35,$A$9:$I34,1,0),0)=0,"",VLOOKUP(A35,$A$9:$I34,4,0))</f>
        <v>PARADA</v>
      </c>
      <c r="E35" s="21" t="str">
        <f>IF(IFERROR(VLOOKUP(A35,$A$9:$I34,1,0),0)=0,"",VLOOKUP(A35,$A$9:$I34,5,0))</f>
        <v>NAVARRETE</v>
      </c>
      <c r="F35" s="21" t="str">
        <f>IF(IFERROR(VLOOKUP(A35,$A$9:$I34,1,0),0)=0,"",VLOOKUP(A35,$A$9:$I34,6,0))</f>
        <v>FERNANDO</v>
      </c>
      <c r="G35" s="23">
        <f>IF(IFERROR(VLOOKUP(A35,$A$9:$I34,1,0),0)=0,"",VLOOKUP(A35,$A$9:$I34,7,0))</f>
        <v>45289</v>
      </c>
      <c r="H35" s="23"/>
      <c r="I35" s="21" t="s">
        <v>22</v>
      </c>
      <c r="J35" s="21" t="s">
        <v>65</v>
      </c>
      <c r="K35" s="24" t="s">
        <v>55</v>
      </c>
      <c r="L35" s="23">
        <v>45292</v>
      </c>
      <c r="M35" s="23">
        <v>45316</v>
      </c>
      <c r="N35" s="25">
        <f t="shared" si="2"/>
        <v>24</v>
      </c>
      <c r="O35" s="26"/>
      <c r="P35" t="s">
        <v>147</v>
      </c>
      <c r="Q35" t="s">
        <v>88</v>
      </c>
      <c r="R35" t="s">
        <v>88</v>
      </c>
      <c r="S35" t="s">
        <v>88</v>
      </c>
      <c r="T35" t="s">
        <v>88</v>
      </c>
      <c r="U35" t="s">
        <v>14</v>
      </c>
    </row>
    <row r="36" spans="1:21" x14ac:dyDescent="0.45">
      <c r="A36" s="20">
        <v>96959427</v>
      </c>
      <c r="B36" s="21" t="str">
        <f t="shared" si="3"/>
        <v>9.695.942-7</v>
      </c>
      <c r="C36" s="22" t="s">
        <v>22</v>
      </c>
      <c r="D36" s="21" t="s">
        <v>291</v>
      </c>
      <c r="E36" s="21" t="s">
        <v>292</v>
      </c>
      <c r="F36" s="21" t="s">
        <v>293</v>
      </c>
      <c r="G36" s="23">
        <v>45295</v>
      </c>
      <c r="H36" s="23">
        <v>45303</v>
      </c>
      <c r="I36" s="21" t="s">
        <v>22</v>
      </c>
      <c r="J36" s="21" t="s">
        <v>13</v>
      </c>
      <c r="K36" s="24" t="s">
        <v>18</v>
      </c>
      <c r="L36" s="23">
        <v>45295</v>
      </c>
      <c r="M36" s="23">
        <v>45303</v>
      </c>
      <c r="N36" s="25">
        <f t="shared" si="2"/>
        <v>8</v>
      </c>
      <c r="O36" s="26"/>
      <c r="P36" t="s">
        <v>88</v>
      </c>
      <c r="Q36" t="s">
        <v>88</v>
      </c>
      <c r="R36" t="s">
        <v>88</v>
      </c>
      <c r="S36" t="s">
        <v>88</v>
      </c>
      <c r="T36" t="s">
        <v>88</v>
      </c>
      <c r="U36" t="s">
        <v>20</v>
      </c>
    </row>
    <row r="37" spans="1:21" x14ac:dyDescent="0.45">
      <c r="A37" s="20">
        <v>96959427</v>
      </c>
      <c r="B37" s="21" t="str">
        <f t="shared" si="3"/>
        <v>9.695.942-7</v>
      </c>
      <c r="C37" s="22" t="str">
        <f>IF(IFERROR(VLOOKUP(A37,$A$9:$I36,1,0),0)=0,"",VLOOKUP(A37,$A$9:$I36,3,0))</f>
        <v>UCI</v>
      </c>
      <c r="D37" s="21" t="str">
        <f>IF(IFERROR(VLOOKUP(A37,$A$9:$I36,1,0),0)=0,"",VLOOKUP(A37,$A$9:$I36,4,0))</f>
        <v>BRICEÑO</v>
      </c>
      <c r="E37" s="21" t="str">
        <f>IF(IFERROR(VLOOKUP(A37,$A$9:$I36,1,0),0)=0,"",VLOOKUP(A37,$A$9:$I36,5,0))</f>
        <v>PUENTE</v>
      </c>
      <c r="F37" s="21" t="str">
        <f>IF(IFERROR(VLOOKUP(A37,$A$9:$I36,1,0),0)=0,"",VLOOKUP(A37,$A$9:$I36,6,0))</f>
        <v>CRISTOBAL</v>
      </c>
      <c r="G37" s="23">
        <f>IF(IFERROR(VLOOKUP(A37,$A$9:$I36,1,0),0)=0,"",VLOOKUP(A37,$A$9:$I36,7,0))</f>
        <v>45295</v>
      </c>
      <c r="H37" s="23">
        <v>45303</v>
      </c>
      <c r="I37" s="21" t="s">
        <v>22</v>
      </c>
      <c r="J37" s="21" t="s">
        <v>13</v>
      </c>
      <c r="K37" s="24" t="s">
        <v>23</v>
      </c>
      <c r="L37" s="23">
        <v>45295</v>
      </c>
      <c r="M37" s="23">
        <v>45303</v>
      </c>
      <c r="N37" s="25">
        <f t="shared" si="2"/>
        <v>8</v>
      </c>
      <c r="O37" s="26"/>
      <c r="P37" t="s">
        <v>88</v>
      </c>
      <c r="Q37" t="s">
        <v>88</v>
      </c>
      <c r="R37" t="s">
        <v>88</v>
      </c>
      <c r="S37" t="s">
        <v>88</v>
      </c>
      <c r="T37" t="s">
        <v>88</v>
      </c>
      <c r="U37" t="s">
        <v>20</v>
      </c>
    </row>
    <row r="38" spans="1:21" x14ac:dyDescent="0.45">
      <c r="A38" s="20">
        <v>116822458</v>
      </c>
      <c r="B38" s="21" t="str">
        <f t="shared" si="3"/>
        <v>11.682.245-8</v>
      </c>
      <c r="C38" s="22" t="s">
        <v>22</v>
      </c>
      <c r="D38" s="21" t="str">
        <f>IF(IFERROR(VLOOKUP(A38,$A$9:$I37,1,0),0)=0,"",VLOOKUP(A38,$A$9:$I37,4,0))</f>
        <v>RAMOS</v>
      </c>
      <c r="E38" s="21" t="str">
        <f>IF(IFERROR(VLOOKUP(A38,$A$9:$I37,1,0),0)=0,"",VLOOKUP(A38,$A$9:$I37,5,0))</f>
        <v>PARDO</v>
      </c>
      <c r="F38" s="21" t="str">
        <f>IF(IFERROR(VLOOKUP(A38,$A$9:$I37,1,0),0)=0,"",VLOOKUP(A38,$A$9:$I37,6,0))</f>
        <v>CAROLINA</v>
      </c>
      <c r="G38" s="23">
        <v>45298</v>
      </c>
      <c r="H38" s="23"/>
      <c r="I38" s="21" t="s">
        <v>22</v>
      </c>
      <c r="J38" s="21" t="s">
        <v>65</v>
      </c>
      <c r="K38" s="24" t="s">
        <v>43</v>
      </c>
      <c r="L38" s="23">
        <v>45298</v>
      </c>
      <c r="M38" s="23">
        <v>45304</v>
      </c>
      <c r="N38" s="25">
        <f t="shared" si="2"/>
        <v>6</v>
      </c>
      <c r="O38" s="26"/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20</v>
      </c>
    </row>
    <row r="39" spans="1:21" x14ac:dyDescent="0.45">
      <c r="A39" s="20">
        <v>116822458</v>
      </c>
      <c r="B39" s="21" t="str">
        <f t="shared" si="3"/>
        <v>11.682.245-8</v>
      </c>
      <c r="C39" s="22" t="s">
        <v>22</v>
      </c>
      <c r="D39" s="21" t="str">
        <f>IF(IFERROR(VLOOKUP(A39,$A$9:$I38,1,0),0)=0,"",VLOOKUP(A39,$A$9:$I38,4,0))</f>
        <v>RAMOS</v>
      </c>
      <c r="E39" s="21" t="str">
        <f>IF(IFERROR(VLOOKUP(A39,$A$9:$I38,1,0),0)=0,"",VLOOKUP(A39,$A$9:$I38,5,0))</f>
        <v>PARDO</v>
      </c>
      <c r="F39" s="21" t="str">
        <f>IF(IFERROR(VLOOKUP(A39,$A$9:$I38,1,0),0)=0,"",VLOOKUP(A39,$A$9:$I38,6,0))</f>
        <v>CAROLINA</v>
      </c>
      <c r="G39" s="23">
        <v>45298</v>
      </c>
      <c r="H39" s="23"/>
      <c r="I39" s="21" t="s">
        <v>22</v>
      </c>
      <c r="J39" s="21" t="s">
        <v>65</v>
      </c>
      <c r="K39" s="24" t="s">
        <v>47</v>
      </c>
      <c r="L39" s="23">
        <v>45298</v>
      </c>
      <c r="M39" s="23">
        <v>45303</v>
      </c>
      <c r="N39" s="25">
        <f t="shared" si="2"/>
        <v>5</v>
      </c>
      <c r="O39" s="26"/>
      <c r="P39" t="s">
        <v>88</v>
      </c>
      <c r="Q39" t="s">
        <v>88</v>
      </c>
      <c r="R39" t="s">
        <v>88</v>
      </c>
      <c r="S39" t="s">
        <v>88</v>
      </c>
      <c r="T39" t="s">
        <v>88</v>
      </c>
      <c r="U39" t="s">
        <v>20</v>
      </c>
    </row>
    <row r="40" spans="1:21" x14ac:dyDescent="0.45">
      <c r="A40" s="20">
        <v>180677348</v>
      </c>
      <c r="B40" s="21" t="str">
        <f t="shared" si="3"/>
        <v>18.067.734-8</v>
      </c>
      <c r="C40" s="22" t="s">
        <v>22</v>
      </c>
      <c r="D40" s="21" t="s">
        <v>294</v>
      </c>
      <c r="E40" s="21" t="s">
        <v>295</v>
      </c>
      <c r="F40" s="21" t="s">
        <v>296</v>
      </c>
      <c r="G40" s="23">
        <v>45296</v>
      </c>
      <c r="H40" s="23">
        <v>45319</v>
      </c>
      <c r="I40" s="21" t="s">
        <v>54</v>
      </c>
      <c r="J40" s="21" t="s">
        <v>19</v>
      </c>
      <c r="K40" s="24" t="s">
        <v>43</v>
      </c>
      <c r="L40" s="23">
        <v>45296</v>
      </c>
      <c r="M40" s="23">
        <v>45322</v>
      </c>
      <c r="N40" s="25">
        <f t="shared" si="2"/>
        <v>26</v>
      </c>
      <c r="O40" s="26"/>
      <c r="P40" t="s">
        <v>88</v>
      </c>
      <c r="Q40" t="s">
        <v>88</v>
      </c>
      <c r="R40" t="s">
        <v>88</v>
      </c>
      <c r="S40" t="s">
        <v>88</v>
      </c>
      <c r="T40" t="s">
        <v>88</v>
      </c>
      <c r="U40" t="s">
        <v>20</v>
      </c>
    </row>
    <row r="41" spans="1:21" x14ac:dyDescent="0.45">
      <c r="A41" s="20">
        <v>180677348</v>
      </c>
      <c r="B41" s="21" t="str">
        <f t="shared" si="3"/>
        <v>18.067.734-8</v>
      </c>
      <c r="C41" s="22" t="str">
        <f>IF(IFERROR(VLOOKUP(A41,$A$9:$I40,1,0),0)=0,"",VLOOKUP(A41,$A$9:$I40,3,0))</f>
        <v>UCI</v>
      </c>
      <c r="D41" s="21" t="str">
        <f>IF(IFERROR(VLOOKUP(A41,$A$9:$I40,1,0),0)=0,"",VLOOKUP(A41,$A$9:$I40,4,0))</f>
        <v>TAPIA</v>
      </c>
      <c r="E41" s="21" t="str">
        <f>IF(IFERROR(VLOOKUP(A41,$A$9:$I40,1,0),0)=0,"",VLOOKUP(A41,$A$9:$I40,5,0))</f>
        <v>OSORIO</v>
      </c>
      <c r="F41" s="21" t="str">
        <f>IF(IFERROR(VLOOKUP(A41,$A$9:$I40,1,0),0)=0,"",VLOOKUP(A41,$A$9:$I40,6,0))</f>
        <v>LISETTE</v>
      </c>
      <c r="G41" s="23">
        <f>IF(IFERROR(VLOOKUP(A41,$A$9:$I40,1,0),0)=0,"",VLOOKUP(A41,$A$9:$I40,7,0))</f>
        <v>45296</v>
      </c>
      <c r="H41" s="23">
        <v>45319</v>
      </c>
      <c r="I41" s="21" t="s">
        <v>54</v>
      </c>
      <c r="J41" s="21" t="s">
        <v>19</v>
      </c>
      <c r="K41" s="24" t="s">
        <v>47</v>
      </c>
      <c r="L41" s="23">
        <v>45296</v>
      </c>
      <c r="M41" s="23">
        <v>45322</v>
      </c>
      <c r="N41" s="25">
        <f t="shared" si="2"/>
        <v>26</v>
      </c>
      <c r="O41" s="37" t="s">
        <v>14</v>
      </c>
      <c r="P41" t="s">
        <v>106</v>
      </c>
      <c r="Q41" t="s">
        <v>88</v>
      </c>
      <c r="R41" t="s">
        <v>88</v>
      </c>
      <c r="S41" t="s">
        <v>88</v>
      </c>
      <c r="T41" t="s">
        <v>88</v>
      </c>
      <c r="U41" t="s">
        <v>14</v>
      </c>
    </row>
    <row r="42" spans="1:21" x14ac:dyDescent="0.45">
      <c r="A42" s="20">
        <v>180677348</v>
      </c>
      <c r="B42" s="21" t="str">
        <f t="shared" si="3"/>
        <v>18.067.734-8</v>
      </c>
      <c r="C42" s="22" t="str">
        <f>IF(IFERROR(VLOOKUP(A42,$A$9:$I41,1,0),0)=0,"",VLOOKUP(A42,$A$9:$I41,3,0))</f>
        <v>UCI</v>
      </c>
      <c r="D42" s="21" t="str">
        <f>IF(IFERROR(VLOOKUP(A42,$A$9:$I41,1,0),0)=0,"",VLOOKUP(A42,$A$9:$I41,4,0))</f>
        <v>TAPIA</v>
      </c>
      <c r="E42" s="21" t="str">
        <f>IF(IFERROR(VLOOKUP(A42,$A$9:$I41,1,0),0)=0,"",VLOOKUP(A42,$A$9:$I41,5,0))</f>
        <v>OSORIO</v>
      </c>
      <c r="F42" s="21" t="str">
        <f>IF(IFERROR(VLOOKUP(A42,$A$9:$I41,1,0),0)=0,"",VLOOKUP(A42,$A$9:$I41,6,0))</f>
        <v>LISETTE</v>
      </c>
      <c r="G42" s="23">
        <f>IF(IFERROR(VLOOKUP(A42,$A$9:$I41,1,0),0)=0,"",VLOOKUP(A42,$A$9:$I41,7,0))</f>
        <v>45296</v>
      </c>
      <c r="H42" s="23">
        <v>44954</v>
      </c>
      <c r="I42" s="21" t="s">
        <v>54</v>
      </c>
      <c r="J42" s="21" t="s">
        <v>19</v>
      </c>
      <c r="K42" s="24" t="s">
        <v>55</v>
      </c>
      <c r="L42" s="23">
        <v>45296</v>
      </c>
      <c r="M42" s="23">
        <v>45322</v>
      </c>
      <c r="N42" s="25">
        <f t="shared" si="2"/>
        <v>26</v>
      </c>
      <c r="O42" s="26"/>
      <c r="P42" t="s">
        <v>143</v>
      </c>
      <c r="Q42" t="s">
        <v>88</v>
      </c>
      <c r="R42" t="s">
        <v>88</v>
      </c>
      <c r="S42" t="s">
        <v>88</v>
      </c>
      <c r="T42" t="s">
        <v>88</v>
      </c>
      <c r="U42" t="s">
        <v>14</v>
      </c>
    </row>
    <row r="43" spans="1:21" x14ac:dyDescent="0.45">
      <c r="A43" s="20">
        <v>49147120</v>
      </c>
      <c r="B43" s="21" t="str">
        <f t="shared" si="3"/>
        <v>4.914.712-0</v>
      </c>
      <c r="C43" s="22" t="s">
        <v>22</v>
      </c>
      <c r="D43" s="21" t="s">
        <v>297</v>
      </c>
      <c r="E43" s="21" t="s">
        <v>266</v>
      </c>
      <c r="F43" s="21" t="s">
        <v>298</v>
      </c>
      <c r="G43" s="23">
        <v>45294</v>
      </c>
      <c r="H43" s="23">
        <v>45302</v>
      </c>
      <c r="I43" s="21" t="s">
        <v>24</v>
      </c>
      <c r="J43" s="21" t="s">
        <v>19</v>
      </c>
      <c r="K43" s="24" t="s">
        <v>43</v>
      </c>
      <c r="L43" s="23">
        <v>45294</v>
      </c>
      <c r="M43" s="23">
        <v>45302</v>
      </c>
      <c r="N43" s="25">
        <f t="shared" si="2"/>
        <v>8</v>
      </c>
      <c r="O43" s="26"/>
      <c r="P43" t="s">
        <v>88</v>
      </c>
      <c r="Q43" t="s">
        <v>88</v>
      </c>
      <c r="R43" t="s">
        <v>88</v>
      </c>
      <c r="S43" t="s">
        <v>88</v>
      </c>
      <c r="T43" t="s">
        <v>88</v>
      </c>
      <c r="U43" t="s">
        <v>20</v>
      </c>
    </row>
    <row r="44" spans="1:21" x14ac:dyDescent="0.45">
      <c r="A44" s="20">
        <v>49147120</v>
      </c>
      <c r="B44" s="21" t="str">
        <f t="shared" si="3"/>
        <v>4.914.712-0</v>
      </c>
      <c r="C44" s="22" t="str">
        <f>IF(IFERROR(VLOOKUP(A44,$A$9:$I43,1,0),0)=0,"",VLOOKUP(A44,$A$9:$I43,3,0))</f>
        <v>UCI</v>
      </c>
      <c r="D44" s="21" t="str">
        <f>IF(IFERROR(VLOOKUP(A44,$A$9:$I43,1,0),0)=0,"",VLOOKUP(A44,$A$9:$I43,4,0))</f>
        <v>ESTRADA</v>
      </c>
      <c r="E44" s="21" t="str">
        <f>IF(IFERROR(VLOOKUP(A44,$A$9:$I43,1,0),0)=0,"",VLOOKUP(A44,$A$9:$I43,5,0))</f>
        <v>SOTO</v>
      </c>
      <c r="F44" s="21" t="str">
        <f>IF(IFERROR(VLOOKUP(A44,$A$9:$I43,1,0),0)=0,"",VLOOKUP(A44,$A$9:$I43,6,0))</f>
        <v>JULIA</v>
      </c>
      <c r="G44" s="23">
        <f>IF(IFERROR(VLOOKUP(A44,$A$9:$I43,1,0),0)=0,"",VLOOKUP(A44,$A$9:$I43,7,0))</f>
        <v>45294</v>
      </c>
      <c r="H44" s="23">
        <v>45302</v>
      </c>
      <c r="I44" s="21" t="s">
        <v>24</v>
      </c>
      <c r="J44" s="21" t="s">
        <v>19</v>
      </c>
      <c r="K44" s="24" t="s">
        <v>47</v>
      </c>
      <c r="L44" s="23">
        <v>45294</v>
      </c>
      <c r="M44" s="23">
        <v>45302</v>
      </c>
      <c r="N44" s="25">
        <f t="shared" si="2"/>
        <v>8</v>
      </c>
      <c r="O44" s="26"/>
      <c r="P44" t="s">
        <v>88</v>
      </c>
      <c r="Q44" t="s">
        <v>88</v>
      </c>
      <c r="R44" t="s">
        <v>88</v>
      </c>
      <c r="S44" t="s">
        <v>88</v>
      </c>
      <c r="T44" t="s">
        <v>88</v>
      </c>
      <c r="U44" t="s">
        <v>20</v>
      </c>
    </row>
    <row r="45" spans="1:21" x14ac:dyDescent="0.45">
      <c r="A45" s="20">
        <v>49147120</v>
      </c>
      <c r="B45" s="21" t="str">
        <f t="shared" si="3"/>
        <v>4.914.712-0</v>
      </c>
      <c r="C45" s="22" t="str">
        <f>IF(IFERROR(VLOOKUP(A45,$A$9:$I44,1,0),0)=0,"",VLOOKUP(A45,$A$9:$I44,3,0))</f>
        <v>UCI</v>
      </c>
      <c r="D45" s="21" t="str">
        <f>IF(IFERROR(VLOOKUP(A45,$A$9:$I44,1,0),0)=0,"",VLOOKUP(A45,$A$9:$I44,4,0))</f>
        <v>ESTRADA</v>
      </c>
      <c r="E45" s="21" t="str">
        <f>IF(IFERROR(VLOOKUP(A45,$A$9:$I44,1,0),0)=0,"",VLOOKUP(A45,$A$9:$I44,5,0))</f>
        <v>SOTO</v>
      </c>
      <c r="F45" s="21" t="str">
        <f>IF(IFERROR(VLOOKUP(A45,$A$9:$I44,1,0),0)=0,"",VLOOKUP(A45,$A$9:$I44,6,0))</f>
        <v>JULIA</v>
      </c>
      <c r="G45" s="23">
        <f>IF(IFERROR(VLOOKUP(A45,$A$9:$I44,1,0),0)=0,"",VLOOKUP(A45,$A$9:$I44,7,0))</f>
        <v>45294</v>
      </c>
      <c r="H45" s="23">
        <v>45302</v>
      </c>
      <c r="I45" s="21" t="s">
        <v>24</v>
      </c>
      <c r="J45" s="21" t="s">
        <v>19</v>
      </c>
      <c r="K45" s="24" t="s">
        <v>55</v>
      </c>
      <c r="L45" s="23">
        <v>45294</v>
      </c>
      <c r="M45" s="23">
        <v>45300</v>
      </c>
      <c r="N45" s="25">
        <f t="shared" si="2"/>
        <v>6</v>
      </c>
      <c r="O45" s="26"/>
      <c r="P45" t="s">
        <v>88</v>
      </c>
      <c r="Q45" t="s">
        <v>88</v>
      </c>
      <c r="R45" t="s">
        <v>88</v>
      </c>
      <c r="S45" t="s">
        <v>88</v>
      </c>
      <c r="T45" t="s">
        <v>88</v>
      </c>
      <c r="U45" t="s">
        <v>20</v>
      </c>
    </row>
    <row r="46" spans="1:21" x14ac:dyDescent="0.45">
      <c r="A46" s="20">
        <v>70077051</v>
      </c>
      <c r="B46" s="21" t="str">
        <f t="shared" si="3"/>
        <v>7.007.705-1</v>
      </c>
      <c r="C46" s="22" t="s">
        <v>22</v>
      </c>
      <c r="D46" s="21" t="s">
        <v>299</v>
      </c>
      <c r="E46" s="21" t="s">
        <v>300</v>
      </c>
      <c r="F46" s="21" t="s">
        <v>301</v>
      </c>
      <c r="G46" s="23">
        <v>45300</v>
      </c>
      <c r="H46" s="23">
        <v>45302</v>
      </c>
      <c r="I46" s="21" t="s">
        <v>54</v>
      </c>
      <c r="J46" s="21" t="s">
        <v>13</v>
      </c>
      <c r="K46" s="24" t="s">
        <v>43</v>
      </c>
      <c r="L46" s="23">
        <v>45300</v>
      </c>
      <c r="M46" s="23">
        <v>45302</v>
      </c>
      <c r="N46" s="25">
        <f t="shared" si="2"/>
        <v>2</v>
      </c>
      <c r="O46" s="26"/>
      <c r="P46" t="s">
        <v>88</v>
      </c>
      <c r="Q46" t="s">
        <v>88</v>
      </c>
      <c r="R46" t="s">
        <v>88</v>
      </c>
      <c r="S46" t="s">
        <v>88</v>
      </c>
      <c r="T46" t="s">
        <v>88</v>
      </c>
      <c r="U46" t="s">
        <v>20</v>
      </c>
    </row>
    <row r="47" spans="1:21" x14ac:dyDescent="0.45">
      <c r="A47" s="20">
        <v>70077051</v>
      </c>
      <c r="B47" s="21" t="str">
        <f t="shared" si="3"/>
        <v>7.007.705-1</v>
      </c>
      <c r="C47" s="22" t="str">
        <f>IF(IFERROR(VLOOKUP(A47,$A$9:$I46,1,0),0)=0,"",VLOOKUP(A47,$A$9:$I46,3,0))</f>
        <v>UCI</v>
      </c>
      <c r="D47" s="21" t="str">
        <f>IF(IFERROR(VLOOKUP(A47,$A$9:$I46,1,0),0)=0,"",VLOOKUP(A47,$A$9:$I46,4,0))</f>
        <v>HENRIQUEZ</v>
      </c>
      <c r="E47" s="21" t="str">
        <f>IF(IFERROR(VLOOKUP(A47,$A$9:$I46,1,0),0)=0,"",VLOOKUP(A47,$A$9:$I46,5,0))</f>
        <v>HERNANDEZ</v>
      </c>
      <c r="F47" s="21" t="str">
        <f>IF(IFERROR(VLOOKUP(A47,$A$9:$I46,1,0),0)=0,"",VLOOKUP(A47,$A$9:$I46,6,0))</f>
        <v>ULISES</v>
      </c>
      <c r="G47" s="23">
        <f>IF(IFERROR(VLOOKUP(A47,$A$9:$I46,1,0),0)=0,"",VLOOKUP(A47,$A$9:$I46,7,0))</f>
        <v>45300</v>
      </c>
      <c r="H47" s="23">
        <v>45302</v>
      </c>
      <c r="I47" s="21" t="s">
        <v>54</v>
      </c>
      <c r="J47" s="21" t="s">
        <v>13</v>
      </c>
      <c r="K47" s="24" t="s">
        <v>47</v>
      </c>
      <c r="L47" s="23">
        <v>45300</v>
      </c>
      <c r="M47" s="23">
        <v>45302</v>
      </c>
      <c r="N47" s="25">
        <f t="shared" si="2"/>
        <v>2</v>
      </c>
      <c r="O47" s="26"/>
      <c r="P47" t="s">
        <v>88</v>
      </c>
      <c r="Q47" t="s">
        <v>88</v>
      </c>
      <c r="R47" t="s">
        <v>88</v>
      </c>
      <c r="S47" t="s">
        <v>88</v>
      </c>
      <c r="T47" t="s">
        <v>88</v>
      </c>
      <c r="U47" t="s">
        <v>20</v>
      </c>
    </row>
    <row r="48" spans="1:21" x14ac:dyDescent="0.45">
      <c r="A48" s="20">
        <v>70077051</v>
      </c>
      <c r="B48" s="21" t="str">
        <f t="shared" si="3"/>
        <v>7.007.705-1</v>
      </c>
      <c r="C48" s="22" t="str">
        <f>IF(IFERROR(VLOOKUP(A48,$A$9:$I47,1,0),0)=0,"",VLOOKUP(A48,$A$9:$I47,3,0))</f>
        <v>UCI</v>
      </c>
      <c r="D48" s="21" t="str">
        <f>IF(IFERROR(VLOOKUP(A48,$A$9:$I47,1,0),0)=0,"",VLOOKUP(A48,$A$9:$I47,4,0))</f>
        <v>HENRIQUEZ</v>
      </c>
      <c r="E48" s="21" t="str">
        <f>IF(IFERROR(VLOOKUP(A48,$A$9:$I47,1,0),0)=0,"",VLOOKUP(A48,$A$9:$I47,5,0))</f>
        <v>HERNANDEZ</v>
      </c>
      <c r="F48" s="21" t="str">
        <f>IF(IFERROR(VLOOKUP(A48,$A$9:$I47,1,0),0)=0,"",VLOOKUP(A48,$A$9:$I47,6,0))</f>
        <v>ULISES</v>
      </c>
      <c r="G48" s="23">
        <f>IF(IFERROR(VLOOKUP(A48,$A$9:$I47,1,0),0)=0,"",VLOOKUP(A48,$A$9:$I47,7,0))</f>
        <v>45300</v>
      </c>
      <c r="H48" s="23">
        <v>45302</v>
      </c>
      <c r="I48" s="21" t="s">
        <v>54</v>
      </c>
      <c r="J48" s="21" t="s">
        <v>13</v>
      </c>
      <c r="K48" s="24" t="s">
        <v>55</v>
      </c>
      <c r="L48" s="23">
        <v>45300</v>
      </c>
      <c r="M48" s="23">
        <v>45301</v>
      </c>
      <c r="N48" s="25">
        <f t="shared" si="2"/>
        <v>1</v>
      </c>
      <c r="O48" s="26"/>
      <c r="P48" t="s">
        <v>88</v>
      </c>
      <c r="Q48" t="s">
        <v>88</v>
      </c>
      <c r="R48" t="s">
        <v>88</v>
      </c>
      <c r="S48" t="s">
        <v>88</v>
      </c>
      <c r="T48" t="s">
        <v>88</v>
      </c>
      <c r="U48" t="s">
        <v>20</v>
      </c>
    </row>
    <row r="49" spans="1:21" x14ac:dyDescent="0.45">
      <c r="A49" s="20" t="s">
        <v>302</v>
      </c>
      <c r="B49" s="21" t="str">
        <f t="shared" si="3"/>
        <v>5.684.919-K</v>
      </c>
      <c r="C49" s="22" t="s">
        <v>22</v>
      </c>
      <c r="D49" s="21" t="s">
        <v>303</v>
      </c>
      <c r="E49" s="21" t="s">
        <v>304</v>
      </c>
      <c r="F49" s="21" t="s">
        <v>305</v>
      </c>
      <c r="G49" s="23">
        <v>45298</v>
      </c>
      <c r="H49" s="23">
        <v>45301</v>
      </c>
      <c r="I49" s="21" t="s">
        <v>54</v>
      </c>
      <c r="J49" s="21" t="s">
        <v>19</v>
      </c>
      <c r="K49" s="24" t="s">
        <v>43</v>
      </c>
      <c r="L49" s="23">
        <v>45298</v>
      </c>
      <c r="M49" s="23">
        <v>45301</v>
      </c>
      <c r="N49" s="25">
        <f t="shared" si="2"/>
        <v>3</v>
      </c>
      <c r="O49" s="26"/>
      <c r="P49" t="s">
        <v>88</v>
      </c>
      <c r="Q49" t="s">
        <v>88</v>
      </c>
      <c r="R49" t="s">
        <v>88</v>
      </c>
      <c r="S49" t="s">
        <v>88</v>
      </c>
      <c r="T49" t="s">
        <v>88</v>
      </c>
      <c r="U49" t="s">
        <v>20</v>
      </c>
    </row>
    <row r="50" spans="1:21" x14ac:dyDescent="0.45">
      <c r="A50" s="20" t="s">
        <v>302</v>
      </c>
      <c r="B50" s="21" t="str">
        <f t="shared" si="3"/>
        <v>5.684.919-K</v>
      </c>
      <c r="C50" s="22" t="str">
        <f>IF(IFERROR(VLOOKUP(A50,$A$9:$I49,1,0),0)=0,"",VLOOKUP(A50,$A$9:$I49,3,0))</f>
        <v>UCI</v>
      </c>
      <c r="D50" s="21" t="str">
        <f>IF(IFERROR(VLOOKUP(A50,$A$9:$I49,1,0),0)=0,"",VLOOKUP(A50,$A$9:$I49,4,0))</f>
        <v>PEÑA</v>
      </c>
      <c r="E50" s="21" t="str">
        <f>IF(IFERROR(VLOOKUP(A50,$A$9:$I49,1,0),0)=0,"",VLOOKUP(A50,$A$9:$I49,5,0))</f>
        <v>ILLANES</v>
      </c>
      <c r="F50" s="21" t="str">
        <f>IF(IFERROR(VLOOKUP(A50,$A$9:$I49,1,0),0)=0,"",VLOOKUP(A50,$A$9:$I49,6,0))</f>
        <v>BERTA</v>
      </c>
      <c r="G50" s="23">
        <f>IF(IFERROR(VLOOKUP(A50,$A$9:$I49,1,0),0)=0,"",VLOOKUP(A50,$A$9:$I49,7,0))</f>
        <v>45298</v>
      </c>
      <c r="H50" s="23">
        <v>45301</v>
      </c>
      <c r="I50" s="21" t="s">
        <v>54</v>
      </c>
      <c r="J50" s="21" t="s">
        <v>19</v>
      </c>
      <c r="K50" s="24" t="s">
        <v>47</v>
      </c>
      <c r="L50" s="23">
        <v>45298</v>
      </c>
      <c r="M50" s="23">
        <v>45301</v>
      </c>
      <c r="N50" s="25">
        <f t="shared" si="2"/>
        <v>3</v>
      </c>
      <c r="O50" s="26"/>
      <c r="P50" t="s">
        <v>88</v>
      </c>
      <c r="Q50" t="s">
        <v>88</v>
      </c>
      <c r="R50" t="s">
        <v>88</v>
      </c>
      <c r="S50" t="s">
        <v>88</v>
      </c>
      <c r="T50" t="s">
        <v>88</v>
      </c>
      <c r="U50" t="s">
        <v>20</v>
      </c>
    </row>
    <row r="51" spans="1:21" x14ac:dyDescent="0.45">
      <c r="A51" s="20">
        <v>85933809</v>
      </c>
      <c r="B51" s="21" t="str">
        <f t="shared" si="3"/>
        <v>8.593.380-9</v>
      </c>
      <c r="C51" s="22" t="s">
        <v>22</v>
      </c>
      <c r="D51" s="21" t="s">
        <v>306</v>
      </c>
      <c r="E51" s="21" t="s">
        <v>307</v>
      </c>
      <c r="F51" s="21" t="s">
        <v>308</v>
      </c>
      <c r="G51" s="23">
        <v>45293</v>
      </c>
      <c r="H51" s="23">
        <v>45295</v>
      </c>
      <c r="I51" s="21" t="s">
        <v>56</v>
      </c>
      <c r="J51" s="21" t="s">
        <v>13</v>
      </c>
      <c r="K51" s="24" t="s">
        <v>43</v>
      </c>
      <c r="L51" s="23">
        <v>45293</v>
      </c>
      <c r="M51" s="23">
        <v>45295</v>
      </c>
      <c r="N51" s="25">
        <f t="shared" si="2"/>
        <v>2</v>
      </c>
      <c r="O51" s="26"/>
      <c r="P51" t="s">
        <v>88</v>
      </c>
      <c r="Q51" t="s">
        <v>88</v>
      </c>
      <c r="R51" t="s">
        <v>88</v>
      </c>
      <c r="S51" t="s">
        <v>88</v>
      </c>
      <c r="T51" t="s">
        <v>88</v>
      </c>
      <c r="U51" t="s">
        <v>20</v>
      </c>
    </row>
    <row r="52" spans="1:21" x14ac:dyDescent="0.45">
      <c r="A52" s="20">
        <v>61073450</v>
      </c>
      <c r="B52" s="21" t="str">
        <f t="shared" si="3"/>
        <v>6.107.345-0</v>
      </c>
      <c r="C52" s="22" t="s">
        <v>22</v>
      </c>
      <c r="D52" s="21" t="s">
        <v>309</v>
      </c>
      <c r="E52" s="21" t="s">
        <v>310</v>
      </c>
      <c r="F52" s="21" t="s">
        <v>311</v>
      </c>
      <c r="G52" s="23">
        <v>45293</v>
      </c>
      <c r="H52" s="23">
        <v>45301</v>
      </c>
      <c r="I52" s="21" t="s">
        <v>22</v>
      </c>
      <c r="J52" s="21" t="s">
        <v>65</v>
      </c>
      <c r="K52" s="24" t="s">
        <v>43</v>
      </c>
      <c r="L52" s="23">
        <v>45293</v>
      </c>
      <c r="M52" s="23">
        <v>45301</v>
      </c>
      <c r="N52" s="25">
        <f t="shared" si="2"/>
        <v>8</v>
      </c>
      <c r="O52" s="26"/>
      <c r="P52" t="s">
        <v>88</v>
      </c>
      <c r="Q52" t="s">
        <v>88</v>
      </c>
      <c r="R52" t="s">
        <v>88</v>
      </c>
      <c r="S52" t="s">
        <v>88</v>
      </c>
      <c r="T52" t="s">
        <v>88</v>
      </c>
      <c r="U52" t="s">
        <v>20</v>
      </c>
    </row>
    <row r="53" spans="1:21" x14ac:dyDescent="0.45">
      <c r="A53" s="20">
        <v>61073450</v>
      </c>
      <c r="B53" s="21" t="str">
        <f t="shared" si="3"/>
        <v>6.107.345-0</v>
      </c>
      <c r="C53" s="22" t="str">
        <f>IF(IFERROR(VLOOKUP(A53,$A$9:$I52,1,0),0)=0,"",VLOOKUP(A53,$A$9:$I52,3,0))</f>
        <v>UCI</v>
      </c>
      <c r="D53" s="21" t="str">
        <f>IF(IFERROR(VLOOKUP(A53,$A$9:$I52,1,0),0)=0,"",VLOOKUP(A53,$A$9:$I52,4,0))</f>
        <v>SEGURA</v>
      </c>
      <c r="E53" s="21" t="str">
        <f>IF(IFERROR(VLOOKUP(A53,$A$9:$I52,1,0),0)=0,"",VLOOKUP(A53,$A$9:$I52,5,0))</f>
        <v>MORALES</v>
      </c>
      <c r="F53" s="21" t="str">
        <f>IF(IFERROR(VLOOKUP(A53,$A$9:$I52,1,0),0)=0,"",VLOOKUP(A53,$A$9:$I52,6,0))</f>
        <v>ALICIA</v>
      </c>
      <c r="G53" s="23">
        <f>IF(IFERROR(VLOOKUP(A53,$A$9:$I52,1,0),0)=0,"",VLOOKUP(A53,$A$9:$I52,7,0))</f>
        <v>45293</v>
      </c>
      <c r="H53" s="23">
        <v>45301</v>
      </c>
      <c r="I53" s="21" t="s">
        <v>22</v>
      </c>
      <c r="J53" s="21" t="s">
        <v>65</v>
      </c>
      <c r="K53" s="24" t="s">
        <v>47</v>
      </c>
      <c r="L53" s="23">
        <v>45293</v>
      </c>
      <c r="M53" s="23">
        <v>45301</v>
      </c>
      <c r="N53" s="25">
        <f t="shared" si="2"/>
        <v>8</v>
      </c>
      <c r="O53" s="26"/>
      <c r="P53" t="s">
        <v>88</v>
      </c>
      <c r="Q53" t="s">
        <v>88</v>
      </c>
      <c r="R53" t="s">
        <v>88</v>
      </c>
      <c r="S53" t="s">
        <v>88</v>
      </c>
      <c r="T53" t="s">
        <v>88</v>
      </c>
      <c r="U53" t="s">
        <v>20</v>
      </c>
    </row>
    <row r="54" spans="1:21" x14ac:dyDescent="0.45">
      <c r="A54" s="20">
        <v>61073450</v>
      </c>
      <c r="B54" s="21" t="str">
        <f t="shared" si="3"/>
        <v>6.107.345-0</v>
      </c>
      <c r="C54" s="22" t="str">
        <f>IF(IFERROR(VLOOKUP(A54,$A$9:$I53,1,0),0)=0,"",VLOOKUP(A54,$A$9:$I53,3,0))</f>
        <v>UCI</v>
      </c>
      <c r="D54" s="21" t="str">
        <f>IF(IFERROR(VLOOKUP(A54,$A$9:$I53,1,0),0)=0,"",VLOOKUP(A54,$A$9:$I53,4,0))</f>
        <v>SEGURA</v>
      </c>
      <c r="E54" s="21" t="str">
        <f>IF(IFERROR(VLOOKUP(A54,$A$9:$I53,1,0),0)=0,"",VLOOKUP(A54,$A$9:$I53,5,0))</f>
        <v>MORALES</v>
      </c>
      <c r="F54" s="21" t="str">
        <f>IF(IFERROR(VLOOKUP(A54,$A$9:$I53,1,0),0)=0,"",VLOOKUP(A54,$A$9:$I53,6,0))</f>
        <v>ALICIA</v>
      </c>
      <c r="G54" s="23">
        <f>IF(IFERROR(VLOOKUP(A54,$A$9:$I53,1,0),0)=0,"",VLOOKUP(A54,$A$9:$I53,7,0))</f>
        <v>45293</v>
      </c>
      <c r="H54" s="23">
        <v>45301</v>
      </c>
      <c r="I54" s="21" t="s">
        <v>22</v>
      </c>
      <c r="J54" s="21" t="s">
        <v>65</v>
      </c>
      <c r="K54" s="24" t="s">
        <v>55</v>
      </c>
      <c r="L54" s="23">
        <v>45293</v>
      </c>
      <c r="M54" s="23">
        <v>45300</v>
      </c>
      <c r="N54" s="25">
        <f t="shared" si="2"/>
        <v>7</v>
      </c>
      <c r="O54" s="26"/>
      <c r="P54" t="s">
        <v>88</v>
      </c>
      <c r="Q54" t="s">
        <v>88</v>
      </c>
      <c r="R54" t="s">
        <v>88</v>
      </c>
      <c r="S54" t="s">
        <v>88</v>
      </c>
      <c r="T54" t="s">
        <v>88</v>
      </c>
      <c r="U54" t="s">
        <v>20</v>
      </c>
    </row>
    <row r="55" spans="1:21" x14ac:dyDescent="0.45">
      <c r="A55" s="20">
        <v>53122442</v>
      </c>
      <c r="B55" s="21" t="str">
        <f t="shared" si="3"/>
        <v>5.312.244-2</v>
      </c>
      <c r="C55" s="22" t="s">
        <v>22</v>
      </c>
      <c r="D55" s="21" t="s">
        <v>312</v>
      </c>
      <c r="E55" s="21" t="s">
        <v>313</v>
      </c>
      <c r="F55" s="21" t="s">
        <v>250</v>
      </c>
      <c r="G55" s="23">
        <v>45298</v>
      </c>
      <c r="H55" s="23">
        <v>45300</v>
      </c>
      <c r="I55" s="21" t="s">
        <v>54</v>
      </c>
      <c r="J55" s="21" t="s">
        <v>13</v>
      </c>
      <c r="K55" s="24" t="s">
        <v>43</v>
      </c>
      <c r="L55" s="23">
        <v>45298</v>
      </c>
      <c r="M55" s="23">
        <v>45300</v>
      </c>
      <c r="N55" s="25">
        <f t="shared" si="2"/>
        <v>2</v>
      </c>
      <c r="O55" s="26"/>
      <c r="P55" t="s">
        <v>88</v>
      </c>
      <c r="Q55" t="s">
        <v>88</v>
      </c>
      <c r="R55" t="s">
        <v>88</v>
      </c>
      <c r="S55" t="s">
        <v>88</v>
      </c>
      <c r="T55" t="s">
        <v>88</v>
      </c>
      <c r="U55" t="s">
        <v>20</v>
      </c>
    </row>
    <row r="56" spans="1:21" x14ac:dyDescent="0.45">
      <c r="A56" s="20">
        <v>53122442</v>
      </c>
      <c r="B56" s="21" t="str">
        <f t="shared" si="3"/>
        <v>5.312.244-2</v>
      </c>
      <c r="C56" s="22" t="str">
        <f>IF(IFERROR(VLOOKUP(A56,$A$9:$I55,1,0),0)=0,"",VLOOKUP(A56,$A$9:$I55,3,0))</f>
        <v>UCI</v>
      </c>
      <c r="D56" s="21" t="str">
        <f>IF(IFERROR(VLOOKUP(A56,$A$9:$I55,1,0),0)=0,"",VLOOKUP(A56,$A$9:$I55,4,0))</f>
        <v>BUSTOS</v>
      </c>
      <c r="E56" s="21" t="str">
        <f>IF(IFERROR(VLOOKUP(A56,$A$9:$I55,1,0),0)=0,"",VLOOKUP(A56,$A$9:$I55,5,0))</f>
        <v>AGUILERA</v>
      </c>
      <c r="F56" s="21" t="str">
        <f>IF(IFERROR(VLOOKUP(A56,$A$9:$I55,1,0),0)=0,"",VLOOKUP(A56,$A$9:$I55,6,0))</f>
        <v>JOSE</v>
      </c>
      <c r="G56" s="23">
        <v>45298</v>
      </c>
      <c r="H56" s="23">
        <v>45300</v>
      </c>
      <c r="I56" s="21" t="s">
        <v>54</v>
      </c>
      <c r="J56" s="21" t="s">
        <v>13</v>
      </c>
      <c r="K56" s="24" t="s">
        <v>47</v>
      </c>
      <c r="L56" s="23">
        <v>45298</v>
      </c>
      <c r="M56" s="23">
        <v>45300</v>
      </c>
      <c r="N56" s="25">
        <f t="shared" si="2"/>
        <v>2</v>
      </c>
      <c r="O56" s="26"/>
      <c r="P56" t="s">
        <v>88</v>
      </c>
      <c r="Q56" t="s">
        <v>88</v>
      </c>
      <c r="R56" t="s">
        <v>88</v>
      </c>
      <c r="S56" t="s">
        <v>88</v>
      </c>
      <c r="T56" t="s">
        <v>88</v>
      </c>
      <c r="U56" t="s">
        <v>20</v>
      </c>
    </row>
    <row r="57" spans="1:21" x14ac:dyDescent="0.45">
      <c r="A57" s="20">
        <v>169827125</v>
      </c>
      <c r="B57" s="21" t="str">
        <f t="shared" si="3"/>
        <v>16.982.712-5</v>
      </c>
      <c r="C57" s="22" t="s">
        <v>22</v>
      </c>
      <c r="D57" s="21" t="s">
        <v>314</v>
      </c>
      <c r="E57" s="21" t="s">
        <v>315</v>
      </c>
      <c r="F57" s="21" t="s">
        <v>316</v>
      </c>
      <c r="G57" s="23">
        <v>45298</v>
      </c>
      <c r="H57" s="23">
        <v>44936</v>
      </c>
      <c r="I57" s="21" t="s">
        <v>22</v>
      </c>
      <c r="J57" s="21" t="s">
        <v>13</v>
      </c>
      <c r="K57" s="24" t="s">
        <v>43</v>
      </c>
      <c r="L57" s="23">
        <v>45298</v>
      </c>
      <c r="M57" s="23">
        <v>45301</v>
      </c>
      <c r="N57" s="25">
        <f t="shared" si="2"/>
        <v>3</v>
      </c>
      <c r="O57" s="26"/>
      <c r="P57" t="s">
        <v>88</v>
      </c>
      <c r="Q57" t="s">
        <v>88</v>
      </c>
      <c r="R57" t="s">
        <v>88</v>
      </c>
      <c r="S57" t="s">
        <v>88</v>
      </c>
      <c r="T57" t="s">
        <v>88</v>
      </c>
      <c r="U57" t="s">
        <v>20</v>
      </c>
    </row>
    <row r="58" spans="1:21" x14ac:dyDescent="0.45">
      <c r="A58" s="20">
        <v>169827125</v>
      </c>
      <c r="B58" s="21" t="str">
        <f t="shared" si="3"/>
        <v>16.982.712-5</v>
      </c>
      <c r="C58" s="22" t="str">
        <f>IF(IFERROR(VLOOKUP(A58,$A$9:$I57,1,0),0)=0,"",VLOOKUP(A58,$A$9:$I57,3,0))</f>
        <v>UCI</v>
      </c>
      <c r="D58" s="21" t="str">
        <f>IF(IFERROR(VLOOKUP(A58,$A$9:$I57,1,0),0)=0,"",VLOOKUP(A58,$A$9:$I57,4,0))</f>
        <v>VILLARROEL</v>
      </c>
      <c r="E58" s="21" t="str">
        <f>IF(IFERROR(VLOOKUP(A58,$A$9:$I57,1,0),0)=0,"",VLOOKUP(A58,$A$9:$I57,5,0))</f>
        <v>ARIAS</v>
      </c>
      <c r="F58" s="21" t="str">
        <f>IF(IFERROR(VLOOKUP(A58,$A$9:$I57,1,0),0)=0,"",VLOOKUP(A58,$A$9:$I57,6,0))</f>
        <v>JEAN</v>
      </c>
      <c r="G58" s="23">
        <f>IF(IFERROR(VLOOKUP(A58,$A$9:$I57,1,0),0)=0,"",VLOOKUP(A58,$A$9:$I57,7,0))</f>
        <v>45298</v>
      </c>
      <c r="H58" s="23">
        <v>44936</v>
      </c>
      <c r="I58" s="21" t="s">
        <v>22</v>
      </c>
      <c r="J58" s="21" t="s">
        <v>13</v>
      </c>
      <c r="K58" s="24" t="s">
        <v>47</v>
      </c>
      <c r="L58" s="23">
        <v>45298</v>
      </c>
      <c r="M58" s="23">
        <v>45301</v>
      </c>
      <c r="N58" s="25">
        <f t="shared" si="2"/>
        <v>3</v>
      </c>
      <c r="O58" s="26"/>
      <c r="P58" t="s">
        <v>88</v>
      </c>
      <c r="Q58" t="s">
        <v>88</v>
      </c>
      <c r="R58" t="s">
        <v>88</v>
      </c>
      <c r="S58" t="s">
        <v>88</v>
      </c>
      <c r="T58" t="s">
        <v>88</v>
      </c>
      <c r="U58" t="s">
        <v>20</v>
      </c>
    </row>
    <row r="59" spans="1:21" x14ac:dyDescent="0.45">
      <c r="A59" s="20">
        <v>169827125</v>
      </c>
      <c r="B59" s="21" t="str">
        <f t="shared" si="3"/>
        <v>16.982.712-5</v>
      </c>
      <c r="C59" s="22" t="str">
        <f>IF(IFERROR(VLOOKUP(A59,$A$9:$I58,1,0),0)=0,"",VLOOKUP(A59,$A$9:$I58,3,0))</f>
        <v>UCI</v>
      </c>
      <c r="D59" s="21" t="str">
        <f>IF(IFERROR(VLOOKUP(A59,$A$9:$I58,1,0),0)=0,"",VLOOKUP(A59,$A$9:$I58,4,0))</f>
        <v>VILLARROEL</v>
      </c>
      <c r="E59" s="21" t="str">
        <f>IF(IFERROR(VLOOKUP(A59,$A$9:$I58,1,0),0)=0,"",VLOOKUP(A59,$A$9:$I58,5,0))</f>
        <v>ARIAS</v>
      </c>
      <c r="F59" s="21" t="str">
        <f>IF(IFERROR(VLOOKUP(A59,$A$9:$I58,1,0),0)=0,"",VLOOKUP(A59,$A$9:$I58,6,0))</f>
        <v>JEAN</v>
      </c>
      <c r="G59" s="23">
        <f>IF(IFERROR(VLOOKUP(A59,$A$9:$I58,1,0),0)=0,"",VLOOKUP(A59,$A$9:$I58,7,0))</f>
        <v>45298</v>
      </c>
      <c r="H59" s="23">
        <v>44936</v>
      </c>
      <c r="I59" s="21" t="s">
        <v>22</v>
      </c>
      <c r="J59" s="21" t="s">
        <v>13</v>
      </c>
      <c r="K59" s="24" t="s">
        <v>55</v>
      </c>
      <c r="L59" s="23">
        <v>45301</v>
      </c>
      <c r="M59" s="23">
        <v>45301</v>
      </c>
      <c r="N59" s="25">
        <f t="shared" si="2"/>
        <v>0</v>
      </c>
      <c r="O59" s="26"/>
      <c r="P59" t="s">
        <v>132</v>
      </c>
      <c r="Q59" t="s">
        <v>88</v>
      </c>
      <c r="R59" t="s">
        <v>88</v>
      </c>
      <c r="S59" t="s">
        <v>88</v>
      </c>
      <c r="T59" t="s">
        <v>88</v>
      </c>
      <c r="U59" t="s">
        <v>20</v>
      </c>
    </row>
    <row r="60" spans="1:21" x14ac:dyDescent="0.45">
      <c r="A60" s="20">
        <v>88428749</v>
      </c>
      <c r="B60" s="21" t="str">
        <f t="shared" si="3"/>
        <v>8.842.874-9</v>
      </c>
      <c r="C60" s="22" t="s">
        <v>22</v>
      </c>
      <c r="D60" s="21" t="s">
        <v>317</v>
      </c>
      <c r="E60" s="21" t="s">
        <v>318</v>
      </c>
      <c r="F60" s="21" t="s">
        <v>238</v>
      </c>
      <c r="G60" s="23">
        <v>45301</v>
      </c>
      <c r="H60" s="23">
        <v>45304</v>
      </c>
      <c r="I60" s="21" t="s">
        <v>54</v>
      </c>
      <c r="J60" s="21" t="s">
        <v>19</v>
      </c>
      <c r="K60" s="24" t="s">
        <v>43</v>
      </c>
      <c r="L60" s="23">
        <v>45301</v>
      </c>
      <c r="M60" s="23">
        <v>45304</v>
      </c>
      <c r="N60" s="25">
        <f t="shared" si="2"/>
        <v>3</v>
      </c>
      <c r="O60" s="26"/>
      <c r="P60" t="s">
        <v>88</v>
      </c>
      <c r="Q60" t="s">
        <v>88</v>
      </c>
      <c r="R60" t="s">
        <v>88</v>
      </c>
      <c r="S60" t="s">
        <v>88</v>
      </c>
      <c r="T60" t="s">
        <v>88</v>
      </c>
      <c r="U60" t="s">
        <v>20</v>
      </c>
    </row>
    <row r="61" spans="1:21" x14ac:dyDescent="0.45">
      <c r="A61" s="20">
        <v>88428749</v>
      </c>
      <c r="B61" s="21" t="str">
        <f t="shared" si="3"/>
        <v>8.842.874-9</v>
      </c>
      <c r="C61" s="22" t="str">
        <f>IF(IFERROR(VLOOKUP(A61,$A$9:$I60,1,0),0)=0,"",VLOOKUP(A61,$A$9:$I60,3,0))</f>
        <v>UCI</v>
      </c>
      <c r="D61" s="21" t="str">
        <f>IF(IFERROR(VLOOKUP(A61,$A$9:$I60,1,0),0)=0,"",VLOOKUP(A61,$A$9:$I60,4,0))</f>
        <v>CANDIA</v>
      </c>
      <c r="E61" s="21" t="str">
        <f>IF(IFERROR(VLOOKUP(A61,$A$9:$I60,1,0),0)=0,"",VLOOKUP(A61,$A$9:$I60,5,0))</f>
        <v>VERA</v>
      </c>
      <c r="F61" s="21" t="str">
        <f>IF(IFERROR(VLOOKUP(A61,$A$9:$I60,1,0),0)=0,"",VLOOKUP(A61,$A$9:$I60,6,0))</f>
        <v>LUIS</v>
      </c>
      <c r="G61" s="23">
        <f>IF(IFERROR(VLOOKUP(A61,$A$9:$I60,1,0),0)=0,"",VLOOKUP(A61,$A$9:$I60,7,0))</f>
        <v>45301</v>
      </c>
      <c r="H61" s="23">
        <v>45304</v>
      </c>
      <c r="I61" s="21" t="s">
        <v>54</v>
      </c>
      <c r="J61" s="21" t="s">
        <v>19</v>
      </c>
      <c r="K61" s="24" t="s">
        <v>47</v>
      </c>
      <c r="L61" s="23">
        <v>45301</v>
      </c>
      <c r="M61" s="23">
        <v>45304</v>
      </c>
      <c r="N61" s="25">
        <f t="shared" si="2"/>
        <v>3</v>
      </c>
      <c r="O61" s="26"/>
      <c r="P61" t="s">
        <v>88</v>
      </c>
      <c r="Q61" t="s">
        <v>88</v>
      </c>
      <c r="R61" t="s">
        <v>88</v>
      </c>
      <c r="S61" t="s">
        <v>88</v>
      </c>
      <c r="T61" t="s">
        <v>88</v>
      </c>
      <c r="U61" t="s">
        <v>20</v>
      </c>
    </row>
    <row r="62" spans="1:21" x14ac:dyDescent="0.45">
      <c r="A62" s="20">
        <v>88428749</v>
      </c>
      <c r="B62" s="21" t="str">
        <f t="shared" si="3"/>
        <v>8.842.874-9</v>
      </c>
      <c r="C62" s="22" t="str">
        <f>IF(IFERROR(VLOOKUP(A62,$A$9:$I61,1,0),0)=0,"",VLOOKUP(A62,$A$9:$I61,3,0))</f>
        <v>UCI</v>
      </c>
      <c r="D62" s="21" t="str">
        <f>IF(IFERROR(VLOOKUP(A62,$A$9:$I61,1,0),0)=0,"",VLOOKUP(A62,$A$9:$I61,4,0))</f>
        <v>CANDIA</v>
      </c>
      <c r="E62" s="21" t="str">
        <f>IF(IFERROR(VLOOKUP(A62,$A$9:$I61,1,0),0)=0,"",VLOOKUP(A62,$A$9:$I61,5,0))</f>
        <v>VERA</v>
      </c>
      <c r="F62" s="21" t="str">
        <f>IF(IFERROR(VLOOKUP(A62,$A$9:$I61,1,0),0)=0,"",VLOOKUP(A62,$A$9:$I61,6,0))</f>
        <v>LUIS</v>
      </c>
      <c r="G62" s="23">
        <f>IF(IFERROR(VLOOKUP(A62,$A$9:$I61,1,0),0)=0,"",VLOOKUP(A62,$A$9:$I61,7,0))</f>
        <v>45301</v>
      </c>
      <c r="H62" s="23">
        <v>45304</v>
      </c>
      <c r="I62" s="21" t="s">
        <v>54</v>
      </c>
      <c r="J62" s="21" t="s">
        <v>19</v>
      </c>
      <c r="K62" s="24" t="s">
        <v>55</v>
      </c>
      <c r="L62" s="23">
        <v>45301</v>
      </c>
      <c r="M62" s="23">
        <v>45304</v>
      </c>
      <c r="N62" s="25">
        <f t="shared" si="2"/>
        <v>3</v>
      </c>
      <c r="O62" s="26"/>
      <c r="P62" t="s">
        <v>88</v>
      </c>
      <c r="Q62" t="s">
        <v>88</v>
      </c>
      <c r="R62" t="s">
        <v>88</v>
      </c>
      <c r="S62" t="s">
        <v>88</v>
      </c>
      <c r="T62" t="s">
        <v>88</v>
      </c>
      <c r="U62" t="s">
        <v>20</v>
      </c>
    </row>
    <row r="63" spans="1:21" x14ac:dyDescent="0.45">
      <c r="A63" s="20">
        <v>79690899</v>
      </c>
      <c r="B63" s="21" t="str">
        <f t="shared" si="3"/>
        <v>7.969.089-9</v>
      </c>
      <c r="C63" s="22" t="s">
        <v>22</v>
      </c>
      <c r="D63" s="21" t="s">
        <v>319</v>
      </c>
      <c r="E63" s="21" t="s">
        <v>320</v>
      </c>
      <c r="F63" s="21" t="s">
        <v>321</v>
      </c>
      <c r="G63" s="23">
        <v>45292</v>
      </c>
      <c r="H63" s="23">
        <v>45294</v>
      </c>
      <c r="I63" s="21" t="s">
        <v>54</v>
      </c>
      <c r="J63" s="21" t="s">
        <v>19</v>
      </c>
      <c r="K63" s="24" t="s">
        <v>43</v>
      </c>
      <c r="L63" s="23">
        <v>45292</v>
      </c>
      <c r="M63" s="23">
        <v>45294</v>
      </c>
      <c r="N63" s="25">
        <f t="shared" si="2"/>
        <v>2</v>
      </c>
      <c r="O63" s="26"/>
      <c r="P63" t="s">
        <v>88</v>
      </c>
      <c r="Q63" t="s">
        <v>88</v>
      </c>
      <c r="R63" t="s">
        <v>88</v>
      </c>
      <c r="S63" t="s">
        <v>88</v>
      </c>
      <c r="T63" t="s">
        <v>88</v>
      </c>
      <c r="U63" t="s">
        <v>20</v>
      </c>
    </row>
    <row r="64" spans="1:21" x14ac:dyDescent="0.45">
      <c r="A64" s="20">
        <v>79690899</v>
      </c>
      <c r="B64" s="21" t="str">
        <f t="shared" ref="B64:B95" si="4">IF(LEN(A64)=8,MID(A64,1,1)&amp;"."&amp;MID(A64,2,3)&amp;"."&amp;MID(A64,5,3)&amp;"-"&amp;RIGHT(A64,1),IF(LEFT(RIGHT(A64,2),1)="-",MID(A64,1,1)&amp;"."&amp;MID(A64,2,3)&amp;"."&amp;MID(A64,5,3)&amp;"-"&amp;RIGHT(A64,1),MID(A64,1,2)&amp;"."&amp;MID(A64,3,3)&amp;"."&amp;MID(A64,6,3)&amp;"-"&amp;MID(A64,9,1)))</f>
        <v>7.969.089-9</v>
      </c>
      <c r="C64" s="22" t="str">
        <f>IF(IFERROR(VLOOKUP(A64,$A$9:$I63,1,0),0)=0,"",VLOOKUP(A64,$A$9:$I63,3,0))</f>
        <v>UCI</v>
      </c>
      <c r="D64" s="21" t="str">
        <f>IF(IFERROR(VLOOKUP(A64,$A$9:$I63,1,0),0)=0,"",VLOOKUP(A64,$A$9:$I63,4,0))</f>
        <v>CEBALLO</v>
      </c>
      <c r="E64" s="21" t="str">
        <f>IF(IFERROR(VLOOKUP(A64,$A$9:$I63,1,0),0)=0,"",VLOOKUP(A64,$A$9:$I63,5,0))</f>
        <v>BECERRA</v>
      </c>
      <c r="F64" s="21" t="str">
        <f>IF(IFERROR(VLOOKUP(A64,$A$9:$I63,1,0),0)=0,"",VLOOKUP(A64,$A$9:$I63,6,0))</f>
        <v>OMAR</v>
      </c>
      <c r="G64" s="23">
        <f>IF(IFERROR(VLOOKUP(A64,$A$9:$I63,1,0),0)=0,"",VLOOKUP(A64,$A$9:$I63,7,0))</f>
        <v>45292</v>
      </c>
      <c r="H64" s="23">
        <v>45294</v>
      </c>
      <c r="I64" s="21" t="s">
        <v>54</v>
      </c>
      <c r="J64" s="21" t="s">
        <v>19</v>
      </c>
      <c r="K64" s="24" t="s">
        <v>47</v>
      </c>
      <c r="L64" s="23">
        <v>45292</v>
      </c>
      <c r="M64" s="23">
        <v>45294</v>
      </c>
      <c r="N64" s="25">
        <f t="shared" si="2"/>
        <v>2</v>
      </c>
      <c r="O64" s="26"/>
      <c r="P64" t="s">
        <v>88</v>
      </c>
      <c r="Q64" t="s">
        <v>88</v>
      </c>
      <c r="R64" t="s">
        <v>88</v>
      </c>
      <c r="S64" t="s">
        <v>88</v>
      </c>
      <c r="T64" t="s">
        <v>88</v>
      </c>
      <c r="U64" t="s">
        <v>20</v>
      </c>
    </row>
    <row r="65" spans="1:21" x14ac:dyDescent="0.45">
      <c r="A65" s="20">
        <v>79690899</v>
      </c>
      <c r="B65" s="21" t="str">
        <f t="shared" si="4"/>
        <v>7.969.089-9</v>
      </c>
      <c r="C65" s="22" t="str">
        <f>IF(IFERROR(VLOOKUP(A65,$A$9:$I64,1,0),0)=0,"",VLOOKUP(A65,$A$9:$I64,3,0))</f>
        <v>UCI</v>
      </c>
      <c r="D65" s="21" t="str">
        <f>IF(IFERROR(VLOOKUP(A65,$A$9:$I64,1,0),0)=0,"",VLOOKUP(A65,$A$9:$I64,4,0))</f>
        <v>CEBALLO</v>
      </c>
      <c r="E65" s="21" t="str">
        <f>IF(IFERROR(VLOOKUP(A65,$A$9:$I64,1,0),0)=0,"",VLOOKUP(A65,$A$9:$I64,5,0))</f>
        <v>BECERRA</v>
      </c>
      <c r="F65" s="21" t="str">
        <f>IF(IFERROR(VLOOKUP(A65,$A$9:$I64,1,0),0)=0,"",VLOOKUP(A65,$A$9:$I64,6,0))</f>
        <v>OMAR</v>
      </c>
      <c r="G65" s="23">
        <f>IF(IFERROR(VLOOKUP(A65,$A$9:$I64,1,0),0)=0,"",VLOOKUP(A65,$A$9:$I64,7,0))</f>
        <v>45292</v>
      </c>
      <c r="H65" s="23">
        <v>45294</v>
      </c>
      <c r="I65" s="21" t="s">
        <v>54</v>
      </c>
      <c r="J65" s="21" t="s">
        <v>19</v>
      </c>
      <c r="K65" s="24" t="s">
        <v>55</v>
      </c>
      <c r="L65" s="23">
        <v>45292</v>
      </c>
      <c r="M65" s="23">
        <v>45294</v>
      </c>
      <c r="N65" s="25">
        <f t="shared" si="2"/>
        <v>2</v>
      </c>
      <c r="O65" s="26"/>
      <c r="P65" t="s">
        <v>88</v>
      </c>
      <c r="Q65" t="s">
        <v>88</v>
      </c>
      <c r="R65" t="s">
        <v>88</v>
      </c>
      <c r="S65" t="s">
        <v>88</v>
      </c>
      <c r="T65" t="s">
        <v>88</v>
      </c>
      <c r="U65" t="s">
        <v>20</v>
      </c>
    </row>
    <row r="66" spans="1:21" x14ac:dyDescent="0.45">
      <c r="A66" s="20">
        <v>76153485</v>
      </c>
      <c r="B66" s="21" t="str">
        <f t="shared" si="4"/>
        <v>7.615.348-5</v>
      </c>
      <c r="C66" s="22" t="s">
        <v>22</v>
      </c>
      <c r="D66" s="21" t="s">
        <v>322</v>
      </c>
      <c r="E66" s="21" t="s">
        <v>323</v>
      </c>
      <c r="F66" s="21" t="s">
        <v>324</v>
      </c>
      <c r="G66" s="23">
        <v>45296</v>
      </c>
      <c r="H66" s="23">
        <v>45299</v>
      </c>
      <c r="I66" s="21" t="s">
        <v>46</v>
      </c>
      <c r="J66" s="21" t="s">
        <v>13</v>
      </c>
      <c r="K66" s="24" t="s">
        <v>47</v>
      </c>
      <c r="L66" s="23">
        <v>45296</v>
      </c>
      <c r="M66" s="23">
        <v>45299</v>
      </c>
      <c r="N66" s="25">
        <f t="shared" si="2"/>
        <v>3</v>
      </c>
      <c r="O66" s="26"/>
      <c r="P66" t="s">
        <v>88</v>
      </c>
      <c r="Q66" t="s">
        <v>88</v>
      </c>
      <c r="R66" t="s">
        <v>88</v>
      </c>
      <c r="S66" t="s">
        <v>88</v>
      </c>
      <c r="T66" t="s">
        <v>88</v>
      </c>
      <c r="U66" t="s">
        <v>20</v>
      </c>
    </row>
    <row r="67" spans="1:21" x14ac:dyDescent="0.45">
      <c r="A67" s="20">
        <v>82932739</v>
      </c>
      <c r="B67" s="21" t="str">
        <f t="shared" si="4"/>
        <v>8.293.273-9</v>
      </c>
      <c r="C67" s="22" t="s">
        <v>22</v>
      </c>
      <c r="D67" s="21" t="s">
        <v>325</v>
      </c>
      <c r="E67" s="21" t="s">
        <v>326</v>
      </c>
      <c r="F67" s="21" t="s">
        <v>327</v>
      </c>
      <c r="G67" s="23">
        <v>45298</v>
      </c>
      <c r="H67" s="23">
        <v>45310</v>
      </c>
      <c r="I67" s="21" t="s">
        <v>54</v>
      </c>
      <c r="J67" s="21" t="s">
        <v>13</v>
      </c>
      <c r="K67" s="24" t="s">
        <v>43</v>
      </c>
      <c r="L67" s="23">
        <v>45298</v>
      </c>
      <c r="M67" s="23">
        <v>45309</v>
      </c>
      <c r="N67" s="25">
        <f t="shared" si="2"/>
        <v>11</v>
      </c>
      <c r="O67" s="26"/>
      <c r="P67" t="s">
        <v>88</v>
      </c>
      <c r="Q67" t="s">
        <v>88</v>
      </c>
      <c r="R67" t="s">
        <v>88</v>
      </c>
      <c r="S67" t="s">
        <v>88</v>
      </c>
      <c r="T67" t="s">
        <v>88</v>
      </c>
      <c r="U67" t="s">
        <v>20</v>
      </c>
    </row>
    <row r="68" spans="1:21" x14ac:dyDescent="0.45">
      <c r="A68" s="20">
        <v>82932739</v>
      </c>
      <c r="B68" s="21" t="str">
        <f t="shared" si="4"/>
        <v>8.293.273-9</v>
      </c>
      <c r="C68" s="22" t="str">
        <f>IF(IFERROR(VLOOKUP(A68,$A$9:$I67,1,0),0)=0,"",VLOOKUP(A68,$A$9:$I67,3,0))</f>
        <v>UCI</v>
      </c>
      <c r="D68" s="21" t="str">
        <f>IF(IFERROR(VLOOKUP(A68,$A$9:$I67,1,0),0)=0,"",VLOOKUP(A68,$A$9:$I67,4,0))</f>
        <v>GARCIA</v>
      </c>
      <c r="E68" s="21" t="str">
        <f>IF(IFERROR(VLOOKUP(A68,$A$9:$I67,1,0),0)=0,"",VLOOKUP(A68,$A$9:$I67,5,0))</f>
        <v>ECHEVERRIA</v>
      </c>
      <c r="F68" s="21" t="str">
        <f>IF(IFERROR(VLOOKUP(A68,$A$9:$I67,1,0),0)=0,"",VLOOKUP(A68,$A$9:$I67,6,0))</f>
        <v>MONICA</v>
      </c>
      <c r="G68" s="23">
        <f>IF(IFERROR(VLOOKUP(A68,$A$9:$I67,1,0),0)=0,"",VLOOKUP(A68,$A$9:$I67,7,0))</f>
        <v>45298</v>
      </c>
      <c r="H68" s="23">
        <v>45310</v>
      </c>
      <c r="I68" s="21" t="s">
        <v>54</v>
      </c>
      <c r="J68" s="21" t="s">
        <v>13</v>
      </c>
      <c r="K68" s="24" t="s">
        <v>47</v>
      </c>
      <c r="L68" s="23">
        <v>45298</v>
      </c>
      <c r="M68" s="23">
        <v>45307</v>
      </c>
      <c r="N68" s="25">
        <f t="shared" si="2"/>
        <v>9</v>
      </c>
      <c r="O68" s="26"/>
      <c r="P68" t="s">
        <v>88</v>
      </c>
      <c r="Q68" t="s">
        <v>88</v>
      </c>
      <c r="R68" t="s">
        <v>88</v>
      </c>
      <c r="S68" t="s">
        <v>88</v>
      </c>
      <c r="T68" t="s">
        <v>88</v>
      </c>
      <c r="U68" t="s">
        <v>20</v>
      </c>
    </row>
    <row r="69" spans="1:21" x14ac:dyDescent="0.45">
      <c r="A69" s="20">
        <v>82932739</v>
      </c>
      <c r="B69" s="21" t="str">
        <f t="shared" si="4"/>
        <v>8.293.273-9</v>
      </c>
      <c r="C69" s="22" t="str">
        <f>IF(IFERROR(VLOOKUP(A69,$A$9:$I68,1,0),0)=0,"",VLOOKUP(A69,$A$9:$I68,3,0))</f>
        <v>UCI</v>
      </c>
      <c r="D69" s="21" t="str">
        <f>IF(IFERROR(VLOOKUP(A69,$A$9:$I68,1,0),0)=0,"",VLOOKUP(A69,$A$9:$I68,4,0))</f>
        <v>GARCIA</v>
      </c>
      <c r="E69" s="21" t="str">
        <f>IF(IFERROR(VLOOKUP(A69,$A$9:$I68,1,0),0)=0,"",VLOOKUP(A69,$A$9:$I68,5,0))</f>
        <v>ECHEVERRIA</v>
      </c>
      <c r="F69" s="21" t="str">
        <f>IF(IFERROR(VLOOKUP(A69,$A$9:$I68,1,0),0)=0,"",VLOOKUP(A69,$A$9:$I68,6,0))</f>
        <v>MONICA</v>
      </c>
      <c r="G69" s="23">
        <f>IF(IFERROR(VLOOKUP(A69,$A$9:$I68,1,0),0)=0,"",VLOOKUP(A69,$A$9:$I68,7,0))</f>
        <v>45298</v>
      </c>
      <c r="H69" s="23">
        <v>45310</v>
      </c>
      <c r="I69" s="21" t="s">
        <v>54</v>
      </c>
      <c r="J69" s="21" t="s">
        <v>13</v>
      </c>
      <c r="K69" s="24" t="s">
        <v>55</v>
      </c>
      <c r="L69" s="23">
        <v>45298</v>
      </c>
      <c r="M69" s="23">
        <v>45305</v>
      </c>
      <c r="N69" s="25">
        <f t="shared" si="2"/>
        <v>7</v>
      </c>
      <c r="O69" s="26"/>
      <c r="P69" t="s">
        <v>132</v>
      </c>
      <c r="Q69" t="s">
        <v>88</v>
      </c>
      <c r="R69" t="s">
        <v>88</v>
      </c>
      <c r="S69" t="s">
        <v>88</v>
      </c>
      <c r="T69" t="s">
        <v>88</v>
      </c>
      <c r="U69" t="s">
        <v>20</v>
      </c>
    </row>
    <row r="70" spans="1:21" x14ac:dyDescent="0.45">
      <c r="A70" s="20">
        <v>77239103</v>
      </c>
      <c r="B70" s="21" t="str">
        <f t="shared" si="4"/>
        <v>7.723.910-3</v>
      </c>
      <c r="C70" s="22" t="s">
        <v>22</v>
      </c>
      <c r="D70" s="21" t="s">
        <v>328</v>
      </c>
      <c r="E70" s="21" t="s">
        <v>257</v>
      </c>
      <c r="F70" s="21" t="s">
        <v>238</v>
      </c>
      <c r="G70" s="23">
        <v>45299</v>
      </c>
      <c r="H70" s="23">
        <v>45301</v>
      </c>
      <c r="I70" s="21" t="s">
        <v>54</v>
      </c>
      <c r="J70" s="21" t="s">
        <v>19</v>
      </c>
      <c r="K70" s="24" t="s">
        <v>43</v>
      </c>
      <c r="L70" s="23">
        <v>45299</v>
      </c>
      <c r="M70" s="23">
        <v>45301</v>
      </c>
      <c r="N70" s="25">
        <f t="shared" si="2"/>
        <v>2</v>
      </c>
      <c r="O70" s="26"/>
      <c r="P70" t="s">
        <v>88</v>
      </c>
      <c r="Q70" t="s">
        <v>88</v>
      </c>
      <c r="R70" t="s">
        <v>88</v>
      </c>
      <c r="S70" t="s">
        <v>88</v>
      </c>
      <c r="T70" t="s">
        <v>88</v>
      </c>
      <c r="U70" t="s">
        <v>20</v>
      </c>
    </row>
    <row r="71" spans="1:21" x14ac:dyDescent="0.45">
      <c r="A71" s="20">
        <v>77239103</v>
      </c>
      <c r="B71" s="21" t="str">
        <f t="shared" si="4"/>
        <v>7.723.910-3</v>
      </c>
      <c r="C71" s="22" t="str">
        <f>IF(IFERROR(VLOOKUP(A71,$A$9:$I70,1,0),0)=0,"",VLOOKUP(A71,$A$9:$I70,3,0))</f>
        <v>UCI</v>
      </c>
      <c r="D71" s="21" t="str">
        <f>IF(IFERROR(VLOOKUP(A71,$A$9:$I70,1,0),0)=0,"",VLOOKUP(A71,$A$9:$I70,4,0))</f>
        <v>GUTIERREZ</v>
      </c>
      <c r="E71" s="21" t="str">
        <f>IF(IFERROR(VLOOKUP(A71,$A$9:$I70,1,0),0)=0,"",VLOOKUP(A71,$A$9:$I70,5,0))</f>
        <v>CHAVEZ</v>
      </c>
      <c r="F71" s="21" t="str">
        <f>IF(IFERROR(VLOOKUP(A71,$A$9:$I70,1,0),0)=0,"",VLOOKUP(A71,$A$9:$I70,6,0))</f>
        <v>LUIS</v>
      </c>
      <c r="G71" s="23">
        <f>IF(IFERROR(VLOOKUP(A71,$A$9:$I70,1,0),0)=0,"",VLOOKUP(A71,$A$9:$I70,7,0))</f>
        <v>45299</v>
      </c>
      <c r="H71" s="23">
        <v>45301</v>
      </c>
      <c r="I71" s="21" t="s">
        <v>54</v>
      </c>
      <c r="J71" s="21" t="s">
        <v>19</v>
      </c>
      <c r="K71" s="24" t="s">
        <v>47</v>
      </c>
      <c r="L71" s="23">
        <v>45299</v>
      </c>
      <c r="M71" s="23">
        <v>45301</v>
      </c>
      <c r="N71" s="25">
        <f t="shared" si="2"/>
        <v>2</v>
      </c>
      <c r="O71" s="26"/>
      <c r="P71" t="s">
        <v>88</v>
      </c>
      <c r="Q71" t="s">
        <v>88</v>
      </c>
      <c r="R71" t="s">
        <v>88</v>
      </c>
      <c r="S71" t="s">
        <v>88</v>
      </c>
      <c r="T71" t="s">
        <v>88</v>
      </c>
      <c r="U71" t="s">
        <v>20</v>
      </c>
    </row>
    <row r="72" spans="1:21" x14ac:dyDescent="0.45">
      <c r="A72" s="20">
        <v>77239103</v>
      </c>
      <c r="B72" s="21" t="str">
        <f t="shared" si="4"/>
        <v>7.723.910-3</v>
      </c>
      <c r="C72" s="22" t="str">
        <f>IF(IFERROR(VLOOKUP(A72,$A$9:$I71,1,0),0)=0,"",VLOOKUP(A72,$A$9:$I71,3,0))</f>
        <v>UCI</v>
      </c>
      <c r="D72" s="21" t="str">
        <f>IF(IFERROR(VLOOKUP(A72,$A$9:$I71,1,0),0)=0,"",VLOOKUP(A72,$A$9:$I71,4,0))</f>
        <v>GUTIERREZ</v>
      </c>
      <c r="E72" s="21" t="str">
        <f>IF(IFERROR(VLOOKUP(A72,$A$9:$I71,1,0),0)=0,"",VLOOKUP(A72,$A$9:$I71,5,0))</f>
        <v>CHAVEZ</v>
      </c>
      <c r="F72" s="21" t="str">
        <f>IF(IFERROR(VLOOKUP(A72,$A$9:$I71,1,0),0)=0,"",VLOOKUP(A72,$A$9:$I71,6,0))</f>
        <v>LUIS</v>
      </c>
      <c r="G72" s="23">
        <f>IF(IFERROR(VLOOKUP(A72,$A$9:$I71,1,0),0)=0,"",VLOOKUP(A72,$A$9:$I71,7,0))</f>
        <v>45299</v>
      </c>
      <c r="H72" s="23">
        <v>45301</v>
      </c>
      <c r="I72" s="21" t="s">
        <v>54</v>
      </c>
      <c r="J72" s="21" t="s">
        <v>19</v>
      </c>
      <c r="K72" s="24" t="s">
        <v>55</v>
      </c>
      <c r="L72" s="23">
        <v>45299</v>
      </c>
      <c r="M72" s="23">
        <v>45301</v>
      </c>
      <c r="N72" s="25">
        <f t="shared" si="2"/>
        <v>2</v>
      </c>
      <c r="O72" s="26"/>
      <c r="P72" t="s">
        <v>88</v>
      </c>
      <c r="Q72" t="s">
        <v>88</v>
      </c>
      <c r="R72" t="s">
        <v>88</v>
      </c>
      <c r="S72" t="s">
        <v>88</v>
      </c>
      <c r="T72" t="s">
        <v>88</v>
      </c>
      <c r="U72" t="s">
        <v>20</v>
      </c>
    </row>
    <row r="73" spans="1:21" x14ac:dyDescent="0.45">
      <c r="A73" s="20">
        <v>95056318</v>
      </c>
      <c r="B73" s="21" t="str">
        <f t="shared" si="4"/>
        <v>9.505.631-8</v>
      </c>
      <c r="C73" s="22" t="s">
        <v>22</v>
      </c>
      <c r="D73" s="21" t="s">
        <v>329</v>
      </c>
      <c r="E73" s="21" t="s">
        <v>330</v>
      </c>
      <c r="F73" s="21" t="s">
        <v>331</v>
      </c>
      <c r="G73" s="23">
        <v>45301</v>
      </c>
      <c r="H73" s="23">
        <v>45322</v>
      </c>
      <c r="I73" s="21" t="s">
        <v>54</v>
      </c>
      <c r="J73" s="21" t="s">
        <v>19</v>
      </c>
      <c r="K73" s="24" t="s">
        <v>47</v>
      </c>
      <c r="L73" s="23">
        <v>45301</v>
      </c>
      <c r="M73" s="23">
        <v>45322</v>
      </c>
      <c r="N73" s="30">
        <f t="shared" si="2"/>
        <v>21</v>
      </c>
      <c r="O73" s="26"/>
      <c r="P73" t="s">
        <v>88</v>
      </c>
      <c r="Q73" t="s">
        <v>88</v>
      </c>
      <c r="R73" t="s">
        <v>88</v>
      </c>
      <c r="S73" t="s">
        <v>88</v>
      </c>
      <c r="T73" t="s">
        <v>88</v>
      </c>
      <c r="U73" t="s">
        <v>20</v>
      </c>
    </row>
    <row r="74" spans="1:21" x14ac:dyDescent="0.45">
      <c r="A74" s="20">
        <v>95056318</v>
      </c>
      <c r="B74" s="21" t="str">
        <f t="shared" si="4"/>
        <v>9.505.631-8</v>
      </c>
      <c r="C74" s="22" t="s">
        <v>22</v>
      </c>
      <c r="D74" s="21" t="s">
        <v>329</v>
      </c>
      <c r="E74" s="21" t="s">
        <v>330</v>
      </c>
      <c r="F74" s="21" t="s">
        <v>331</v>
      </c>
      <c r="G74" s="23">
        <v>45311</v>
      </c>
      <c r="H74" s="23">
        <v>45322</v>
      </c>
      <c r="I74" s="21" t="s">
        <v>54</v>
      </c>
      <c r="J74" s="21" t="s">
        <v>19</v>
      </c>
      <c r="K74" s="24" t="s">
        <v>43</v>
      </c>
      <c r="L74" s="23">
        <v>45311</v>
      </c>
      <c r="M74" s="23">
        <v>45322</v>
      </c>
      <c r="N74" s="30">
        <f t="shared" si="2"/>
        <v>11</v>
      </c>
      <c r="O74" s="26"/>
      <c r="P74" t="s">
        <v>88</v>
      </c>
      <c r="Q74" t="s">
        <v>88</v>
      </c>
      <c r="R74" t="s">
        <v>88</v>
      </c>
      <c r="S74" t="s">
        <v>88</v>
      </c>
      <c r="T74" t="s">
        <v>88</v>
      </c>
      <c r="U74" t="s">
        <v>20</v>
      </c>
    </row>
    <row r="75" spans="1:21" x14ac:dyDescent="0.45">
      <c r="A75" s="20">
        <v>95056318</v>
      </c>
      <c r="B75" s="21" t="str">
        <f t="shared" si="4"/>
        <v>9.505.631-8</v>
      </c>
      <c r="C75" s="22" t="str">
        <f>IF(IFERROR(VLOOKUP(A75,$A$9:$I74,1,0),0)=0,"",VLOOKUP(A75,$A$9:$I74,3,0))</f>
        <v>UCI</v>
      </c>
      <c r="D75" s="21" t="str">
        <f>IF(IFERROR(VLOOKUP(A75,$A$9:$I74,1,0),0)=0,"",VLOOKUP(A75,$A$9:$I74,4,0))</f>
        <v>NUÑEZ</v>
      </c>
      <c r="E75" s="21" t="str">
        <f>IF(IFERROR(VLOOKUP(A75,$A$9:$I74,1,0),0)=0,"",VLOOKUP(A75,$A$9:$I74,5,0))</f>
        <v>BOBADILLA</v>
      </c>
      <c r="F75" s="21" t="str">
        <f>IF(IFERROR(VLOOKUP(A75,$A$9:$I74,1,0),0)=0,"",VLOOKUP(A75,$A$9:$I74,6,0))</f>
        <v xml:space="preserve">ANA </v>
      </c>
      <c r="G75" s="23">
        <v>45311</v>
      </c>
      <c r="H75" s="23">
        <v>45322</v>
      </c>
      <c r="I75" s="21" t="s">
        <v>54</v>
      </c>
      <c r="J75" s="21" t="s">
        <v>19</v>
      </c>
      <c r="K75" s="24" t="s">
        <v>55</v>
      </c>
      <c r="L75" s="23">
        <v>45311</v>
      </c>
      <c r="M75" s="23">
        <v>45322</v>
      </c>
      <c r="N75" s="30">
        <f t="shared" si="2"/>
        <v>11</v>
      </c>
      <c r="O75" s="37" t="s">
        <v>14</v>
      </c>
      <c r="P75" t="s">
        <v>143</v>
      </c>
      <c r="Q75" t="s">
        <v>88</v>
      </c>
      <c r="R75" t="s">
        <v>88</v>
      </c>
      <c r="S75" t="s">
        <v>88</v>
      </c>
      <c r="T75" t="s">
        <v>88</v>
      </c>
      <c r="U75" t="s">
        <v>14</v>
      </c>
    </row>
    <row r="76" spans="1:21" x14ac:dyDescent="0.45">
      <c r="A76" s="20">
        <v>56129847</v>
      </c>
      <c r="B76" s="21" t="str">
        <f t="shared" si="4"/>
        <v>5.612.984-7</v>
      </c>
      <c r="C76" s="22" t="s">
        <v>22</v>
      </c>
      <c r="D76" s="21" t="s">
        <v>332</v>
      </c>
      <c r="E76" s="21" t="s">
        <v>333</v>
      </c>
      <c r="F76" s="21" t="s">
        <v>334</v>
      </c>
      <c r="G76" s="23">
        <v>45288</v>
      </c>
      <c r="H76" s="23">
        <v>45319</v>
      </c>
      <c r="I76" s="21" t="s">
        <v>54</v>
      </c>
      <c r="J76" s="21" t="s">
        <v>19</v>
      </c>
      <c r="K76" s="24" t="s">
        <v>47</v>
      </c>
      <c r="L76" s="23">
        <v>45292</v>
      </c>
      <c r="M76" s="23">
        <v>45319</v>
      </c>
      <c r="N76" s="25">
        <f t="shared" si="2"/>
        <v>27</v>
      </c>
      <c r="O76" s="26"/>
      <c r="P76" t="s">
        <v>88</v>
      </c>
      <c r="Q76" t="s">
        <v>88</v>
      </c>
      <c r="R76" t="s">
        <v>88</v>
      </c>
      <c r="S76" t="s">
        <v>88</v>
      </c>
      <c r="T76" t="s">
        <v>88</v>
      </c>
      <c r="U76" t="s">
        <v>20</v>
      </c>
    </row>
    <row r="77" spans="1:21" x14ac:dyDescent="0.45">
      <c r="A77" s="20">
        <v>100224577</v>
      </c>
      <c r="B77" s="21" t="str">
        <f t="shared" si="4"/>
        <v>10.022.457-7</v>
      </c>
      <c r="C77" s="22" t="s">
        <v>22</v>
      </c>
      <c r="D77" s="21" t="s">
        <v>335</v>
      </c>
      <c r="E77" s="21" t="s">
        <v>241</v>
      </c>
      <c r="F77" s="21" t="s">
        <v>336</v>
      </c>
      <c r="G77" s="23">
        <v>45295</v>
      </c>
      <c r="H77" s="23">
        <v>45298</v>
      </c>
      <c r="I77" s="21" t="s">
        <v>22</v>
      </c>
      <c r="J77" s="21" t="s">
        <v>13</v>
      </c>
      <c r="K77" s="24" t="s">
        <v>43</v>
      </c>
      <c r="L77" s="23">
        <v>45295</v>
      </c>
      <c r="M77" s="23">
        <v>45298</v>
      </c>
      <c r="N77" s="25">
        <f t="shared" si="2"/>
        <v>3</v>
      </c>
      <c r="O77" s="26"/>
      <c r="P77" t="s">
        <v>88</v>
      </c>
      <c r="Q77" t="s">
        <v>88</v>
      </c>
      <c r="R77" t="s">
        <v>88</v>
      </c>
      <c r="S77" t="s">
        <v>88</v>
      </c>
      <c r="T77" t="s">
        <v>88</v>
      </c>
      <c r="U77" t="s">
        <v>20</v>
      </c>
    </row>
    <row r="78" spans="1:21" x14ac:dyDescent="0.45">
      <c r="A78" s="20">
        <v>100224577</v>
      </c>
      <c r="B78" s="21" t="str">
        <f t="shared" si="4"/>
        <v>10.022.457-7</v>
      </c>
      <c r="C78" s="22" t="str">
        <f>IF(IFERROR(VLOOKUP(A78,$A$9:$I77,1,0),0)=0,"",VLOOKUP(A78,$A$9:$I77,3,0))</f>
        <v>UCI</v>
      </c>
      <c r="D78" s="21" t="str">
        <f>IF(IFERROR(VLOOKUP(A78,$A$9:$I77,1,0),0)=0,"",VLOOKUP(A78,$A$9:$I77,4,0))</f>
        <v>NOVAS</v>
      </c>
      <c r="E78" s="21" t="str">
        <f>IF(IFERROR(VLOOKUP(A78,$A$9:$I77,1,0),0)=0,"",VLOOKUP(A78,$A$9:$I77,5,0))</f>
        <v>FUENTES</v>
      </c>
      <c r="F78" s="21" t="str">
        <f>IF(IFERROR(VLOOKUP(A78,$A$9:$I77,1,0),0)=0,"",VLOOKUP(A78,$A$9:$I77,6,0))</f>
        <v>ANA</v>
      </c>
      <c r="G78" s="23">
        <f>IF(IFERROR(VLOOKUP(A78,$A$9:$I77,1,0),0)=0,"",VLOOKUP(A78,$A$9:$I77,7,0))</f>
        <v>45295</v>
      </c>
      <c r="H78" s="23">
        <v>45298</v>
      </c>
      <c r="I78" s="21" t="s">
        <v>22</v>
      </c>
      <c r="J78" s="21" t="s">
        <v>13</v>
      </c>
      <c r="K78" s="24" t="s">
        <v>47</v>
      </c>
      <c r="L78" s="23">
        <v>45295</v>
      </c>
      <c r="M78" s="23">
        <v>45298</v>
      </c>
      <c r="N78" s="25">
        <f t="shared" si="2"/>
        <v>3</v>
      </c>
      <c r="O78" s="26"/>
      <c r="P78" t="s">
        <v>88</v>
      </c>
      <c r="Q78" t="s">
        <v>88</v>
      </c>
      <c r="R78" t="s">
        <v>88</v>
      </c>
      <c r="S78" t="s">
        <v>88</v>
      </c>
      <c r="T78" t="s">
        <v>88</v>
      </c>
      <c r="U78" t="s">
        <v>20</v>
      </c>
    </row>
    <row r="79" spans="1:21" x14ac:dyDescent="0.45">
      <c r="A79" s="20" t="s">
        <v>337</v>
      </c>
      <c r="B79" s="21" t="str">
        <f t="shared" si="4"/>
        <v>20.258.750-K</v>
      </c>
      <c r="C79" s="22" t="s">
        <v>22</v>
      </c>
      <c r="D79" s="21" t="s">
        <v>338</v>
      </c>
      <c r="E79" s="21" t="s">
        <v>339</v>
      </c>
      <c r="F79" s="21" t="s">
        <v>340</v>
      </c>
      <c r="G79" s="23">
        <v>45301</v>
      </c>
      <c r="H79" s="23">
        <v>45335</v>
      </c>
      <c r="I79" s="21" t="s">
        <v>22</v>
      </c>
      <c r="J79" s="21" t="s">
        <v>40</v>
      </c>
      <c r="K79" s="24" t="s">
        <v>47</v>
      </c>
      <c r="L79" s="23">
        <v>45301</v>
      </c>
      <c r="M79" s="23">
        <v>45304</v>
      </c>
      <c r="N79" s="25">
        <f t="shared" si="2"/>
        <v>3</v>
      </c>
      <c r="O79" s="26"/>
      <c r="P79" t="s">
        <v>88</v>
      </c>
      <c r="Q79" t="s">
        <v>88</v>
      </c>
      <c r="R79" t="s">
        <v>88</v>
      </c>
      <c r="S79" t="s">
        <v>88</v>
      </c>
      <c r="T79" t="s">
        <v>88</v>
      </c>
      <c r="U79" t="s">
        <v>20</v>
      </c>
    </row>
    <row r="80" spans="1:21" x14ac:dyDescent="0.45">
      <c r="A80" s="20">
        <v>119566606</v>
      </c>
      <c r="B80" s="21" t="str">
        <f t="shared" si="4"/>
        <v>11.956.660-6</v>
      </c>
      <c r="C80" s="22" t="s">
        <v>22</v>
      </c>
      <c r="D80" s="21" t="s">
        <v>341</v>
      </c>
      <c r="E80" s="21" t="s">
        <v>342</v>
      </c>
      <c r="F80" s="21" t="s">
        <v>343</v>
      </c>
      <c r="G80" s="23">
        <v>45291</v>
      </c>
      <c r="H80" s="23">
        <v>45310</v>
      </c>
      <c r="I80" s="21" t="s">
        <v>22</v>
      </c>
      <c r="J80" s="21" t="s">
        <v>13</v>
      </c>
      <c r="K80" s="24" t="s">
        <v>43</v>
      </c>
      <c r="L80" s="23">
        <v>45292</v>
      </c>
      <c r="M80" s="23">
        <v>45310</v>
      </c>
      <c r="N80" s="25">
        <f t="shared" si="2"/>
        <v>18</v>
      </c>
      <c r="O80" s="26"/>
      <c r="P80" t="s">
        <v>88</v>
      </c>
      <c r="Q80" t="s">
        <v>88</v>
      </c>
      <c r="R80" t="s">
        <v>88</v>
      </c>
      <c r="S80" t="s">
        <v>88</v>
      </c>
      <c r="T80" t="s">
        <v>88</v>
      </c>
      <c r="U80" t="s">
        <v>20</v>
      </c>
    </row>
    <row r="81" spans="1:21" x14ac:dyDescent="0.45">
      <c r="A81" s="20">
        <v>119566606</v>
      </c>
      <c r="B81" s="21" t="str">
        <f t="shared" si="4"/>
        <v>11.956.660-6</v>
      </c>
      <c r="C81" s="22" t="s">
        <v>22</v>
      </c>
      <c r="D81" s="21" t="s">
        <v>341</v>
      </c>
      <c r="E81" s="21" t="s">
        <v>342</v>
      </c>
      <c r="F81" s="21" t="s">
        <v>343</v>
      </c>
      <c r="G81" s="23">
        <v>45291</v>
      </c>
      <c r="H81" s="23">
        <v>45310</v>
      </c>
      <c r="I81" s="21" t="s">
        <v>22</v>
      </c>
      <c r="J81" s="21" t="s">
        <v>13</v>
      </c>
      <c r="K81" s="24" t="s">
        <v>43</v>
      </c>
      <c r="L81" s="23">
        <v>45298</v>
      </c>
      <c r="M81" s="23">
        <v>45310</v>
      </c>
      <c r="N81" s="25">
        <f t="shared" si="2"/>
        <v>12</v>
      </c>
      <c r="O81" s="26"/>
      <c r="P81" t="s">
        <v>88</v>
      </c>
      <c r="Q81" t="s">
        <v>88</v>
      </c>
      <c r="R81" t="s">
        <v>88</v>
      </c>
      <c r="S81" t="s">
        <v>88</v>
      </c>
      <c r="T81" t="s">
        <v>88</v>
      </c>
      <c r="U81" t="s">
        <v>20</v>
      </c>
    </row>
    <row r="82" spans="1:21" x14ac:dyDescent="0.45">
      <c r="A82" s="20">
        <v>119566606</v>
      </c>
      <c r="B82" s="21" t="str">
        <f t="shared" si="4"/>
        <v>11.956.660-6</v>
      </c>
      <c r="C82" s="22" t="str">
        <f>IF(IFERROR(VLOOKUP(A82,$A$9:$I80,1,0),0)=0,"",VLOOKUP(A82,$A$9:$I80,3,0))</f>
        <v>UCI</v>
      </c>
      <c r="D82" s="21" t="str">
        <f>IF(IFERROR(VLOOKUP(A82,$A$9:$I80,1,0),0)=0,"",VLOOKUP(A82,$A$9:$I80,4,0))</f>
        <v>LAGOS</v>
      </c>
      <c r="E82" s="21" t="str">
        <f>IF(IFERROR(VLOOKUP(A82,$A$9:$I80,1,0),0)=0,"",VLOOKUP(A82,$A$9:$I80,5,0))</f>
        <v>SALDIAS</v>
      </c>
      <c r="F82" s="21" t="str">
        <f>IF(IFERROR(VLOOKUP(A82,$A$9:$I80,1,0),0)=0,"",VLOOKUP(A82,$A$9:$I80,6,0))</f>
        <v>RUTH</v>
      </c>
      <c r="G82" s="23">
        <f>IF(IFERROR(VLOOKUP(A82,$A$9:$I80,1,0),0)=0,"",VLOOKUP(A82,$A$9:$I80,7,0))</f>
        <v>45291</v>
      </c>
      <c r="H82" s="23">
        <v>45310</v>
      </c>
      <c r="I82" s="21" t="s">
        <v>22</v>
      </c>
      <c r="J82" s="21" t="s">
        <v>13</v>
      </c>
      <c r="K82" s="24" t="s">
        <v>47</v>
      </c>
      <c r="L82" s="23">
        <v>45292</v>
      </c>
      <c r="M82" s="23">
        <v>45310</v>
      </c>
      <c r="N82" s="25">
        <f t="shared" si="2"/>
        <v>18</v>
      </c>
      <c r="O82" s="26"/>
      <c r="P82" t="s">
        <v>88</v>
      </c>
      <c r="Q82" t="s">
        <v>88</v>
      </c>
      <c r="R82" t="s">
        <v>88</v>
      </c>
      <c r="S82" t="s">
        <v>88</v>
      </c>
      <c r="T82" t="s">
        <v>88</v>
      </c>
      <c r="U82" t="s">
        <v>20</v>
      </c>
    </row>
    <row r="83" spans="1:21" x14ac:dyDescent="0.45">
      <c r="A83" s="20">
        <v>142716879</v>
      </c>
      <c r="B83" s="21" t="str">
        <f t="shared" si="4"/>
        <v>14.271.687-9</v>
      </c>
      <c r="C83" s="22" t="s">
        <v>22</v>
      </c>
      <c r="D83" s="21" t="s">
        <v>344</v>
      </c>
      <c r="E83" s="21" t="s">
        <v>345</v>
      </c>
      <c r="F83" s="21" t="s">
        <v>346</v>
      </c>
      <c r="G83" s="23">
        <v>45296</v>
      </c>
      <c r="H83" s="23">
        <v>45301</v>
      </c>
      <c r="I83" s="21" t="s">
        <v>22</v>
      </c>
      <c r="J83" s="21" t="s">
        <v>13</v>
      </c>
      <c r="K83" s="24" t="s">
        <v>43</v>
      </c>
      <c r="L83" s="23">
        <v>45296</v>
      </c>
      <c r="M83" s="23">
        <v>45301</v>
      </c>
      <c r="N83" s="25">
        <f t="shared" si="2"/>
        <v>5</v>
      </c>
      <c r="O83" s="26"/>
      <c r="P83" t="s">
        <v>88</v>
      </c>
      <c r="Q83" t="s">
        <v>88</v>
      </c>
      <c r="R83" t="s">
        <v>88</v>
      </c>
      <c r="S83" t="s">
        <v>88</v>
      </c>
      <c r="T83" t="s">
        <v>88</v>
      </c>
      <c r="U83" t="s">
        <v>20</v>
      </c>
    </row>
    <row r="84" spans="1:21" x14ac:dyDescent="0.45">
      <c r="A84" s="20">
        <v>142716879</v>
      </c>
      <c r="B84" s="21" t="str">
        <f t="shared" si="4"/>
        <v>14.271.687-9</v>
      </c>
      <c r="C84" s="22" t="str">
        <f>IF(IFERROR(VLOOKUP(A84,$A$9:$I83,1,0),0)=0,"",VLOOKUP(A84,$A$9:$I83,3,0))</f>
        <v>UCI</v>
      </c>
      <c r="D84" s="21" t="str">
        <f>IF(IFERROR(VLOOKUP(A84,$A$9:$I83,1,0),0)=0,"",VLOOKUP(A84,$A$9:$I83,4,0))</f>
        <v>AYALA</v>
      </c>
      <c r="E84" s="21" t="str">
        <f>IF(IFERROR(VLOOKUP(A84,$A$9:$I83,1,0),0)=0,"",VLOOKUP(A84,$A$9:$I83,5,0))</f>
        <v>LEAL</v>
      </c>
      <c r="F84" s="21" t="str">
        <f>IF(IFERROR(VLOOKUP(A84,$A$9:$I83,1,0),0)=0,"",VLOOKUP(A84,$A$9:$I83,6,0))</f>
        <v>MARCELA</v>
      </c>
      <c r="G84" s="23">
        <f>IF(IFERROR(VLOOKUP(A84,$A$9:$I83,1,0),0)=0,"",VLOOKUP(A84,$A$9:$I83,7,0))</f>
        <v>45296</v>
      </c>
      <c r="H84" s="23">
        <v>45301</v>
      </c>
      <c r="I84" s="21" t="s">
        <v>22</v>
      </c>
      <c r="J84" s="21" t="s">
        <v>13</v>
      </c>
      <c r="K84" s="24" t="s">
        <v>47</v>
      </c>
      <c r="L84" s="23">
        <v>45296</v>
      </c>
      <c r="M84" s="23">
        <v>45301</v>
      </c>
      <c r="N84" s="25">
        <f t="shared" si="2"/>
        <v>5</v>
      </c>
      <c r="O84" s="26"/>
      <c r="P84" t="s">
        <v>88</v>
      </c>
      <c r="Q84" t="s">
        <v>88</v>
      </c>
      <c r="R84" t="s">
        <v>88</v>
      </c>
      <c r="S84" t="s">
        <v>88</v>
      </c>
      <c r="T84" t="s">
        <v>88</v>
      </c>
      <c r="U84" t="s">
        <v>20</v>
      </c>
    </row>
    <row r="85" spans="1:21" x14ac:dyDescent="0.45">
      <c r="A85" s="20">
        <v>83712643</v>
      </c>
      <c r="B85" s="21" t="str">
        <f t="shared" si="4"/>
        <v>8.371.264-3</v>
      </c>
      <c r="C85" s="22" t="s">
        <v>22</v>
      </c>
      <c r="D85" s="21" t="s">
        <v>299</v>
      </c>
      <c r="E85" s="21" t="s">
        <v>347</v>
      </c>
      <c r="F85" s="21" t="s">
        <v>348</v>
      </c>
      <c r="G85" s="23">
        <v>45296</v>
      </c>
      <c r="H85" s="23">
        <v>45301</v>
      </c>
      <c r="I85" s="21" t="s">
        <v>22</v>
      </c>
      <c r="J85" s="21" t="s">
        <v>52</v>
      </c>
      <c r="K85" s="24" t="s">
        <v>43</v>
      </c>
      <c r="L85" s="23">
        <v>45296</v>
      </c>
      <c r="M85" s="23">
        <v>45301</v>
      </c>
      <c r="N85" s="25">
        <f t="shared" si="2"/>
        <v>5</v>
      </c>
      <c r="O85" s="26"/>
      <c r="P85" t="s">
        <v>88</v>
      </c>
      <c r="Q85" t="s">
        <v>88</v>
      </c>
      <c r="R85" t="s">
        <v>88</v>
      </c>
      <c r="S85" t="s">
        <v>88</v>
      </c>
      <c r="T85" t="s">
        <v>88</v>
      </c>
      <c r="U85" t="s">
        <v>20</v>
      </c>
    </row>
    <row r="86" spans="1:21" x14ac:dyDescent="0.45">
      <c r="A86" s="20">
        <v>83712643</v>
      </c>
      <c r="B86" s="21" t="str">
        <f t="shared" si="4"/>
        <v>8.371.264-3</v>
      </c>
      <c r="C86" s="22" t="str">
        <f>IF(IFERROR(VLOOKUP(A86,$A$9:$I85,1,0),0)=0,"",VLOOKUP(A86,$A$9:$I85,3,0))</f>
        <v>UCI</v>
      </c>
      <c r="D86" s="21" t="str">
        <f>IF(IFERROR(VLOOKUP(A86,$A$9:$I85,1,0),0)=0,"",VLOOKUP(A86,$A$9:$I85,4,0))</f>
        <v>HENRIQUEZ</v>
      </c>
      <c r="E86" s="21" t="str">
        <f>IF(IFERROR(VLOOKUP(A86,$A$9:$I85,1,0),0)=0,"",VLOOKUP(A86,$A$9:$I85,5,0))</f>
        <v>SAAVEDRA</v>
      </c>
      <c r="F86" s="21" t="str">
        <f>IF(IFERROR(VLOOKUP(A86,$A$9:$I85,1,0),0)=0,"",VLOOKUP(A86,$A$9:$I85,6,0))</f>
        <v>MARIA</v>
      </c>
      <c r="G86" s="23">
        <f>IF(IFERROR(VLOOKUP(A86,$A$9:$I85,1,0),0)=0,"",VLOOKUP(A86,$A$9:$I85,7,0))</f>
        <v>45296</v>
      </c>
      <c r="H86" s="23">
        <v>45301</v>
      </c>
      <c r="I86" s="21" t="s">
        <v>22</v>
      </c>
      <c r="J86" s="21" t="s">
        <v>52</v>
      </c>
      <c r="K86" s="24" t="s">
        <v>47</v>
      </c>
      <c r="L86" s="23">
        <v>45296</v>
      </c>
      <c r="M86" s="23">
        <v>45301</v>
      </c>
      <c r="N86" s="25">
        <f t="shared" si="2"/>
        <v>5</v>
      </c>
      <c r="O86" s="26"/>
      <c r="P86" t="s">
        <v>88</v>
      </c>
      <c r="Q86" t="s">
        <v>88</v>
      </c>
      <c r="R86" t="s">
        <v>88</v>
      </c>
      <c r="S86" t="s">
        <v>88</v>
      </c>
      <c r="T86" t="s">
        <v>88</v>
      </c>
      <c r="U86" t="s">
        <v>20</v>
      </c>
    </row>
    <row r="87" spans="1:21" x14ac:dyDescent="0.45">
      <c r="A87" s="20">
        <v>77891730</v>
      </c>
      <c r="B87" s="21" t="str">
        <f t="shared" si="4"/>
        <v>7.789.173-0</v>
      </c>
      <c r="C87" s="22" t="s">
        <v>22</v>
      </c>
      <c r="D87" s="21" t="s">
        <v>349</v>
      </c>
      <c r="E87" s="21" t="s">
        <v>350</v>
      </c>
      <c r="F87" s="21" t="s">
        <v>351</v>
      </c>
      <c r="G87" s="23">
        <v>45292</v>
      </c>
      <c r="H87" s="23">
        <v>45297</v>
      </c>
      <c r="I87" s="21" t="s">
        <v>54</v>
      </c>
      <c r="J87" s="21" t="s">
        <v>13</v>
      </c>
      <c r="K87" s="24" t="s">
        <v>43</v>
      </c>
      <c r="L87" s="23">
        <v>45292</v>
      </c>
      <c r="M87" s="23">
        <v>45293</v>
      </c>
      <c r="N87" s="25">
        <f t="shared" si="2"/>
        <v>1</v>
      </c>
      <c r="O87" s="26"/>
      <c r="P87" t="s">
        <v>88</v>
      </c>
      <c r="Q87" t="s">
        <v>88</v>
      </c>
      <c r="R87" t="s">
        <v>88</v>
      </c>
      <c r="S87" t="s">
        <v>88</v>
      </c>
      <c r="T87" t="s">
        <v>88</v>
      </c>
      <c r="U87" t="s">
        <v>20</v>
      </c>
    </row>
    <row r="88" spans="1:21" x14ac:dyDescent="0.45">
      <c r="A88" s="20">
        <v>77891730</v>
      </c>
      <c r="B88" s="21" t="str">
        <f t="shared" si="4"/>
        <v>7.789.173-0</v>
      </c>
      <c r="C88" s="22" t="str">
        <f>IF(IFERROR(VLOOKUP(A88,$A$9:$I87,1,0),0)=0,"",VLOOKUP(A88,$A$9:$I87,3,0))</f>
        <v>UCI</v>
      </c>
      <c r="D88" s="21" t="str">
        <f>IF(IFERROR(VLOOKUP(A88,$A$9:$I87,1,0),0)=0,"",VLOOKUP(A88,$A$9:$I87,4,0))</f>
        <v>ZUÑIGA</v>
      </c>
      <c r="E88" s="21" t="str">
        <f>IF(IFERROR(VLOOKUP(A88,$A$9:$I87,1,0),0)=0,"",VLOOKUP(A88,$A$9:$I87,5,0))</f>
        <v>MANCILLA</v>
      </c>
      <c r="F88" s="21" t="str">
        <f>IF(IFERROR(VLOOKUP(A88,$A$9:$I87,1,0),0)=0,"",VLOOKUP(A88,$A$9:$I87,6,0))</f>
        <v>OSCAR</v>
      </c>
      <c r="G88" s="23">
        <f>IF(IFERROR(VLOOKUP(A88,$A$9:$I87,1,0),0)=0,"",VLOOKUP(A88,$A$9:$I87,7,0))</f>
        <v>45292</v>
      </c>
      <c r="H88" s="23">
        <v>45297</v>
      </c>
      <c r="I88" s="21" t="s">
        <v>54</v>
      </c>
      <c r="J88" s="21" t="s">
        <v>13</v>
      </c>
      <c r="K88" s="24" t="s">
        <v>47</v>
      </c>
      <c r="L88" s="23">
        <v>45292</v>
      </c>
      <c r="M88" s="23">
        <v>45295</v>
      </c>
      <c r="N88" s="25">
        <f t="shared" ref="N88:N151" si="5">+M88-L88</f>
        <v>3</v>
      </c>
      <c r="O88" s="26"/>
      <c r="P88" t="s">
        <v>88</v>
      </c>
      <c r="Q88" t="s">
        <v>88</v>
      </c>
      <c r="R88" t="s">
        <v>88</v>
      </c>
      <c r="S88" t="s">
        <v>88</v>
      </c>
      <c r="T88" t="s">
        <v>88</v>
      </c>
      <c r="U88" t="s">
        <v>20</v>
      </c>
    </row>
    <row r="89" spans="1:21" x14ac:dyDescent="0.45">
      <c r="A89" s="20">
        <v>76153485</v>
      </c>
      <c r="B89" s="21" t="str">
        <f t="shared" si="4"/>
        <v>7.615.348-5</v>
      </c>
      <c r="C89" s="22" t="s">
        <v>22</v>
      </c>
      <c r="D89" s="21" t="str">
        <f>IF(IFERROR(VLOOKUP(A89,$A$9:$I88,1,0),0)=0,"",VLOOKUP(A89,$A$9:$I88,4,0))</f>
        <v>VENEGAS</v>
      </c>
      <c r="E89" s="21" t="str">
        <f>IF(IFERROR(VLOOKUP(A89,$A$9:$I88,1,0),0)=0,"",VLOOKUP(A89,$A$9:$I88,5,0))</f>
        <v>BASCUÑAN</v>
      </c>
      <c r="F89" s="21" t="str">
        <f>IF(IFERROR(VLOOKUP(A89,$A$9:$I88,1,0),0)=0,"",VLOOKUP(A89,$A$9:$I88,6,0))</f>
        <v>DANIEL</v>
      </c>
      <c r="G89" s="23">
        <v>45299</v>
      </c>
      <c r="H89" s="23">
        <v>45306</v>
      </c>
      <c r="I89" s="21" t="s">
        <v>22</v>
      </c>
      <c r="J89" s="21" t="s">
        <v>13</v>
      </c>
      <c r="K89" s="24" t="s">
        <v>47</v>
      </c>
      <c r="L89" s="23">
        <v>45299</v>
      </c>
      <c r="M89" s="23">
        <v>45301</v>
      </c>
      <c r="N89" s="25">
        <f t="shared" si="5"/>
        <v>2</v>
      </c>
      <c r="O89" s="26"/>
      <c r="P89" t="s">
        <v>88</v>
      </c>
      <c r="Q89" t="s">
        <v>88</v>
      </c>
      <c r="R89" t="s">
        <v>88</v>
      </c>
      <c r="S89" t="s">
        <v>88</v>
      </c>
      <c r="T89" t="s">
        <v>88</v>
      </c>
      <c r="U89" t="s">
        <v>20</v>
      </c>
    </row>
    <row r="90" spans="1:21" x14ac:dyDescent="0.45">
      <c r="A90" s="20">
        <v>110047053</v>
      </c>
      <c r="B90" s="21" t="str">
        <f t="shared" si="4"/>
        <v>11.004.705-3</v>
      </c>
      <c r="C90" s="22" t="s">
        <v>22</v>
      </c>
      <c r="D90" s="21" t="s">
        <v>352</v>
      </c>
      <c r="E90" s="21" t="s">
        <v>353</v>
      </c>
      <c r="F90" s="21" t="s">
        <v>354</v>
      </c>
      <c r="G90" s="23">
        <v>45598</v>
      </c>
      <c r="H90" s="23">
        <v>45301</v>
      </c>
      <c r="I90" s="21" t="s">
        <v>22</v>
      </c>
      <c r="J90" s="21" t="s">
        <v>13</v>
      </c>
      <c r="K90" s="24" t="s">
        <v>43</v>
      </c>
      <c r="L90" s="23">
        <v>45292</v>
      </c>
      <c r="M90" s="23">
        <v>45301</v>
      </c>
      <c r="N90" s="25">
        <f t="shared" si="5"/>
        <v>9</v>
      </c>
      <c r="O90" s="37" t="s">
        <v>355</v>
      </c>
      <c r="P90" t="s">
        <v>96</v>
      </c>
      <c r="Q90" t="s">
        <v>88</v>
      </c>
      <c r="R90" t="s">
        <v>88</v>
      </c>
      <c r="S90" t="s">
        <v>88</v>
      </c>
      <c r="T90" t="s">
        <v>88</v>
      </c>
      <c r="U90" t="s">
        <v>20</v>
      </c>
    </row>
    <row r="91" spans="1:21" x14ac:dyDescent="0.45">
      <c r="A91" s="20">
        <v>110047053</v>
      </c>
      <c r="B91" s="21" t="str">
        <f t="shared" si="4"/>
        <v>11.004.705-3</v>
      </c>
      <c r="C91" s="22" t="str">
        <f>IF(IFERROR(VLOOKUP(A91,$A$9:$I90,1,0),0)=0,"",VLOOKUP(A91,$A$9:$I90,3,0))</f>
        <v>UCI</v>
      </c>
      <c r="D91" s="21" t="str">
        <f>IF(IFERROR(VLOOKUP(A91,$A$9:$I90,1,0),0)=0,"",VLOOKUP(A91,$A$9:$I90,4,0))</f>
        <v>CONTRERAS</v>
      </c>
      <c r="E91" s="21" t="str">
        <f>IF(IFERROR(VLOOKUP(A91,$A$9:$I90,1,0),0)=0,"",VLOOKUP(A91,$A$9:$I90,5,0))</f>
        <v>BASTIAS</v>
      </c>
      <c r="F91" s="21" t="str">
        <f>IF(IFERROR(VLOOKUP(A91,$A$9:$I90,1,0),0)=0,"",VLOOKUP(A91,$A$9:$I90,6,0))</f>
        <v>JESSICA</v>
      </c>
      <c r="G91" s="23">
        <f>IF(IFERROR(VLOOKUP(A91,$A$9:$I90,1,0),0)=0,"",VLOOKUP(A91,$A$9:$I90,7,0))</f>
        <v>45598</v>
      </c>
      <c r="H91" s="23">
        <v>45301</v>
      </c>
      <c r="I91" s="21" t="s">
        <v>22</v>
      </c>
      <c r="J91" s="21" t="s">
        <v>13</v>
      </c>
      <c r="K91" s="24" t="s">
        <v>47</v>
      </c>
      <c r="L91" s="23">
        <v>45292</v>
      </c>
      <c r="M91" s="23">
        <v>45301</v>
      </c>
      <c r="N91" s="25">
        <f t="shared" si="5"/>
        <v>9</v>
      </c>
      <c r="O91" s="37"/>
      <c r="P91" t="s">
        <v>106</v>
      </c>
      <c r="Q91" t="s">
        <v>88</v>
      </c>
      <c r="R91" t="s">
        <v>88</v>
      </c>
      <c r="S91" t="s">
        <v>88</v>
      </c>
      <c r="T91" t="s">
        <v>88</v>
      </c>
      <c r="U91" t="s">
        <v>20</v>
      </c>
    </row>
    <row r="92" spans="1:21" x14ac:dyDescent="0.45">
      <c r="A92" s="20">
        <v>60142637</v>
      </c>
      <c r="B92" s="21" t="str">
        <f t="shared" si="4"/>
        <v>6.014.263-7</v>
      </c>
      <c r="C92" s="22" t="s">
        <v>22</v>
      </c>
      <c r="D92" s="21" t="s">
        <v>266</v>
      </c>
      <c r="E92" s="21" t="s">
        <v>267</v>
      </c>
      <c r="F92" s="21" t="s">
        <v>268</v>
      </c>
      <c r="G92" s="23">
        <v>45301</v>
      </c>
      <c r="H92" s="23">
        <v>45306</v>
      </c>
      <c r="I92" s="21" t="s">
        <v>22</v>
      </c>
      <c r="J92" s="21" t="s">
        <v>13</v>
      </c>
      <c r="K92" s="24" t="s">
        <v>43</v>
      </c>
      <c r="L92" s="23">
        <v>45301</v>
      </c>
      <c r="M92" s="23">
        <v>45306</v>
      </c>
      <c r="N92" s="25">
        <f t="shared" si="5"/>
        <v>5</v>
      </c>
      <c r="O92" s="26"/>
      <c r="P92" t="s">
        <v>88</v>
      </c>
      <c r="Q92" t="s">
        <v>88</v>
      </c>
      <c r="R92" t="s">
        <v>88</v>
      </c>
      <c r="S92" t="s">
        <v>88</v>
      </c>
      <c r="T92" t="s">
        <v>88</v>
      </c>
      <c r="U92" t="s">
        <v>20</v>
      </c>
    </row>
    <row r="93" spans="1:21" x14ac:dyDescent="0.45">
      <c r="A93" s="20">
        <v>60142637</v>
      </c>
      <c r="B93" s="21" t="str">
        <f t="shared" si="4"/>
        <v>6.014.263-7</v>
      </c>
      <c r="C93" s="22" t="str">
        <f>IF(IFERROR(VLOOKUP(A93,$A$9:$I92,1,0),0)=0,"",VLOOKUP(A93,$A$9:$I92,3,0))</f>
        <v>UCI</v>
      </c>
      <c r="D93" s="21" t="str">
        <f>IF(IFERROR(VLOOKUP(A93,$A$9:$I92,1,0),0)=0,"",VLOOKUP(A93,$A$9:$I92,4,0))</f>
        <v>SOTO</v>
      </c>
      <c r="E93" s="21" t="str">
        <f>IF(IFERROR(VLOOKUP(A93,$A$9:$I92,1,0),0)=0,"",VLOOKUP(A93,$A$9:$I92,5,0))</f>
        <v>RUBILAR</v>
      </c>
      <c r="F93" s="21" t="str">
        <f>IF(IFERROR(VLOOKUP(A93,$A$9:$I92,1,0),0)=0,"",VLOOKUP(A93,$A$9:$I92,6,0))</f>
        <v>SONIA</v>
      </c>
      <c r="G93" s="23">
        <f>IF(IFERROR(VLOOKUP(A93,$A$9:$I92,1,0),0)=0,"",VLOOKUP(A93,$A$9:$I92,7,0))</f>
        <v>45301</v>
      </c>
      <c r="H93" s="23">
        <v>45306</v>
      </c>
      <c r="I93" s="21" t="s">
        <v>22</v>
      </c>
      <c r="J93" s="21" t="s">
        <v>13</v>
      </c>
      <c r="K93" s="24" t="s">
        <v>47</v>
      </c>
      <c r="L93" s="23">
        <v>45301</v>
      </c>
      <c r="M93" s="23">
        <v>45306</v>
      </c>
      <c r="N93" s="25">
        <f t="shared" si="5"/>
        <v>5</v>
      </c>
      <c r="O93" s="26"/>
      <c r="P93" t="s">
        <v>88</v>
      </c>
      <c r="Q93" t="s">
        <v>88</v>
      </c>
      <c r="R93" t="s">
        <v>88</v>
      </c>
      <c r="S93" t="s">
        <v>88</v>
      </c>
      <c r="T93" t="s">
        <v>88</v>
      </c>
      <c r="U93" t="s">
        <v>20</v>
      </c>
    </row>
    <row r="94" spans="1:21" x14ac:dyDescent="0.45">
      <c r="A94" s="20">
        <v>172853110</v>
      </c>
      <c r="B94" s="21" t="str">
        <f t="shared" si="4"/>
        <v>17.285.311-0</v>
      </c>
      <c r="C94" s="22" t="s">
        <v>22</v>
      </c>
      <c r="D94" s="21" t="s">
        <v>356</v>
      </c>
      <c r="E94" s="21" t="s">
        <v>318</v>
      </c>
      <c r="F94" s="21" t="s">
        <v>357</v>
      </c>
      <c r="G94" s="23">
        <v>45301</v>
      </c>
      <c r="H94" s="23">
        <v>45306</v>
      </c>
      <c r="I94" s="21" t="s">
        <v>54</v>
      </c>
      <c r="J94" s="21" t="s">
        <v>13</v>
      </c>
      <c r="K94" s="24" t="s">
        <v>43</v>
      </c>
      <c r="L94" s="23">
        <v>45301</v>
      </c>
      <c r="M94" s="23">
        <v>45306</v>
      </c>
      <c r="N94" s="25">
        <f t="shared" si="5"/>
        <v>5</v>
      </c>
      <c r="O94" s="26"/>
      <c r="P94" t="s">
        <v>88</v>
      </c>
      <c r="Q94" t="s">
        <v>88</v>
      </c>
      <c r="R94" t="s">
        <v>88</v>
      </c>
      <c r="S94" t="s">
        <v>88</v>
      </c>
      <c r="T94" t="s">
        <v>88</v>
      </c>
      <c r="U94" t="s">
        <v>20</v>
      </c>
    </row>
    <row r="95" spans="1:21" x14ac:dyDescent="0.45">
      <c r="A95" s="20">
        <v>172853110</v>
      </c>
      <c r="B95" s="21" t="str">
        <f t="shared" si="4"/>
        <v>17.285.311-0</v>
      </c>
      <c r="C95" s="22" t="str">
        <f>IF(IFERROR(VLOOKUP(A95,$A$9:$I94,1,0),0)=0,"",VLOOKUP(A95,$A$9:$I94,3,0))</f>
        <v>UCI</v>
      </c>
      <c r="D95" s="21" t="str">
        <f>IF(IFERROR(VLOOKUP(A95,$A$9:$I94,1,0),0)=0,"",VLOOKUP(A95,$A$9:$I94,4,0))</f>
        <v>ARRSTIA</v>
      </c>
      <c r="E95" s="21" t="str">
        <f>IF(IFERROR(VLOOKUP(A95,$A$9:$I94,1,0),0)=0,"",VLOOKUP(A95,$A$9:$I94,5,0))</f>
        <v>VERA</v>
      </c>
      <c r="F95" s="21" t="str">
        <f>IF(IFERROR(VLOOKUP(A95,$A$9:$I94,1,0),0)=0,"",VLOOKUP(A95,$A$9:$I94,6,0))</f>
        <v>AZUCENA</v>
      </c>
      <c r="G95" s="23">
        <f>IF(IFERROR(VLOOKUP(A95,$A$9:$I94,1,0),0)=0,"",VLOOKUP(A95,$A$9:$I94,7,0))</f>
        <v>45301</v>
      </c>
      <c r="H95" s="23">
        <v>45306</v>
      </c>
      <c r="I95" s="21" t="s">
        <v>54</v>
      </c>
      <c r="J95" s="21" t="s">
        <v>13</v>
      </c>
      <c r="K95" s="24" t="s">
        <v>47</v>
      </c>
      <c r="L95" s="23">
        <v>45301</v>
      </c>
      <c r="M95" s="23">
        <v>45306</v>
      </c>
      <c r="N95" s="25">
        <f t="shared" si="5"/>
        <v>5</v>
      </c>
      <c r="O95" s="26"/>
      <c r="P95" t="s">
        <v>88</v>
      </c>
      <c r="Q95" t="s">
        <v>88</v>
      </c>
      <c r="R95" t="s">
        <v>88</v>
      </c>
      <c r="S95" t="s">
        <v>88</v>
      </c>
      <c r="T95" t="s">
        <v>88</v>
      </c>
      <c r="U95" t="s">
        <v>20</v>
      </c>
    </row>
    <row r="96" spans="1:21" x14ac:dyDescent="0.45">
      <c r="A96" s="20">
        <v>53122442</v>
      </c>
      <c r="B96" s="21" t="str">
        <f t="shared" ref="B96:B127" si="6">IF(LEN(A96)=8,MID(A96,1,1)&amp;"."&amp;MID(A96,2,3)&amp;"."&amp;MID(A96,5,3)&amp;"-"&amp;RIGHT(A96,1),IF(LEFT(RIGHT(A96,2),1)="-",MID(A96,1,1)&amp;"."&amp;MID(A96,2,3)&amp;"."&amp;MID(A96,5,3)&amp;"-"&amp;RIGHT(A96,1),MID(A96,1,2)&amp;"."&amp;MID(A96,3,3)&amp;"."&amp;MID(A96,6,3)&amp;"-"&amp;MID(A96,9,1)))</f>
        <v>5.312.244-2</v>
      </c>
      <c r="C96" s="22" t="str">
        <f>IF(IFERROR(VLOOKUP(A96,$A$9:$I95,1,0),0)=0,"",VLOOKUP(A96,$A$9:$I95,3,0))</f>
        <v>UCI</v>
      </c>
      <c r="D96" s="21" t="str">
        <f>IF(IFERROR(VLOOKUP(A96,$A$9:$I95,1,0),0)=0,"",VLOOKUP(A96,$A$9:$I95,4,0))</f>
        <v>BUSTOS</v>
      </c>
      <c r="E96" s="21" t="str">
        <f>IF(IFERROR(VLOOKUP(A96,$A$9:$I95,1,0),0)=0,"",VLOOKUP(A96,$A$9:$I95,5,0))</f>
        <v>AGUILERA</v>
      </c>
      <c r="F96" s="21" t="str">
        <f>IF(IFERROR(VLOOKUP(A96,$A$9:$I95,1,0),0)=0,"",VLOOKUP(A96,$A$9:$I95,6,0))</f>
        <v>JOSE</v>
      </c>
      <c r="G96" s="23">
        <v>45300</v>
      </c>
      <c r="H96" s="23">
        <v>45304</v>
      </c>
      <c r="I96" s="21" t="s">
        <v>54</v>
      </c>
      <c r="J96" s="21" t="s">
        <v>13</v>
      </c>
      <c r="K96" s="24" t="s">
        <v>43</v>
      </c>
      <c r="L96" s="23">
        <v>45300</v>
      </c>
      <c r="M96" s="23">
        <v>45304</v>
      </c>
      <c r="N96" s="25">
        <f t="shared" si="5"/>
        <v>4</v>
      </c>
      <c r="O96" s="26"/>
      <c r="P96" t="s">
        <v>88</v>
      </c>
      <c r="Q96" t="s">
        <v>88</v>
      </c>
      <c r="R96" t="s">
        <v>88</v>
      </c>
      <c r="S96" t="s">
        <v>88</v>
      </c>
      <c r="T96" t="s">
        <v>88</v>
      </c>
      <c r="U96" t="s">
        <v>20</v>
      </c>
    </row>
    <row r="97" spans="1:21" x14ac:dyDescent="0.45">
      <c r="A97" s="20">
        <v>53122442</v>
      </c>
      <c r="B97" s="21" t="str">
        <f t="shared" si="6"/>
        <v>5.312.244-2</v>
      </c>
      <c r="C97" s="22" t="str">
        <f>IF(IFERROR(VLOOKUP(A97,$A$9:$I96,1,0),0)=0,"",VLOOKUP(A97,$A$9:$I96,3,0))</f>
        <v>UCI</v>
      </c>
      <c r="D97" s="21" t="str">
        <f>IF(IFERROR(VLOOKUP(A97,$A$9:$I96,1,0),0)=0,"",VLOOKUP(A97,$A$9:$I96,4,0))</f>
        <v>BUSTOS</v>
      </c>
      <c r="E97" s="21" t="str">
        <f>IF(IFERROR(VLOOKUP(A97,$A$9:$I96,1,0),0)=0,"",VLOOKUP(A97,$A$9:$I96,5,0))</f>
        <v>AGUILERA</v>
      </c>
      <c r="F97" s="21" t="str">
        <f>IF(IFERROR(VLOOKUP(A97,$A$9:$I96,1,0),0)=0,"",VLOOKUP(A97,$A$9:$I96,6,0))</f>
        <v>JOSE</v>
      </c>
      <c r="G97" s="23">
        <v>45300</v>
      </c>
      <c r="H97" s="23">
        <v>45304</v>
      </c>
      <c r="I97" s="21" t="s">
        <v>54</v>
      </c>
      <c r="J97" s="21" t="s">
        <v>13</v>
      </c>
      <c r="K97" s="24" t="s">
        <v>47</v>
      </c>
      <c r="L97" s="23">
        <v>45300</v>
      </c>
      <c r="M97" s="23">
        <v>45304</v>
      </c>
      <c r="N97" s="25">
        <f t="shared" si="5"/>
        <v>4</v>
      </c>
      <c r="O97" s="26"/>
      <c r="P97" t="s">
        <v>88</v>
      </c>
      <c r="Q97" t="s">
        <v>88</v>
      </c>
      <c r="R97" t="s">
        <v>88</v>
      </c>
      <c r="S97" t="s">
        <v>88</v>
      </c>
      <c r="T97" t="s">
        <v>88</v>
      </c>
      <c r="U97" t="s">
        <v>20</v>
      </c>
    </row>
    <row r="98" spans="1:21" x14ac:dyDescent="0.45">
      <c r="A98" s="20">
        <v>54454147</v>
      </c>
      <c r="B98" s="21" t="str">
        <f t="shared" si="6"/>
        <v>5.445.414-7</v>
      </c>
      <c r="C98" s="22" t="s">
        <v>30</v>
      </c>
      <c r="D98" s="21" t="s">
        <v>339</v>
      </c>
      <c r="E98" s="21" t="s">
        <v>358</v>
      </c>
      <c r="F98" s="21" t="s">
        <v>359</v>
      </c>
      <c r="G98" s="23">
        <v>45288</v>
      </c>
      <c r="H98" s="23">
        <v>45294</v>
      </c>
      <c r="I98" s="21" t="s">
        <v>54</v>
      </c>
      <c r="J98" s="21" t="s">
        <v>13</v>
      </c>
      <c r="K98" s="24" t="s">
        <v>43</v>
      </c>
      <c r="L98" s="23">
        <v>45292</v>
      </c>
      <c r="M98" s="23">
        <v>45294</v>
      </c>
      <c r="N98" s="25">
        <f t="shared" si="5"/>
        <v>2</v>
      </c>
      <c r="O98" s="26"/>
      <c r="P98" t="s">
        <v>88</v>
      </c>
      <c r="Q98" t="s">
        <v>88</v>
      </c>
      <c r="R98" t="s">
        <v>88</v>
      </c>
      <c r="S98" t="s">
        <v>88</v>
      </c>
      <c r="T98" t="s">
        <v>88</v>
      </c>
      <c r="U98" t="s">
        <v>20</v>
      </c>
    </row>
    <row r="99" spans="1:21" x14ac:dyDescent="0.45">
      <c r="A99" s="20" t="s">
        <v>360</v>
      </c>
      <c r="B99" s="21" t="str">
        <f t="shared" si="6"/>
        <v>12.361.559-K</v>
      </c>
      <c r="C99" s="22" t="s">
        <v>30</v>
      </c>
      <c r="D99" s="21" t="s">
        <v>294</v>
      </c>
      <c r="E99" s="21" t="s">
        <v>361</v>
      </c>
      <c r="F99" s="21" t="s">
        <v>362</v>
      </c>
      <c r="G99" s="23">
        <v>45290</v>
      </c>
      <c r="H99" s="23">
        <v>45301</v>
      </c>
      <c r="I99" s="21" t="s">
        <v>54</v>
      </c>
      <c r="J99" s="21" t="s">
        <v>69</v>
      </c>
      <c r="K99" s="24" t="s">
        <v>43</v>
      </c>
      <c r="L99" s="23">
        <v>45292</v>
      </c>
      <c r="M99" s="23">
        <v>45301</v>
      </c>
      <c r="N99" s="25">
        <f t="shared" si="5"/>
        <v>9</v>
      </c>
      <c r="O99" s="26"/>
      <c r="P99" t="s">
        <v>88</v>
      </c>
      <c r="Q99" t="s">
        <v>88</v>
      </c>
      <c r="R99" t="s">
        <v>88</v>
      </c>
      <c r="S99" t="s">
        <v>88</v>
      </c>
      <c r="T99" t="s">
        <v>88</v>
      </c>
      <c r="U99" t="s">
        <v>20</v>
      </c>
    </row>
    <row r="100" spans="1:21" x14ac:dyDescent="0.45">
      <c r="A100" s="20" t="s">
        <v>360</v>
      </c>
      <c r="B100" s="21" t="str">
        <f t="shared" si="6"/>
        <v>12.361.559-K</v>
      </c>
      <c r="C100" s="22" t="str">
        <f>IF(IFERROR(VLOOKUP(A100,$A$9:$I99,1,0),0)=0,"",VLOOKUP(A100,$A$9:$I99,3,0))</f>
        <v>UCO</v>
      </c>
      <c r="D100" s="21" t="str">
        <f>IF(IFERROR(VLOOKUP(A100,$A$9:$I99,1,0),0)=0,"",VLOOKUP(A100,$A$9:$I99,4,0))</f>
        <v>TAPIA</v>
      </c>
      <c r="E100" s="21" t="str">
        <f>IF(IFERROR(VLOOKUP(A100,$A$9:$I99,1,0),0)=0,"",VLOOKUP(A100,$A$9:$I99,5,0))</f>
        <v>QUIROZ</v>
      </c>
      <c r="F100" s="21" t="str">
        <f>IF(IFERROR(VLOOKUP(A100,$A$9:$I99,1,0),0)=0,"",VLOOKUP(A100,$A$9:$I99,6,0))</f>
        <v>JORGE</v>
      </c>
      <c r="G100" s="23">
        <f>IF(IFERROR(VLOOKUP(A100,$A$9:$I99,1,0),0)=0,"",VLOOKUP(A100,$A$9:$I99,7,0))</f>
        <v>45290</v>
      </c>
      <c r="H100" s="23">
        <v>45301</v>
      </c>
      <c r="I100" s="21" t="s">
        <v>54</v>
      </c>
      <c r="J100" s="21" t="s">
        <v>69</v>
      </c>
      <c r="K100" s="24" t="s">
        <v>47</v>
      </c>
      <c r="L100" s="23">
        <v>45292</v>
      </c>
      <c r="M100" s="23">
        <v>45300</v>
      </c>
      <c r="N100" s="25">
        <f t="shared" si="5"/>
        <v>8</v>
      </c>
      <c r="O100" s="26"/>
      <c r="P100" t="s">
        <v>88</v>
      </c>
      <c r="Q100" t="s">
        <v>88</v>
      </c>
      <c r="R100" t="s">
        <v>88</v>
      </c>
      <c r="S100" t="s">
        <v>88</v>
      </c>
      <c r="T100" t="s">
        <v>88</v>
      </c>
      <c r="U100" t="s">
        <v>20</v>
      </c>
    </row>
    <row r="101" spans="1:21" x14ac:dyDescent="0.45">
      <c r="A101" s="20" t="s">
        <v>360</v>
      </c>
      <c r="B101" s="21" t="str">
        <f t="shared" si="6"/>
        <v>12.361.559-K</v>
      </c>
      <c r="C101" s="22" t="str">
        <f>IF(IFERROR(VLOOKUP(A101,$A$9:$I100,1,0),0)=0,"",VLOOKUP(A101,$A$9:$I100,3,0))</f>
        <v>UCO</v>
      </c>
      <c r="D101" s="21" t="str">
        <f>IF(IFERROR(VLOOKUP(A101,$A$9:$I100,1,0),0)=0,"",VLOOKUP(A101,$A$9:$I100,4,0))</f>
        <v>TAPIA</v>
      </c>
      <c r="E101" s="21" t="str">
        <f>IF(IFERROR(VLOOKUP(A101,$A$9:$I100,1,0),0)=0,"",VLOOKUP(A101,$A$9:$I100,5,0))</f>
        <v>QUIROZ</v>
      </c>
      <c r="F101" s="21" t="str">
        <f>IF(IFERROR(VLOOKUP(A101,$A$9:$I100,1,0),0)=0,"",VLOOKUP(A101,$A$9:$I100,6,0))</f>
        <v>JORGE</v>
      </c>
      <c r="G101" s="23">
        <f>IF(IFERROR(VLOOKUP(A101,$A$9:$I100,1,0),0)=0,"",VLOOKUP(A101,$A$9:$I100,7,0))</f>
        <v>45290</v>
      </c>
      <c r="H101" s="23">
        <v>45301</v>
      </c>
      <c r="I101" s="21" t="s">
        <v>54</v>
      </c>
      <c r="J101" s="21" t="s">
        <v>69</v>
      </c>
      <c r="K101" s="24" t="s">
        <v>55</v>
      </c>
      <c r="L101" s="23">
        <v>45292</v>
      </c>
      <c r="M101" s="23">
        <v>45297</v>
      </c>
      <c r="N101" s="25">
        <f t="shared" si="5"/>
        <v>5</v>
      </c>
      <c r="O101" s="26"/>
      <c r="P101" t="s">
        <v>88</v>
      </c>
      <c r="Q101" t="s">
        <v>88</v>
      </c>
      <c r="R101" t="s">
        <v>88</v>
      </c>
      <c r="S101" t="s">
        <v>88</v>
      </c>
      <c r="T101" t="s">
        <v>88</v>
      </c>
      <c r="U101" t="s">
        <v>20</v>
      </c>
    </row>
    <row r="102" spans="1:21" x14ac:dyDescent="0.45">
      <c r="A102" s="20">
        <v>216227948</v>
      </c>
      <c r="B102" s="21" t="str">
        <f t="shared" si="6"/>
        <v>21.622.794-8</v>
      </c>
      <c r="C102" s="22" t="s">
        <v>30</v>
      </c>
      <c r="D102" s="21" t="s">
        <v>363</v>
      </c>
      <c r="E102" s="21" t="s">
        <v>364</v>
      </c>
      <c r="F102" s="21" t="s">
        <v>365</v>
      </c>
      <c r="G102" s="23">
        <v>45299</v>
      </c>
      <c r="H102" s="23">
        <v>45302</v>
      </c>
      <c r="I102" s="21" t="s">
        <v>24</v>
      </c>
      <c r="J102" s="21" t="s">
        <v>13</v>
      </c>
      <c r="K102" s="24" t="s">
        <v>43</v>
      </c>
      <c r="L102" s="23">
        <v>45299</v>
      </c>
      <c r="M102" s="23">
        <v>45302</v>
      </c>
      <c r="N102" s="25">
        <f t="shared" si="5"/>
        <v>3</v>
      </c>
      <c r="O102" s="26"/>
      <c r="P102" t="s">
        <v>88</v>
      </c>
      <c r="Q102" t="s">
        <v>88</v>
      </c>
      <c r="R102" t="s">
        <v>88</v>
      </c>
      <c r="S102" t="s">
        <v>88</v>
      </c>
      <c r="T102" t="s">
        <v>88</v>
      </c>
      <c r="U102" t="s">
        <v>20</v>
      </c>
    </row>
    <row r="103" spans="1:21" x14ac:dyDescent="0.45">
      <c r="A103" s="20">
        <v>216227948</v>
      </c>
      <c r="B103" s="21" t="str">
        <f t="shared" si="6"/>
        <v>21.622.794-8</v>
      </c>
      <c r="C103" s="22" t="str">
        <f>IF(IFERROR(VLOOKUP(A103,$A$9:$I102,1,0),0)=0,"",VLOOKUP(A103,$A$9:$I102,3,0))</f>
        <v>UCO</v>
      </c>
      <c r="D103" s="21" t="str">
        <f>IF(IFERROR(VLOOKUP(A103,$A$9:$I102,1,0),0)=0,"",VLOOKUP(A103,$A$9:$I102,4,0))</f>
        <v>DIAZ</v>
      </c>
      <c r="E103" s="21" t="str">
        <f>IF(IFERROR(VLOOKUP(A103,$A$9:$I102,1,0),0)=0,"",VLOOKUP(A103,$A$9:$I102,5,0))</f>
        <v>ITURRA</v>
      </c>
      <c r="F103" s="21" t="str">
        <f>IF(IFERROR(VLOOKUP(A103,$A$9:$I102,1,0),0)=0,"",VLOOKUP(A103,$A$9:$I102,6,0))</f>
        <v>BENJAMIN</v>
      </c>
      <c r="G103" s="23">
        <f>IF(IFERROR(VLOOKUP(A103,$A$9:$I102,1,0),0)=0,"",VLOOKUP(A103,$A$9:$I102,7,0))</f>
        <v>45299</v>
      </c>
      <c r="H103" s="23">
        <v>45302</v>
      </c>
      <c r="I103" s="21" t="s">
        <v>24</v>
      </c>
      <c r="J103" s="21" t="s">
        <v>13</v>
      </c>
      <c r="K103" s="24" t="s">
        <v>47</v>
      </c>
      <c r="L103" s="23">
        <v>45299</v>
      </c>
      <c r="M103" s="23">
        <v>45302</v>
      </c>
      <c r="N103" s="25">
        <f t="shared" si="5"/>
        <v>3</v>
      </c>
      <c r="O103" s="26"/>
      <c r="P103" t="s">
        <v>88</v>
      </c>
      <c r="Q103" t="s">
        <v>88</v>
      </c>
      <c r="R103" t="s">
        <v>88</v>
      </c>
      <c r="S103" t="s">
        <v>88</v>
      </c>
      <c r="T103" t="s">
        <v>88</v>
      </c>
      <c r="U103" t="s">
        <v>20</v>
      </c>
    </row>
    <row r="104" spans="1:21" x14ac:dyDescent="0.45">
      <c r="A104" s="20">
        <v>61168699</v>
      </c>
      <c r="B104" s="21" t="str">
        <f t="shared" si="6"/>
        <v>6.116.869-9</v>
      </c>
      <c r="C104" s="22" t="s">
        <v>30</v>
      </c>
      <c r="D104" s="21" t="s">
        <v>366</v>
      </c>
      <c r="E104" s="21" t="s">
        <v>367</v>
      </c>
      <c r="F104" s="21" t="s">
        <v>368</v>
      </c>
      <c r="G104" s="23">
        <v>45300</v>
      </c>
      <c r="H104" s="23">
        <v>45308</v>
      </c>
      <c r="I104" s="21" t="s">
        <v>22</v>
      </c>
      <c r="J104" s="21" t="s">
        <v>13</v>
      </c>
      <c r="K104" s="24" t="s">
        <v>23</v>
      </c>
      <c r="L104" s="23">
        <v>45300</v>
      </c>
      <c r="M104" s="23">
        <v>45308</v>
      </c>
      <c r="N104" s="25">
        <f t="shared" si="5"/>
        <v>8</v>
      </c>
      <c r="O104" s="26"/>
      <c r="P104" t="s">
        <v>96</v>
      </c>
      <c r="Q104" t="s">
        <v>88</v>
      </c>
      <c r="R104" t="s">
        <v>88</v>
      </c>
      <c r="S104" t="s">
        <v>88</v>
      </c>
      <c r="T104" t="s">
        <v>88</v>
      </c>
      <c r="U104" t="s">
        <v>20</v>
      </c>
    </row>
    <row r="105" spans="1:21" x14ac:dyDescent="0.45">
      <c r="A105" s="20">
        <v>61168699</v>
      </c>
      <c r="B105" s="21" t="str">
        <f t="shared" si="6"/>
        <v>6.116.869-9</v>
      </c>
      <c r="C105" s="22" t="str">
        <f>IF(IFERROR(VLOOKUP(A105,$A$9:$I104,1,0),0)=0,"",VLOOKUP(A105,$A$9:$I104,3,0))</f>
        <v>UCO</v>
      </c>
      <c r="D105" s="21" t="str">
        <f>IF(IFERROR(VLOOKUP(A105,$A$9:$I104,1,0),0)=0,"",VLOOKUP(A105,$A$9:$I104,4,0))</f>
        <v>CID</v>
      </c>
      <c r="E105" s="21" t="str">
        <f>IF(IFERROR(VLOOKUP(A105,$A$9:$I104,1,0),0)=0,"",VLOOKUP(A105,$A$9:$I104,5,0))</f>
        <v>HERRERA</v>
      </c>
      <c r="F105" s="21" t="str">
        <f>IF(IFERROR(VLOOKUP(A105,$A$9:$I104,1,0),0)=0,"",VLOOKUP(A105,$A$9:$I104,6,0))</f>
        <v>JUANA</v>
      </c>
      <c r="G105" s="23">
        <f>IF(IFERROR(VLOOKUP(A105,$A$9:$I104,1,0),0)=0,"",VLOOKUP(A105,$A$9:$I104,7,0))</f>
        <v>45300</v>
      </c>
      <c r="H105" s="23">
        <v>45308</v>
      </c>
      <c r="I105" s="21" t="s">
        <v>22</v>
      </c>
      <c r="J105" s="21" t="s">
        <v>13</v>
      </c>
      <c r="K105" s="24" t="s">
        <v>47</v>
      </c>
      <c r="L105" s="23">
        <v>45300</v>
      </c>
      <c r="M105" s="23">
        <v>45308</v>
      </c>
      <c r="N105" s="25">
        <f t="shared" si="5"/>
        <v>8</v>
      </c>
      <c r="O105" s="26"/>
      <c r="P105" t="s">
        <v>88</v>
      </c>
      <c r="Q105" t="s">
        <v>88</v>
      </c>
      <c r="R105" t="s">
        <v>88</v>
      </c>
      <c r="S105" t="s">
        <v>88</v>
      </c>
      <c r="T105" t="s">
        <v>88</v>
      </c>
      <c r="U105" t="s">
        <v>20</v>
      </c>
    </row>
    <row r="106" spans="1:21" x14ac:dyDescent="0.45">
      <c r="A106" s="20">
        <v>61168699</v>
      </c>
      <c r="B106" s="21" t="str">
        <f t="shared" si="6"/>
        <v>6.116.869-9</v>
      </c>
      <c r="C106" s="22" t="str">
        <f>IF(IFERROR(VLOOKUP(A106,$A$9:$I105,1,0),0)=0,"",VLOOKUP(A106,$A$9:$I105,3,0))</f>
        <v>UCO</v>
      </c>
      <c r="D106" s="21" t="str">
        <f>IF(IFERROR(VLOOKUP(A106,$A$9:$I105,1,0),0)=0,"",VLOOKUP(A106,$A$9:$I105,4,0))</f>
        <v>CID</v>
      </c>
      <c r="E106" s="21" t="str">
        <f>IF(IFERROR(VLOOKUP(A106,$A$9:$I105,1,0),0)=0,"",VLOOKUP(A106,$A$9:$I105,5,0))</f>
        <v>HERRERA</v>
      </c>
      <c r="F106" s="21" t="str">
        <f>IF(IFERROR(VLOOKUP(A106,$A$9:$I105,1,0),0)=0,"",VLOOKUP(A106,$A$9:$I105,6,0))</f>
        <v>JUANA</v>
      </c>
      <c r="G106" s="23">
        <f>IF(IFERROR(VLOOKUP(A106,$A$9:$I105,1,0),0)=0,"",VLOOKUP(A106,$A$9:$I105,7,0))</f>
        <v>45300</v>
      </c>
      <c r="H106" s="23">
        <v>45308</v>
      </c>
      <c r="I106" s="21" t="s">
        <v>22</v>
      </c>
      <c r="J106" s="21" t="s">
        <v>13</v>
      </c>
      <c r="K106" s="24" t="s">
        <v>55</v>
      </c>
      <c r="L106" s="23">
        <v>45300</v>
      </c>
      <c r="M106" s="23">
        <v>45308</v>
      </c>
      <c r="N106" s="25">
        <f t="shared" si="5"/>
        <v>8</v>
      </c>
      <c r="O106" s="26"/>
      <c r="P106" t="s">
        <v>88</v>
      </c>
      <c r="Q106" t="s">
        <v>88</v>
      </c>
      <c r="R106" t="s">
        <v>88</v>
      </c>
      <c r="S106" t="s">
        <v>88</v>
      </c>
      <c r="T106" t="s">
        <v>88</v>
      </c>
      <c r="U106" t="s">
        <v>20</v>
      </c>
    </row>
    <row r="107" spans="1:21" x14ac:dyDescent="0.45">
      <c r="A107" s="20">
        <v>74426220</v>
      </c>
      <c r="B107" s="21" t="str">
        <f t="shared" si="6"/>
        <v>7.442.622-0</v>
      </c>
      <c r="C107" s="22" t="s">
        <v>30</v>
      </c>
      <c r="D107" s="21" t="s">
        <v>369</v>
      </c>
      <c r="E107" s="21" t="s">
        <v>342</v>
      </c>
      <c r="F107" s="21" t="s">
        <v>370</v>
      </c>
      <c r="G107" s="23">
        <v>45299</v>
      </c>
      <c r="H107" s="23">
        <v>45302</v>
      </c>
      <c r="I107" s="21" t="s">
        <v>24</v>
      </c>
      <c r="J107" s="21" t="s">
        <v>46</v>
      </c>
      <c r="K107" s="24" t="s">
        <v>43</v>
      </c>
      <c r="L107" s="23">
        <v>45299</v>
      </c>
      <c r="M107" s="23">
        <v>45302</v>
      </c>
      <c r="N107" s="25">
        <f t="shared" si="5"/>
        <v>3</v>
      </c>
      <c r="O107" s="26"/>
      <c r="P107" t="s">
        <v>88</v>
      </c>
      <c r="Q107" t="s">
        <v>88</v>
      </c>
      <c r="R107" t="s">
        <v>88</v>
      </c>
      <c r="S107" t="s">
        <v>88</v>
      </c>
      <c r="T107" t="s">
        <v>88</v>
      </c>
      <c r="U107" t="s">
        <v>20</v>
      </c>
    </row>
    <row r="108" spans="1:21" x14ac:dyDescent="0.45">
      <c r="A108" s="20">
        <v>74426220</v>
      </c>
      <c r="B108" s="21" t="str">
        <f t="shared" si="6"/>
        <v>7.442.622-0</v>
      </c>
      <c r="C108" s="22" t="str">
        <f>IF(IFERROR(VLOOKUP(A108,$A$9:$I107,1,0),0)=0,"",VLOOKUP(A108,$A$9:$I107,3,0))</f>
        <v>UCO</v>
      </c>
      <c r="D108" s="21" t="str">
        <f>IF(IFERROR(VLOOKUP(A108,$A$9:$I107,1,0),0)=0,"",VLOOKUP(A108,$A$9:$I107,4,0))</f>
        <v>SEGUEL</v>
      </c>
      <c r="E108" s="21" t="str">
        <f>IF(IFERROR(VLOOKUP(A108,$A$9:$I107,1,0),0)=0,"",VLOOKUP(A108,$A$9:$I107,5,0))</f>
        <v>SALDIAS</v>
      </c>
      <c r="F108" s="21" t="str">
        <f>IF(IFERROR(VLOOKUP(A108,$A$9:$I107,1,0),0)=0,"",VLOOKUP(A108,$A$9:$I107,6,0))</f>
        <v>GERMAN</v>
      </c>
      <c r="G108" s="23">
        <f>IF(IFERROR(VLOOKUP(A108,$A$9:$I107,1,0),0)=0,"",VLOOKUP(A108,$A$9:$I107,7,0))</f>
        <v>45299</v>
      </c>
      <c r="H108" s="23">
        <v>45302</v>
      </c>
      <c r="I108" s="21" t="s">
        <v>24</v>
      </c>
      <c r="J108" s="21" t="s">
        <v>46</v>
      </c>
      <c r="K108" s="24" t="s">
        <v>47</v>
      </c>
      <c r="L108" s="23">
        <v>45299</v>
      </c>
      <c r="M108" s="23">
        <v>45302</v>
      </c>
      <c r="N108" s="25">
        <f t="shared" si="5"/>
        <v>3</v>
      </c>
      <c r="O108" s="26"/>
      <c r="P108" t="s">
        <v>88</v>
      </c>
      <c r="Q108" t="s">
        <v>88</v>
      </c>
      <c r="R108" t="s">
        <v>88</v>
      </c>
      <c r="S108" t="s">
        <v>88</v>
      </c>
      <c r="T108" t="s">
        <v>88</v>
      </c>
      <c r="U108" t="s">
        <v>20</v>
      </c>
    </row>
    <row r="109" spans="1:21" x14ac:dyDescent="0.45">
      <c r="A109" s="20">
        <v>70986191</v>
      </c>
      <c r="B109" s="21" t="str">
        <f t="shared" si="6"/>
        <v>7.098.619-1</v>
      </c>
      <c r="C109" s="22" t="s">
        <v>30</v>
      </c>
      <c r="D109" s="21" t="s">
        <v>371</v>
      </c>
      <c r="E109" s="21" t="s">
        <v>372</v>
      </c>
      <c r="F109" s="21" t="s">
        <v>373</v>
      </c>
      <c r="G109" s="23">
        <v>45295</v>
      </c>
      <c r="H109" s="23">
        <v>45301</v>
      </c>
      <c r="I109" s="21" t="s">
        <v>46</v>
      </c>
      <c r="J109" s="21" t="s">
        <v>69</v>
      </c>
      <c r="K109" s="24" t="s">
        <v>43</v>
      </c>
      <c r="L109" s="23">
        <v>45295</v>
      </c>
      <c r="M109" s="23">
        <v>45300</v>
      </c>
      <c r="N109" s="25">
        <f t="shared" si="5"/>
        <v>5</v>
      </c>
      <c r="O109" s="26"/>
      <c r="P109" t="s">
        <v>88</v>
      </c>
      <c r="Q109" t="s">
        <v>88</v>
      </c>
      <c r="R109" t="s">
        <v>88</v>
      </c>
      <c r="S109" t="s">
        <v>88</v>
      </c>
      <c r="T109" t="s">
        <v>88</v>
      </c>
      <c r="U109" t="s">
        <v>20</v>
      </c>
    </row>
    <row r="110" spans="1:21" x14ac:dyDescent="0.45">
      <c r="A110" s="20">
        <v>70986191</v>
      </c>
      <c r="B110" s="21" t="str">
        <f t="shared" si="6"/>
        <v>7.098.619-1</v>
      </c>
      <c r="C110" s="22" t="str">
        <f>IF(IFERROR(VLOOKUP(A110,$A$9:$I109,1,0),0)=0,"",VLOOKUP(A110,$A$9:$I109,3,0))</f>
        <v>UCO</v>
      </c>
      <c r="D110" s="21" t="str">
        <f>IF(IFERROR(VLOOKUP(A110,$A$9:$I109,1,0),0)=0,"",VLOOKUP(A110,$A$9:$I109,4,0))</f>
        <v>APARICIO</v>
      </c>
      <c r="E110" s="21" t="str">
        <f>IF(IFERROR(VLOOKUP(A110,$A$9:$I109,1,0),0)=0,"",VLOOKUP(A110,$A$9:$I109,5,0))</f>
        <v>CARO</v>
      </c>
      <c r="F110" s="21" t="str">
        <f>IF(IFERROR(VLOOKUP(A110,$A$9:$I109,1,0),0)=0,"",VLOOKUP(A110,$A$9:$I109,6,0))</f>
        <v>ELSA</v>
      </c>
      <c r="G110" s="23">
        <f>IF(IFERROR(VLOOKUP(A110,$A$9:$I109,1,0),0)=0,"",VLOOKUP(A110,$A$9:$I109,7,0))</f>
        <v>45295</v>
      </c>
      <c r="H110" s="23">
        <v>45301</v>
      </c>
      <c r="I110" s="21" t="s">
        <v>46</v>
      </c>
      <c r="J110" s="21" t="s">
        <v>69</v>
      </c>
      <c r="K110" s="24" t="s">
        <v>47</v>
      </c>
      <c r="L110" s="23">
        <v>45298</v>
      </c>
      <c r="M110" s="23">
        <v>45300</v>
      </c>
      <c r="N110" s="25">
        <f t="shared" si="5"/>
        <v>2</v>
      </c>
      <c r="O110" s="26"/>
      <c r="P110" t="s">
        <v>88</v>
      </c>
      <c r="Q110" t="s">
        <v>88</v>
      </c>
      <c r="R110" t="s">
        <v>88</v>
      </c>
      <c r="S110" t="s">
        <v>88</v>
      </c>
      <c r="T110" t="s">
        <v>88</v>
      </c>
      <c r="U110" t="s">
        <v>20</v>
      </c>
    </row>
    <row r="111" spans="1:21" x14ac:dyDescent="0.45">
      <c r="A111" s="20">
        <v>64163345</v>
      </c>
      <c r="B111" s="21" t="str">
        <f t="shared" si="6"/>
        <v>6.416.334-5</v>
      </c>
      <c r="C111" s="22" t="s">
        <v>30</v>
      </c>
      <c r="D111" s="21" t="s">
        <v>374</v>
      </c>
      <c r="E111" s="21" t="s">
        <v>375</v>
      </c>
      <c r="F111" s="21" t="s">
        <v>376</v>
      </c>
      <c r="G111" s="23">
        <v>45296</v>
      </c>
      <c r="H111" s="23">
        <v>45301</v>
      </c>
      <c r="I111" s="21" t="s">
        <v>24</v>
      </c>
      <c r="J111" s="21" t="s">
        <v>13</v>
      </c>
      <c r="K111" s="24" t="s">
        <v>43</v>
      </c>
      <c r="L111" s="23">
        <v>45296</v>
      </c>
      <c r="M111" s="23">
        <v>45301</v>
      </c>
      <c r="N111" s="25">
        <f t="shared" si="5"/>
        <v>5</v>
      </c>
      <c r="O111" s="26"/>
      <c r="P111" t="s">
        <v>88</v>
      </c>
      <c r="Q111" t="s">
        <v>88</v>
      </c>
      <c r="R111" t="s">
        <v>88</v>
      </c>
      <c r="S111" t="s">
        <v>88</v>
      </c>
      <c r="T111" t="s">
        <v>88</v>
      </c>
      <c r="U111" t="s">
        <v>20</v>
      </c>
    </row>
    <row r="112" spans="1:21" x14ac:dyDescent="0.45">
      <c r="A112" s="20">
        <v>64163345</v>
      </c>
      <c r="B112" s="21" t="str">
        <f t="shared" si="6"/>
        <v>6.416.334-5</v>
      </c>
      <c r="C112" s="22" t="str">
        <f>IF(IFERROR(VLOOKUP(A112,$A$9:$I111,1,0),0)=0,"",VLOOKUP(A112,$A$9:$I111,3,0))</f>
        <v>UCO</v>
      </c>
      <c r="D112" s="21" t="str">
        <f>IF(IFERROR(VLOOKUP(A112,$A$9:$I111,1,0),0)=0,"",VLOOKUP(A112,$A$9:$I111,4,0))</f>
        <v>MONSALVE</v>
      </c>
      <c r="E112" s="21" t="str">
        <f>IF(IFERROR(VLOOKUP(A112,$A$9:$I111,1,0),0)=0,"",VLOOKUP(A112,$A$9:$I111,5,0))</f>
        <v>CASTILLO</v>
      </c>
      <c r="F112" s="21" t="str">
        <f>IF(IFERROR(VLOOKUP(A112,$A$9:$I111,1,0),0)=0,"",VLOOKUP(A112,$A$9:$I111,6,0))</f>
        <v>PASCUAL</v>
      </c>
      <c r="G112" s="23">
        <f>IF(IFERROR(VLOOKUP(A112,$A$9:$I111,1,0),0)=0,"",VLOOKUP(A112,$A$9:$I111,7,0))</f>
        <v>45296</v>
      </c>
      <c r="H112" s="23">
        <v>45301</v>
      </c>
      <c r="I112" s="21" t="s">
        <v>24</v>
      </c>
      <c r="J112" s="21" t="s">
        <v>13</v>
      </c>
      <c r="K112" s="24" t="s">
        <v>47</v>
      </c>
      <c r="L112" s="23">
        <v>45296</v>
      </c>
      <c r="M112" s="23">
        <v>45301</v>
      </c>
      <c r="N112" s="25">
        <f t="shared" si="5"/>
        <v>5</v>
      </c>
      <c r="O112" s="26"/>
      <c r="P112" t="s">
        <v>88</v>
      </c>
      <c r="Q112" t="s">
        <v>88</v>
      </c>
      <c r="R112" t="s">
        <v>88</v>
      </c>
      <c r="S112" t="s">
        <v>88</v>
      </c>
      <c r="T112" t="s">
        <v>88</v>
      </c>
      <c r="U112" t="s">
        <v>20</v>
      </c>
    </row>
    <row r="113" spans="1:21" x14ac:dyDescent="0.45">
      <c r="A113" s="20" t="s">
        <v>377</v>
      </c>
      <c r="B113" s="21" t="str">
        <f t="shared" si="6"/>
        <v>9.265.091-K</v>
      </c>
      <c r="C113" s="22" t="s">
        <v>30</v>
      </c>
      <c r="D113" s="21" t="s">
        <v>378</v>
      </c>
      <c r="E113" s="21" t="s">
        <v>379</v>
      </c>
      <c r="F113" s="21" t="s">
        <v>380</v>
      </c>
      <c r="G113" s="23">
        <v>45291</v>
      </c>
      <c r="H113" s="23">
        <v>45294</v>
      </c>
      <c r="I113" s="21" t="s">
        <v>24</v>
      </c>
      <c r="J113" s="21" t="s">
        <v>13</v>
      </c>
      <c r="K113" s="24" t="s">
        <v>43</v>
      </c>
      <c r="L113" s="23">
        <v>45292</v>
      </c>
      <c r="M113" s="23">
        <v>45294</v>
      </c>
      <c r="N113" s="25">
        <f t="shared" si="5"/>
        <v>2</v>
      </c>
      <c r="O113" s="26"/>
      <c r="P113" t="s">
        <v>88</v>
      </c>
      <c r="Q113" t="s">
        <v>88</v>
      </c>
      <c r="R113" t="s">
        <v>88</v>
      </c>
      <c r="S113" t="s">
        <v>88</v>
      </c>
      <c r="T113" t="s">
        <v>88</v>
      </c>
      <c r="U113" t="s">
        <v>20</v>
      </c>
    </row>
    <row r="114" spans="1:21" x14ac:dyDescent="0.45">
      <c r="A114" s="20">
        <v>68252172</v>
      </c>
      <c r="B114" s="21" t="str">
        <f t="shared" si="6"/>
        <v>6.825.217-2</v>
      </c>
      <c r="C114" s="22" t="s">
        <v>30</v>
      </c>
      <c r="D114" s="21" t="s">
        <v>326</v>
      </c>
      <c r="E114" s="21" t="s">
        <v>381</v>
      </c>
      <c r="F114" s="21" t="s">
        <v>250</v>
      </c>
      <c r="G114" s="23">
        <v>45291</v>
      </c>
      <c r="H114" s="23">
        <v>45295</v>
      </c>
      <c r="I114" s="21" t="s">
        <v>54</v>
      </c>
      <c r="J114" s="21" t="s">
        <v>13</v>
      </c>
      <c r="K114" s="24" t="s">
        <v>43</v>
      </c>
      <c r="L114" s="23">
        <v>45292</v>
      </c>
      <c r="M114" s="23">
        <v>45294</v>
      </c>
      <c r="N114" s="25">
        <f t="shared" si="5"/>
        <v>2</v>
      </c>
      <c r="O114" s="26"/>
      <c r="P114" t="s">
        <v>88</v>
      </c>
      <c r="Q114" t="s">
        <v>88</v>
      </c>
      <c r="R114" t="s">
        <v>88</v>
      </c>
      <c r="S114" t="s">
        <v>88</v>
      </c>
      <c r="T114" t="s">
        <v>88</v>
      </c>
      <c r="U114" t="s">
        <v>20</v>
      </c>
    </row>
    <row r="115" spans="1:21" x14ac:dyDescent="0.45">
      <c r="A115" s="20" t="s">
        <v>382</v>
      </c>
      <c r="B115" s="21" t="str">
        <f t="shared" si="6"/>
        <v>15.461.284-K</v>
      </c>
      <c r="C115" s="22" t="s">
        <v>30</v>
      </c>
      <c r="D115" s="21" t="s">
        <v>383</v>
      </c>
      <c r="E115" s="21" t="s">
        <v>384</v>
      </c>
      <c r="F115" s="21" t="s">
        <v>385</v>
      </c>
      <c r="G115" s="23">
        <v>45287</v>
      </c>
      <c r="H115" s="23">
        <v>45295</v>
      </c>
      <c r="I115" s="21" t="s">
        <v>46</v>
      </c>
      <c r="J115" s="21" t="s">
        <v>13</v>
      </c>
      <c r="K115" s="24" t="s">
        <v>43</v>
      </c>
      <c r="L115" s="23">
        <v>45292</v>
      </c>
      <c r="M115" s="23">
        <v>45295</v>
      </c>
      <c r="N115" s="25">
        <f t="shared" si="5"/>
        <v>3</v>
      </c>
      <c r="O115" s="26"/>
      <c r="P115" t="s">
        <v>88</v>
      </c>
      <c r="Q115" t="s">
        <v>88</v>
      </c>
      <c r="R115" t="s">
        <v>88</v>
      </c>
      <c r="S115" t="s">
        <v>88</v>
      </c>
      <c r="T115" t="s">
        <v>88</v>
      </c>
      <c r="U115" t="s">
        <v>20</v>
      </c>
    </row>
    <row r="116" spans="1:21" x14ac:dyDescent="0.45">
      <c r="A116" s="20" t="s">
        <v>382</v>
      </c>
      <c r="B116" s="21" t="str">
        <f t="shared" si="6"/>
        <v>15.461.284-K</v>
      </c>
      <c r="C116" s="22" t="str">
        <f>IF(IFERROR(VLOOKUP(A116,$A$9:$I115,1,0),0)=0,"",VLOOKUP(A116,$A$9:$I115,3,0))</f>
        <v>UCO</v>
      </c>
      <c r="D116" s="21" t="str">
        <f>IF(IFERROR(VLOOKUP(A116,$A$9:$I115,1,0),0)=0,"",VLOOKUP(A116,$A$9:$I115,4,0))</f>
        <v>ARAYA</v>
      </c>
      <c r="E116" s="21" t="str">
        <f>IF(IFERROR(VLOOKUP(A116,$A$9:$I115,1,0),0)=0,"",VLOOKUP(A116,$A$9:$I115,5,0))</f>
        <v>MUÑOZ</v>
      </c>
      <c r="F116" s="21" t="str">
        <f>IF(IFERROR(VLOOKUP(A116,$A$9:$I115,1,0),0)=0,"",VLOOKUP(A116,$A$9:$I115,6,0))</f>
        <v>CECILIA</v>
      </c>
      <c r="G116" s="23">
        <f>IF(IFERROR(VLOOKUP(A116,$A$9:$I115,1,0),0)=0,"",VLOOKUP(A116,$A$9:$I115,7,0))</f>
        <v>45287</v>
      </c>
      <c r="H116" s="23">
        <v>45295</v>
      </c>
      <c r="I116" s="21" t="s">
        <v>46</v>
      </c>
      <c r="J116" s="21" t="s">
        <v>13</v>
      </c>
      <c r="K116" s="24" t="s">
        <v>47</v>
      </c>
      <c r="L116" s="23">
        <v>45292</v>
      </c>
      <c r="M116" s="23">
        <v>45295</v>
      </c>
      <c r="N116" s="25">
        <f t="shared" si="5"/>
        <v>3</v>
      </c>
      <c r="O116" s="26"/>
      <c r="P116" t="s">
        <v>88</v>
      </c>
      <c r="Q116" t="s">
        <v>88</v>
      </c>
      <c r="R116" t="s">
        <v>88</v>
      </c>
      <c r="S116" t="s">
        <v>88</v>
      </c>
      <c r="T116" t="s">
        <v>88</v>
      </c>
      <c r="U116" t="s">
        <v>20</v>
      </c>
    </row>
    <row r="117" spans="1:21" x14ac:dyDescent="0.45">
      <c r="A117" s="20">
        <v>78019999</v>
      </c>
      <c r="B117" s="21" t="str">
        <f t="shared" si="6"/>
        <v>7.801.999-9</v>
      </c>
      <c r="C117" s="22" t="s">
        <v>30</v>
      </c>
      <c r="D117" s="21" t="s">
        <v>278</v>
      </c>
      <c r="E117" s="21" t="s">
        <v>366</v>
      </c>
      <c r="F117" s="21" t="s">
        <v>386</v>
      </c>
      <c r="G117" s="23">
        <v>45302</v>
      </c>
      <c r="H117" s="23">
        <v>45314</v>
      </c>
      <c r="I117" s="21" t="s">
        <v>24</v>
      </c>
      <c r="J117" s="21" t="s">
        <v>19</v>
      </c>
      <c r="K117" s="24" t="s">
        <v>43</v>
      </c>
      <c r="L117" s="23">
        <v>45302</v>
      </c>
      <c r="M117" s="23">
        <v>45314</v>
      </c>
      <c r="N117" s="25">
        <f t="shared" si="5"/>
        <v>12</v>
      </c>
      <c r="O117" s="26"/>
      <c r="P117" t="s">
        <v>88</v>
      </c>
      <c r="Q117" t="s">
        <v>88</v>
      </c>
      <c r="R117" t="s">
        <v>88</v>
      </c>
      <c r="S117" t="s">
        <v>88</v>
      </c>
      <c r="T117" t="s">
        <v>88</v>
      </c>
      <c r="U117" t="s">
        <v>20</v>
      </c>
    </row>
    <row r="118" spans="1:21" x14ac:dyDescent="0.45">
      <c r="A118" s="20">
        <v>78019999</v>
      </c>
      <c r="B118" s="21" t="str">
        <f t="shared" si="6"/>
        <v>7.801.999-9</v>
      </c>
      <c r="C118" s="22" t="str">
        <f>IF(IFERROR(VLOOKUP(A118,$A$9:$I117,1,0),0)=0,"",VLOOKUP(A118,$A$9:$I117,3,0))</f>
        <v>UCO</v>
      </c>
      <c r="D118" s="21" t="str">
        <f>IF(IFERROR(VLOOKUP(A118,$A$9:$I117,1,0),0)=0,"",VLOOKUP(A118,$A$9:$I117,4,0))</f>
        <v>RIVAS</v>
      </c>
      <c r="E118" s="21" t="str">
        <f>IF(IFERROR(VLOOKUP(A118,$A$9:$I117,1,0),0)=0,"",VLOOKUP(A118,$A$9:$I117,5,0))</f>
        <v>CID</v>
      </c>
      <c r="F118" s="21" t="str">
        <f>IF(IFERROR(VLOOKUP(A118,$A$9:$I117,1,0),0)=0,"",VLOOKUP(A118,$A$9:$I117,6,0))</f>
        <v>OLGA</v>
      </c>
      <c r="G118" s="23">
        <f>IF(IFERROR(VLOOKUP(A118,$A$9:$I117,1,0),0)=0,"",VLOOKUP(A118,$A$9:$I117,7,0))</f>
        <v>45302</v>
      </c>
      <c r="H118" s="23">
        <v>45314</v>
      </c>
      <c r="I118" s="21" t="s">
        <v>24</v>
      </c>
      <c r="J118" s="21" t="s">
        <v>19</v>
      </c>
      <c r="K118" s="24" t="s">
        <v>47</v>
      </c>
      <c r="L118" s="23">
        <v>45302</v>
      </c>
      <c r="M118" s="23">
        <v>45314</v>
      </c>
      <c r="N118" s="25">
        <f t="shared" si="5"/>
        <v>12</v>
      </c>
      <c r="O118" s="26"/>
      <c r="P118" t="s">
        <v>88</v>
      </c>
      <c r="Q118" t="s">
        <v>88</v>
      </c>
      <c r="R118" t="s">
        <v>88</v>
      </c>
      <c r="S118" t="s">
        <v>88</v>
      </c>
      <c r="T118" t="s">
        <v>88</v>
      </c>
      <c r="U118" t="s">
        <v>20</v>
      </c>
    </row>
    <row r="119" spans="1:21" x14ac:dyDescent="0.45">
      <c r="A119" s="20">
        <v>78019999</v>
      </c>
      <c r="B119" s="21" t="str">
        <f t="shared" si="6"/>
        <v>7.801.999-9</v>
      </c>
      <c r="C119" s="22" t="str">
        <f>IF(IFERROR(VLOOKUP(A119,$A$9:$I118,1,0),0)=0,"",VLOOKUP(A119,$A$9:$I118,3,0))</f>
        <v>UCO</v>
      </c>
      <c r="D119" s="21" t="str">
        <f>IF(IFERROR(VLOOKUP(A119,$A$9:$I118,1,0),0)=0,"",VLOOKUP(A119,$A$9:$I118,4,0))</f>
        <v>RIVAS</v>
      </c>
      <c r="E119" s="21" t="str">
        <f>IF(IFERROR(VLOOKUP(A119,$A$9:$I118,1,0),0)=0,"",VLOOKUP(A119,$A$9:$I118,5,0))</f>
        <v>CID</v>
      </c>
      <c r="F119" s="21" t="str">
        <f>IF(IFERROR(VLOOKUP(A119,$A$9:$I118,1,0),0)=0,"",VLOOKUP(A119,$A$9:$I118,6,0))</f>
        <v>OLGA</v>
      </c>
      <c r="G119" s="23">
        <f>IF(IFERROR(VLOOKUP(A119,$A$9:$I118,1,0),0)=0,"",VLOOKUP(A119,$A$9:$I118,7,0))</f>
        <v>45302</v>
      </c>
      <c r="H119" s="23">
        <v>45314</v>
      </c>
      <c r="I119" s="21" t="s">
        <v>24</v>
      </c>
      <c r="J119" s="21" t="s">
        <v>19</v>
      </c>
      <c r="K119" s="24" t="s">
        <v>55</v>
      </c>
      <c r="L119" s="23">
        <v>45304</v>
      </c>
      <c r="M119" s="23">
        <v>45314</v>
      </c>
      <c r="N119" s="25">
        <f t="shared" si="5"/>
        <v>10</v>
      </c>
      <c r="O119" s="26"/>
      <c r="P119" t="s">
        <v>88</v>
      </c>
      <c r="Q119" t="s">
        <v>88</v>
      </c>
      <c r="R119" t="s">
        <v>88</v>
      </c>
      <c r="S119" t="s">
        <v>88</v>
      </c>
      <c r="T119" t="s">
        <v>88</v>
      </c>
      <c r="U119" t="s">
        <v>20</v>
      </c>
    </row>
    <row r="120" spans="1:21" x14ac:dyDescent="0.45">
      <c r="A120" s="20">
        <v>62021705</v>
      </c>
      <c r="B120" s="21" t="str">
        <f t="shared" si="6"/>
        <v>6.202.170-5</v>
      </c>
      <c r="C120" s="22" t="s">
        <v>30</v>
      </c>
      <c r="D120" s="21" t="s">
        <v>342</v>
      </c>
      <c r="E120" s="21" t="s">
        <v>387</v>
      </c>
      <c r="F120" s="21" t="s">
        <v>348</v>
      </c>
      <c r="G120" s="23">
        <v>45305</v>
      </c>
      <c r="H120" s="23">
        <v>45312</v>
      </c>
      <c r="I120" s="21" t="s">
        <v>54</v>
      </c>
      <c r="J120" s="21" t="s">
        <v>13</v>
      </c>
      <c r="K120" s="24" t="s">
        <v>43</v>
      </c>
      <c r="L120" s="23">
        <v>45305</v>
      </c>
      <c r="M120" s="23">
        <v>45312</v>
      </c>
      <c r="N120" s="25">
        <f t="shared" si="5"/>
        <v>7</v>
      </c>
      <c r="O120" s="26"/>
      <c r="P120" t="s">
        <v>88</v>
      </c>
      <c r="Q120" t="s">
        <v>88</v>
      </c>
      <c r="R120" t="s">
        <v>88</v>
      </c>
      <c r="S120" t="s">
        <v>88</v>
      </c>
      <c r="T120" t="s">
        <v>88</v>
      </c>
      <c r="U120" t="s">
        <v>20</v>
      </c>
    </row>
    <row r="121" spans="1:21" x14ac:dyDescent="0.45">
      <c r="A121" s="20">
        <v>62021705</v>
      </c>
      <c r="B121" s="21" t="str">
        <f t="shared" si="6"/>
        <v>6.202.170-5</v>
      </c>
      <c r="C121" s="22" t="str">
        <f>IF(IFERROR(VLOOKUP(A121,$A$9:$I120,1,0),0)=0,"",VLOOKUP(A121,$A$9:$I120,3,0))</f>
        <v>UCO</v>
      </c>
      <c r="D121" s="21" t="str">
        <f>IF(IFERROR(VLOOKUP(A121,$A$9:$I120,1,0),0)=0,"",VLOOKUP(A121,$A$9:$I120,4,0))</f>
        <v>SALDIAS</v>
      </c>
      <c r="E121" s="21" t="str">
        <f>IF(IFERROR(VLOOKUP(A121,$A$9:$I120,1,0),0)=0,"",VLOOKUP(A121,$A$9:$I120,5,0))</f>
        <v>SANHUEZA</v>
      </c>
      <c r="F121" s="21" t="str">
        <f>IF(IFERROR(VLOOKUP(A121,$A$9:$I120,1,0),0)=0,"",VLOOKUP(A121,$A$9:$I120,6,0))</f>
        <v>MARIA</v>
      </c>
      <c r="G121" s="23">
        <f>IF(IFERROR(VLOOKUP(A121,$A$9:$I120,1,0),0)=0,"",VLOOKUP(A121,$A$9:$I120,7,0))</f>
        <v>45305</v>
      </c>
      <c r="H121" s="23">
        <v>45312</v>
      </c>
      <c r="I121" s="21" t="s">
        <v>54</v>
      </c>
      <c r="J121" s="21" t="s">
        <v>13</v>
      </c>
      <c r="K121" s="24" t="s">
        <v>47</v>
      </c>
      <c r="L121" s="23">
        <v>45305</v>
      </c>
      <c r="M121" s="23">
        <v>45312</v>
      </c>
      <c r="N121" s="25">
        <f t="shared" si="5"/>
        <v>7</v>
      </c>
      <c r="O121" s="26"/>
      <c r="P121" t="s">
        <v>88</v>
      </c>
      <c r="Q121" t="s">
        <v>88</v>
      </c>
      <c r="R121" t="s">
        <v>88</v>
      </c>
      <c r="S121" t="s">
        <v>88</v>
      </c>
      <c r="T121" t="s">
        <v>88</v>
      </c>
      <c r="U121" t="s">
        <v>20</v>
      </c>
    </row>
    <row r="122" spans="1:21" x14ac:dyDescent="0.45">
      <c r="A122" s="20">
        <v>62021705</v>
      </c>
      <c r="B122" s="21" t="str">
        <f t="shared" si="6"/>
        <v>6.202.170-5</v>
      </c>
      <c r="C122" s="22" t="str">
        <f>IF(IFERROR(VLOOKUP(A122,$A$9:$I121,1,0),0)=0,"",VLOOKUP(A122,$A$9:$I121,3,0))</f>
        <v>UCO</v>
      </c>
      <c r="D122" s="21" t="str">
        <f>IF(IFERROR(VLOOKUP(A122,$A$9:$I121,1,0),0)=0,"",VLOOKUP(A122,$A$9:$I121,4,0))</f>
        <v>SALDIAS</v>
      </c>
      <c r="E122" s="21" t="str">
        <f>IF(IFERROR(VLOOKUP(A122,$A$9:$I121,1,0),0)=0,"",VLOOKUP(A122,$A$9:$I121,5,0))</f>
        <v>SANHUEZA</v>
      </c>
      <c r="F122" s="21" t="str">
        <f>IF(IFERROR(VLOOKUP(A122,$A$9:$I121,1,0),0)=0,"",VLOOKUP(A122,$A$9:$I121,6,0))</f>
        <v>MARIA</v>
      </c>
      <c r="G122" s="23">
        <f>IF(IFERROR(VLOOKUP(A122,$A$9:$I121,1,0),0)=0,"",VLOOKUP(A122,$A$9:$I121,7,0))</f>
        <v>45305</v>
      </c>
      <c r="H122" s="23">
        <v>45312</v>
      </c>
      <c r="I122" s="21" t="s">
        <v>54</v>
      </c>
      <c r="J122" s="21" t="s">
        <v>13</v>
      </c>
      <c r="K122" s="24" t="s">
        <v>55</v>
      </c>
      <c r="L122" s="23">
        <v>45305</v>
      </c>
      <c r="M122" s="23">
        <v>45312</v>
      </c>
      <c r="N122" s="25">
        <f t="shared" si="5"/>
        <v>7</v>
      </c>
      <c r="O122" s="26"/>
      <c r="P122" t="s">
        <v>88</v>
      </c>
      <c r="Q122" t="s">
        <v>88</v>
      </c>
      <c r="R122" t="s">
        <v>88</v>
      </c>
      <c r="S122" t="s">
        <v>88</v>
      </c>
      <c r="T122" t="s">
        <v>88</v>
      </c>
      <c r="U122" t="s">
        <v>20</v>
      </c>
    </row>
    <row r="123" spans="1:21" x14ac:dyDescent="0.45">
      <c r="A123" s="20">
        <v>60970904</v>
      </c>
      <c r="B123" s="21" t="str">
        <f t="shared" si="6"/>
        <v>6.097.090-4</v>
      </c>
      <c r="C123" s="22" t="s">
        <v>30</v>
      </c>
      <c r="D123" s="21" t="s">
        <v>388</v>
      </c>
      <c r="E123" s="21" t="s">
        <v>317</v>
      </c>
      <c r="F123" s="21" t="s">
        <v>362</v>
      </c>
      <c r="G123" s="23">
        <v>45306</v>
      </c>
      <c r="H123" s="23">
        <v>45308</v>
      </c>
      <c r="I123" s="21" t="s">
        <v>24</v>
      </c>
      <c r="J123" s="21" t="s">
        <v>13</v>
      </c>
      <c r="K123" s="24" t="s">
        <v>43</v>
      </c>
      <c r="L123" s="23">
        <v>45306</v>
      </c>
      <c r="M123" s="23">
        <v>45308</v>
      </c>
      <c r="N123" s="25">
        <f t="shared" si="5"/>
        <v>2</v>
      </c>
      <c r="O123" s="26"/>
      <c r="P123" t="s">
        <v>88</v>
      </c>
      <c r="Q123" t="s">
        <v>88</v>
      </c>
      <c r="R123" t="s">
        <v>88</v>
      </c>
      <c r="S123" t="s">
        <v>88</v>
      </c>
      <c r="T123" t="s">
        <v>88</v>
      </c>
      <c r="U123" t="s">
        <v>20</v>
      </c>
    </row>
    <row r="124" spans="1:21" x14ac:dyDescent="0.45">
      <c r="A124" s="20">
        <v>60970904</v>
      </c>
      <c r="B124" s="21" t="str">
        <f t="shared" si="6"/>
        <v>6.097.090-4</v>
      </c>
      <c r="C124" s="22" t="str">
        <f>IF(IFERROR(VLOOKUP(A124,$A$9:$I123,1,0),0)=0,"",VLOOKUP(A124,$A$9:$I123,3,0))</f>
        <v>UCO</v>
      </c>
      <c r="D124" s="21" t="str">
        <f>IF(IFERROR(VLOOKUP(A124,$A$9:$I123,1,0),0)=0,"",VLOOKUP(A124,$A$9:$I123,4,0))</f>
        <v>CORTES</v>
      </c>
      <c r="E124" s="21" t="str">
        <f>IF(IFERROR(VLOOKUP(A124,$A$9:$I123,1,0),0)=0,"",VLOOKUP(A124,$A$9:$I123,5,0))</f>
        <v>CANDIA</v>
      </c>
      <c r="F124" s="21" t="str">
        <f>IF(IFERROR(VLOOKUP(A124,$A$9:$I123,1,0),0)=0,"",VLOOKUP(A124,$A$9:$I123,6,0))</f>
        <v>JORGE</v>
      </c>
      <c r="G124" s="23">
        <f>IF(IFERROR(VLOOKUP(A124,$A$9:$I123,1,0),0)=0,"",VLOOKUP(A124,$A$9:$I123,7,0))</f>
        <v>45306</v>
      </c>
      <c r="H124" s="23">
        <v>45308</v>
      </c>
      <c r="I124" s="21" t="s">
        <v>24</v>
      </c>
      <c r="J124" s="21" t="s">
        <v>13</v>
      </c>
      <c r="K124" s="24" t="s">
        <v>47</v>
      </c>
      <c r="L124" s="23">
        <v>45306</v>
      </c>
      <c r="M124" s="23">
        <v>45308</v>
      </c>
      <c r="N124" s="25">
        <f t="shared" si="5"/>
        <v>2</v>
      </c>
      <c r="O124" s="26"/>
      <c r="P124" t="s">
        <v>88</v>
      </c>
      <c r="Q124" t="s">
        <v>88</v>
      </c>
      <c r="R124" t="s">
        <v>88</v>
      </c>
      <c r="S124" t="s">
        <v>88</v>
      </c>
      <c r="T124" t="s">
        <v>88</v>
      </c>
      <c r="U124" t="s">
        <v>20</v>
      </c>
    </row>
    <row r="125" spans="1:21" x14ac:dyDescent="0.45">
      <c r="A125" s="20">
        <v>68953618</v>
      </c>
      <c r="B125" s="21" t="str">
        <f t="shared" si="6"/>
        <v>6.895.361-8</v>
      </c>
      <c r="C125" s="22" t="s">
        <v>30</v>
      </c>
      <c r="D125" s="21" t="s">
        <v>313</v>
      </c>
      <c r="E125" s="21" t="s">
        <v>389</v>
      </c>
      <c r="F125" s="21" t="s">
        <v>390</v>
      </c>
      <c r="G125" s="23">
        <v>45306</v>
      </c>
      <c r="H125" s="23">
        <v>45309</v>
      </c>
      <c r="I125" s="21" t="s">
        <v>24</v>
      </c>
      <c r="J125" s="21" t="s">
        <v>13</v>
      </c>
      <c r="K125" s="24" t="s">
        <v>43</v>
      </c>
      <c r="L125" s="23">
        <v>45306</v>
      </c>
      <c r="M125" s="23">
        <v>45309</v>
      </c>
      <c r="N125" s="25">
        <f t="shared" si="5"/>
        <v>3</v>
      </c>
      <c r="O125" s="26"/>
      <c r="P125" t="s">
        <v>88</v>
      </c>
      <c r="Q125" t="s">
        <v>88</v>
      </c>
      <c r="R125" t="s">
        <v>88</v>
      </c>
      <c r="S125" t="s">
        <v>88</v>
      </c>
      <c r="T125" t="s">
        <v>88</v>
      </c>
      <c r="U125" t="s">
        <v>20</v>
      </c>
    </row>
    <row r="126" spans="1:21" x14ac:dyDescent="0.45">
      <c r="A126" s="20">
        <v>68953618</v>
      </c>
      <c r="B126" s="21" t="str">
        <f t="shared" si="6"/>
        <v>6.895.361-8</v>
      </c>
      <c r="C126" s="22" t="str">
        <f>IF(IFERROR(VLOOKUP(A126,$A$9:$I125,1,0),0)=0,"",VLOOKUP(A126,$A$9:$I125,3,0))</f>
        <v>UCO</v>
      </c>
      <c r="D126" s="21" t="str">
        <f>IF(IFERROR(VLOOKUP(A126,$A$9:$I125,1,0),0)=0,"",VLOOKUP(A126,$A$9:$I125,4,0))</f>
        <v>AGUILERA</v>
      </c>
      <c r="E126" s="21" t="str">
        <f>IF(IFERROR(VLOOKUP(A126,$A$9:$I125,1,0),0)=0,"",VLOOKUP(A126,$A$9:$I125,5,0))</f>
        <v>SALINAS</v>
      </c>
      <c r="F126" s="21" t="str">
        <f>IF(IFERROR(VLOOKUP(A126,$A$9:$I125,1,0),0)=0,"",VLOOKUP(A126,$A$9:$I125,6,0))</f>
        <v>RAUL</v>
      </c>
      <c r="G126" s="23">
        <f>IF(IFERROR(VLOOKUP(A126,$A$9:$I125,1,0),0)=0,"",VLOOKUP(A126,$A$9:$I125,7,0))</f>
        <v>45306</v>
      </c>
      <c r="H126" s="23">
        <v>45309</v>
      </c>
      <c r="I126" s="21" t="s">
        <v>24</v>
      </c>
      <c r="J126" s="21" t="s">
        <v>13</v>
      </c>
      <c r="K126" s="24" t="s">
        <v>47</v>
      </c>
      <c r="L126" s="23">
        <v>45306</v>
      </c>
      <c r="M126" s="23">
        <v>45309</v>
      </c>
      <c r="N126" s="25">
        <f t="shared" si="5"/>
        <v>3</v>
      </c>
      <c r="O126" s="26"/>
      <c r="P126" t="s">
        <v>88</v>
      </c>
      <c r="Q126" t="s">
        <v>88</v>
      </c>
      <c r="R126" t="s">
        <v>88</v>
      </c>
      <c r="S126" t="s">
        <v>88</v>
      </c>
      <c r="T126" t="s">
        <v>88</v>
      </c>
      <c r="U126" t="s">
        <v>20</v>
      </c>
    </row>
    <row r="127" spans="1:21" x14ac:dyDescent="0.45">
      <c r="A127" s="20">
        <v>283191354</v>
      </c>
      <c r="B127" s="21" t="str">
        <f t="shared" si="6"/>
        <v>28.319.135-4</v>
      </c>
      <c r="C127" s="22" t="s">
        <v>16</v>
      </c>
      <c r="D127" s="21" t="s">
        <v>352</v>
      </c>
      <c r="E127" s="21" t="s">
        <v>391</v>
      </c>
      <c r="F127" s="21" t="s">
        <v>392</v>
      </c>
      <c r="G127" s="23">
        <v>45292</v>
      </c>
      <c r="H127" s="23">
        <v>45320</v>
      </c>
      <c r="I127" s="21" t="s">
        <v>84</v>
      </c>
      <c r="J127" s="21"/>
      <c r="K127" s="24" t="s">
        <v>18</v>
      </c>
      <c r="L127" s="23">
        <v>45292</v>
      </c>
      <c r="M127" s="23">
        <v>45320</v>
      </c>
      <c r="N127" s="25">
        <f t="shared" si="5"/>
        <v>28</v>
      </c>
      <c r="O127" s="26"/>
      <c r="P127" t="s">
        <v>88</v>
      </c>
      <c r="Q127" t="s">
        <v>88</v>
      </c>
      <c r="R127" t="s">
        <v>88</v>
      </c>
      <c r="S127" t="s">
        <v>88</v>
      </c>
      <c r="T127" t="s">
        <v>88</v>
      </c>
      <c r="U127" t="s">
        <v>20</v>
      </c>
    </row>
    <row r="128" spans="1:21" x14ac:dyDescent="0.45">
      <c r="A128" s="20">
        <v>283174131</v>
      </c>
      <c r="B128" s="21" t="str">
        <f t="shared" ref="B128:B159" si="7">IF(LEN(A128)=8,MID(A128,1,1)&amp;"."&amp;MID(A128,2,3)&amp;"."&amp;MID(A128,5,3)&amp;"-"&amp;RIGHT(A128,1),IF(LEFT(RIGHT(A128,2),1)="-",MID(A128,1,1)&amp;"."&amp;MID(A128,2,3)&amp;"."&amp;MID(A128,5,3)&amp;"-"&amp;RIGHT(A128,1),MID(A128,1,2)&amp;"."&amp;MID(A128,3,3)&amp;"."&amp;MID(A128,6,3)&amp;"-"&amp;MID(A128,9,1)))</f>
        <v>28.317.413-1</v>
      </c>
      <c r="C128" s="22" t="s">
        <v>16</v>
      </c>
      <c r="D128" s="21" t="s">
        <v>393</v>
      </c>
      <c r="E128" s="21" t="s">
        <v>394</v>
      </c>
      <c r="F128" s="21" t="s">
        <v>395</v>
      </c>
      <c r="G128" s="23">
        <v>45282</v>
      </c>
      <c r="H128" s="23"/>
      <c r="I128" s="21"/>
      <c r="J128" s="21" t="s">
        <v>65</v>
      </c>
      <c r="K128" s="24" t="s">
        <v>18</v>
      </c>
      <c r="L128" s="23">
        <v>45292</v>
      </c>
      <c r="M128" s="23">
        <v>45306</v>
      </c>
      <c r="N128" s="25">
        <f t="shared" si="5"/>
        <v>14</v>
      </c>
      <c r="O128" s="26"/>
      <c r="P128" t="s">
        <v>88</v>
      </c>
      <c r="Q128" t="s">
        <v>88</v>
      </c>
      <c r="R128" t="s">
        <v>88</v>
      </c>
      <c r="S128" t="s">
        <v>88</v>
      </c>
      <c r="T128" t="s">
        <v>88</v>
      </c>
      <c r="U128" t="s">
        <v>20</v>
      </c>
    </row>
    <row r="129" spans="1:21" x14ac:dyDescent="0.45">
      <c r="A129" s="20">
        <v>283174131</v>
      </c>
      <c r="B129" s="21" t="str">
        <f t="shared" si="7"/>
        <v>28.317.413-1</v>
      </c>
      <c r="C129" s="22" t="str">
        <f>IF(IFERROR(VLOOKUP(A129,$A$9:$I128,1,0),0)=0,"",VLOOKUP(A129,$A$9:$I128,3,0))</f>
        <v>UCI neonatal</v>
      </c>
      <c r="D129" s="21" t="str">
        <f>IF(IFERROR(VLOOKUP(A129,$A$9:$I128,1,0),0)=0,"",VLOOKUP(A129,$A$9:$I128,4,0))</f>
        <v>FERNANDEZ</v>
      </c>
      <c r="E129" s="21" t="str">
        <f>IF(IFERROR(VLOOKUP(A129,$A$9:$I128,1,0),0)=0,"",VLOOKUP(A129,$A$9:$I128,5,0))</f>
        <v>PAILLALEF</v>
      </c>
      <c r="F129" s="21" t="str">
        <f>IF(IFERROR(VLOOKUP(A129,$A$9:$I128,1,0),0)=0,"",VLOOKUP(A129,$A$9:$I128,6,0))</f>
        <v>SAYEN</v>
      </c>
      <c r="G129" s="23">
        <f>IF(IFERROR(VLOOKUP(A129,$A$9:$I128,1,0),0)=0,"",VLOOKUP(A129,$A$9:$I128,7,0))</f>
        <v>45282</v>
      </c>
      <c r="H129" s="23"/>
      <c r="I129" s="21"/>
      <c r="J129" s="21" t="s">
        <v>65</v>
      </c>
      <c r="K129" s="24" t="s">
        <v>55</v>
      </c>
      <c r="L129" s="23">
        <v>45292</v>
      </c>
      <c r="M129" s="23">
        <v>45297</v>
      </c>
      <c r="N129" s="25">
        <f t="shared" si="5"/>
        <v>5</v>
      </c>
      <c r="O129" s="26"/>
      <c r="P129" t="s">
        <v>88</v>
      </c>
      <c r="Q129" t="s">
        <v>88</v>
      </c>
      <c r="R129" t="s">
        <v>88</v>
      </c>
      <c r="S129" t="s">
        <v>88</v>
      </c>
      <c r="T129" t="s">
        <v>88</v>
      </c>
      <c r="U129" t="s">
        <v>20</v>
      </c>
    </row>
    <row r="130" spans="1:21" x14ac:dyDescent="0.45">
      <c r="A130" s="20">
        <v>277353369</v>
      </c>
      <c r="B130" s="21" t="str">
        <f t="shared" si="7"/>
        <v>27.735.336-9</v>
      </c>
      <c r="C130" s="22" t="s">
        <v>10</v>
      </c>
      <c r="D130" s="21" t="s">
        <v>396</v>
      </c>
      <c r="E130" s="21" t="s">
        <v>397</v>
      </c>
      <c r="F130" s="21" t="s">
        <v>398</v>
      </c>
      <c r="G130" s="23">
        <v>45291</v>
      </c>
      <c r="H130" s="23">
        <v>45322</v>
      </c>
      <c r="I130" s="21" t="s">
        <v>54</v>
      </c>
      <c r="J130" s="21" t="s">
        <v>13</v>
      </c>
      <c r="K130" s="24" t="s">
        <v>47</v>
      </c>
      <c r="L130" s="23">
        <v>45291</v>
      </c>
      <c r="M130" s="23">
        <v>45322</v>
      </c>
      <c r="N130" s="25">
        <f t="shared" si="5"/>
        <v>31</v>
      </c>
      <c r="O130" s="26"/>
      <c r="P130" t="s">
        <v>88</v>
      </c>
      <c r="Q130" t="s">
        <v>88</v>
      </c>
      <c r="R130" t="s">
        <v>88</v>
      </c>
      <c r="S130" t="s">
        <v>88</v>
      </c>
      <c r="T130" t="s">
        <v>88</v>
      </c>
      <c r="U130" t="s">
        <v>20</v>
      </c>
    </row>
    <row r="131" spans="1:21" x14ac:dyDescent="0.45">
      <c r="A131" s="20">
        <v>277353369</v>
      </c>
      <c r="B131" s="21" t="str">
        <f t="shared" si="7"/>
        <v>27.735.336-9</v>
      </c>
      <c r="C131" s="22" t="str">
        <f>IF(IFERROR(VLOOKUP(A131,$A$9:$I130,1,0),0)=0,"",VLOOKUP(A131,$A$9:$I130,3,0))</f>
        <v>UCI infanto juvenil</v>
      </c>
      <c r="D131" s="21" t="str">
        <f>IF(IFERROR(VLOOKUP(A131,$A$9:$I130,1,0),0)=0,"",VLOOKUP(A131,$A$9:$I130,4,0))</f>
        <v>GALVAN</v>
      </c>
      <c r="E131" s="21" t="str">
        <f>IF(IFERROR(VLOOKUP(A131,$A$9:$I130,1,0),0)=0,"",VLOOKUP(A131,$A$9:$I130,5,0))</f>
        <v>AGÜERO</v>
      </c>
      <c r="F131" s="21" t="str">
        <f>IF(IFERROR(VLOOKUP(A131,$A$9:$I130,1,0),0)=0,"",VLOOKUP(A131,$A$9:$I130,6,0))</f>
        <v>EZEQUIEL</v>
      </c>
      <c r="G131" s="23">
        <f>IF(IFERROR(VLOOKUP(A131,$A$9:$I130,1,0),0)=0,"",VLOOKUP(A131,$A$9:$I130,7,0))</f>
        <v>45291</v>
      </c>
      <c r="H131" s="23">
        <v>45322</v>
      </c>
      <c r="I131" s="21" t="s">
        <v>54</v>
      </c>
      <c r="J131" s="21" t="s">
        <v>13</v>
      </c>
      <c r="K131" s="24" t="s">
        <v>55</v>
      </c>
      <c r="L131" s="23">
        <v>45293</v>
      </c>
      <c r="M131" s="23">
        <v>45322</v>
      </c>
      <c r="N131" s="25">
        <f t="shared" si="5"/>
        <v>29</v>
      </c>
      <c r="O131" s="26"/>
      <c r="P131" t="s">
        <v>88</v>
      </c>
      <c r="Q131" t="s">
        <v>88</v>
      </c>
      <c r="R131" t="s">
        <v>88</v>
      </c>
      <c r="S131" t="s">
        <v>88</v>
      </c>
      <c r="T131" t="s">
        <v>88</v>
      </c>
      <c r="U131" t="s">
        <v>20</v>
      </c>
    </row>
    <row r="132" spans="1:21" x14ac:dyDescent="0.45">
      <c r="A132" s="20">
        <v>283174131</v>
      </c>
      <c r="B132" s="21" t="str">
        <f t="shared" si="7"/>
        <v>28.317.413-1</v>
      </c>
      <c r="C132" s="22" t="str">
        <f>IF(IFERROR(VLOOKUP(A132,$A$9:$I131,1,0),0)=0,"",VLOOKUP(A132,$A$9:$I131,3,0))</f>
        <v>UCI neonatal</v>
      </c>
      <c r="D132" s="21" t="str">
        <f>IF(IFERROR(VLOOKUP(A132,$A$9:$I131,1,0),0)=0,"",VLOOKUP(A132,$A$9:$I131,4,0))</f>
        <v>FERNANDEZ</v>
      </c>
      <c r="E132" s="21" t="str">
        <f>IF(IFERROR(VLOOKUP(A132,$A$9:$I131,1,0),0)=0,"",VLOOKUP(A132,$A$9:$I131,5,0))</f>
        <v>PAILLALEF</v>
      </c>
      <c r="F132" s="21" t="str">
        <f>IF(IFERROR(VLOOKUP(A132,$A$9:$I131,1,0),0)=0,"",VLOOKUP(A132,$A$9:$I131,6,0))</f>
        <v>SAYEN</v>
      </c>
      <c r="G132" s="23">
        <f>IF(IFERROR(VLOOKUP(A132,$A$9:$I131,1,0),0)=0,"",VLOOKUP(A132,$A$9:$I131,7,0))</f>
        <v>45282</v>
      </c>
      <c r="H132" s="23"/>
      <c r="I132" s="21"/>
      <c r="J132" s="21" t="s">
        <v>65</v>
      </c>
      <c r="K132" s="24" t="s">
        <v>55</v>
      </c>
      <c r="L132" s="23">
        <v>45301</v>
      </c>
      <c r="M132" s="23">
        <v>45305</v>
      </c>
      <c r="N132" s="25">
        <f t="shared" si="5"/>
        <v>4</v>
      </c>
      <c r="O132" s="26"/>
      <c r="P132" t="s">
        <v>88</v>
      </c>
      <c r="Q132" t="s">
        <v>88</v>
      </c>
      <c r="R132" t="s">
        <v>88</v>
      </c>
      <c r="S132" t="s">
        <v>88</v>
      </c>
      <c r="T132" t="s">
        <v>88</v>
      </c>
      <c r="U132" t="s">
        <v>20</v>
      </c>
    </row>
    <row r="133" spans="1:21" x14ac:dyDescent="0.45">
      <c r="A133" s="20">
        <v>283174131</v>
      </c>
      <c r="B133" s="21" t="str">
        <f t="shared" si="7"/>
        <v>28.317.413-1</v>
      </c>
      <c r="C133" s="22" t="str">
        <f>IF(IFERROR(VLOOKUP(A133,$A$9:$I132,1,0),0)=0,"",VLOOKUP(A133,$A$9:$I132,3,0))</f>
        <v>UCI neonatal</v>
      </c>
      <c r="D133" s="21" t="str">
        <f>IF(IFERROR(VLOOKUP(A133,$A$9:$I132,1,0),0)=0,"",VLOOKUP(A133,$A$9:$I132,4,0))</f>
        <v>FERNANDEZ</v>
      </c>
      <c r="E133" s="21" t="str">
        <f>IF(IFERROR(VLOOKUP(A133,$A$9:$I132,1,0),0)=0,"",VLOOKUP(A133,$A$9:$I132,5,0))</f>
        <v>PAILLALEF</v>
      </c>
      <c r="F133" s="21" t="str">
        <f>IF(IFERROR(VLOOKUP(A133,$A$9:$I132,1,0),0)=0,"",VLOOKUP(A133,$A$9:$I132,6,0))</f>
        <v>SAYEN</v>
      </c>
      <c r="G133" s="23">
        <f>IF(IFERROR(VLOOKUP(A133,$A$9:$I132,1,0),0)=0,"",VLOOKUP(A133,$A$9:$I132,7,0))</f>
        <v>45282</v>
      </c>
      <c r="H133" s="23"/>
      <c r="I133" s="21"/>
      <c r="J133" s="21" t="s">
        <v>65</v>
      </c>
      <c r="K133" s="24" t="s">
        <v>55</v>
      </c>
      <c r="L133" s="23">
        <v>45306</v>
      </c>
      <c r="M133" s="23">
        <v>45322</v>
      </c>
      <c r="N133" s="25">
        <f t="shared" si="5"/>
        <v>16</v>
      </c>
      <c r="O133" s="26"/>
      <c r="P133" t="s">
        <v>88</v>
      </c>
      <c r="Q133" t="s">
        <v>88</v>
      </c>
      <c r="R133" t="s">
        <v>88</v>
      </c>
      <c r="S133" t="s">
        <v>88</v>
      </c>
      <c r="T133" t="s">
        <v>88</v>
      </c>
      <c r="U133" t="s">
        <v>20</v>
      </c>
    </row>
    <row r="134" spans="1:21" x14ac:dyDescent="0.45">
      <c r="A134" s="20">
        <v>283267180</v>
      </c>
      <c r="B134" s="21" t="str">
        <f t="shared" si="7"/>
        <v>28.326.718-0</v>
      </c>
      <c r="C134" s="22" t="s">
        <v>16</v>
      </c>
      <c r="D134" s="21" t="s">
        <v>384</v>
      </c>
      <c r="E134" s="21" t="s">
        <v>245</v>
      </c>
      <c r="F134" s="21" t="s">
        <v>293</v>
      </c>
      <c r="G134" s="23">
        <v>45295</v>
      </c>
      <c r="H134" s="23"/>
      <c r="I134" s="21" t="s">
        <v>84</v>
      </c>
      <c r="J134" s="21" t="s">
        <v>65</v>
      </c>
      <c r="K134" s="24" t="s">
        <v>18</v>
      </c>
      <c r="L134" s="23">
        <v>45301</v>
      </c>
      <c r="M134" s="23">
        <v>45322</v>
      </c>
      <c r="N134" s="25">
        <f t="shared" si="5"/>
        <v>21</v>
      </c>
      <c r="O134" s="26"/>
      <c r="P134" t="s">
        <v>88</v>
      </c>
      <c r="Q134" t="s">
        <v>88</v>
      </c>
      <c r="R134" t="s">
        <v>88</v>
      </c>
      <c r="S134" t="s">
        <v>88</v>
      </c>
      <c r="T134" t="s">
        <v>88</v>
      </c>
      <c r="U134" t="s">
        <v>20</v>
      </c>
    </row>
    <row r="135" spans="1:21" x14ac:dyDescent="0.45">
      <c r="A135" s="20">
        <v>283267180</v>
      </c>
      <c r="B135" s="21" t="str">
        <f t="shared" si="7"/>
        <v>28.326.718-0</v>
      </c>
      <c r="C135" s="22" t="str">
        <f>IF(IFERROR(VLOOKUP(A135,$A$9:$I134,1,0),0)=0,"",VLOOKUP(A135,$A$9:$I134,3,0))</f>
        <v>UCI neonatal</v>
      </c>
      <c r="D135" s="21" t="str">
        <f>IF(IFERROR(VLOOKUP(A135,$A$9:$I134,1,0),0)=0,"",VLOOKUP(A135,$A$9:$I134,4,0))</f>
        <v>MUÑOZ</v>
      </c>
      <c r="E135" s="21" t="str">
        <f>IF(IFERROR(VLOOKUP(A135,$A$9:$I134,1,0),0)=0,"",VLOOKUP(A135,$A$9:$I134,5,0))</f>
        <v>DAZA</v>
      </c>
      <c r="F135" s="21" t="str">
        <f>IF(IFERROR(VLOOKUP(A135,$A$9:$I134,1,0),0)=0,"",VLOOKUP(A135,$A$9:$I134,6,0))</f>
        <v>CRISTOBAL</v>
      </c>
      <c r="G135" s="23">
        <f>IF(IFERROR(VLOOKUP(A135,$A$9:$I134,1,0),0)=0,"",VLOOKUP(A135,$A$9:$I134,7,0))</f>
        <v>45295</v>
      </c>
      <c r="H135" s="23"/>
      <c r="I135" s="21" t="s">
        <v>84</v>
      </c>
      <c r="J135" s="21" t="s">
        <v>65</v>
      </c>
      <c r="K135" s="24" t="s">
        <v>55</v>
      </c>
      <c r="L135" s="23">
        <v>45295</v>
      </c>
      <c r="M135" s="23">
        <v>45322</v>
      </c>
      <c r="N135" s="25">
        <f t="shared" si="5"/>
        <v>27</v>
      </c>
      <c r="O135" s="26"/>
      <c r="P135" t="s">
        <v>88</v>
      </c>
      <c r="Q135" t="s">
        <v>88</v>
      </c>
      <c r="R135" t="s">
        <v>88</v>
      </c>
      <c r="S135" t="s">
        <v>88</v>
      </c>
      <c r="T135" t="s">
        <v>88</v>
      </c>
      <c r="U135" t="s">
        <v>20</v>
      </c>
    </row>
    <row r="136" spans="1:21" x14ac:dyDescent="0.45">
      <c r="A136" s="20">
        <v>283267180</v>
      </c>
      <c r="B136" s="21" t="str">
        <f t="shared" si="7"/>
        <v>28.326.718-0</v>
      </c>
      <c r="C136" s="22" t="str">
        <f>IF(IFERROR(VLOOKUP(A136,$A$9:$I135,1,0),0)=0,"",VLOOKUP(A136,$A$9:$I135,3,0))</f>
        <v>UCI neonatal</v>
      </c>
      <c r="D136" s="21" t="str">
        <f>IF(IFERROR(VLOOKUP(A136,$A$9:$I135,1,0),0)=0,"",VLOOKUP(A136,$A$9:$I135,4,0))</f>
        <v>MUÑOZ</v>
      </c>
      <c r="E136" s="21" t="str">
        <f>IF(IFERROR(VLOOKUP(A136,$A$9:$I135,1,0),0)=0,"",VLOOKUP(A136,$A$9:$I135,5,0))</f>
        <v>DAZA</v>
      </c>
      <c r="F136" s="21" t="str">
        <f>IF(IFERROR(VLOOKUP(A136,$A$9:$I135,1,0),0)=0,"",VLOOKUP(A136,$A$9:$I135,6,0))</f>
        <v>CRISTOBAL</v>
      </c>
      <c r="G136" s="23">
        <f>IF(IFERROR(VLOOKUP(A136,$A$9:$I135,1,0),0)=0,"",VLOOKUP(A136,$A$9:$I135,7,0))</f>
        <v>45295</v>
      </c>
      <c r="H136" s="23"/>
      <c r="I136" s="21" t="s">
        <v>84</v>
      </c>
      <c r="J136" s="21" t="s">
        <v>65</v>
      </c>
      <c r="K136" s="24" t="s">
        <v>35</v>
      </c>
      <c r="L136" s="23">
        <v>45295</v>
      </c>
      <c r="M136" s="23">
        <v>45301</v>
      </c>
      <c r="N136" s="25">
        <f t="shared" si="5"/>
        <v>6</v>
      </c>
      <c r="O136" s="26"/>
      <c r="P136" t="s">
        <v>88</v>
      </c>
      <c r="Q136" t="s">
        <v>88</v>
      </c>
      <c r="R136" t="s">
        <v>88</v>
      </c>
      <c r="S136" t="s">
        <v>88</v>
      </c>
      <c r="T136" t="s">
        <v>88</v>
      </c>
      <c r="U136" t="s">
        <v>20</v>
      </c>
    </row>
    <row r="137" spans="1:21" x14ac:dyDescent="0.45">
      <c r="A137" s="20">
        <v>283267180</v>
      </c>
      <c r="B137" s="21" t="str">
        <f t="shared" si="7"/>
        <v>28.326.718-0</v>
      </c>
      <c r="C137" s="22" t="str">
        <f>IF(IFERROR(VLOOKUP(A137,$A$9:$I136,1,0),0)=0,"",VLOOKUP(A137,$A$9:$I136,3,0))</f>
        <v>UCI neonatal</v>
      </c>
      <c r="D137" s="21" t="str">
        <f>IF(IFERROR(VLOOKUP(A137,$A$9:$I136,1,0),0)=0,"",VLOOKUP(A137,$A$9:$I136,4,0))</f>
        <v>MUÑOZ</v>
      </c>
      <c r="E137" s="21" t="str">
        <f>IF(IFERROR(VLOOKUP(A137,$A$9:$I136,1,0),0)=0,"",VLOOKUP(A137,$A$9:$I136,5,0))</f>
        <v>DAZA</v>
      </c>
      <c r="F137" s="21" t="str">
        <f>IF(IFERROR(VLOOKUP(A137,$A$9:$I136,1,0),0)=0,"",VLOOKUP(A137,$A$9:$I136,6,0))</f>
        <v>CRISTOBAL</v>
      </c>
      <c r="G137" s="23">
        <f>IF(IFERROR(VLOOKUP(A137,$A$9:$I136,1,0),0)=0,"",VLOOKUP(A137,$A$9:$I136,7,0))</f>
        <v>45295</v>
      </c>
      <c r="H137" s="23"/>
      <c r="I137" s="21" t="s">
        <v>84</v>
      </c>
      <c r="J137" s="21" t="s">
        <v>65</v>
      </c>
      <c r="K137" s="24" t="s">
        <v>39</v>
      </c>
      <c r="L137" s="23">
        <v>45295</v>
      </c>
      <c r="M137" s="23">
        <v>45301</v>
      </c>
      <c r="N137" s="25">
        <f t="shared" si="5"/>
        <v>6</v>
      </c>
      <c r="O137" s="26"/>
      <c r="P137" t="s">
        <v>88</v>
      </c>
      <c r="Q137" t="s">
        <v>88</v>
      </c>
      <c r="R137" t="s">
        <v>88</v>
      </c>
      <c r="S137" t="s">
        <v>88</v>
      </c>
      <c r="T137" t="s">
        <v>88</v>
      </c>
      <c r="U137" t="s">
        <v>20</v>
      </c>
    </row>
    <row r="138" spans="1:21" x14ac:dyDescent="0.45">
      <c r="A138" s="20">
        <v>283267873</v>
      </c>
      <c r="B138" s="21" t="str">
        <f t="shared" si="7"/>
        <v>28.326.787-3</v>
      </c>
      <c r="C138" s="22" t="s">
        <v>16</v>
      </c>
      <c r="D138" s="21" t="s">
        <v>399</v>
      </c>
      <c r="E138" s="21" t="s">
        <v>350</v>
      </c>
      <c r="F138" s="21" t="s">
        <v>400</v>
      </c>
      <c r="G138" s="23">
        <v>45296</v>
      </c>
      <c r="H138" s="23">
        <v>45322</v>
      </c>
      <c r="I138" s="21"/>
      <c r="J138" s="21" t="s">
        <v>13</v>
      </c>
      <c r="K138" s="24" t="s">
        <v>35</v>
      </c>
      <c r="L138" s="23">
        <v>45296</v>
      </c>
      <c r="M138" s="23">
        <v>45322</v>
      </c>
      <c r="N138" s="25">
        <f t="shared" si="5"/>
        <v>26</v>
      </c>
      <c r="O138" s="26"/>
      <c r="P138" t="s">
        <v>88</v>
      </c>
      <c r="Q138" t="s">
        <v>88</v>
      </c>
      <c r="R138" t="s">
        <v>88</v>
      </c>
      <c r="S138" t="s">
        <v>88</v>
      </c>
      <c r="T138" t="s">
        <v>88</v>
      </c>
      <c r="U138" t="s">
        <v>20</v>
      </c>
    </row>
    <row r="139" spans="1:21" x14ac:dyDescent="0.45">
      <c r="A139" s="20">
        <v>283267873</v>
      </c>
      <c r="B139" s="21" t="str">
        <f t="shared" si="7"/>
        <v>28.326.787-3</v>
      </c>
      <c r="C139" s="22" t="str">
        <f>IF(IFERROR(VLOOKUP(A139,$A$9:$I138,1,0),0)=0,"",VLOOKUP(A139,$A$9:$I138,3,0))</f>
        <v>UCI neonatal</v>
      </c>
      <c r="D139" s="21" t="str">
        <f>IF(IFERROR(VLOOKUP(A139,$A$9:$I138,1,0),0)=0,"",VLOOKUP(A139,$A$9:$I138,4,0))</f>
        <v>ARROYO</v>
      </c>
      <c r="E139" s="21" t="str">
        <f>IF(IFERROR(VLOOKUP(A139,$A$9:$I138,1,0),0)=0,"",VLOOKUP(A139,$A$9:$I138,5,0))</f>
        <v>MANCILLA</v>
      </c>
      <c r="F139" s="21" t="str">
        <f>IF(IFERROR(VLOOKUP(A139,$A$9:$I138,1,0),0)=0,"",VLOOKUP(A139,$A$9:$I138,6,0))</f>
        <v>JESUS</v>
      </c>
      <c r="G139" s="23">
        <f>IF(IFERROR(VLOOKUP(A139,$A$9:$I138,1,0),0)=0,"",VLOOKUP(A139,$A$9:$I138,7,0))</f>
        <v>45296</v>
      </c>
      <c r="H139" s="23">
        <v>45322</v>
      </c>
      <c r="I139" s="21"/>
      <c r="J139" s="21" t="s">
        <v>13</v>
      </c>
      <c r="K139" s="24" t="s">
        <v>39</v>
      </c>
      <c r="L139" s="23">
        <v>45296</v>
      </c>
      <c r="M139" s="23">
        <v>45322</v>
      </c>
      <c r="N139" s="25">
        <f t="shared" si="5"/>
        <v>26</v>
      </c>
      <c r="O139" s="26"/>
      <c r="P139" t="s">
        <v>88</v>
      </c>
      <c r="Q139" t="s">
        <v>88</v>
      </c>
      <c r="R139" t="s">
        <v>88</v>
      </c>
      <c r="S139" t="s">
        <v>88</v>
      </c>
      <c r="T139" t="s">
        <v>88</v>
      </c>
      <c r="U139" t="s">
        <v>20</v>
      </c>
    </row>
    <row r="140" spans="1:21" x14ac:dyDescent="0.45">
      <c r="A140" s="20">
        <v>75231016</v>
      </c>
      <c r="B140" s="21" t="str">
        <f t="shared" si="7"/>
        <v>7.523.101-6</v>
      </c>
      <c r="C140" s="22" t="s">
        <v>38</v>
      </c>
      <c r="D140" s="21" t="s">
        <v>241</v>
      </c>
      <c r="E140" s="21" t="s">
        <v>401</v>
      </c>
      <c r="F140" s="21" t="s">
        <v>250</v>
      </c>
      <c r="G140" s="23">
        <v>45302</v>
      </c>
      <c r="H140" s="23">
        <v>45304</v>
      </c>
      <c r="I140" s="21" t="s">
        <v>66</v>
      </c>
      <c r="J140" s="21" t="s">
        <v>24</v>
      </c>
      <c r="K140" s="24" t="s">
        <v>43</v>
      </c>
      <c r="L140" s="23">
        <v>45302</v>
      </c>
      <c r="M140" s="23">
        <v>45304</v>
      </c>
      <c r="N140" s="25">
        <f t="shared" si="5"/>
        <v>2</v>
      </c>
      <c r="O140" s="26"/>
      <c r="P140" t="s">
        <v>88</v>
      </c>
      <c r="Q140" t="s">
        <v>88</v>
      </c>
      <c r="R140" t="s">
        <v>88</v>
      </c>
      <c r="S140" t="s">
        <v>88</v>
      </c>
      <c r="T140" t="s">
        <v>88</v>
      </c>
      <c r="U140" t="s">
        <v>20</v>
      </c>
    </row>
    <row r="141" spans="1:21" x14ac:dyDescent="0.45">
      <c r="A141" s="20">
        <v>75231016</v>
      </c>
      <c r="B141" s="21" t="str">
        <f t="shared" si="7"/>
        <v>7.523.101-6</v>
      </c>
      <c r="C141" s="22" t="str">
        <f>IF(IFERROR(VLOOKUP(A141,$A$9:$I140,1,0),0)=0,"",VLOOKUP(A141,$A$9:$I140,3,0))</f>
        <v xml:space="preserve">Sala de cuidados intermedios </v>
      </c>
      <c r="D141" s="21" t="str">
        <f>IF(IFERROR(VLOOKUP(A141,$A$9:$I140,1,0),0)=0,"",VLOOKUP(A141,$A$9:$I140,4,0))</f>
        <v>FUENTES</v>
      </c>
      <c r="E141" s="21" t="str">
        <f>IF(IFERROR(VLOOKUP(A141,$A$9:$I140,1,0),0)=0,"",VLOOKUP(A141,$A$9:$I140,5,0))</f>
        <v>PINCHEIRA</v>
      </c>
      <c r="F141" s="21" t="str">
        <f>IF(IFERROR(VLOOKUP(A141,$A$9:$I140,1,0),0)=0,"",VLOOKUP(A141,$A$9:$I140,6,0))</f>
        <v>JOSE</v>
      </c>
      <c r="G141" s="23">
        <f>IF(IFERROR(VLOOKUP(A141,$A$9:$I140,1,0),0)=0,"",VLOOKUP(A141,$A$9:$I140,7,0))</f>
        <v>45302</v>
      </c>
      <c r="H141" s="23">
        <v>45304</v>
      </c>
      <c r="I141" s="21" t="s">
        <v>66</v>
      </c>
      <c r="J141" s="21" t="s">
        <v>24</v>
      </c>
      <c r="K141" s="24" t="s">
        <v>47</v>
      </c>
      <c r="L141" s="23">
        <v>45302</v>
      </c>
      <c r="M141" s="23">
        <v>45304</v>
      </c>
      <c r="N141" s="25">
        <f t="shared" si="5"/>
        <v>2</v>
      </c>
      <c r="O141" s="26"/>
      <c r="P141" t="s">
        <v>88</v>
      </c>
      <c r="Q141" t="s">
        <v>88</v>
      </c>
      <c r="R141" t="s">
        <v>88</v>
      </c>
      <c r="S141" t="s">
        <v>88</v>
      </c>
      <c r="T141" t="s">
        <v>88</v>
      </c>
      <c r="U141" t="s">
        <v>20</v>
      </c>
    </row>
    <row r="142" spans="1:21" x14ac:dyDescent="0.45">
      <c r="A142" s="20">
        <v>66595412</v>
      </c>
      <c r="B142" s="21" t="str">
        <f t="shared" si="7"/>
        <v>6.659.541-2</v>
      </c>
      <c r="C142" s="22" t="s">
        <v>38</v>
      </c>
      <c r="D142" s="21" t="s">
        <v>402</v>
      </c>
      <c r="E142" s="21" t="s">
        <v>403</v>
      </c>
      <c r="F142" s="21" t="s">
        <v>404</v>
      </c>
      <c r="G142" s="23">
        <v>45297</v>
      </c>
      <c r="H142" s="23">
        <v>45317</v>
      </c>
      <c r="I142" s="21" t="s">
        <v>24</v>
      </c>
      <c r="J142" s="21" t="s">
        <v>13</v>
      </c>
      <c r="K142" s="24" t="s">
        <v>43</v>
      </c>
      <c r="L142" s="23">
        <v>45297</v>
      </c>
      <c r="M142" s="23">
        <v>45317</v>
      </c>
      <c r="N142" s="25">
        <f t="shared" si="5"/>
        <v>20</v>
      </c>
      <c r="O142" s="26"/>
      <c r="P142" t="s">
        <v>88</v>
      </c>
      <c r="Q142" t="s">
        <v>88</v>
      </c>
      <c r="R142" t="s">
        <v>88</v>
      </c>
      <c r="S142" t="s">
        <v>88</v>
      </c>
      <c r="T142" t="s">
        <v>88</v>
      </c>
      <c r="U142" t="s">
        <v>20</v>
      </c>
    </row>
    <row r="143" spans="1:21" x14ac:dyDescent="0.45">
      <c r="A143" s="20">
        <v>66595412</v>
      </c>
      <c r="B143" s="21" t="str">
        <f t="shared" si="7"/>
        <v>6.659.541-2</v>
      </c>
      <c r="C143" s="22" t="str">
        <f>IF(IFERROR(VLOOKUP(A143,$A$9:$I142,1,0),0)=0,"",VLOOKUP(A143,$A$9:$I142,3,0))</f>
        <v xml:space="preserve">Sala de cuidados intermedios </v>
      </c>
      <c r="D143" s="21" t="str">
        <f>IF(IFERROR(VLOOKUP(A143,$A$9:$I142,1,0),0)=0,"",VLOOKUP(A143,$A$9:$I142,4,0))</f>
        <v>PINTO</v>
      </c>
      <c r="E143" s="21" t="str">
        <f>IF(IFERROR(VLOOKUP(A143,$A$9:$I142,1,0),0)=0,"",VLOOKUP(A143,$A$9:$I142,5,0))</f>
        <v>GARRIDO</v>
      </c>
      <c r="F143" s="21" t="str">
        <f>IF(IFERROR(VLOOKUP(A143,$A$9:$I142,1,0),0)=0,"",VLOOKUP(A143,$A$9:$I142,6,0))</f>
        <v>CONSUELO</v>
      </c>
      <c r="G143" s="23">
        <f>IF(IFERROR(VLOOKUP(A143,$A$9:$I142,1,0),0)=0,"",VLOOKUP(A143,$A$9:$I142,7,0))</f>
        <v>45297</v>
      </c>
      <c r="H143" s="23">
        <v>45317</v>
      </c>
      <c r="I143" s="21" t="s">
        <v>24</v>
      </c>
      <c r="J143" s="21" t="s">
        <v>13</v>
      </c>
      <c r="K143" s="24" t="s">
        <v>47</v>
      </c>
      <c r="L143" s="23">
        <v>45297</v>
      </c>
      <c r="M143" s="23">
        <v>45317</v>
      </c>
      <c r="N143" s="25">
        <f t="shared" si="5"/>
        <v>20</v>
      </c>
      <c r="O143" s="26"/>
      <c r="P143" t="s">
        <v>88</v>
      </c>
      <c r="Q143" t="s">
        <v>88</v>
      </c>
      <c r="R143" t="s">
        <v>88</v>
      </c>
      <c r="S143" t="s">
        <v>88</v>
      </c>
      <c r="T143" t="s">
        <v>88</v>
      </c>
      <c r="U143" t="s">
        <v>20</v>
      </c>
    </row>
    <row r="144" spans="1:21" x14ac:dyDescent="0.45">
      <c r="A144" s="20">
        <v>82360581</v>
      </c>
      <c r="B144" s="21" t="str">
        <f t="shared" si="7"/>
        <v>8.236.058-1</v>
      </c>
      <c r="C144" s="22" t="s">
        <v>38</v>
      </c>
      <c r="D144" s="21" t="s">
        <v>405</v>
      </c>
      <c r="E144" s="21" t="s">
        <v>352</v>
      </c>
      <c r="F144" s="21" t="s">
        <v>406</v>
      </c>
      <c r="G144" s="23">
        <v>45299</v>
      </c>
      <c r="H144" s="23">
        <v>45306</v>
      </c>
      <c r="I144" s="21" t="s">
        <v>24</v>
      </c>
      <c r="J144" s="21" t="s">
        <v>13</v>
      </c>
      <c r="K144" s="24" t="s">
        <v>47</v>
      </c>
      <c r="L144" s="23">
        <v>45299</v>
      </c>
      <c r="M144" s="23">
        <v>45303</v>
      </c>
      <c r="N144" s="25">
        <f t="shared" si="5"/>
        <v>4</v>
      </c>
      <c r="O144" s="26"/>
      <c r="P144" t="s">
        <v>88</v>
      </c>
      <c r="Q144" t="s">
        <v>88</v>
      </c>
      <c r="R144" t="s">
        <v>88</v>
      </c>
      <c r="S144" t="s">
        <v>88</v>
      </c>
      <c r="T144" t="s">
        <v>88</v>
      </c>
      <c r="U144" t="s">
        <v>20</v>
      </c>
    </row>
    <row r="145" spans="1:21" x14ac:dyDescent="0.45">
      <c r="A145" s="29" t="s">
        <v>407</v>
      </c>
      <c r="B145" s="21" t="str">
        <f t="shared" si="7"/>
        <v>4.412.648-6</v>
      </c>
      <c r="C145" s="22" t="s">
        <v>46</v>
      </c>
      <c r="D145" s="21" t="s">
        <v>408</v>
      </c>
      <c r="E145" s="21" t="s">
        <v>408</v>
      </c>
      <c r="F145" s="21" t="s">
        <v>409</v>
      </c>
      <c r="G145" s="23">
        <v>45300</v>
      </c>
      <c r="H145" s="23">
        <v>45303</v>
      </c>
      <c r="I145" s="21" t="s">
        <v>54</v>
      </c>
      <c r="J145" s="21" t="s">
        <v>13</v>
      </c>
      <c r="K145" s="24" t="s">
        <v>47</v>
      </c>
      <c r="L145" s="23">
        <v>45300</v>
      </c>
      <c r="M145" s="23">
        <v>45303</v>
      </c>
      <c r="N145" s="25">
        <f t="shared" si="5"/>
        <v>3</v>
      </c>
      <c r="O145" s="26"/>
      <c r="P145" t="s">
        <v>88</v>
      </c>
      <c r="Q145" t="s">
        <v>88</v>
      </c>
      <c r="R145" t="s">
        <v>88</v>
      </c>
      <c r="S145" t="s">
        <v>88</v>
      </c>
      <c r="T145" t="s">
        <v>88</v>
      </c>
      <c r="U145" t="s">
        <v>20</v>
      </c>
    </row>
    <row r="146" spans="1:21" x14ac:dyDescent="0.45">
      <c r="A146" s="29" t="s">
        <v>410</v>
      </c>
      <c r="B146" s="21" t="str">
        <f t="shared" si="7"/>
        <v>5.429.069-1</v>
      </c>
      <c r="C146" s="22" t="s">
        <v>46</v>
      </c>
      <c r="D146" s="21" t="s">
        <v>411</v>
      </c>
      <c r="E146" s="21" t="s">
        <v>412</v>
      </c>
      <c r="F146" s="21" t="s">
        <v>413</v>
      </c>
      <c r="G146" s="23">
        <v>45300</v>
      </c>
      <c r="H146" s="23">
        <v>45303</v>
      </c>
      <c r="I146" s="21" t="s">
        <v>54</v>
      </c>
      <c r="J146" s="21" t="s">
        <v>13</v>
      </c>
      <c r="K146" s="24" t="s">
        <v>47</v>
      </c>
      <c r="L146" s="23">
        <v>45300</v>
      </c>
      <c r="M146" s="23">
        <v>45303</v>
      </c>
      <c r="N146" s="25">
        <f t="shared" si="5"/>
        <v>3</v>
      </c>
      <c r="O146" s="26"/>
      <c r="P146" t="s">
        <v>88</v>
      </c>
      <c r="Q146" t="s">
        <v>88</v>
      </c>
      <c r="R146" t="s">
        <v>88</v>
      </c>
      <c r="S146" t="s">
        <v>88</v>
      </c>
      <c r="T146" t="s">
        <v>88</v>
      </c>
      <c r="U146" t="s">
        <v>20</v>
      </c>
    </row>
    <row r="147" spans="1:21" x14ac:dyDescent="0.45">
      <c r="A147" s="29" t="s">
        <v>414</v>
      </c>
      <c r="B147" s="21" t="str">
        <f t="shared" si="7"/>
        <v>7.644.679-2</v>
      </c>
      <c r="C147" s="22" t="s">
        <v>46</v>
      </c>
      <c r="D147" s="21" t="s">
        <v>415</v>
      </c>
      <c r="E147" s="21" t="s">
        <v>416</v>
      </c>
      <c r="F147" s="21" t="s">
        <v>250</v>
      </c>
      <c r="G147" s="23">
        <v>44934</v>
      </c>
      <c r="H147" s="23">
        <v>44941</v>
      </c>
      <c r="I147" s="21" t="s">
        <v>54</v>
      </c>
      <c r="J147" s="21" t="s">
        <v>13</v>
      </c>
      <c r="K147" s="24" t="s">
        <v>47</v>
      </c>
      <c r="L147" s="23">
        <v>45299</v>
      </c>
      <c r="M147" s="23">
        <v>45306</v>
      </c>
      <c r="N147" s="25">
        <f t="shared" si="5"/>
        <v>7</v>
      </c>
      <c r="O147" s="26"/>
      <c r="P147" t="s">
        <v>88</v>
      </c>
      <c r="Q147" t="s">
        <v>88</v>
      </c>
      <c r="R147" t="s">
        <v>88</v>
      </c>
      <c r="S147" t="s">
        <v>88</v>
      </c>
      <c r="T147" t="s">
        <v>88</v>
      </c>
      <c r="U147" t="s">
        <v>20</v>
      </c>
    </row>
    <row r="148" spans="1:21" x14ac:dyDescent="0.45">
      <c r="A148" s="29">
        <v>120793284</v>
      </c>
      <c r="B148" s="21" t="str">
        <f t="shared" si="7"/>
        <v>12.079.328-4</v>
      </c>
      <c r="C148" s="22" t="s">
        <v>46</v>
      </c>
      <c r="D148" s="21" t="s">
        <v>417</v>
      </c>
      <c r="E148" s="21" t="s">
        <v>418</v>
      </c>
      <c r="F148" s="21" t="s">
        <v>419</v>
      </c>
      <c r="G148" s="23">
        <v>45297</v>
      </c>
      <c r="H148" s="23"/>
      <c r="I148" s="21" t="s">
        <v>54</v>
      </c>
      <c r="J148" s="21" t="s">
        <v>65</v>
      </c>
      <c r="K148" s="24" t="s">
        <v>47</v>
      </c>
      <c r="L148" s="23">
        <v>45300</v>
      </c>
      <c r="M148" s="23">
        <v>45322</v>
      </c>
      <c r="N148" s="25">
        <f t="shared" si="5"/>
        <v>22</v>
      </c>
      <c r="O148" s="26"/>
      <c r="P148" t="s">
        <v>88</v>
      </c>
      <c r="Q148" t="s">
        <v>88</v>
      </c>
      <c r="R148" t="s">
        <v>88</v>
      </c>
      <c r="S148" t="s">
        <v>88</v>
      </c>
      <c r="T148" t="s">
        <v>88</v>
      </c>
      <c r="U148" t="s">
        <v>20</v>
      </c>
    </row>
    <row r="149" spans="1:21" x14ac:dyDescent="0.45">
      <c r="A149" s="35">
        <v>38171232</v>
      </c>
      <c r="B149" s="21" t="str">
        <f t="shared" si="7"/>
        <v>3.817.123-2</v>
      </c>
      <c r="C149" s="22" t="s">
        <v>46</v>
      </c>
      <c r="D149" s="21" t="s">
        <v>383</v>
      </c>
      <c r="E149" s="21" t="s">
        <v>420</v>
      </c>
      <c r="F149" s="21" t="s">
        <v>308</v>
      </c>
      <c r="G149" s="23">
        <v>45296</v>
      </c>
      <c r="H149" s="23">
        <v>45321</v>
      </c>
      <c r="I149" s="21" t="s">
        <v>54</v>
      </c>
      <c r="J149" s="21" t="s">
        <v>19</v>
      </c>
      <c r="K149" s="24" t="s">
        <v>47</v>
      </c>
      <c r="L149" s="23">
        <v>45296</v>
      </c>
      <c r="M149" s="23">
        <v>45321</v>
      </c>
      <c r="N149" s="25">
        <f t="shared" si="5"/>
        <v>25</v>
      </c>
      <c r="O149" s="26"/>
      <c r="P149" t="s">
        <v>88</v>
      </c>
      <c r="Q149" t="s">
        <v>88</v>
      </c>
      <c r="R149" t="s">
        <v>88</v>
      </c>
      <c r="S149" t="s">
        <v>88</v>
      </c>
      <c r="T149" t="s">
        <v>88</v>
      </c>
      <c r="U149" t="s">
        <v>20</v>
      </c>
    </row>
    <row r="150" spans="1:21" x14ac:dyDescent="0.45">
      <c r="A150" s="35">
        <v>110047053</v>
      </c>
      <c r="B150" s="21" t="str">
        <f t="shared" si="7"/>
        <v>11.004.705-3</v>
      </c>
      <c r="C150" s="22" t="s">
        <v>46</v>
      </c>
      <c r="D150" s="21" t="str">
        <f>IF(IFERROR(VLOOKUP(A150,$A$9:$I149,1,0),0)=0,"",VLOOKUP(A150,$A$9:$I149,4,0))</f>
        <v>CONTRERAS</v>
      </c>
      <c r="E150" s="21" t="str">
        <f>IF(IFERROR(VLOOKUP(A150,$A$9:$I149,1,0),0)=0,"",VLOOKUP(A150,$A$9:$I149,5,0))</f>
        <v>BASTIAS</v>
      </c>
      <c r="F150" s="21" t="str">
        <f>IF(IFERROR(VLOOKUP(A150,$A$9:$I149,1,0),0)=0,"",VLOOKUP(A150,$A$9:$I149,6,0))</f>
        <v>JESSICA</v>
      </c>
      <c r="G150" s="23">
        <v>45301</v>
      </c>
      <c r="H150" s="23"/>
      <c r="I150" s="21" t="s">
        <v>22</v>
      </c>
      <c r="J150" s="21" t="s">
        <v>65</v>
      </c>
      <c r="K150" s="24" t="s">
        <v>43</v>
      </c>
      <c r="L150" s="23">
        <v>45301</v>
      </c>
      <c r="M150" s="23">
        <v>45322</v>
      </c>
      <c r="N150" s="25">
        <f t="shared" si="5"/>
        <v>21</v>
      </c>
      <c r="O150" s="37" t="s">
        <v>14</v>
      </c>
      <c r="P150" t="s">
        <v>88</v>
      </c>
      <c r="Q150" t="s">
        <v>88</v>
      </c>
      <c r="R150" t="s">
        <v>88</v>
      </c>
      <c r="S150" t="s">
        <v>88</v>
      </c>
      <c r="T150" t="s">
        <v>88</v>
      </c>
      <c r="U150" t="s">
        <v>20</v>
      </c>
    </row>
    <row r="151" spans="1:21" x14ac:dyDescent="0.45">
      <c r="A151" s="20">
        <v>110047053</v>
      </c>
      <c r="B151" s="21" t="str">
        <f t="shared" si="7"/>
        <v>11.004.705-3</v>
      </c>
      <c r="C151" s="22" t="s">
        <v>46</v>
      </c>
      <c r="D151" s="21" t="str">
        <f>IF(IFERROR(VLOOKUP(A151,$A$9:$I150,1,0),0)=0,"",VLOOKUP(A151,$A$9:$I150,4,0))</f>
        <v>CONTRERAS</v>
      </c>
      <c r="E151" s="21" t="str">
        <f>IF(IFERROR(VLOOKUP(A151,$A$9:$I150,1,0),0)=0,"",VLOOKUP(A151,$A$9:$I150,5,0))</f>
        <v>BASTIAS</v>
      </c>
      <c r="F151" s="21" t="str">
        <f>IF(IFERROR(VLOOKUP(A151,$A$9:$I150,1,0),0)=0,"",VLOOKUP(A151,$A$9:$I150,6,0))</f>
        <v>JESSICA</v>
      </c>
      <c r="G151" s="23">
        <v>45301</v>
      </c>
      <c r="H151" s="23"/>
      <c r="I151" s="21" t="s">
        <v>22</v>
      </c>
      <c r="J151" s="21" t="s">
        <v>65</v>
      </c>
      <c r="K151" s="24" t="s">
        <v>47</v>
      </c>
      <c r="L151" s="23">
        <v>45301</v>
      </c>
      <c r="M151" s="23">
        <v>45309</v>
      </c>
      <c r="N151" s="25">
        <f t="shared" si="5"/>
        <v>8</v>
      </c>
      <c r="O151" s="37"/>
      <c r="P151" t="s">
        <v>88</v>
      </c>
      <c r="Q151" t="s">
        <v>88</v>
      </c>
      <c r="R151" t="s">
        <v>88</v>
      </c>
      <c r="S151" t="s">
        <v>88</v>
      </c>
      <c r="T151" t="s">
        <v>88</v>
      </c>
      <c r="U151" t="s">
        <v>20</v>
      </c>
    </row>
    <row r="152" spans="1:21" x14ac:dyDescent="0.45">
      <c r="A152" s="20" t="s">
        <v>421</v>
      </c>
      <c r="B152" s="21" t="str">
        <f t="shared" si="7"/>
        <v>9.070.231-9</v>
      </c>
      <c r="C152" s="22" t="s">
        <v>46</v>
      </c>
      <c r="D152" s="21" t="s">
        <v>347</v>
      </c>
      <c r="E152" s="21" t="s">
        <v>422</v>
      </c>
      <c r="F152" s="21" t="s">
        <v>271</v>
      </c>
      <c r="G152" s="23">
        <v>45291</v>
      </c>
      <c r="H152" s="23"/>
      <c r="I152" s="21" t="s">
        <v>24</v>
      </c>
      <c r="J152" s="21" t="s">
        <v>65</v>
      </c>
      <c r="K152" s="24" t="s">
        <v>43</v>
      </c>
      <c r="L152" s="23">
        <v>45292</v>
      </c>
      <c r="M152" s="23">
        <v>45297</v>
      </c>
      <c r="N152" s="25">
        <f t="shared" ref="N152:N215" si="8">+M152-L152</f>
        <v>5</v>
      </c>
      <c r="O152" s="26"/>
      <c r="P152" t="s">
        <v>88</v>
      </c>
      <c r="Q152" t="s">
        <v>88</v>
      </c>
      <c r="R152" t="s">
        <v>88</v>
      </c>
      <c r="S152" t="s">
        <v>88</v>
      </c>
      <c r="T152" t="s">
        <v>88</v>
      </c>
      <c r="U152" t="s">
        <v>20</v>
      </c>
    </row>
    <row r="153" spans="1:21" x14ac:dyDescent="0.45">
      <c r="A153" s="20" t="s">
        <v>421</v>
      </c>
      <c r="B153" s="21" t="str">
        <f t="shared" si="7"/>
        <v>9.070.231-9</v>
      </c>
      <c r="C153" s="22" t="str">
        <f>IF(IFERROR(VLOOKUP(A153,$A$9:$I152,1,0),0)=0,"",VLOOKUP(A153,$A$9:$I152,3,0))</f>
        <v>Pensionado</v>
      </c>
      <c r="D153" s="21" t="str">
        <f>IF(IFERROR(VLOOKUP(A153,$A$9:$I152,1,0),0)=0,"",VLOOKUP(A153,$A$9:$I152,4,0))</f>
        <v>SAAVEDRA</v>
      </c>
      <c r="E153" s="21" t="str">
        <f>IF(IFERROR(VLOOKUP(A153,$A$9:$I152,1,0),0)=0,"",VLOOKUP(A153,$A$9:$I152,5,0))</f>
        <v>TORRES</v>
      </c>
      <c r="F153" s="21" t="str">
        <f>IF(IFERROR(VLOOKUP(A153,$A$9:$I152,1,0),0)=0,"",VLOOKUP(A153,$A$9:$I152,6,0))</f>
        <v>MANUEL</v>
      </c>
      <c r="G153" s="23">
        <f>IF(IFERROR(VLOOKUP(A153,$A$9:$I152,1,0),0)=0,"",VLOOKUP(A153,$A$9:$I152,7,0))</f>
        <v>45291</v>
      </c>
      <c r="H153" s="23"/>
      <c r="I153" s="21" t="s">
        <v>24</v>
      </c>
      <c r="J153" s="21" t="s">
        <v>65</v>
      </c>
      <c r="K153" s="24" t="s">
        <v>23</v>
      </c>
      <c r="L153" s="23">
        <v>45292</v>
      </c>
      <c r="M153" s="23">
        <v>45297</v>
      </c>
      <c r="N153" s="25">
        <f t="shared" si="8"/>
        <v>5</v>
      </c>
      <c r="O153" s="26"/>
      <c r="P153" t="s">
        <v>88</v>
      </c>
      <c r="Q153" t="s">
        <v>88</v>
      </c>
      <c r="R153" t="s">
        <v>88</v>
      </c>
      <c r="S153" t="s">
        <v>88</v>
      </c>
      <c r="T153" t="s">
        <v>88</v>
      </c>
      <c r="U153" t="s">
        <v>20</v>
      </c>
    </row>
    <row r="154" spans="1:21" x14ac:dyDescent="0.45">
      <c r="A154" s="20">
        <v>61153867</v>
      </c>
      <c r="B154" s="21" t="str">
        <f t="shared" si="7"/>
        <v>6.115.386-7</v>
      </c>
      <c r="C154" s="22" t="s">
        <v>46</v>
      </c>
      <c r="D154" s="21" t="s">
        <v>423</v>
      </c>
      <c r="E154" s="21" t="s">
        <v>424</v>
      </c>
      <c r="F154" s="21" t="s">
        <v>425</v>
      </c>
      <c r="G154" s="23">
        <v>45285</v>
      </c>
      <c r="H154" s="23">
        <v>45300</v>
      </c>
      <c r="I154" s="21"/>
      <c r="J154" s="21" t="s">
        <v>13</v>
      </c>
      <c r="K154" s="24" t="s">
        <v>18</v>
      </c>
      <c r="L154" s="23">
        <v>45292</v>
      </c>
      <c r="M154" s="23">
        <v>45300</v>
      </c>
      <c r="N154" s="25">
        <f t="shared" si="8"/>
        <v>8</v>
      </c>
      <c r="O154" s="26"/>
      <c r="P154" t="s">
        <v>88</v>
      </c>
      <c r="Q154" t="s">
        <v>88</v>
      </c>
      <c r="R154" t="s">
        <v>88</v>
      </c>
      <c r="S154" t="s">
        <v>88</v>
      </c>
      <c r="T154" t="s">
        <v>88</v>
      </c>
      <c r="U154" t="s">
        <v>20</v>
      </c>
    </row>
    <row r="155" spans="1:21" x14ac:dyDescent="0.45">
      <c r="A155" s="20">
        <v>195084106</v>
      </c>
      <c r="B155" s="21" t="str">
        <f t="shared" si="7"/>
        <v>19.508.410-6</v>
      </c>
      <c r="C155" s="22" t="s">
        <v>22</v>
      </c>
      <c r="D155" s="21" t="s">
        <v>426</v>
      </c>
      <c r="E155" s="21" t="s">
        <v>427</v>
      </c>
      <c r="F155" s="21" t="s">
        <v>428</v>
      </c>
      <c r="G155" s="23">
        <v>45304</v>
      </c>
      <c r="H155" s="23">
        <v>45307</v>
      </c>
      <c r="I155" s="21" t="s">
        <v>54</v>
      </c>
      <c r="J155" s="21" t="s">
        <v>13</v>
      </c>
      <c r="K155" s="24" t="s">
        <v>43</v>
      </c>
      <c r="L155" s="23">
        <v>45304</v>
      </c>
      <c r="M155" s="23">
        <v>45307</v>
      </c>
      <c r="N155" s="25">
        <f t="shared" si="8"/>
        <v>3</v>
      </c>
      <c r="O155" s="26"/>
      <c r="P155" t="s">
        <v>88</v>
      </c>
      <c r="Q155" t="s">
        <v>88</v>
      </c>
      <c r="R155" t="s">
        <v>88</v>
      </c>
      <c r="S155" t="s">
        <v>88</v>
      </c>
      <c r="T155" t="s">
        <v>88</v>
      </c>
      <c r="U155" t="s">
        <v>20</v>
      </c>
    </row>
    <row r="156" spans="1:21" x14ac:dyDescent="0.45">
      <c r="A156" s="20">
        <v>195084106</v>
      </c>
      <c r="B156" s="21" t="str">
        <f t="shared" si="7"/>
        <v>19.508.410-6</v>
      </c>
      <c r="C156" s="22" t="str">
        <f>IF(IFERROR(VLOOKUP(A156,$A$9:$I155,1,0),0)=0,"",VLOOKUP(A156,$A$9:$I155,3,0))</f>
        <v>UCI</v>
      </c>
      <c r="D156" s="21" t="str">
        <f>IF(IFERROR(VLOOKUP(A156,$A$9:$I155,1,0),0)=0,"",VLOOKUP(A156,$A$9:$I155,4,0))</f>
        <v>GODOY</v>
      </c>
      <c r="E156" s="21" t="str">
        <f>IF(IFERROR(VLOOKUP(A156,$A$9:$I155,1,0),0)=0,"",VLOOKUP(A156,$A$9:$I155,5,0))</f>
        <v>MOLINA</v>
      </c>
      <c r="F156" s="21" t="str">
        <f>IF(IFERROR(VLOOKUP(A156,$A$9:$I155,1,0),0)=0,"",VLOOKUP(A156,$A$9:$I155,6,0))</f>
        <v>CLAUDIA</v>
      </c>
      <c r="G156" s="23">
        <f>IF(IFERROR(VLOOKUP(A156,$A$9:$I155,1,0),0)=0,"",VLOOKUP(A156,$A$9:$I155,7,0))</f>
        <v>45304</v>
      </c>
      <c r="H156" s="23">
        <v>45307</v>
      </c>
      <c r="I156" s="21" t="s">
        <v>54</v>
      </c>
      <c r="J156" s="21" t="s">
        <v>13</v>
      </c>
      <c r="K156" s="24" t="s">
        <v>47</v>
      </c>
      <c r="L156" s="23">
        <v>45304</v>
      </c>
      <c r="M156" s="23">
        <v>45307</v>
      </c>
      <c r="N156" s="25">
        <f t="shared" si="8"/>
        <v>3</v>
      </c>
      <c r="O156" s="26"/>
      <c r="P156" t="s">
        <v>88</v>
      </c>
      <c r="Q156" t="s">
        <v>88</v>
      </c>
      <c r="R156" t="s">
        <v>88</v>
      </c>
      <c r="S156" t="s">
        <v>88</v>
      </c>
      <c r="T156" t="s">
        <v>88</v>
      </c>
      <c r="U156" t="s">
        <v>20</v>
      </c>
    </row>
    <row r="157" spans="1:21" x14ac:dyDescent="0.45">
      <c r="A157" s="20">
        <v>138528855</v>
      </c>
      <c r="B157" s="21" t="str">
        <f t="shared" si="7"/>
        <v>13.852.885-5</v>
      </c>
      <c r="C157" s="22" t="s">
        <v>22</v>
      </c>
      <c r="D157" s="21" t="s">
        <v>429</v>
      </c>
      <c r="E157" s="21" t="s">
        <v>429</v>
      </c>
      <c r="F157" s="21" t="s">
        <v>430</v>
      </c>
      <c r="G157" s="23">
        <v>45306</v>
      </c>
      <c r="H157" s="23">
        <v>45322</v>
      </c>
      <c r="I157" s="21" t="s">
        <v>54</v>
      </c>
      <c r="J157" s="21" t="s">
        <v>13</v>
      </c>
      <c r="K157" s="24" t="s">
        <v>43</v>
      </c>
      <c r="L157" s="23">
        <v>45306</v>
      </c>
      <c r="M157" s="23">
        <v>45322</v>
      </c>
      <c r="N157" s="25">
        <f t="shared" si="8"/>
        <v>16</v>
      </c>
      <c r="O157" s="26"/>
      <c r="P157" t="s">
        <v>88</v>
      </c>
      <c r="Q157" t="s">
        <v>88</v>
      </c>
      <c r="R157" t="s">
        <v>88</v>
      </c>
      <c r="S157" t="s">
        <v>88</v>
      </c>
      <c r="T157" t="s">
        <v>88</v>
      </c>
      <c r="U157" t="s">
        <v>20</v>
      </c>
    </row>
    <row r="158" spans="1:21" x14ac:dyDescent="0.45">
      <c r="A158" s="20">
        <v>138528855</v>
      </c>
      <c r="B158" s="21" t="str">
        <f t="shared" si="7"/>
        <v>13.852.885-5</v>
      </c>
      <c r="C158" s="22" t="str">
        <f>IF(IFERROR(VLOOKUP(A158,$A$9:$I157,1,0),0)=0,"",VLOOKUP(A158,$A$9:$I157,3,0))</f>
        <v>UCI</v>
      </c>
      <c r="D158" s="21" t="str">
        <f>IF(IFERROR(VLOOKUP(A158,$A$9:$I157,1,0),0)=0,"",VLOOKUP(A158,$A$9:$I157,4,0))</f>
        <v>QUIROGA</v>
      </c>
      <c r="E158" s="21" t="str">
        <f>IF(IFERROR(VLOOKUP(A158,$A$9:$I157,1,0),0)=0,"",VLOOKUP(A158,$A$9:$I157,5,0))</f>
        <v>QUIROGA</v>
      </c>
      <c r="F158" s="21" t="str">
        <f>IF(IFERROR(VLOOKUP(A158,$A$9:$I157,1,0),0)=0,"",VLOOKUP(A158,$A$9:$I157,6,0))</f>
        <v>MARCELINO</v>
      </c>
      <c r="G158" s="23">
        <f>IF(IFERROR(VLOOKUP(A158,$A$9:$I157,1,0),0)=0,"",VLOOKUP(A158,$A$9:$I157,7,0))</f>
        <v>45306</v>
      </c>
      <c r="H158" s="23">
        <v>45322</v>
      </c>
      <c r="I158" s="21" t="s">
        <v>54</v>
      </c>
      <c r="J158" s="21" t="s">
        <v>13</v>
      </c>
      <c r="K158" s="24" t="s">
        <v>47</v>
      </c>
      <c r="L158" s="23">
        <v>45306</v>
      </c>
      <c r="M158" s="23">
        <v>45322</v>
      </c>
      <c r="N158" s="25">
        <f t="shared" si="8"/>
        <v>16</v>
      </c>
      <c r="O158" s="26"/>
      <c r="P158" t="s">
        <v>88</v>
      </c>
      <c r="Q158" t="s">
        <v>88</v>
      </c>
      <c r="R158" t="s">
        <v>88</v>
      </c>
      <c r="S158" t="s">
        <v>88</v>
      </c>
      <c r="T158" t="s">
        <v>88</v>
      </c>
      <c r="U158" t="s">
        <v>20</v>
      </c>
    </row>
    <row r="159" spans="1:21" x14ac:dyDescent="0.45">
      <c r="A159" s="20" t="s">
        <v>431</v>
      </c>
      <c r="B159" s="21" t="str">
        <f t="shared" si="7"/>
        <v>4.865.954-3</v>
      </c>
      <c r="C159" s="22" t="s">
        <v>22</v>
      </c>
      <c r="D159" s="21" t="s">
        <v>432</v>
      </c>
      <c r="E159" s="21" t="s">
        <v>433</v>
      </c>
      <c r="F159" s="21" t="s">
        <v>434</v>
      </c>
      <c r="G159" s="23">
        <v>45306</v>
      </c>
      <c r="H159" s="23">
        <v>45315</v>
      </c>
      <c r="I159" s="21" t="s">
        <v>54</v>
      </c>
      <c r="J159" s="21" t="s">
        <v>13</v>
      </c>
      <c r="K159" s="24" t="s">
        <v>43</v>
      </c>
      <c r="L159" s="23">
        <v>45306</v>
      </c>
      <c r="M159" s="23">
        <v>45312</v>
      </c>
      <c r="N159" s="25">
        <f t="shared" si="8"/>
        <v>6</v>
      </c>
      <c r="O159" s="26"/>
      <c r="P159" t="s">
        <v>88</v>
      </c>
      <c r="Q159" t="s">
        <v>88</v>
      </c>
      <c r="R159" t="s">
        <v>88</v>
      </c>
      <c r="S159" t="s">
        <v>88</v>
      </c>
      <c r="T159" t="s">
        <v>88</v>
      </c>
      <c r="U159" t="s">
        <v>20</v>
      </c>
    </row>
    <row r="160" spans="1:21" x14ac:dyDescent="0.45">
      <c r="A160" s="20">
        <v>191555945</v>
      </c>
      <c r="B160" s="21" t="str">
        <f t="shared" ref="B160:B191" si="9">IF(LEN(A160)=8,MID(A160,1,1)&amp;"."&amp;MID(A160,2,3)&amp;"."&amp;MID(A160,5,3)&amp;"-"&amp;RIGHT(A160,1),IF(LEFT(RIGHT(A160,2),1)="-",MID(A160,1,1)&amp;"."&amp;MID(A160,2,3)&amp;"."&amp;MID(A160,5,3)&amp;"-"&amp;RIGHT(A160,1),MID(A160,1,2)&amp;"."&amp;MID(A160,3,3)&amp;"."&amp;MID(A160,6,3)&amp;"-"&amp;MID(A160,9,1)))</f>
        <v>19.155.594-5</v>
      </c>
      <c r="C160" s="22" t="s">
        <v>22</v>
      </c>
      <c r="D160" s="21" t="s">
        <v>435</v>
      </c>
      <c r="E160" s="21" t="s">
        <v>436</v>
      </c>
      <c r="F160" s="21" t="s">
        <v>437</v>
      </c>
      <c r="G160" s="23">
        <v>45304</v>
      </c>
      <c r="H160" s="23">
        <v>45307</v>
      </c>
      <c r="I160" s="21" t="s">
        <v>44</v>
      </c>
      <c r="J160" s="21" t="s">
        <v>69</v>
      </c>
      <c r="K160" s="24" t="s">
        <v>43</v>
      </c>
      <c r="L160" s="23">
        <v>45304</v>
      </c>
      <c r="M160" s="23">
        <v>45307</v>
      </c>
      <c r="N160" s="25">
        <f t="shared" si="8"/>
        <v>3</v>
      </c>
      <c r="O160" s="26"/>
      <c r="P160" t="s">
        <v>88</v>
      </c>
      <c r="Q160" t="s">
        <v>88</v>
      </c>
      <c r="R160" t="s">
        <v>88</v>
      </c>
      <c r="S160" t="s">
        <v>88</v>
      </c>
      <c r="T160" t="s">
        <v>88</v>
      </c>
      <c r="U160" t="s">
        <v>20</v>
      </c>
    </row>
    <row r="161" spans="1:21" x14ac:dyDescent="0.45">
      <c r="A161" s="20">
        <v>191555945</v>
      </c>
      <c r="B161" s="21" t="str">
        <f t="shared" si="9"/>
        <v>19.155.594-5</v>
      </c>
      <c r="C161" s="22" t="str">
        <f>IF(IFERROR(VLOOKUP(A161,$A$9:$I160,1,0),0)=0,"",VLOOKUP(A161,$A$9:$I160,3,0))</f>
        <v>UCI</v>
      </c>
      <c r="D161" s="21" t="str">
        <f>IF(IFERROR(VLOOKUP(A161,$A$9:$I160,1,0),0)=0,"",VLOOKUP(A161,$A$9:$I160,4,0))</f>
        <v>VALLEJOS</v>
      </c>
      <c r="E161" s="21" t="str">
        <f>IF(IFERROR(VLOOKUP(A161,$A$9:$I160,1,0),0)=0,"",VLOOKUP(A161,$A$9:$I160,5,0))</f>
        <v>QUEVEDO</v>
      </c>
      <c r="F161" s="21" t="str">
        <f>IF(IFERROR(VLOOKUP(A161,$A$9:$I160,1,0),0)=0,"",VLOOKUP(A161,$A$9:$I160,6,0))</f>
        <v>MARCELO</v>
      </c>
      <c r="G161" s="23">
        <f>IF(IFERROR(VLOOKUP(A161,$A$9:$I160,1,0),0)=0,"",VLOOKUP(A161,$A$9:$I160,7,0))</f>
        <v>45304</v>
      </c>
      <c r="H161" s="23">
        <v>45307</v>
      </c>
      <c r="I161" s="21" t="s">
        <v>44</v>
      </c>
      <c r="J161" s="21" t="s">
        <v>69</v>
      </c>
      <c r="K161" s="24" t="s">
        <v>47</v>
      </c>
      <c r="L161" s="23">
        <v>45304</v>
      </c>
      <c r="M161" s="23">
        <v>45307</v>
      </c>
      <c r="N161" s="25">
        <f t="shared" si="8"/>
        <v>3</v>
      </c>
      <c r="O161" s="26"/>
      <c r="P161" t="s">
        <v>88</v>
      </c>
      <c r="Q161" t="s">
        <v>88</v>
      </c>
      <c r="R161" t="s">
        <v>88</v>
      </c>
      <c r="S161" t="s">
        <v>88</v>
      </c>
      <c r="T161" t="s">
        <v>88</v>
      </c>
      <c r="U161" t="s">
        <v>20</v>
      </c>
    </row>
    <row r="162" spans="1:21" x14ac:dyDescent="0.45">
      <c r="A162" s="20">
        <v>191555945</v>
      </c>
      <c r="B162" s="21" t="str">
        <f t="shared" si="9"/>
        <v>19.155.594-5</v>
      </c>
      <c r="C162" s="22" t="str">
        <f>IF(IFERROR(VLOOKUP(A162,$A$9:$I161,1,0),0)=0,"",VLOOKUP(A162,$A$9:$I161,3,0))</f>
        <v>UCI</v>
      </c>
      <c r="D162" s="21" t="str">
        <f>IF(IFERROR(VLOOKUP(A162,$A$9:$I161,1,0),0)=0,"",VLOOKUP(A162,$A$9:$I161,4,0))</f>
        <v>VALLEJOS</v>
      </c>
      <c r="E162" s="21" t="str">
        <f>IF(IFERROR(VLOOKUP(A162,$A$9:$I161,1,0),0)=0,"",VLOOKUP(A162,$A$9:$I161,5,0))</f>
        <v>QUEVEDO</v>
      </c>
      <c r="F162" s="21" t="str">
        <f>IF(IFERROR(VLOOKUP(A162,$A$9:$I161,1,0),0)=0,"",VLOOKUP(A162,$A$9:$I161,6,0))</f>
        <v>MARCELO</v>
      </c>
      <c r="G162" s="23">
        <f>IF(IFERROR(VLOOKUP(A162,$A$9:$I161,1,0),0)=0,"",VLOOKUP(A162,$A$9:$I161,7,0))</f>
        <v>45304</v>
      </c>
      <c r="H162" s="23">
        <v>45307</v>
      </c>
      <c r="I162" s="21" t="s">
        <v>44</v>
      </c>
      <c r="J162" s="21" t="s">
        <v>69</v>
      </c>
      <c r="K162" s="24" t="s">
        <v>55</v>
      </c>
      <c r="L162" s="23">
        <v>45304</v>
      </c>
      <c r="M162" s="23">
        <v>45307</v>
      </c>
      <c r="N162" s="25">
        <f t="shared" si="8"/>
        <v>3</v>
      </c>
      <c r="O162" s="26"/>
      <c r="P162" t="s">
        <v>88</v>
      </c>
      <c r="Q162" t="s">
        <v>88</v>
      </c>
      <c r="R162" t="s">
        <v>88</v>
      </c>
      <c r="S162" t="s">
        <v>88</v>
      </c>
      <c r="T162" t="s">
        <v>88</v>
      </c>
      <c r="U162" t="s">
        <v>20</v>
      </c>
    </row>
    <row r="163" spans="1:21" x14ac:dyDescent="0.45">
      <c r="A163" s="20" t="s">
        <v>438</v>
      </c>
      <c r="B163" s="21" t="str">
        <f t="shared" si="9"/>
        <v>7.961.550-1</v>
      </c>
      <c r="C163" s="22" t="s">
        <v>22</v>
      </c>
      <c r="D163" s="21" t="s">
        <v>282</v>
      </c>
      <c r="E163" s="21" t="s">
        <v>439</v>
      </c>
      <c r="F163" s="21" t="s">
        <v>440</v>
      </c>
      <c r="G163" s="23">
        <v>45306</v>
      </c>
      <c r="H163" s="23">
        <v>45323</v>
      </c>
      <c r="I163" s="21" t="s">
        <v>22</v>
      </c>
      <c r="J163" s="21" t="s">
        <v>13</v>
      </c>
      <c r="K163" s="24" t="s">
        <v>43</v>
      </c>
      <c r="L163" s="23">
        <v>45306</v>
      </c>
      <c r="M163" s="23">
        <v>45322</v>
      </c>
      <c r="N163" s="25">
        <f t="shared" si="8"/>
        <v>16</v>
      </c>
      <c r="O163" s="37" t="s">
        <v>14</v>
      </c>
      <c r="P163" t="s">
        <v>88</v>
      </c>
      <c r="Q163" t="s">
        <v>88</v>
      </c>
      <c r="R163" t="s">
        <v>88</v>
      </c>
      <c r="S163" t="s">
        <v>88</v>
      </c>
      <c r="T163" t="s">
        <v>88</v>
      </c>
      <c r="U163" t="s">
        <v>20</v>
      </c>
    </row>
    <row r="164" spans="1:21" x14ac:dyDescent="0.45">
      <c r="A164" s="20" t="s">
        <v>438</v>
      </c>
      <c r="B164" s="21" t="str">
        <f t="shared" si="9"/>
        <v>7.961.550-1</v>
      </c>
      <c r="C164" s="22" t="str">
        <f>IF(IFERROR(VLOOKUP(A164,$A$9:$I163,1,0),0)=0,"",VLOOKUP(A164,$A$9:$I163,3,0))</f>
        <v>UCI</v>
      </c>
      <c r="D164" s="21" t="str">
        <f>IF(IFERROR(VLOOKUP(A164,$A$9:$I163,1,0),0)=0,"",VLOOKUP(A164,$A$9:$I163,4,0))</f>
        <v>CARRASCO</v>
      </c>
      <c r="E164" s="21" t="str">
        <f>IF(IFERROR(VLOOKUP(A164,$A$9:$I163,1,0),0)=0,"",VLOOKUP(A164,$A$9:$I163,5,0))</f>
        <v>GONZALEZ</v>
      </c>
      <c r="F164" s="21" t="str">
        <f>IF(IFERROR(VLOOKUP(A164,$A$9:$I163,1,0),0)=0,"",VLOOKUP(A164,$A$9:$I163,6,0))</f>
        <v>AMADO</v>
      </c>
      <c r="G164" s="23">
        <f>IF(IFERROR(VLOOKUP(A164,$A$9:$I163,1,0),0)=0,"",VLOOKUP(A164,$A$9:$I163,7,0))</f>
        <v>45306</v>
      </c>
      <c r="H164" s="23">
        <v>45323</v>
      </c>
      <c r="I164" s="21" t="s">
        <v>22</v>
      </c>
      <c r="J164" s="21" t="s">
        <v>13</v>
      </c>
      <c r="K164" s="24" t="s">
        <v>47</v>
      </c>
      <c r="L164" s="23">
        <v>45306</v>
      </c>
      <c r="M164" s="23">
        <v>45322</v>
      </c>
      <c r="N164" s="25">
        <f t="shared" si="8"/>
        <v>16</v>
      </c>
      <c r="O164" s="37"/>
      <c r="P164" t="s">
        <v>88</v>
      </c>
      <c r="Q164" t="s">
        <v>88</v>
      </c>
      <c r="R164" t="s">
        <v>88</v>
      </c>
      <c r="S164" t="s">
        <v>88</v>
      </c>
      <c r="T164" t="s">
        <v>88</v>
      </c>
      <c r="U164" t="s">
        <v>20</v>
      </c>
    </row>
    <row r="165" spans="1:21" x14ac:dyDescent="0.45">
      <c r="A165" s="20" t="s">
        <v>438</v>
      </c>
      <c r="B165" s="21" t="str">
        <f t="shared" si="9"/>
        <v>7.961.550-1</v>
      </c>
      <c r="C165" s="22" t="str">
        <f>IF(IFERROR(VLOOKUP(A165,$A$9:$I164,1,0),0)=0,"",VLOOKUP(A165,$A$9:$I164,3,0))</f>
        <v>UCI</v>
      </c>
      <c r="D165" s="21" t="str">
        <f>IF(IFERROR(VLOOKUP(A165,$A$9:$I164,1,0),0)=0,"",VLOOKUP(A165,$A$9:$I164,4,0))</f>
        <v>CARRASCO</v>
      </c>
      <c r="E165" s="21" t="str">
        <f>IF(IFERROR(VLOOKUP(A165,$A$9:$I164,1,0),0)=0,"",VLOOKUP(A165,$A$9:$I164,5,0))</f>
        <v>GONZALEZ</v>
      </c>
      <c r="F165" s="21" t="str">
        <f>IF(IFERROR(VLOOKUP(A165,$A$9:$I164,1,0),0)=0,"",VLOOKUP(A165,$A$9:$I164,6,0))</f>
        <v>AMADO</v>
      </c>
      <c r="G165" s="23">
        <f>IF(IFERROR(VLOOKUP(A165,$A$9:$I164,1,0),0)=0,"",VLOOKUP(A165,$A$9:$I164,7,0))</f>
        <v>45306</v>
      </c>
      <c r="H165" s="23">
        <v>45323</v>
      </c>
      <c r="I165" s="21" t="s">
        <v>22</v>
      </c>
      <c r="J165" s="21" t="s">
        <v>13</v>
      </c>
      <c r="K165" s="24" t="s">
        <v>55</v>
      </c>
      <c r="L165" s="23">
        <v>45316</v>
      </c>
      <c r="M165" s="23">
        <v>45318</v>
      </c>
      <c r="N165" s="25">
        <f t="shared" si="8"/>
        <v>2</v>
      </c>
      <c r="O165" s="37"/>
      <c r="P165" t="s">
        <v>147</v>
      </c>
      <c r="Q165" t="s">
        <v>88</v>
      </c>
      <c r="R165" t="s">
        <v>88</v>
      </c>
      <c r="S165" t="s">
        <v>88</v>
      </c>
      <c r="T165" t="s">
        <v>88</v>
      </c>
      <c r="U165" t="s">
        <v>20</v>
      </c>
    </row>
    <row r="166" spans="1:21" x14ac:dyDescent="0.45">
      <c r="A166" s="20">
        <v>102200934</v>
      </c>
      <c r="B166" s="21" t="str">
        <f t="shared" si="9"/>
        <v>10.220.093-4</v>
      </c>
      <c r="C166" s="22" t="s">
        <v>22</v>
      </c>
      <c r="D166" s="21" t="s">
        <v>441</v>
      </c>
      <c r="E166" s="21" t="s">
        <v>442</v>
      </c>
      <c r="F166" s="21" t="s">
        <v>362</v>
      </c>
      <c r="G166" s="23">
        <v>45305</v>
      </c>
      <c r="H166" s="23">
        <v>45308</v>
      </c>
      <c r="I166" s="21" t="s">
        <v>54</v>
      </c>
      <c r="J166" s="21" t="s">
        <v>13</v>
      </c>
      <c r="K166" s="24" t="s">
        <v>43</v>
      </c>
      <c r="L166" s="32">
        <v>45305</v>
      </c>
      <c r="M166" s="23">
        <v>45308</v>
      </c>
      <c r="N166" s="25">
        <f t="shared" si="8"/>
        <v>3</v>
      </c>
      <c r="O166" s="26"/>
      <c r="P166" t="s">
        <v>88</v>
      </c>
      <c r="Q166" t="s">
        <v>88</v>
      </c>
      <c r="R166" t="s">
        <v>88</v>
      </c>
      <c r="S166" t="s">
        <v>88</v>
      </c>
      <c r="T166" t="s">
        <v>88</v>
      </c>
      <c r="U166" t="s">
        <v>20</v>
      </c>
    </row>
    <row r="167" spans="1:21" x14ac:dyDescent="0.45">
      <c r="A167" s="20">
        <v>102200934</v>
      </c>
      <c r="B167" s="21" t="str">
        <f t="shared" si="9"/>
        <v>10.220.093-4</v>
      </c>
      <c r="C167" s="22" t="str">
        <f>IF(IFERROR(VLOOKUP(A167,$A$9:$I166,1,0),0)=0,"",VLOOKUP(A167,$A$9:$I166,3,0))</f>
        <v>UCI</v>
      </c>
      <c r="D167" s="21" t="str">
        <f>IF(IFERROR(VLOOKUP(A167,$A$9:$I166,1,0),0)=0,"",VLOOKUP(A167,$A$9:$I166,4,0))</f>
        <v>ESPINOSA</v>
      </c>
      <c r="E167" s="21" t="str">
        <f>IF(IFERROR(VLOOKUP(A167,$A$9:$I166,1,0),0)=0,"",VLOOKUP(A167,$A$9:$I166,5,0))</f>
        <v>FUENTEALBA</v>
      </c>
      <c r="F167" s="21" t="str">
        <f>IF(IFERROR(VLOOKUP(A167,$A$9:$I166,1,0),0)=0,"",VLOOKUP(A167,$A$9:$I166,6,0))</f>
        <v>JORGE</v>
      </c>
      <c r="G167" s="23">
        <f>IF(IFERROR(VLOOKUP(A167,$A$9:$I166,1,0),0)=0,"",VLOOKUP(A167,$A$9:$I166,7,0))</f>
        <v>45305</v>
      </c>
      <c r="H167" s="23">
        <v>45308</v>
      </c>
      <c r="I167" s="21" t="s">
        <v>54</v>
      </c>
      <c r="J167" s="21" t="s">
        <v>13</v>
      </c>
      <c r="K167" s="24" t="s">
        <v>47</v>
      </c>
      <c r="L167" s="23">
        <v>45305</v>
      </c>
      <c r="M167" s="23">
        <v>45307</v>
      </c>
      <c r="N167" s="25">
        <f t="shared" si="8"/>
        <v>2</v>
      </c>
      <c r="O167" s="26"/>
      <c r="P167" t="s">
        <v>88</v>
      </c>
      <c r="Q167" t="s">
        <v>88</v>
      </c>
      <c r="R167" t="s">
        <v>88</v>
      </c>
      <c r="S167" t="s">
        <v>88</v>
      </c>
      <c r="T167" t="s">
        <v>88</v>
      </c>
      <c r="U167" t="s">
        <v>20</v>
      </c>
    </row>
    <row r="168" spans="1:21" x14ac:dyDescent="0.45">
      <c r="A168" s="20" t="s">
        <v>443</v>
      </c>
      <c r="B168" s="21" t="str">
        <f t="shared" si="9"/>
        <v>9.649.165-4</v>
      </c>
      <c r="C168" s="22" t="s">
        <v>22</v>
      </c>
      <c r="D168" s="21" t="s">
        <v>422</v>
      </c>
      <c r="E168" s="21" t="s">
        <v>444</v>
      </c>
      <c r="F168" s="21" t="s">
        <v>445</v>
      </c>
      <c r="G168" s="23">
        <v>45306</v>
      </c>
      <c r="H168" s="23">
        <v>45317</v>
      </c>
      <c r="I168" s="21" t="s">
        <v>22</v>
      </c>
      <c r="J168" s="21" t="s">
        <v>65</v>
      </c>
      <c r="K168" s="24" t="s">
        <v>43</v>
      </c>
      <c r="L168" s="23">
        <v>45306</v>
      </c>
      <c r="M168" s="23">
        <v>45322</v>
      </c>
      <c r="N168" s="25">
        <f t="shared" si="8"/>
        <v>16</v>
      </c>
      <c r="O168" s="26"/>
      <c r="P168" t="s">
        <v>88</v>
      </c>
      <c r="Q168" t="s">
        <v>88</v>
      </c>
      <c r="R168" t="s">
        <v>88</v>
      </c>
      <c r="S168" t="s">
        <v>88</v>
      </c>
      <c r="T168" t="s">
        <v>88</v>
      </c>
      <c r="U168" t="s">
        <v>20</v>
      </c>
    </row>
    <row r="169" spans="1:21" x14ac:dyDescent="0.45">
      <c r="A169" s="20" t="s">
        <v>443</v>
      </c>
      <c r="B169" s="21" t="str">
        <f t="shared" si="9"/>
        <v>9.649.165-4</v>
      </c>
      <c r="C169" s="22" t="s">
        <v>22</v>
      </c>
      <c r="D169" s="21" t="s">
        <v>422</v>
      </c>
      <c r="E169" s="21" t="s">
        <v>444</v>
      </c>
      <c r="F169" s="21" t="s">
        <v>445</v>
      </c>
      <c r="G169" s="23">
        <v>45306</v>
      </c>
      <c r="H169" s="23">
        <v>45317</v>
      </c>
      <c r="I169" s="21" t="s">
        <v>22</v>
      </c>
      <c r="J169" s="21" t="s">
        <v>65</v>
      </c>
      <c r="K169" s="24" t="s">
        <v>47</v>
      </c>
      <c r="L169" s="23">
        <v>45307</v>
      </c>
      <c r="M169" s="23">
        <v>45322</v>
      </c>
      <c r="N169" s="25">
        <f t="shared" si="8"/>
        <v>15</v>
      </c>
      <c r="O169" s="26"/>
      <c r="P169" t="s">
        <v>88</v>
      </c>
      <c r="Q169" t="s">
        <v>88</v>
      </c>
      <c r="R169" t="s">
        <v>88</v>
      </c>
      <c r="S169" t="s">
        <v>88</v>
      </c>
      <c r="T169" t="s">
        <v>88</v>
      </c>
      <c r="U169" t="s">
        <v>20</v>
      </c>
    </row>
    <row r="170" spans="1:21" x14ac:dyDescent="0.45">
      <c r="A170" s="20" t="s">
        <v>443</v>
      </c>
      <c r="B170" s="21" t="str">
        <f t="shared" si="9"/>
        <v>9.649.165-4</v>
      </c>
      <c r="C170" s="22" t="str">
        <f>IF(IFERROR(VLOOKUP(A170,$A$9:$I168,1,0),0)=0,"",VLOOKUP(A170,$A$9:$I168,3,0))</f>
        <v>UCI</v>
      </c>
      <c r="D170" s="21" t="str">
        <f>IF(IFERROR(VLOOKUP(A170,$A$9:$I168,1,0),0)=0,"",VLOOKUP(A170,$A$9:$I168,4,0))</f>
        <v>TORRES</v>
      </c>
      <c r="E170" s="21" t="str">
        <f>IF(IFERROR(VLOOKUP(A170,$A$9:$I168,1,0),0)=0,"",VLOOKUP(A170,$A$9:$I168,5,0))</f>
        <v>CABRERA</v>
      </c>
      <c r="F170" s="21" t="str">
        <f>IF(IFERROR(VLOOKUP(A170,$A$9:$I168,1,0),0)=0,"",VLOOKUP(A170,$A$9:$I168,6,0))</f>
        <v>RODOLFO</v>
      </c>
      <c r="G170" s="23">
        <f>IF(IFERROR(VLOOKUP(A170,$A$9:$I168,1,0),0)=0,"",VLOOKUP(A170,$A$9:$I168,7,0))</f>
        <v>45306</v>
      </c>
      <c r="H170" s="23">
        <v>45317</v>
      </c>
      <c r="I170" s="21" t="s">
        <v>22</v>
      </c>
      <c r="J170" s="21" t="s">
        <v>65</v>
      </c>
      <c r="K170" s="24" t="s">
        <v>55</v>
      </c>
      <c r="L170" s="23">
        <v>45307</v>
      </c>
      <c r="M170" s="23">
        <v>45315</v>
      </c>
      <c r="N170" s="25">
        <f t="shared" si="8"/>
        <v>8</v>
      </c>
      <c r="O170" s="26"/>
      <c r="P170" t="s">
        <v>88</v>
      </c>
      <c r="Q170" t="s">
        <v>88</v>
      </c>
      <c r="R170" t="s">
        <v>88</v>
      </c>
      <c r="S170" t="s">
        <v>88</v>
      </c>
      <c r="T170" t="s">
        <v>88</v>
      </c>
      <c r="U170" t="s">
        <v>20</v>
      </c>
    </row>
    <row r="171" spans="1:21" x14ac:dyDescent="0.45">
      <c r="A171" s="20" t="s">
        <v>446</v>
      </c>
      <c r="B171" s="21" t="str">
        <f t="shared" si="9"/>
        <v>8.195.724-K</v>
      </c>
      <c r="C171" s="22" t="s">
        <v>22</v>
      </c>
      <c r="D171" s="21" t="s">
        <v>447</v>
      </c>
      <c r="E171" s="21" t="s">
        <v>448</v>
      </c>
      <c r="F171" s="21" t="s">
        <v>449</v>
      </c>
      <c r="G171" s="23">
        <v>45306</v>
      </c>
      <c r="H171" s="23">
        <v>45311</v>
      </c>
      <c r="I171" s="21" t="s">
        <v>54</v>
      </c>
      <c r="J171" s="21" t="s">
        <v>13</v>
      </c>
      <c r="K171" s="24" t="s">
        <v>43</v>
      </c>
      <c r="L171" s="23">
        <v>45306</v>
      </c>
      <c r="M171" s="23">
        <v>45311</v>
      </c>
      <c r="N171" s="25">
        <f t="shared" si="8"/>
        <v>5</v>
      </c>
      <c r="O171" s="26"/>
      <c r="P171" t="s">
        <v>88</v>
      </c>
      <c r="Q171" t="s">
        <v>88</v>
      </c>
      <c r="R171" t="s">
        <v>88</v>
      </c>
      <c r="S171" t="s">
        <v>88</v>
      </c>
      <c r="T171" t="s">
        <v>88</v>
      </c>
      <c r="U171" t="s">
        <v>20</v>
      </c>
    </row>
    <row r="172" spans="1:21" x14ac:dyDescent="0.45">
      <c r="A172" s="20" t="s">
        <v>446</v>
      </c>
      <c r="B172" s="21" t="str">
        <f t="shared" si="9"/>
        <v>8.195.724-K</v>
      </c>
      <c r="C172" s="22" t="str">
        <f>IF(IFERROR(VLOOKUP(A172,$A$9:$I171,1,0),0)=0,"",VLOOKUP(A172,$A$9:$I171,3,0))</f>
        <v>UCI</v>
      </c>
      <c r="D172" s="21" t="str">
        <f>IF(IFERROR(VLOOKUP(A172,$A$9:$I171,1,0),0)=0,"",VLOOKUP(A172,$A$9:$I171,4,0))</f>
        <v>ROCHA</v>
      </c>
      <c r="E172" s="21" t="str">
        <f>IF(IFERROR(VLOOKUP(A172,$A$9:$I171,1,0),0)=0,"",VLOOKUP(A172,$A$9:$I171,5,0))</f>
        <v>ROMERO</v>
      </c>
      <c r="F172" s="21" t="str">
        <f>IF(IFERROR(VLOOKUP(A172,$A$9:$I171,1,0),0)=0,"",VLOOKUP(A172,$A$9:$I171,6,0))</f>
        <v>GABRIELA</v>
      </c>
      <c r="G172" s="23">
        <f>IF(IFERROR(VLOOKUP(A172,$A$9:$I171,1,0),0)=0,"",VLOOKUP(A172,$A$9:$I171,7,0))</f>
        <v>45306</v>
      </c>
      <c r="H172" s="23">
        <v>45311</v>
      </c>
      <c r="I172" s="21" t="s">
        <v>54</v>
      </c>
      <c r="J172" s="21" t="s">
        <v>13</v>
      </c>
      <c r="K172" s="24" t="s">
        <v>47</v>
      </c>
      <c r="L172" s="23">
        <v>45306</v>
      </c>
      <c r="M172" s="23">
        <v>45311</v>
      </c>
      <c r="N172" s="25">
        <f t="shared" si="8"/>
        <v>5</v>
      </c>
      <c r="O172" s="26"/>
      <c r="P172" t="s">
        <v>88</v>
      </c>
      <c r="Q172" t="s">
        <v>88</v>
      </c>
      <c r="R172" t="s">
        <v>88</v>
      </c>
      <c r="S172" t="s">
        <v>88</v>
      </c>
      <c r="T172" t="s">
        <v>88</v>
      </c>
      <c r="U172" t="s">
        <v>20</v>
      </c>
    </row>
    <row r="173" spans="1:21" x14ac:dyDescent="0.45">
      <c r="A173" s="20" t="s">
        <v>450</v>
      </c>
      <c r="B173" s="21" t="str">
        <f t="shared" si="9"/>
        <v>8.567.775-6</v>
      </c>
      <c r="C173" s="22" t="s">
        <v>22</v>
      </c>
      <c r="D173" s="21" t="s">
        <v>310</v>
      </c>
      <c r="E173" s="21" t="s">
        <v>369</v>
      </c>
      <c r="F173" s="21" t="s">
        <v>451</v>
      </c>
      <c r="G173" s="23">
        <v>45304</v>
      </c>
      <c r="H173" s="23">
        <v>45323</v>
      </c>
      <c r="I173" s="21" t="s">
        <v>61</v>
      </c>
      <c r="J173" s="21" t="s">
        <v>13</v>
      </c>
      <c r="K173" s="24" t="s">
        <v>43</v>
      </c>
      <c r="L173" s="23">
        <v>45304</v>
      </c>
      <c r="M173" s="23">
        <v>45322</v>
      </c>
      <c r="N173" s="25">
        <f t="shared" si="8"/>
        <v>18</v>
      </c>
      <c r="O173" s="26"/>
      <c r="P173" t="s">
        <v>88</v>
      </c>
      <c r="Q173" t="s">
        <v>88</v>
      </c>
      <c r="R173" t="s">
        <v>88</v>
      </c>
      <c r="S173" t="s">
        <v>88</v>
      </c>
      <c r="T173" t="s">
        <v>88</v>
      </c>
      <c r="U173" t="s">
        <v>20</v>
      </c>
    </row>
    <row r="174" spans="1:21" x14ac:dyDescent="0.45">
      <c r="A174" s="20" t="s">
        <v>450</v>
      </c>
      <c r="B174" s="21" t="str">
        <f t="shared" si="9"/>
        <v>8.567.775-6</v>
      </c>
      <c r="C174" s="22" t="str">
        <f>IF(IFERROR(VLOOKUP(A174,$A$9:$I173,1,0),0)=0,"",VLOOKUP(A174,$A$9:$I173,3,0))</f>
        <v>UCI</v>
      </c>
      <c r="D174" s="21" t="str">
        <f>IF(IFERROR(VLOOKUP(A174,$A$9:$I173,1,0),0)=0,"",VLOOKUP(A174,$A$9:$I173,4,0))</f>
        <v>MORALES</v>
      </c>
      <c r="E174" s="21" t="str">
        <f>IF(IFERROR(VLOOKUP(A174,$A$9:$I173,1,0),0)=0,"",VLOOKUP(A174,$A$9:$I173,5,0))</f>
        <v>SEGUEL</v>
      </c>
      <c r="F174" s="21" t="str">
        <f>IF(IFERROR(VLOOKUP(A174,$A$9:$I173,1,0),0)=0,"",VLOOKUP(A174,$A$9:$I173,6,0))</f>
        <v>LUISA</v>
      </c>
      <c r="G174" s="23">
        <f>IF(IFERROR(VLOOKUP(A174,$A$9:$I173,1,0),0)=0,"",VLOOKUP(A174,$A$9:$I173,7,0))</f>
        <v>45304</v>
      </c>
      <c r="H174" s="23">
        <v>45323</v>
      </c>
      <c r="I174" s="21" t="s">
        <v>61</v>
      </c>
      <c r="J174" s="21" t="s">
        <v>13</v>
      </c>
      <c r="K174" s="24" t="s">
        <v>47</v>
      </c>
      <c r="L174" s="23">
        <v>45304</v>
      </c>
      <c r="M174" s="23">
        <v>45322</v>
      </c>
      <c r="N174" s="25">
        <f t="shared" si="8"/>
        <v>18</v>
      </c>
      <c r="O174" s="26"/>
      <c r="P174" t="s">
        <v>88</v>
      </c>
      <c r="Q174" t="s">
        <v>88</v>
      </c>
      <c r="R174" t="s">
        <v>88</v>
      </c>
      <c r="S174" t="s">
        <v>88</v>
      </c>
      <c r="T174" t="s">
        <v>88</v>
      </c>
      <c r="U174" t="s">
        <v>20</v>
      </c>
    </row>
    <row r="175" spans="1:21" x14ac:dyDescent="0.45">
      <c r="A175" s="20">
        <v>67334124</v>
      </c>
      <c r="B175" s="21" t="str">
        <f t="shared" si="9"/>
        <v>6.733.412-4</v>
      </c>
      <c r="C175" s="22" t="s">
        <v>22</v>
      </c>
      <c r="D175" s="21" t="s">
        <v>277</v>
      </c>
      <c r="E175" s="21" t="s">
        <v>318</v>
      </c>
      <c r="F175" s="21" t="s">
        <v>452</v>
      </c>
      <c r="G175" s="23">
        <v>45303</v>
      </c>
      <c r="H175" s="23">
        <v>45308</v>
      </c>
      <c r="I175" s="21" t="s">
        <v>22</v>
      </c>
      <c r="J175" s="21" t="s">
        <v>66</v>
      </c>
      <c r="K175" s="24" t="s">
        <v>43</v>
      </c>
      <c r="L175" s="23">
        <v>45303</v>
      </c>
      <c r="M175" s="23">
        <v>45322</v>
      </c>
      <c r="N175" s="25">
        <f t="shared" si="8"/>
        <v>19</v>
      </c>
      <c r="O175" s="26"/>
      <c r="P175" t="s">
        <v>88</v>
      </c>
      <c r="Q175" t="s">
        <v>88</v>
      </c>
      <c r="R175" t="s">
        <v>88</v>
      </c>
      <c r="S175" t="s">
        <v>88</v>
      </c>
      <c r="T175" t="s">
        <v>88</v>
      </c>
      <c r="U175" t="s">
        <v>20</v>
      </c>
    </row>
    <row r="176" spans="1:21" x14ac:dyDescent="0.45">
      <c r="A176" s="20">
        <v>67334124</v>
      </c>
      <c r="B176" s="21" t="str">
        <f t="shared" si="9"/>
        <v>6.733.412-4</v>
      </c>
      <c r="C176" s="22" t="str">
        <f>IF(IFERROR(VLOOKUP(A176,$A$9:$I175,1,0),0)=0,"",VLOOKUP(A176,$A$9:$I175,3,0))</f>
        <v>UCI</v>
      </c>
      <c r="D176" s="21" t="str">
        <f>IF(IFERROR(VLOOKUP(A176,$A$9:$I175,1,0),0)=0,"",VLOOKUP(A176,$A$9:$I175,4,0))</f>
        <v>MORA</v>
      </c>
      <c r="E176" s="21" t="str">
        <f>IF(IFERROR(VLOOKUP(A176,$A$9:$I175,1,0),0)=0,"",VLOOKUP(A176,$A$9:$I175,5,0))</f>
        <v>VERA</v>
      </c>
      <c r="F176" s="21" t="str">
        <f>IF(IFERROR(VLOOKUP(A176,$A$9:$I175,1,0),0)=0,"",VLOOKUP(A176,$A$9:$I175,6,0))</f>
        <v>XIMENA</v>
      </c>
      <c r="G176" s="23">
        <f>IF(IFERROR(VLOOKUP(A176,$A$9:$I175,1,0),0)=0,"",VLOOKUP(A176,$A$9:$I175,7,0))</f>
        <v>45303</v>
      </c>
      <c r="H176" s="23">
        <v>45308</v>
      </c>
      <c r="I176" s="21" t="s">
        <v>22</v>
      </c>
      <c r="J176" s="38" t="s">
        <v>66</v>
      </c>
      <c r="K176" s="24" t="s">
        <v>47</v>
      </c>
      <c r="L176" s="23">
        <v>45303</v>
      </c>
      <c r="M176" s="23">
        <v>45322</v>
      </c>
      <c r="N176" s="25">
        <f t="shared" si="8"/>
        <v>19</v>
      </c>
      <c r="O176" s="26"/>
      <c r="P176" t="s">
        <v>88</v>
      </c>
      <c r="Q176" t="s">
        <v>88</v>
      </c>
      <c r="R176" t="s">
        <v>88</v>
      </c>
      <c r="S176" t="s">
        <v>88</v>
      </c>
      <c r="T176" t="s">
        <v>88</v>
      </c>
      <c r="U176" t="s">
        <v>20</v>
      </c>
    </row>
    <row r="177" spans="1:21" x14ac:dyDescent="0.45">
      <c r="A177" s="20" t="s">
        <v>453</v>
      </c>
      <c r="B177" s="21" t="str">
        <f t="shared" si="9"/>
        <v>3.579.477-8</v>
      </c>
      <c r="C177" s="22" t="s">
        <v>22</v>
      </c>
      <c r="D177" s="21" t="s">
        <v>454</v>
      </c>
      <c r="E177" s="21" t="s">
        <v>310</v>
      </c>
      <c r="F177" s="21" t="s">
        <v>455</v>
      </c>
      <c r="G177" s="23">
        <v>45304</v>
      </c>
      <c r="H177" s="23">
        <v>45314</v>
      </c>
      <c r="I177" s="21" t="s">
        <v>22</v>
      </c>
      <c r="J177" s="21" t="s">
        <v>44</v>
      </c>
      <c r="K177" s="24" t="s">
        <v>43</v>
      </c>
      <c r="L177" s="23">
        <v>45304</v>
      </c>
      <c r="M177" s="23">
        <v>45322</v>
      </c>
      <c r="N177" s="25">
        <f t="shared" si="8"/>
        <v>18</v>
      </c>
      <c r="O177" s="26"/>
      <c r="P177" t="s">
        <v>88</v>
      </c>
      <c r="Q177" t="s">
        <v>88</v>
      </c>
      <c r="R177" t="s">
        <v>88</v>
      </c>
      <c r="S177" t="s">
        <v>88</v>
      </c>
      <c r="T177" t="s">
        <v>88</v>
      </c>
      <c r="U177" t="s">
        <v>20</v>
      </c>
    </row>
    <row r="178" spans="1:21" x14ac:dyDescent="0.45">
      <c r="A178" s="20" t="s">
        <v>453</v>
      </c>
      <c r="B178" s="21" t="str">
        <f t="shared" si="9"/>
        <v>3.579.477-8</v>
      </c>
      <c r="C178" s="22" t="str">
        <f>IF(IFERROR(VLOOKUP(A178,$A$9:$I177,1,0),0)=0,"",VLOOKUP(A178,$A$9:$I177,3,0))</f>
        <v>UCI</v>
      </c>
      <c r="D178" s="21" t="str">
        <f>IF(IFERROR(VLOOKUP(A178,$A$9:$I177,1,0),0)=0,"",VLOOKUP(A178,$A$9:$I177,4,0))</f>
        <v>DE LA FUENTE</v>
      </c>
      <c r="E178" s="21" t="str">
        <f>IF(IFERROR(VLOOKUP(A178,$A$9:$I177,1,0),0)=0,"",VLOOKUP(A178,$A$9:$I177,5,0))</f>
        <v>MORALES</v>
      </c>
      <c r="F178" s="21" t="str">
        <f>IF(IFERROR(VLOOKUP(A178,$A$9:$I177,1,0),0)=0,"",VLOOKUP(A178,$A$9:$I177,6,0))</f>
        <v>ABELINA</v>
      </c>
      <c r="G178" s="23">
        <f>IF(IFERROR(VLOOKUP(A178,$A$9:$I177,1,0),0)=0,"",VLOOKUP(A178,$A$9:$I177,7,0))</f>
        <v>45304</v>
      </c>
      <c r="H178" s="23">
        <v>45314</v>
      </c>
      <c r="I178" s="21" t="s">
        <v>22</v>
      </c>
      <c r="J178" s="21" t="s">
        <v>44</v>
      </c>
      <c r="K178" s="24" t="s">
        <v>47</v>
      </c>
      <c r="L178" s="23">
        <v>45304</v>
      </c>
      <c r="M178" s="23">
        <v>45322</v>
      </c>
      <c r="N178" s="25">
        <f t="shared" si="8"/>
        <v>18</v>
      </c>
      <c r="O178" s="26"/>
      <c r="P178" t="s">
        <v>88</v>
      </c>
      <c r="Q178" t="s">
        <v>88</v>
      </c>
      <c r="R178" t="s">
        <v>88</v>
      </c>
      <c r="S178" t="s">
        <v>88</v>
      </c>
      <c r="T178" t="s">
        <v>88</v>
      </c>
      <c r="U178" t="s">
        <v>20</v>
      </c>
    </row>
    <row r="179" spans="1:21" x14ac:dyDescent="0.45">
      <c r="A179" s="20" t="s">
        <v>456</v>
      </c>
      <c r="B179" s="21" t="str">
        <f t="shared" si="9"/>
        <v>5.539.042-8</v>
      </c>
      <c r="C179" s="22" t="s">
        <v>22</v>
      </c>
      <c r="D179" s="21" t="s">
        <v>457</v>
      </c>
      <c r="E179" s="21" t="s">
        <v>458</v>
      </c>
      <c r="F179" s="21" t="s">
        <v>459</v>
      </c>
      <c r="G179" s="23">
        <v>45306</v>
      </c>
      <c r="H179" s="23">
        <v>45309</v>
      </c>
      <c r="I179" s="21" t="s">
        <v>54</v>
      </c>
      <c r="J179" s="21" t="s">
        <v>19</v>
      </c>
      <c r="K179" s="24" t="s">
        <v>43</v>
      </c>
      <c r="L179" s="23">
        <v>45306</v>
      </c>
      <c r="M179" s="23">
        <v>45309</v>
      </c>
      <c r="N179" s="25">
        <f t="shared" si="8"/>
        <v>3</v>
      </c>
      <c r="O179" s="26"/>
      <c r="P179" t="s">
        <v>88</v>
      </c>
      <c r="Q179" t="s">
        <v>88</v>
      </c>
      <c r="R179" t="s">
        <v>88</v>
      </c>
      <c r="S179" t="s">
        <v>88</v>
      </c>
      <c r="T179" t="s">
        <v>88</v>
      </c>
      <c r="U179" t="s">
        <v>20</v>
      </c>
    </row>
    <row r="180" spans="1:21" x14ac:dyDescent="0.45">
      <c r="A180" s="20" t="s">
        <v>456</v>
      </c>
      <c r="B180" s="21" t="str">
        <f t="shared" si="9"/>
        <v>5.539.042-8</v>
      </c>
      <c r="C180" s="22" t="str">
        <f>IF(IFERROR(VLOOKUP(A180,$A$9:$I179,1,0),0)=0,"",VLOOKUP(A180,$A$9:$I179,3,0))</f>
        <v>UCI</v>
      </c>
      <c r="D180" s="21" t="str">
        <f>IF(IFERROR(VLOOKUP(A180,$A$9:$I179,1,0),0)=0,"",VLOOKUP(A180,$A$9:$I179,4,0))</f>
        <v>CANALES</v>
      </c>
      <c r="E180" s="21" t="str">
        <f>IF(IFERROR(VLOOKUP(A180,$A$9:$I179,1,0),0)=0,"",VLOOKUP(A180,$A$9:$I179,5,0))</f>
        <v>BENAVIDES</v>
      </c>
      <c r="F180" s="21" t="str">
        <f>IF(IFERROR(VLOOKUP(A180,$A$9:$I179,1,0),0)=0,"",VLOOKUP(A180,$A$9:$I179,6,0))</f>
        <v>LUCILA</v>
      </c>
      <c r="G180" s="23">
        <f>IF(IFERROR(VLOOKUP(A180,$A$9:$I179,1,0),0)=0,"",VLOOKUP(A180,$A$9:$I179,7,0))</f>
        <v>45306</v>
      </c>
      <c r="H180" s="23">
        <v>45309</v>
      </c>
      <c r="I180" s="21" t="s">
        <v>54</v>
      </c>
      <c r="J180" s="21" t="s">
        <v>19</v>
      </c>
      <c r="K180" s="24" t="s">
        <v>47</v>
      </c>
      <c r="L180" s="23">
        <v>45306</v>
      </c>
      <c r="M180" s="23">
        <v>45309</v>
      </c>
      <c r="N180" s="25">
        <f t="shared" si="8"/>
        <v>3</v>
      </c>
      <c r="O180" s="26"/>
      <c r="P180" t="s">
        <v>88</v>
      </c>
      <c r="Q180" t="s">
        <v>88</v>
      </c>
      <c r="R180" t="s">
        <v>88</v>
      </c>
      <c r="S180" t="s">
        <v>88</v>
      </c>
      <c r="T180" t="s">
        <v>88</v>
      </c>
      <c r="U180" t="s">
        <v>20</v>
      </c>
    </row>
    <row r="181" spans="1:21" x14ac:dyDescent="0.45">
      <c r="A181" s="20" t="s">
        <v>460</v>
      </c>
      <c r="B181" s="21" t="str">
        <f t="shared" si="9"/>
        <v>8.816.018-5</v>
      </c>
      <c r="C181" s="22" t="s">
        <v>22</v>
      </c>
      <c r="D181" s="21" t="s">
        <v>461</v>
      </c>
      <c r="E181" s="21" t="s">
        <v>339</v>
      </c>
      <c r="F181" s="21" t="s">
        <v>462</v>
      </c>
      <c r="G181" s="23">
        <v>45309</v>
      </c>
      <c r="H181" s="23">
        <v>45314</v>
      </c>
      <c r="I181" s="21" t="s">
        <v>22</v>
      </c>
      <c r="J181" s="21" t="s">
        <v>56</v>
      </c>
      <c r="K181" s="24" t="s">
        <v>43</v>
      </c>
      <c r="L181" s="23">
        <v>45309</v>
      </c>
      <c r="M181" s="23">
        <v>45314</v>
      </c>
      <c r="N181" s="25">
        <f t="shared" si="8"/>
        <v>5</v>
      </c>
      <c r="O181" s="26"/>
      <c r="P181" t="s">
        <v>88</v>
      </c>
      <c r="Q181" t="s">
        <v>88</v>
      </c>
      <c r="R181" t="s">
        <v>88</v>
      </c>
      <c r="S181" t="s">
        <v>88</v>
      </c>
      <c r="T181" t="s">
        <v>88</v>
      </c>
      <c r="U181" t="s">
        <v>20</v>
      </c>
    </row>
    <row r="182" spans="1:21" x14ac:dyDescent="0.45">
      <c r="A182" s="20" t="s">
        <v>463</v>
      </c>
      <c r="B182" s="21" t="str">
        <f t="shared" si="9"/>
        <v>8.816.018-6</v>
      </c>
      <c r="C182" s="22" t="s">
        <v>22</v>
      </c>
      <c r="D182" s="21" t="s">
        <v>461</v>
      </c>
      <c r="E182" s="21" t="s">
        <v>339</v>
      </c>
      <c r="F182" s="21" t="s">
        <v>462</v>
      </c>
      <c r="G182" s="23">
        <v>45309</v>
      </c>
      <c r="H182" s="23">
        <v>45314</v>
      </c>
      <c r="I182" s="21" t="s">
        <v>22</v>
      </c>
      <c r="J182" s="21" t="s">
        <v>56</v>
      </c>
      <c r="K182" s="24" t="s">
        <v>47</v>
      </c>
      <c r="L182" s="23">
        <v>45309</v>
      </c>
      <c r="M182" s="23">
        <v>45310</v>
      </c>
      <c r="N182" s="25">
        <f t="shared" si="8"/>
        <v>1</v>
      </c>
      <c r="O182" s="26"/>
      <c r="P182" t="s">
        <v>88</v>
      </c>
      <c r="Q182" t="s">
        <v>88</v>
      </c>
      <c r="R182" t="s">
        <v>88</v>
      </c>
      <c r="S182" t="s">
        <v>88</v>
      </c>
      <c r="T182" t="s">
        <v>88</v>
      </c>
      <c r="U182" t="s">
        <v>20</v>
      </c>
    </row>
    <row r="183" spans="1:21" x14ac:dyDescent="0.45">
      <c r="A183" s="20" t="s">
        <v>464</v>
      </c>
      <c r="B183" s="21" t="str">
        <f t="shared" si="9"/>
        <v>15.592.991-k</v>
      </c>
      <c r="C183" s="22" t="s">
        <v>22</v>
      </c>
      <c r="D183" s="21" t="s">
        <v>465</v>
      </c>
      <c r="E183" s="21" t="s">
        <v>427</v>
      </c>
      <c r="F183" s="21" t="s">
        <v>348</v>
      </c>
      <c r="G183" s="23">
        <v>45307</v>
      </c>
      <c r="H183" s="23">
        <v>45313</v>
      </c>
      <c r="I183" s="21" t="s">
        <v>22</v>
      </c>
      <c r="J183" s="21" t="s">
        <v>24</v>
      </c>
      <c r="K183" s="24" t="s">
        <v>43</v>
      </c>
      <c r="L183" s="23">
        <v>45307</v>
      </c>
      <c r="M183" s="23">
        <v>45320</v>
      </c>
      <c r="N183" s="25">
        <f t="shared" si="8"/>
        <v>13</v>
      </c>
      <c r="O183" s="26"/>
      <c r="P183" t="s">
        <v>88</v>
      </c>
      <c r="Q183" t="s">
        <v>88</v>
      </c>
      <c r="R183" t="s">
        <v>88</v>
      </c>
      <c r="S183" t="s">
        <v>88</v>
      </c>
      <c r="T183" t="s">
        <v>88</v>
      </c>
      <c r="U183" t="s">
        <v>20</v>
      </c>
    </row>
    <row r="184" spans="1:21" x14ac:dyDescent="0.45">
      <c r="A184" s="20" t="s">
        <v>464</v>
      </c>
      <c r="B184" s="21" t="str">
        <f t="shared" si="9"/>
        <v>15.592.991-k</v>
      </c>
      <c r="C184" s="22" t="str">
        <f>IF(IFERROR(VLOOKUP(A184,$A$9:$I183,1,0),0)=0,"",VLOOKUP(A184,$A$9:$I183,3,0))</f>
        <v>UCI</v>
      </c>
      <c r="D184" s="21" t="str">
        <f>IF(IFERROR(VLOOKUP(A184,$A$9:$I183,1,0),0)=0,"",VLOOKUP(A184,$A$9:$I183,4,0))</f>
        <v>NAVARRO</v>
      </c>
      <c r="E184" s="21" t="str">
        <f>IF(IFERROR(VLOOKUP(A184,$A$9:$I183,1,0),0)=0,"",VLOOKUP(A184,$A$9:$I183,5,0))</f>
        <v>MOLINA</v>
      </c>
      <c r="F184" s="21" t="str">
        <f>IF(IFERROR(VLOOKUP(A184,$A$9:$I183,1,0),0)=0,"",VLOOKUP(A184,$A$9:$I183,6,0))</f>
        <v>MARIA</v>
      </c>
      <c r="G184" s="23">
        <f>IF(IFERROR(VLOOKUP(A184,$A$9:$I183,1,0),0)=0,"",VLOOKUP(A184,$A$9:$I183,7,0))</f>
        <v>45307</v>
      </c>
      <c r="H184" s="23">
        <v>45313</v>
      </c>
      <c r="I184" s="21" t="s">
        <v>22</v>
      </c>
      <c r="J184" s="21" t="s">
        <v>24</v>
      </c>
      <c r="K184" s="24" t="s">
        <v>47</v>
      </c>
      <c r="L184" s="23">
        <v>45307</v>
      </c>
      <c r="M184" s="23">
        <v>45320</v>
      </c>
      <c r="N184" s="25">
        <f t="shared" si="8"/>
        <v>13</v>
      </c>
      <c r="O184" s="26"/>
      <c r="P184" t="s">
        <v>88</v>
      </c>
      <c r="Q184" t="s">
        <v>88</v>
      </c>
      <c r="R184" t="s">
        <v>88</v>
      </c>
      <c r="S184" t="s">
        <v>88</v>
      </c>
      <c r="T184" t="s">
        <v>88</v>
      </c>
      <c r="U184" t="s">
        <v>20</v>
      </c>
    </row>
    <row r="185" spans="1:21" x14ac:dyDescent="0.45">
      <c r="A185" s="20">
        <v>93225945</v>
      </c>
      <c r="B185" s="21" t="str">
        <f t="shared" si="9"/>
        <v>9.322.594-5</v>
      </c>
      <c r="C185" s="22" t="s">
        <v>22</v>
      </c>
      <c r="D185" s="21" t="s">
        <v>466</v>
      </c>
      <c r="E185" s="21" t="s">
        <v>467</v>
      </c>
      <c r="F185" s="21" t="s">
        <v>468</v>
      </c>
      <c r="G185" s="23">
        <v>45308</v>
      </c>
      <c r="H185" s="23">
        <v>45312</v>
      </c>
      <c r="I185" s="21" t="s">
        <v>56</v>
      </c>
      <c r="J185" s="21" t="s">
        <v>13</v>
      </c>
      <c r="K185" s="24" t="s">
        <v>43</v>
      </c>
      <c r="L185" s="23">
        <v>45308</v>
      </c>
      <c r="M185" s="23">
        <v>45312</v>
      </c>
      <c r="N185" s="25">
        <f t="shared" si="8"/>
        <v>4</v>
      </c>
      <c r="O185" s="26"/>
      <c r="P185" t="s">
        <v>88</v>
      </c>
      <c r="Q185" t="s">
        <v>88</v>
      </c>
      <c r="R185" t="s">
        <v>88</v>
      </c>
      <c r="S185" t="s">
        <v>88</v>
      </c>
      <c r="T185" t="s">
        <v>88</v>
      </c>
      <c r="U185" t="s">
        <v>20</v>
      </c>
    </row>
    <row r="186" spans="1:21" x14ac:dyDescent="0.45">
      <c r="A186" s="20">
        <v>93225945</v>
      </c>
      <c r="B186" s="21" t="str">
        <f t="shared" si="9"/>
        <v>9.322.594-5</v>
      </c>
      <c r="C186" s="22" t="str">
        <f>IF(IFERROR(VLOOKUP(A186,$A$9:$I185,1,0),0)=0,"",VLOOKUP(A186,$A$9:$I185,3,0))</f>
        <v>UCI</v>
      </c>
      <c r="D186" s="21" t="str">
        <f>IF(IFERROR(VLOOKUP(A186,$A$9:$I185,1,0),0)=0,"",VLOOKUP(A186,$A$9:$I185,4,0))</f>
        <v>PAVEZ</v>
      </c>
      <c r="E186" s="21" t="str">
        <f>IF(IFERROR(VLOOKUP(A186,$A$9:$I185,1,0),0)=0,"",VLOOKUP(A186,$A$9:$I185,5,0))</f>
        <v>BELLO</v>
      </c>
      <c r="F186" s="21" t="str">
        <f>IF(IFERROR(VLOOKUP(A186,$A$9:$I185,1,0),0)=0,"",VLOOKUP(A186,$A$9:$I185,6,0))</f>
        <v>ALEJANDRO</v>
      </c>
      <c r="G186" s="23">
        <f>IF(IFERROR(VLOOKUP(A186,$A$9:$I185,1,0),0)=0,"",VLOOKUP(A186,$A$9:$I185,7,0))</f>
        <v>45308</v>
      </c>
      <c r="H186" s="23">
        <v>45312</v>
      </c>
      <c r="I186" s="21" t="s">
        <v>56</v>
      </c>
      <c r="J186" s="21" t="s">
        <v>13</v>
      </c>
      <c r="K186" s="24" t="s">
        <v>47</v>
      </c>
      <c r="L186" s="23">
        <v>45308</v>
      </c>
      <c r="M186" s="23">
        <v>45312</v>
      </c>
      <c r="N186" s="25">
        <f t="shared" si="8"/>
        <v>4</v>
      </c>
      <c r="O186" s="26"/>
      <c r="P186" t="s">
        <v>88</v>
      </c>
      <c r="Q186" t="s">
        <v>88</v>
      </c>
      <c r="R186" t="s">
        <v>88</v>
      </c>
      <c r="S186" t="s">
        <v>88</v>
      </c>
      <c r="T186" t="s">
        <v>88</v>
      </c>
      <c r="U186" t="s">
        <v>20</v>
      </c>
    </row>
    <row r="187" spans="1:21" x14ac:dyDescent="0.45">
      <c r="A187" s="20">
        <v>99344318</v>
      </c>
      <c r="B187" s="21" t="str">
        <f t="shared" si="9"/>
        <v>9.934.431-8</v>
      </c>
      <c r="C187" s="22" t="s">
        <v>22</v>
      </c>
      <c r="D187" s="21" t="s">
        <v>277</v>
      </c>
      <c r="E187" s="21" t="s">
        <v>318</v>
      </c>
      <c r="F187" s="21" t="s">
        <v>469</v>
      </c>
      <c r="G187" s="23">
        <v>45308</v>
      </c>
      <c r="H187" s="23">
        <v>45310</v>
      </c>
      <c r="I187" s="21" t="s">
        <v>54</v>
      </c>
      <c r="J187" s="21" t="s">
        <v>19</v>
      </c>
      <c r="K187" s="24" t="s">
        <v>43</v>
      </c>
      <c r="L187" s="23">
        <v>45308</v>
      </c>
      <c r="M187" s="23">
        <v>45310</v>
      </c>
      <c r="N187" s="25">
        <f t="shared" si="8"/>
        <v>2</v>
      </c>
      <c r="O187" s="26"/>
      <c r="P187" t="s">
        <v>88</v>
      </c>
      <c r="Q187" t="s">
        <v>88</v>
      </c>
      <c r="R187" t="s">
        <v>88</v>
      </c>
      <c r="S187" t="s">
        <v>88</v>
      </c>
      <c r="T187" t="s">
        <v>88</v>
      </c>
      <c r="U187" t="s">
        <v>20</v>
      </c>
    </row>
    <row r="188" spans="1:21" x14ac:dyDescent="0.45">
      <c r="A188" s="20">
        <v>99344318</v>
      </c>
      <c r="B188" s="21" t="str">
        <f t="shared" si="9"/>
        <v>9.934.431-8</v>
      </c>
      <c r="C188" s="22" t="str">
        <f>IF(IFERROR(VLOOKUP(A188,$A$9:$I187,1,0),0)=0,"",VLOOKUP(A188,$A$9:$I187,3,0))</f>
        <v>UCI</v>
      </c>
      <c r="D188" s="21" t="str">
        <f>IF(IFERROR(VLOOKUP(A188,$A$9:$I187,1,0),0)=0,"",VLOOKUP(A188,$A$9:$I187,4,0))</f>
        <v>MORA</v>
      </c>
      <c r="E188" s="21" t="str">
        <f>IF(IFERROR(VLOOKUP(A188,$A$9:$I187,1,0),0)=0,"",VLOOKUP(A188,$A$9:$I187,5,0))</f>
        <v>VERA</v>
      </c>
      <c r="F188" s="21" t="str">
        <f>IF(IFERROR(VLOOKUP(A188,$A$9:$I187,1,0),0)=0,"",VLOOKUP(A188,$A$9:$I187,6,0))</f>
        <v>HENRY</v>
      </c>
      <c r="G188" s="23">
        <f>IF(IFERROR(VLOOKUP(A188,$A$9:$I187,1,0),0)=0,"",VLOOKUP(A188,$A$9:$I187,7,0))</f>
        <v>45308</v>
      </c>
      <c r="H188" s="23">
        <v>45310</v>
      </c>
      <c r="I188" s="21" t="s">
        <v>54</v>
      </c>
      <c r="J188" s="21" t="s">
        <v>19</v>
      </c>
      <c r="K188" s="24" t="s">
        <v>47</v>
      </c>
      <c r="L188" s="23">
        <v>45308</v>
      </c>
      <c r="M188" s="23">
        <v>45310</v>
      </c>
      <c r="N188" s="25">
        <f t="shared" si="8"/>
        <v>2</v>
      </c>
      <c r="O188" s="26"/>
      <c r="P188" t="s">
        <v>88</v>
      </c>
      <c r="Q188" t="s">
        <v>88</v>
      </c>
      <c r="R188" t="s">
        <v>88</v>
      </c>
      <c r="S188" t="s">
        <v>88</v>
      </c>
      <c r="T188" t="s">
        <v>88</v>
      </c>
      <c r="U188" t="s">
        <v>20</v>
      </c>
    </row>
    <row r="189" spans="1:21" x14ac:dyDescent="0.45">
      <c r="A189" s="20">
        <v>99344318</v>
      </c>
      <c r="B189" s="21" t="str">
        <f t="shared" si="9"/>
        <v>9.934.431-8</v>
      </c>
      <c r="C189" s="22" t="str">
        <f>IF(IFERROR(VLOOKUP(A189,$A$9:$I188,1,0),0)=0,"",VLOOKUP(A189,$A$9:$I188,3,0))</f>
        <v>UCI</v>
      </c>
      <c r="D189" s="21" t="str">
        <f>IF(IFERROR(VLOOKUP(A189,$A$9:$I188,1,0),0)=0,"",VLOOKUP(A189,$A$9:$I188,4,0))</f>
        <v>MORA</v>
      </c>
      <c r="E189" s="21" t="str">
        <f>IF(IFERROR(VLOOKUP(A189,$A$9:$I188,1,0),0)=0,"",VLOOKUP(A189,$A$9:$I188,5,0))</f>
        <v>VERA</v>
      </c>
      <c r="F189" s="21" t="str">
        <f>IF(IFERROR(VLOOKUP(A189,$A$9:$I188,1,0),0)=0,"",VLOOKUP(A189,$A$9:$I188,6,0))</f>
        <v>HENRY</v>
      </c>
      <c r="G189" s="23">
        <f>IF(IFERROR(VLOOKUP(A189,$A$9:$I188,1,0),0)=0,"",VLOOKUP(A189,$A$9:$I188,7,0))</f>
        <v>45308</v>
      </c>
      <c r="H189" s="23">
        <v>45310</v>
      </c>
      <c r="I189" s="21" t="s">
        <v>54</v>
      </c>
      <c r="J189" s="21" t="s">
        <v>19</v>
      </c>
      <c r="K189" s="24" t="s">
        <v>55</v>
      </c>
      <c r="L189" s="23">
        <v>45308</v>
      </c>
      <c r="M189" s="23">
        <v>45310</v>
      </c>
      <c r="N189" s="25">
        <f t="shared" si="8"/>
        <v>2</v>
      </c>
      <c r="O189" s="26"/>
      <c r="P189" t="s">
        <v>88</v>
      </c>
      <c r="Q189" t="s">
        <v>88</v>
      </c>
      <c r="R189" t="s">
        <v>88</v>
      </c>
      <c r="S189" t="s">
        <v>88</v>
      </c>
      <c r="T189" t="s">
        <v>88</v>
      </c>
      <c r="U189" t="s">
        <v>20</v>
      </c>
    </row>
    <row r="190" spans="1:21" x14ac:dyDescent="0.45">
      <c r="A190" s="20" t="s">
        <v>470</v>
      </c>
      <c r="B190" s="21" t="str">
        <f t="shared" si="9"/>
        <v>8.147.494-K</v>
      </c>
      <c r="C190" s="22" t="s">
        <v>22</v>
      </c>
      <c r="D190" s="21" t="s">
        <v>322</v>
      </c>
      <c r="E190" s="21" t="s">
        <v>471</v>
      </c>
      <c r="F190" s="21" t="s">
        <v>472</v>
      </c>
      <c r="G190" s="23">
        <v>45307</v>
      </c>
      <c r="H190" s="23">
        <v>45310</v>
      </c>
      <c r="I190" s="21" t="s">
        <v>56</v>
      </c>
      <c r="J190" s="21" t="s">
        <v>65</v>
      </c>
      <c r="K190" s="24" t="s">
        <v>43</v>
      </c>
      <c r="L190" s="23">
        <v>45307</v>
      </c>
      <c r="M190" s="23">
        <v>45310</v>
      </c>
      <c r="N190" s="25">
        <f t="shared" si="8"/>
        <v>3</v>
      </c>
      <c r="O190" s="26"/>
      <c r="P190" t="s">
        <v>96</v>
      </c>
      <c r="Q190" t="s">
        <v>88</v>
      </c>
      <c r="R190" t="s">
        <v>88</v>
      </c>
      <c r="S190" t="s">
        <v>88</v>
      </c>
      <c r="T190" t="s">
        <v>88</v>
      </c>
      <c r="U190" t="s">
        <v>14</v>
      </c>
    </row>
    <row r="191" spans="1:21" x14ac:dyDescent="0.45">
      <c r="A191" s="20" t="s">
        <v>470</v>
      </c>
      <c r="B191" s="21" t="str">
        <f t="shared" si="9"/>
        <v>8.147.494-K</v>
      </c>
      <c r="C191" s="22" t="str">
        <f>IF(IFERROR(VLOOKUP(A191,$A$9:$I190,1,0),0)=0,"",VLOOKUP(A191,$A$9:$I190,3,0))</f>
        <v>UCI</v>
      </c>
      <c r="D191" s="21" t="str">
        <f>IF(IFERROR(VLOOKUP(A191,$A$9:$I190,1,0),0)=0,"",VLOOKUP(A191,$A$9:$I190,4,0))</f>
        <v>VENEGAS</v>
      </c>
      <c r="E191" s="21" t="str">
        <f>IF(IFERROR(VLOOKUP(A191,$A$9:$I190,1,0),0)=0,"",VLOOKUP(A191,$A$9:$I190,5,0))</f>
        <v>VASQUEZ</v>
      </c>
      <c r="F191" s="21" t="str">
        <f>IF(IFERROR(VLOOKUP(A191,$A$9:$I190,1,0),0)=0,"",VLOOKUP(A191,$A$9:$I190,6,0))</f>
        <v>HUMBERTO</v>
      </c>
      <c r="G191" s="23">
        <f>IF(IFERROR(VLOOKUP(A191,$A$9:$I190,1,0),0)=0,"",VLOOKUP(A191,$A$9:$I190,7,0))</f>
        <v>45307</v>
      </c>
      <c r="H191" s="23">
        <v>45310</v>
      </c>
      <c r="I191" s="21" t="s">
        <v>56</v>
      </c>
      <c r="J191" s="21" t="s">
        <v>65</v>
      </c>
      <c r="K191" s="24" t="s">
        <v>23</v>
      </c>
      <c r="L191" s="23">
        <v>45307</v>
      </c>
      <c r="M191" s="23">
        <v>45310</v>
      </c>
      <c r="N191" s="25">
        <f t="shared" si="8"/>
        <v>3</v>
      </c>
      <c r="O191" s="26"/>
      <c r="P191" t="s">
        <v>88</v>
      </c>
      <c r="Q191" t="s">
        <v>88</v>
      </c>
      <c r="R191" t="s">
        <v>88</v>
      </c>
      <c r="S191" t="s">
        <v>88</v>
      </c>
      <c r="T191" t="s">
        <v>88</v>
      </c>
      <c r="U191" t="s">
        <v>20</v>
      </c>
    </row>
    <row r="192" spans="1:21" x14ac:dyDescent="0.45">
      <c r="A192" s="20">
        <v>103140382</v>
      </c>
      <c r="B192" s="21" t="str">
        <f t="shared" ref="B192:B198" si="10">IF(LEN(A192)=8,MID(A192,1,1)&amp;"."&amp;MID(A192,2,3)&amp;"."&amp;MID(A192,5,3)&amp;"-"&amp;RIGHT(A192,1),IF(LEFT(RIGHT(A192,2),1)="-",MID(A192,1,1)&amp;"."&amp;MID(A192,2,3)&amp;"."&amp;MID(A192,5,3)&amp;"-"&amp;RIGHT(A192,1),MID(A192,1,2)&amp;"."&amp;MID(A192,3,3)&amp;"."&amp;MID(A192,6,3)&amp;"-"&amp;MID(A192,9,1)))</f>
        <v>10.314.038-2</v>
      </c>
      <c r="C192" s="22" t="s">
        <v>38</v>
      </c>
      <c r="D192" s="21" t="s">
        <v>318</v>
      </c>
      <c r="E192" s="21" t="s">
        <v>473</v>
      </c>
      <c r="F192" s="21" t="s">
        <v>474</v>
      </c>
      <c r="G192" s="23">
        <v>45306</v>
      </c>
      <c r="H192" s="23">
        <v>45311</v>
      </c>
      <c r="I192" s="21" t="s">
        <v>54</v>
      </c>
      <c r="J192" s="21" t="s">
        <v>13</v>
      </c>
      <c r="K192" s="24" t="s">
        <v>43</v>
      </c>
      <c r="L192" s="23">
        <v>45306</v>
      </c>
      <c r="M192" s="23">
        <v>45311</v>
      </c>
      <c r="N192" s="25">
        <f t="shared" si="8"/>
        <v>5</v>
      </c>
      <c r="O192" s="26"/>
      <c r="P192" t="s">
        <v>96</v>
      </c>
      <c r="Q192" t="s">
        <v>88</v>
      </c>
      <c r="R192" t="s">
        <v>88</v>
      </c>
      <c r="S192" t="s">
        <v>88</v>
      </c>
      <c r="T192" t="s">
        <v>88</v>
      </c>
      <c r="U192" t="s">
        <v>14</v>
      </c>
    </row>
    <row r="193" spans="1:21" x14ac:dyDescent="0.45">
      <c r="A193" s="20">
        <v>54532393</v>
      </c>
      <c r="B193" s="21" t="str">
        <f t="shared" si="10"/>
        <v>5.453.239-3</v>
      </c>
      <c r="C193" s="22" t="s">
        <v>38</v>
      </c>
      <c r="D193" s="21" t="s">
        <v>387</v>
      </c>
      <c r="E193" s="21" t="s">
        <v>387</v>
      </c>
      <c r="F193" s="21" t="s">
        <v>475</v>
      </c>
      <c r="G193" s="23">
        <v>45307</v>
      </c>
      <c r="H193" s="23">
        <v>45309</v>
      </c>
      <c r="I193" s="21" t="s">
        <v>61</v>
      </c>
      <c r="J193" s="21" t="s">
        <v>13</v>
      </c>
      <c r="K193" s="24" t="s">
        <v>43</v>
      </c>
      <c r="L193" s="23">
        <v>45307</v>
      </c>
      <c r="M193" s="23">
        <v>45309</v>
      </c>
      <c r="N193" s="25">
        <f t="shared" si="8"/>
        <v>2</v>
      </c>
      <c r="O193" s="26"/>
      <c r="P193" t="s">
        <v>88</v>
      </c>
      <c r="Q193" t="s">
        <v>88</v>
      </c>
      <c r="R193" t="s">
        <v>88</v>
      </c>
      <c r="S193" t="s">
        <v>88</v>
      </c>
      <c r="T193" t="s">
        <v>88</v>
      </c>
      <c r="U193" t="s">
        <v>20</v>
      </c>
    </row>
    <row r="194" spans="1:21" x14ac:dyDescent="0.45">
      <c r="A194" s="20">
        <v>84347388</v>
      </c>
      <c r="B194" s="21" t="str">
        <f t="shared" si="10"/>
        <v>8.434.738-8</v>
      </c>
      <c r="C194" s="22" t="s">
        <v>38</v>
      </c>
      <c r="D194" s="21" t="s">
        <v>476</v>
      </c>
      <c r="E194" s="21" t="s">
        <v>477</v>
      </c>
      <c r="F194" s="21" t="s">
        <v>478</v>
      </c>
      <c r="G194" s="23">
        <v>45308</v>
      </c>
      <c r="H194" s="23">
        <v>45316</v>
      </c>
      <c r="I194" s="21" t="s">
        <v>36</v>
      </c>
      <c r="J194" s="21" t="s">
        <v>24</v>
      </c>
      <c r="K194" s="24" t="s">
        <v>47</v>
      </c>
      <c r="L194" s="23">
        <v>45308</v>
      </c>
      <c r="M194" s="23">
        <v>45316</v>
      </c>
      <c r="N194" s="25">
        <f t="shared" si="8"/>
        <v>8</v>
      </c>
      <c r="O194" s="26"/>
      <c r="P194" t="s">
        <v>88</v>
      </c>
      <c r="Q194" t="s">
        <v>88</v>
      </c>
      <c r="R194" t="s">
        <v>88</v>
      </c>
      <c r="S194" t="s">
        <v>88</v>
      </c>
      <c r="T194" t="s">
        <v>88</v>
      </c>
      <c r="U194" t="s">
        <v>20</v>
      </c>
    </row>
    <row r="195" spans="1:21" x14ac:dyDescent="0.45">
      <c r="A195" s="20">
        <v>96446624</v>
      </c>
      <c r="B195" s="21" t="str">
        <f t="shared" si="10"/>
        <v>9.644.662-4</v>
      </c>
      <c r="C195" s="22" t="s">
        <v>46</v>
      </c>
      <c r="D195" s="21" t="s">
        <v>479</v>
      </c>
      <c r="E195" s="21" t="s">
        <v>480</v>
      </c>
      <c r="F195" s="21" t="s">
        <v>481</v>
      </c>
      <c r="G195" s="23">
        <v>45307</v>
      </c>
      <c r="H195" s="23">
        <v>45310</v>
      </c>
      <c r="I195" s="21" t="s">
        <v>54</v>
      </c>
      <c r="J195" s="21" t="s">
        <v>13</v>
      </c>
      <c r="K195" s="24" t="s">
        <v>47</v>
      </c>
      <c r="L195" s="23">
        <v>45307</v>
      </c>
      <c r="M195" s="23">
        <v>45310</v>
      </c>
      <c r="N195" s="25">
        <f t="shared" si="8"/>
        <v>3</v>
      </c>
      <c r="O195" s="26"/>
      <c r="P195" t="s">
        <v>88</v>
      </c>
      <c r="Q195" t="s">
        <v>88</v>
      </c>
      <c r="R195" t="s">
        <v>88</v>
      </c>
      <c r="S195" t="s">
        <v>88</v>
      </c>
      <c r="T195" t="s">
        <v>88</v>
      </c>
      <c r="U195" t="s">
        <v>20</v>
      </c>
    </row>
    <row r="196" spans="1:21" x14ac:dyDescent="0.45">
      <c r="A196" s="20">
        <v>49830041</v>
      </c>
      <c r="B196" s="21" t="str">
        <f t="shared" si="10"/>
        <v>4.983.004-1</v>
      </c>
      <c r="C196" s="22" t="s">
        <v>46</v>
      </c>
      <c r="D196" s="21" t="s">
        <v>482</v>
      </c>
      <c r="E196" s="21" t="s">
        <v>483</v>
      </c>
      <c r="F196" s="21" t="s">
        <v>484</v>
      </c>
      <c r="G196" s="23">
        <v>45307</v>
      </c>
      <c r="H196" s="23">
        <v>45314</v>
      </c>
      <c r="I196" s="21" t="s">
        <v>54</v>
      </c>
      <c r="J196" s="21" t="s">
        <v>13</v>
      </c>
      <c r="K196" s="24" t="s">
        <v>47</v>
      </c>
      <c r="L196" s="23">
        <v>45307</v>
      </c>
      <c r="M196" s="23">
        <v>45314</v>
      </c>
      <c r="N196" s="25">
        <f t="shared" si="8"/>
        <v>7</v>
      </c>
      <c r="O196" s="26"/>
      <c r="P196" t="s">
        <v>88</v>
      </c>
      <c r="Q196" t="s">
        <v>88</v>
      </c>
      <c r="R196" t="s">
        <v>88</v>
      </c>
      <c r="S196" t="s">
        <v>88</v>
      </c>
      <c r="T196" t="s">
        <v>88</v>
      </c>
      <c r="U196" t="s">
        <v>20</v>
      </c>
    </row>
    <row r="197" spans="1:21" x14ac:dyDescent="0.45">
      <c r="A197" s="20">
        <v>82087249</v>
      </c>
      <c r="B197" s="21" t="str">
        <f t="shared" si="10"/>
        <v>8.208.724-9</v>
      </c>
      <c r="C197" s="22" t="s">
        <v>46</v>
      </c>
      <c r="D197" s="21" t="s">
        <v>389</v>
      </c>
      <c r="E197" s="21" t="s">
        <v>341</v>
      </c>
      <c r="F197" s="21" t="s">
        <v>485</v>
      </c>
      <c r="G197" s="23">
        <v>45657</v>
      </c>
      <c r="H197" s="23">
        <v>45314</v>
      </c>
      <c r="I197" s="21" t="s">
        <v>54</v>
      </c>
      <c r="J197" s="21" t="s">
        <v>65</v>
      </c>
      <c r="K197" s="24" t="s">
        <v>23</v>
      </c>
      <c r="L197" s="23">
        <v>45308</v>
      </c>
      <c r="M197" s="23">
        <v>45322</v>
      </c>
      <c r="N197" s="25">
        <f t="shared" si="8"/>
        <v>14</v>
      </c>
      <c r="O197" s="26"/>
      <c r="P197" t="s">
        <v>88</v>
      </c>
      <c r="Q197" t="s">
        <v>88</v>
      </c>
      <c r="R197" t="s">
        <v>88</v>
      </c>
      <c r="S197" t="s">
        <v>88</v>
      </c>
      <c r="T197" t="s">
        <v>88</v>
      </c>
      <c r="U197" t="s">
        <v>20</v>
      </c>
    </row>
    <row r="198" spans="1:21" x14ac:dyDescent="0.45">
      <c r="A198" s="20">
        <v>145803233</v>
      </c>
      <c r="B198" s="21" t="str">
        <f t="shared" si="10"/>
        <v>14.580.323-3</v>
      </c>
      <c r="C198" s="22" t="s">
        <v>46</v>
      </c>
      <c r="D198" s="21" t="s">
        <v>435</v>
      </c>
      <c r="E198" s="21" t="s">
        <v>486</v>
      </c>
      <c r="F198" s="21" t="s">
        <v>487</v>
      </c>
      <c r="G198" s="23">
        <v>45303</v>
      </c>
      <c r="H198" s="23">
        <v>45316</v>
      </c>
      <c r="I198" s="21" t="s">
        <v>54</v>
      </c>
      <c r="J198" s="21" t="s">
        <v>13</v>
      </c>
      <c r="K198" s="24" t="s">
        <v>43</v>
      </c>
      <c r="L198" s="23">
        <v>45303</v>
      </c>
      <c r="M198" s="23">
        <v>45315</v>
      </c>
      <c r="N198" s="25">
        <f t="shared" si="8"/>
        <v>12</v>
      </c>
      <c r="O198" s="26"/>
      <c r="P198" t="s">
        <v>88</v>
      </c>
      <c r="Q198" t="s">
        <v>88</v>
      </c>
      <c r="R198" t="s">
        <v>88</v>
      </c>
      <c r="S198" t="s">
        <v>88</v>
      </c>
      <c r="T198" t="s">
        <v>88</v>
      </c>
      <c r="U198" t="s">
        <v>20</v>
      </c>
    </row>
    <row r="199" spans="1:21" x14ac:dyDescent="0.45">
      <c r="A199" s="20">
        <v>72610415</v>
      </c>
      <c r="B199" s="20">
        <v>72610415</v>
      </c>
      <c r="C199" s="22" t="s">
        <v>46</v>
      </c>
      <c r="D199" s="21" t="s">
        <v>411</v>
      </c>
      <c r="E199" s="21" t="s">
        <v>341</v>
      </c>
      <c r="F199" s="21" t="s">
        <v>386</v>
      </c>
      <c r="G199" s="23">
        <v>45304</v>
      </c>
      <c r="H199" s="23">
        <v>45655</v>
      </c>
      <c r="I199" s="21" t="s">
        <v>54</v>
      </c>
      <c r="J199" s="21" t="s">
        <v>13</v>
      </c>
      <c r="K199" s="24" t="s">
        <v>47</v>
      </c>
      <c r="L199" s="23">
        <v>45303</v>
      </c>
      <c r="M199" s="23">
        <v>45322</v>
      </c>
      <c r="N199" s="25">
        <f t="shared" si="8"/>
        <v>19</v>
      </c>
      <c r="O199" s="26"/>
      <c r="P199" t="s">
        <v>106</v>
      </c>
      <c r="Q199" t="s">
        <v>88</v>
      </c>
      <c r="R199" t="s">
        <v>88</v>
      </c>
      <c r="S199" t="s">
        <v>88</v>
      </c>
      <c r="T199" t="s">
        <v>88</v>
      </c>
      <c r="U199" t="s">
        <v>14</v>
      </c>
    </row>
    <row r="200" spans="1:21" x14ac:dyDescent="0.45">
      <c r="A200" s="20">
        <v>72610415</v>
      </c>
      <c r="B200" s="21" t="str">
        <f t="shared" ref="B200:B231" si="11">IF(LEN(A200)=8,MID(A200,1,1)&amp;"."&amp;MID(A200,2,3)&amp;"."&amp;MID(A200,5,3)&amp;"-"&amp;RIGHT(A200,1),IF(LEFT(RIGHT(A200,2),1)="-",MID(A200,1,1)&amp;"."&amp;MID(A200,2,3)&amp;"."&amp;MID(A200,5,3)&amp;"-"&amp;RIGHT(A200,1),MID(A200,1,2)&amp;"."&amp;MID(A200,3,3)&amp;"."&amp;MID(A200,6,3)&amp;"-"&amp;MID(A200,9,1)))</f>
        <v>7.261.041-5</v>
      </c>
      <c r="C200" s="22" t="s">
        <v>46</v>
      </c>
      <c r="D200" s="21" t="s">
        <v>411</v>
      </c>
      <c r="E200" s="21" t="s">
        <v>341</v>
      </c>
      <c r="F200" s="21" t="s">
        <v>386</v>
      </c>
      <c r="G200" s="23">
        <v>45297</v>
      </c>
      <c r="H200" s="23">
        <v>45655</v>
      </c>
      <c r="I200" s="21" t="s">
        <v>54</v>
      </c>
      <c r="J200" s="21" t="s">
        <v>13</v>
      </c>
      <c r="K200" s="24" t="s">
        <v>43</v>
      </c>
      <c r="L200" s="23">
        <v>45303</v>
      </c>
      <c r="M200" s="23">
        <v>45322</v>
      </c>
      <c r="N200" s="25">
        <f t="shared" si="8"/>
        <v>19</v>
      </c>
      <c r="O200" s="37" t="s">
        <v>14</v>
      </c>
      <c r="P200" t="s">
        <v>88</v>
      </c>
      <c r="Q200" t="s">
        <v>88</v>
      </c>
      <c r="R200" t="s">
        <v>88</v>
      </c>
      <c r="S200" t="s">
        <v>88</v>
      </c>
      <c r="T200" t="s">
        <v>88</v>
      </c>
      <c r="U200" t="s">
        <v>20</v>
      </c>
    </row>
    <row r="201" spans="1:21" x14ac:dyDescent="0.45">
      <c r="A201" s="20">
        <v>91107287</v>
      </c>
      <c r="B201" s="21" t="str">
        <f t="shared" si="11"/>
        <v>9.110.728-7</v>
      </c>
      <c r="C201" s="22" t="s">
        <v>22</v>
      </c>
      <c r="D201" s="21" t="s">
        <v>488</v>
      </c>
      <c r="E201" s="21" t="s">
        <v>310</v>
      </c>
      <c r="F201" s="21" t="s">
        <v>489</v>
      </c>
      <c r="G201" s="23">
        <v>45313</v>
      </c>
      <c r="H201" s="23"/>
      <c r="I201" s="21" t="s">
        <v>22</v>
      </c>
      <c r="J201" s="21" t="s">
        <v>65</v>
      </c>
      <c r="K201" s="24" t="s">
        <v>43</v>
      </c>
      <c r="L201" s="23">
        <v>45313</v>
      </c>
      <c r="M201" s="23">
        <v>45322</v>
      </c>
      <c r="N201" s="25">
        <f t="shared" si="8"/>
        <v>9</v>
      </c>
      <c r="O201" s="26"/>
      <c r="P201" t="s">
        <v>88</v>
      </c>
      <c r="Q201" t="s">
        <v>88</v>
      </c>
      <c r="R201" t="s">
        <v>88</v>
      </c>
      <c r="S201" t="s">
        <v>88</v>
      </c>
      <c r="T201" t="s">
        <v>88</v>
      </c>
      <c r="U201" t="s">
        <v>20</v>
      </c>
    </row>
    <row r="202" spans="1:21" x14ac:dyDescent="0.45">
      <c r="A202" s="20">
        <v>91107287</v>
      </c>
      <c r="B202" s="21" t="str">
        <f t="shared" si="11"/>
        <v>9.110.728-7</v>
      </c>
      <c r="C202" s="22" t="str">
        <f>IF(IFERROR(VLOOKUP(A202,$A$9:$I201,1,0),0)=0,"",VLOOKUP(A202,$A$9:$I201,3,0))</f>
        <v>UCI</v>
      </c>
      <c r="D202" s="21" t="str">
        <f>IF(IFERROR(VLOOKUP(A202,$A$9:$I201,1,0),0)=0,"",VLOOKUP(A202,$A$9:$I201,4,0))</f>
        <v>PARRA</v>
      </c>
      <c r="E202" s="21" t="str">
        <f>IF(IFERROR(VLOOKUP(A202,$A$9:$I201,1,0),0)=0,"",VLOOKUP(A202,$A$9:$I201,5,0))</f>
        <v>MORALES</v>
      </c>
      <c r="F202" s="21" t="str">
        <f>IF(IFERROR(VLOOKUP(A202,$A$9:$I201,1,0),0)=0,"",VLOOKUP(A202,$A$9:$I201,6,0))</f>
        <v>HECTOR</v>
      </c>
      <c r="G202" s="23">
        <f>IF(IFERROR(VLOOKUP(A202,$A$9:$I201,1,0),0)=0,"",VLOOKUP(A202,$A$9:$I201,7,0))</f>
        <v>45313</v>
      </c>
      <c r="H202" s="23"/>
      <c r="I202" s="21" t="s">
        <v>22</v>
      </c>
      <c r="J202" s="21" t="s">
        <v>65</v>
      </c>
      <c r="K202" s="24" t="s">
        <v>47</v>
      </c>
      <c r="L202" s="23">
        <v>45313</v>
      </c>
      <c r="M202" s="23">
        <v>45322</v>
      </c>
      <c r="N202" s="25">
        <f t="shared" si="8"/>
        <v>9</v>
      </c>
      <c r="O202" s="26"/>
      <c r="P202" t="s">
        <v>88</v>
      </c>
      <c r="Q202" t="s">
        <v>88</v>
      </c>
      <c r="R202" t="s">
        <v>88</v>
      </c>
      <c r="S202" t="s">
        <v>88</v>
      </c>
      <c r="T202" t="s">
        <v>88</v>
      </c>
      <c r="U202" t="s">
        <v>20</v>
      </c>
    </row>
    <row r="203" spans="1:21" x14ac:dyDescent="0.45">
      <c r="A203" s="20">
        <v>92793567</v>
      </c>
      <c r="B203" s="21" t="str">
        <f t="shared" si="11"/>
        <v>9.279.356-7</v>
      </c>
      <c r="C203" s="22" t="s">
        <v>22</v>
      </c>
      <c r="D203" s="21" t="s">
        <v>490</v>
      </c>
      <c r="E203" s="21" t="s">
        <v>491</v>
      </c>
      <c r="F203" s="21" t="s">
        <v>290</v>
      </c>
      <c r="G203" s="23">
        <v>45312</v>
      </c>
      <c r="H203" s="23">
        <v>45315</v>
      </c>
      <c r="I203" s="21" t="s">
        <v>54</v>
      </c>
      <c r="J203" s="21" t="s">
        <v>19</v>
      </c>
      <c r="K203" s="24" t="s">
        <v>43</v>
      </c>
      <c r="L203" s="23">
        <v>45312</v>
      </c>
      <c r="M203" s="23">
        <v>45315</v>
      </c>
      <c r="N203" s="25">
        <f t="shared" si="8"/>
        <v>3</v>
      </c>
      <c r="O203" s="26"/>
      <c r="P203" t="s">
        <v>88</v>
      </c>
      <c r="Q203" t="s">
        <v>88</v>
      </c>
      <c r="R203" t="s">
        <v>88</v>
      </c>
      <c r="S203" t="s">
        <v>88</v>
      </c>
      <c r="T203" t="s">
        <v>88</v>
      </c>
      <c r="U203" t="s">
        <v>20</v>
      </c>
    </row>
    <row r="204" spans="1:21" x14ac:dyDescent="0.45">
      <c r="A204" s="20">
        <v>92793567</v>
      </c>
      <c r="B204" s="21" t="str">
        <f t="shared" si="11"/>
        <v>9.279.356-7</v>
      </c>
      <c r="C204" s="22" t="str">
        <f>IF(IFERROR(VLOOKUP(A204,$A$9:$I203,1,0),0)=0,"",VLOOKUP(A204,$A$9:$I203,3,0))</f>
        <v>UCI</v>
      </c>
      <c r="D204" s="21" t="str">
        <f>IF(IFERROR(VLOOKUP(A204,$A$9:$I203,1,0),0)=0,"",VLOOKUP(A204,$A$9:$I203,4,0))</f>
        <v>BELTRAN</v>
      </c>
      <c r="E204" s="21" t="str">
        <f>IF(IFERROR(VLOOKUP(A204,$A$9:$I203,1,0),0)=0,"",VLOOKUP(A204,$A$9:$I203,5,0))</f>
        <v>AQUEVEDO</v>
      </c>
      <c r="F204" s="21" t="str">
        <f>IF(IFERROR(VLOOKUP(A204,$A$9:$I203,1,0),0)=0,"",VLOOKUP(A204,$A$9:$I203,6,0))</f>
        <v>FERNANDO</v>
      </c>
      <c r="G204" s="23">
        <f>IF(IFERROR(VLOOKUP(A204,$A$9:$I203,1,0),0)=0,"",VLOOKUP(A204,$A$9:$I203,7,0))</f>
        <v>45312</v>
      </c>
      <c r="H204" s="23">
        <v>45315</v>
      </c>
      <c r="I204" s="21" t="s">
        <v>54</v>
      </c>
      <c r="J204" s="21" t="s">
        <v>19</v>
      </c>
      <c r="K204" s="24" t="s">
        <v>47</v>
      </c>
      <c r="L204" s="23">
        <v>45312</v>
      </c>
      <c r="M204" s="23">
        <v>45315</v>
      </c>
      <c r="N204" s="25">
        <f t="shared" si="8"/>
        <v>3</v>
      </c>
      <c r="O204" s="26"/>
      <c r="P204" t="s">
        <v>88</v>
      </c>
      <c r="Q204" t="s">
        <v>88</v>
      </c>
      <c r="R204" t="s">
        <v>88</v>
      </c>
      <c r="S204" t="s">
        <v>88</v>
      </c>
      <c r="T204" t="s">
        <v>88</v>
      </c>
      <c r="U204" t="s">
        <v>20</v>
      </c>
    </row>
    <row r="205" spans="1:21" x14ac:dyDescent="0.45">
      <c r="A205" s="20">
        <v>92793567</v>
      </c>
      <c r="B205" s="21" t="str">
        <f t="shared" si="11"/>
        <v>9.279.356-7</v>
      </c>
      <c r="C205" s="22" t="str">
        <f>IF(IFERROR(VLOOKUP(A205,$A$9:$I204,1,0),0)=0,"",VLOOKUP(A205,$A$9:$I204,3,0))</f>
        <v>UCI</v>
      </c>
      <c r="D205" s="21" t="str">
        <f>IF(IFERROR(VLOOKUP(A205,$A$9:$I204,1,0),0)=0,"",VLOOKUP(A205,$A$9:$I204,4,0))</f>
        <v>BELTRAN</v>
      </c>
      <c r="E205" s="21" t="str">
        <f>IF(IFERROR(VLOOKUP(A205,$A$9:$I204,1,0),0)=0,"",VLOOKUP(A205,$A$9:$I204,5,0))</f>
        <v>AQUEVEDO</v>
      </c>
      <c r="F205" s="21" t="str">
        <f>IF(IFERROR(VLOOKUP(A205,$A$9:$I204,1,0),0)=0,"",VLOOKUP(A205,$A$9:$I204,6,0))</f>
        <v>FERNANDO</v>
      </c>
      <c r="G205" s="23">
        <f>IF(IFERROR(VLOOKUP(A205,$A$9:$I204,1,0),0)=0,"",VLOOKUP(A205,$A$9:$I204,7,0))</f>
        <v>45312</v>
      </c>
      <c r="H205" s="23">
        <v>45315</v>
      </c>
      <c r="I205" s="21" t="s">
        <v>54</v>
      </c>
      <c r="J205" s="21" t="s">
        <v>19</v>
      </c>
      <c r="K205" s="24" t="s">
        <v>55</v>
      </c>
      <c r="L205" s="23">
        <v>45312</v>
      </c>
      <c r="M205" s="23">
        <v>45315</v>
      </c>
      <c r="N205" s="25">
        <f t="shared" si="8"/>
        <v>3</v>
      </c>
      <c r="O205" s="26"/>
      <c r="P205" t="s">
        <v>88</v>
      </c>
      <c r="Q205" t="s">
        <v>88</v>
      </c>
      <c r="R205" t="s">
        <v>88</v>
      </c>
      <c r="S205" t="s">
        <v>88</v>
      </c>
      <c r="T205" t="s">
        <v>88</v>
      </c>
      <c r="U205" t="s">
        <v>20</v>
      </c>
    </row>
    <row r="206" spans="1:21" x14ac:dyDescent="0.45">
      <c r="A206" s="20">
        <v>92793567</v>
      </c>
      <c r="B206" s="21" t="str">
        <f t="shared" si="11"/>
        <v>9.279.356-7</v>
      </c>
      <c r="C206" s="22" t="str">
        <f>IF(IFERROR(VLOOKUP(A206,$A$9:$I205,1,0),0)=0,"",VLOOKUP(A206,$A$9:$I205,3,0))</f>
        <v>UCI</v>
      </c>
      <c r="D206" s="21" t="str">
        <f>IF(IFERROR(VLOOKUP(A206,$A$9:$I205,1,0),0)=0,"",VLOOKUP(A206,$A$9:$I205,4,0))</f>
        <v>BELTRAN</v>
      </c>
      <c r="E206" s="21" t="str">
        <f>IF(IFERROR(VLOOKUP(A206,$A$9:$I205,1,0),0)=0,"",VLOOKUP(A206,$A$9:$I205,5,0))</f>
        <v>AQUEVEDO</v>
      </c>
      <c r="F206" s="21" t="str">
        <f>IF(IFERROR(VLOOKUP(A206,$A$9:$I205,1,0),0)=0,"",VLOOKUP(A206,$A$9:$I205,6,0))</f>
        <v>FERNANDO</v>
      </c>
      <c r="G206" s="23">
        <f>IF(IFERROR(VLOOKUP(A206,$A$9:$I205,1,0),0)=0,"",VLOOKUP(A206,$A$9:$I205,7,0))</f>
        <v>45312</v>
      </c>
      <c r="H206" s="23">
        <v>45315</v>
      </c>
      <c r="I206" s="21" t="s">
        <v>54</v>
      </c>
      <c r="J206" s="21" t="s">
        <v>19</v>
      </c>
      <c r="K206" s="24" t="s">
        <v>23</v>
      </c>
      <c r="L206" s="23">
        <v>45312</v>
      </c>
      <c r="M206" s="23">
        <v>45315</v>
      </c>
      <c r="N206" s="25">
        <f t="shared" si="8"/>
        <v>3</v>
      </c>
      <c r="O206" s="26"/>
      <c r="P206" t="s">
        <v>88</v>
      </c>
      <c r="Q206" t="s">
        <v>88</v>
      </c>
      <c r="R206" t="s">
        <v>88</v>
      </c>
      <c r="S206" t="s">
        <v>88</v>
      </c>
      <c r="T206" t="s">
        <v>88</v>
      </c>
      <c r="U206" t="s">
        <v>20</v>
      </c>
    </row>
    <row r="207" spans="1:21" x14ac:dyDescent="0.45">
      <c r="A207" s="20">
        <v>98198253</v>
      </c>
      <c r="B207" s="21" t="str">
        <f t="shared" si="11"/>
        <v>9.819.825-3</v>
      </c>
      <c r="C207" s="22" t="s">
        <v>22</v>
      </c>
      <c r="D207" s="21" t="s">
        <v>488</v>
      </c>
      <c r="E207" s="21" t="s">
        <v>492</v>
      </c>
      <c r="F207" s="21" t="s">
        <v>238</v>
      </c>
      <c r="G207" s="23">
        <v>45312</v>
      </c>
      <c r="H207" s="23">
        <v>45316</v>
      </c>
      <c r="I207" s="21" t="s">
        <v>22</v>
      </c>
      <c r="J207" s="21" t="s">
        <v>65</v>
      </c>
      <c r="K207" s="24" t="s">
        <v>43</v>
      </c>
      <c r="L207" s="23">
        <v>45312</v>
      </c>
      <c r="M207" s="23">
        <v>45316</v>
      </c>
      <c r="N207" s="25">
        <f t="shared" si="8"/>
        <v>4</v>
      </c>
      <c r="O207" s="26"/>
      <c r="P207" t="s">
        <v>88</v>
      </c>
      <c r="Q207" t="s">
        <v>88</v>
      </c>
      <c r="R207" t="s">
        <v>88</v>
      </c>
      <c r="S207" t="s">
        <v>88</v>
      </c>
      <c r="T207" t="s">
        <v>88</v>
      </c>
      <c r="U207" t="s">
        <v>20</v>
      </c>
    </row>
    <row r="208" spans="1:21" x14ac:dyDescent="0.45">
      <c r="A208" s="20">
        <v>98198253</v>
      </c>
      <c r="B208" s="21" t="str">
        <f t="shared" si="11"/>
        <v>9.819.825-3</v>
      </c>
      <c r="C208" s="22" t="str">
        <f>IF(IFERROR(VLOOKUP(A208,$A$9:$I207,1,0),0)=0,"",VLOOKUP(A208,$A$9:$I207,3,0))</f>
        <v>UCI</v>
      </c>
      <c r="D208" s="21" t="str">
        <f>IF(IFERROR(VLOOKUP(A208,$A$9:$I207,1,0),0)=0,"",VLOOKUP(A208,$A$9:$I207,4,0))</f>
        <v>PARRA</v>
      </c>
      <c r="E208" s="21" t="str">
        <f>IF(IFERROR(VLOOKUP(A208,$A$9:$I207,1,0),0)=0,"",VLOOKUP(A208,$A$9:$I207,5,0))</f>
        <v>SALAMANCA</v>
      </c>
      <c r="F208" s="21" t="str">
        <f>IF(IFERROR(VLOOKUP(A208,$A$9:$I207,1,0),0)=0,"",VLOOKUP(A208,$A$9:$I207,6,0))</f>
        <v>LUIS</v>
      </c>
      <c r="G208" s="23">
        <f>IF(IFERROR(VLOOKUP(A208,$A$9:$I207,1,0),0)=0,"",VLOOKUP(A208,$A$9:$I207,7,0))</f>
        <v>45312</v>
      </c>
      <c r="H208" s="23">
        <v>45316</v>
      </c>
      <c r="I208" s="21" t="s">
        <v>22</v>
      </c>
      <c r="J208" s="21" t="s">
        <v>65</v>
      </c>
      <c r="K208" s="24" t="s">
        <v>47</v>
      </c>
      <c r="L208" s="23">
        <v>45312</v>
      </c>
      <c r="M208" s="23">
        <v>45315</v>
      </c>
      <c r="N208" s="25">
        <f t="shared" si="8"/>
        <v>3</v>
      </c>
      <c r="O208" s="26"/>
      <c r="P208" t="s">
        <v>88</v>
      </c>
      <c r="Q208" t="s">
        <v>88</v>
      </c>
      <c r="R208" t="s">
        <v>88</v>
      </c>
      <c r="S208" t="s">
        <v>88</v>
      </c>
      <c r="T208" t="s">
        <v>88</v>
      </c>
      <c r="U208" t="s">
        <v>20</v>
      </c>
    </row>
    <row r="209" spans="1:21" x14ac:dyDescent="0.45">
      <c r="A209" s="20">
        <v>61197621</v>
      </c>
      <c r="B209" s="21" t="str">
        <f t="shared" si="11"/>
        <v>6.119.762-1</v>
      </c>
      <c r="C209" s="22" t="s">
        <v>22</v>
      </c>
      <c r="D209" s="21" t="s">
        <v>461</v>
      </c>
      <c r="E209" s="21" t="s">
        <v>493</v>
      </c>
      <c r="F209" s="21" t="s">
        <v>494</v>
      </c>
      <c r="G209" s="23">
        <v>45310</v>
      </c>
      <c r="H209" s="23">
        <v>45314</v>
      </c>
      <c r="I209" s="21" t="s">
        <v>56</v>
      </c>
      <c r="J209" s="21" t="s">
        <v>13</v>
      </c>
      <c r="K209" s="24" t="s">
        <v>18</v>
      </c>
      <c r="L209" s="23">
        <v>45310</v>
      </c>
      <c r="M209" s="23">
        <v>45314</v>
      </c>
      <c r="N209" s="25">
        <f t="shared" si="8"/>
        <v>4</v>
      </c>
      <c r="O209" s="26"/>
      <c r="P209" t="s">
        <v>88</v>
      </c>
      <c r="Q209" t="s">
        <v>88</v>
      </c>
      <c r="R209" t="s">
        <v>88</v>
      </c>
      <c r="S209" t="s">
        <v>88</v>
      </c>
      <c r="T209" t="s">
        <v>88</v>
      </c>
      <c r="U209" t="s">
        <v>20</v>
      </c>
    </row>
    <row r="210" spans="1:21" x14ac:dyDescent="0.45">
      <c r="A210" s="29" t="s">
        <v>495</v>
      </c>
      <c r="B210" s="21" t="str">
        <f t="shared" si="11"/>
        <v>7.273.551-k</v>
      </c>
      <c r="C210" s="22" t="s">
        <v>22</v>
      </c>
      <c r="D210" s="21" t="s">
        <v>496</v>
      </c>
      <c r="E210" s="21" t="s">
        <v>497</v>
      </c>
      <c r="F210" s="21" t="s">
        <v>475</v>
      </c>
      <c r="G210" s="23">
        <v>45309</v>
      </c>
      <c r="H210" s="23">
        <v>45324</v>
      </c>
      <c r="I210" s="21" t="s">
        <v>54</v>
      </c>
      <c r="J210" s="21" t="s">
        <v>22</v>
      </c>
      <c r="K210" s="24" t="s">
        <v>43</v>
      </c>
      <c r="L210" s="23">
        <v>45309</v>
      </c>
      <c r="M210" s="23">
        <v>45324</v>
      </c>
      <c r="N210" s="30">
        <f t="shared" si="8"/>
        <v>15</v>
      </c>
      <c r="O210" s="26"/>
      <c r="P210" t="s">
        <v>88</v>
      </c>
      <c r="Q210" t="s">
        <v>88</v>
      </c>
      <c r="R210" t="s">
        <v>88</v>
      </c>
      <c r="S210" t="s">
        <v>88</v>
      </c>
      <c r="T210" t="s">
        <v>88</v>
      </c>
      <c r="U210" t="s">
        <v>20</v>
      </c>
    </row>
    <row r="211" spans="1:21" x14ac:dyDescent="0.45">
      <c r="A211" s="29" t="s">
        <v>495</v>
      </c>
      <c r="B211" s="21" t="str">
        <f t="shared" si="11"/>
        <v>7.273.551-k</v>
      </c>
      <c r="C211" s="22" t="str">
        <f>IF(IFERROR(VLOOKUP(A211,$A$9:$I210,1,0),0)=0,"",VLOOKUP(A211,$A$9:$I210,3,0))</f>
        <v>UCI</v>
      </c>
      <c r="D211" s="21" t="str">
        <f>IF(IFERROR(VLOOKUP(A211,$A$9:$I210,1,0),0)=0,"",VLOOKUP(A211,$A$9:$I210,4,0))</f>
        <v>ACUÑA</v>
      </c>
      <c r="E211" s="21" t="str">
        <f>IF(IFERROR(VLOOKUP(A211,$A$9:$I210,1,0),0)=0,"",VLOOKUP(A211,$A$9:$I210,5,0))</f>
        <v>OLATE</v>
      </c>
      <c r="F211" s="21" t="str">
        <f>IF(IFERROR(VLOOKUP(A211,$A$9:$I210,1,0),0)=0,"",VLOOKUP(A211,$A$9:$I210,6,0))</f>
        <v>ROSA</v>
      </c>
      <c r="G211" s="23">
        <f>IF(IFERROR(VLOOKUP(A211,$A$9:$I210,1,0),0)=0,"",VLOOKUP(A211,$A$9:$I210,7,0))</f>
        <v>45309</v>
      </c>
      <c r="H211" s="23">
        <v>45324</v>
      </c>
      <c r="I211" s="21" t="s">
        <v>54</v>
      </c>
      <c r="J211" s="21" t="s">
        <v>22</v>
      </c>
      <c r="K211" s="24" t="s">
        <v>47</v>
      </c>
      <c r="L211" s="23">
        <v>45309</v>
      </c>
      <c r="M211" s="23">
        <v>45324</v>
      </c>
      <c r="N211" s="30">
        <f t="shared" si="8"/>
        <v>15</v>
      </c>
      <c r="O211" s="26"/>
      <c r="P211" t="s">
        <v>88</v>
      </c>
      <c r="Q211" t="s">
        <v>88</v>
      </c>
      <c r="R211" t="s">
        <v>88</v>
      </c>
      <c r="S211" t="s">
        <v>88</v>
      </c>
      <c r="T211" t="s">
        <v>88</v>
      </c>
      <c r="U211" t="s">
        <v>20</v>
      </c>
    </row>
    <row r="212" spans="1:21" x14ac:dyDescent="0.45">
      <c r="A212" s="20">
        <v>62827033</v>
      </c>
      <c r="B212" s="21" t="str">
        <f t="shared" si="11"/>
        <v>6.282.703-3</v>
      </c>
      <c r="C212" s="22" t="s">
        <v>22</v>
      </c>
      <c r="D212" s="21" t="s">
        <v>498</v>
      </c>
      <c r="E212" s="21" t="s">
        <v>499</v>
      </c>
      <c r="F212" s="21" t="s">
        <v>250</v>
      </c>
      <c r="G212" s="23">
        <v>45314</v>
      </c>
      <c r="H212" s="23">
        <v>45316</v>
      </c>
      <c r="I212" s="21" t="s">
        <v>24</v>
      </c>
      <c r="J212" s="21" t="s">
        <v>22</v>
      </c>
      <c r="K212" s="24" t="s">
        <v>43</v>
      </c>
      <c r="L212" s="23">
        <v>45314</v>
      </c>
      <c r="M212" s="23">
        <v>45316</v>
      </c>
      <c r="N212" s="25">
        <f t="shared" si="8"/>
        <v>2</v>
      </c>
      <c r="O212" s="26"/>
      <c r="P212" t="s">
        <v>88</v>
      </c>
      <c r="Q212" t="s">
        <v>88</v>
      </c>
      <c r="R212" t="s">
        <v>88</v>
      </c>
      <c r="S212" t="s">
        <v>88</v>
      </c>
      <c r="T212" t="s">
        <v>88</v>
      </c>
      <c r="U212" t="s">
        <v>20</v>
      </c>
    </row>
    <row r="213" spans="1:21" x14ac:dyDescent="0.45">
      <c r="A213" s="20">
        <v>62827033</v>
      </c>
      <c r="B213" s="21" t="str">
        <f t="shared" si="11"/>
        <v>6.282.703-3</v>
      </c>
      <c r="C213" s="22" t="str">
        <f>IF(IFERROR(VLOOKUP(A213,$A$9:$I212,1,0),0)=0,"",VLOOKUP(A213,$A$9:$I212,3,0))</f>
        <v>UCI</v>
      </c>
      <c r="D213" s="21" t="str">
        <f>IF(IFERROR(VLOOKUP(A213,$A$9:$I212,1,0),0)=0,"",VLOOKUP(A213,$A$9:$I212,4,0))</f>
        <v>TOLEDO</v>
      </c>
      <c r="E213" s="21" t="str">
        <f>IF(IFERROR(VLOOKUP(A213,$A$9:$I212,1,0),0)=0,"",VLOOKUP(A213,$A$9:$I212,5,0))</f>
        <v>LOCONADO</v>
      </c>
      <c r="F213" s="21" t="str">
        <f>IF(IFERROR(VLOOKUP(A213,$A$9:$I212,1,0),0)=0,"",VLOOKUP(A213,$A$9:$I212,6,0))</f>
        <v>JOSE</v>
      </c>
      <c r="G213" s="23">
        <f>IF(IFERROR(VLOOKUP(A213,$A$9:$I212,1,0),0)=0,"",VLOOKUP(A213,$A$9:$I212,7,0))</f>
        <v>45314</v>
      </c>
      <c r="H213" s="23">
        <v>45316</v>
      </c>
      <c r="I213" s="21" t="s">
        <v>24</v>
      </c>
      <c r="J213" s="21" t="s">
        <v>22</v>
      </c>
      <c r="K213" s="24" t="s">
        <v>47</v>
      </c>
      <c r="L213" s="23">
        <v>45314</v>
      </c>
      <c r="M213" s="23">
        <v>45316</v>
      </c>
      <c r="N213" s="25">
        <f t="shared" si="8"/>
        <v>2</v>
      </c>
      <c r="O213" s="26"/>
      <c r="P213" t="s">
        <v>88</v>
      </c>
      <c r="Q213" t="s">
        <v>88</v>
      </c>
      <c r="R213" t="s">
        <v>88</v>
      </c>
      <c r="S213" t="s">
        <v>88</v>
      </c>
      <c r="T213" t="s">
        <v>88</v>
      </c>
      <c r="U213" t="s">
        <v>20</v>
      </c>
    </row>
    <row r="214" spans="1:21" x14ac:dyDescent="0.45">
      <c r="A214" s="20">
        <v>168956819</v>
      </c>
      <c r="B214" s="21" t="str">
        <f t="shared" si="11"/>
        <v>16.895.681-9</v>
      </c>
      <c r="C214" s="22" t="s">
        <v>22</v>
      </c>
      <c r="D214" s="21" t="s">
        <v>500</v>
      </c>
      <c r="E214" s="21" t="s">
        <v>501</v>
      </c>
      <c r="F214" s="21" t="s">
        <v>502</v>
      </c>
      <c r="G214" s="23">
        <v>45313</v>
      </c>
      <c r="H214" s="23">
        <v>45316</v>
      </c>
      <c r="I214" s="21" t="s">
        <v>22</v>
      </c>
      <c r="J214" s="21" t="s">
        <v>66</v>
      </c>
      <c r="K214" s="24" t="s">
        <v>43</v>
      </c>
      <c r="L214" s="23">
        <v>45313</v>
      </c>
      <c r="M214" s="23">
        <v>45316</v>
      </c>
      <c r="N214" s="25">
        <f t="shared" si="8"/>
        <v>3</v>
      </c>
      <c r="O214" s="26"/>
      <c r="P214" t="s">
        <v>88</v>
      </c>
      <c r="Q214" t="s">
        <v>88</v>
      </c>
      <c r="R214" t="s">
        <v>88</v>
      </c>
      <c r="S214" t="s">
        <v>88</v>
      </c>
      <c r="T214" t="s">
        <v>88</v>
      </c>
      <c r="U214" t="s">
        <v>20</v>
      </c>
    </row>
    <row r="215" spans="1:21" x14ac:dyDescent="0.45">
      <c r="A215" s="20">
        <v>168956819</v>
      </c>
      <c r="B215" s="21" t="str">
        <f t="shared" si="11"/>
        <v>16.895.681-9</v>
      </c>
      <c r="C215" s="22" t="str">
        <f>IF(IFERROR(VLOOKUP(A215,$A$9:$I214,1,0),0)=0,"",VLOOKUP(A215,$A$9:$I214,3,0))</f>
        <v>UCI</v>
      </c>
      <c r="D215" s="21" t="str">
        <f>IF(IFERROR(VLOOKUP(A215,$A$9:$I214,1,0),0)=0,"",VLOOKUP(A215,$A$9:$I214,4,0))</f>
        <v>ARCE</v>
      </c>
      <c r="E215" s="21" t="str">
        <f>IF(IFERROR(VLOOKUP(A215,$A$9:$I214,1,0),0)=0,"",VLOOKUP(A215,$A$9:$I214,5,0))</f>
        <v>REYES</v>
      </c>
      <c r="F215" s="21" t="str">
        <f>IF(IFERROR(VLOOKUP(A215,$A$9:$I214,1,0),0)=0,"",VLOOKUP(A215,$A$9:$I214,6,0))</f>
        <v>RUBEN</v>
      </c>
      <c r="G215" s="23">
        <f>IF(IFERROR(VLOOKUP(A215,$A$9:$I214,1,0),0)=0,"",VLOOKUP(A215,$A$9:$I214,7,0))</f>
        <v>45313</v>
      </c>
      <c r="H215" s="23">
        <v>45316</v>
      </c>
      <c r="I215" s="21" t="s">
        <v>22</v>
      </c>
      <c r="J215" s="21" t="s">
        <v>66</v>
      </c>
      <c r="K215" s="24" t="s">
        <v>47</v>
      </c>
      <c r="L215" s="23">
        <v>45313</v>
      </c>
      <c r="M215" s="23">
        <v>45316</v>
      </c>
      <c r="N215" s="25">
        <f t="shared" si="8"/>
        <v>3</v>
      </c>
      <c r="O215" s="26"/>
      <c r="P215" t="s">
        <v>88</v>
      </c>
      <c r="Q215" t="s">
        <v>88</v>
      </c>
      <c r="R215" t="s">
        <v>88</v>
      </c>
      <c r="S215" t="s">
        <v>88</v>
      </c>
      <c r="T215" t="s">
        <v>88</v>
      </c>
      <c r="U215" t="s">
        <v>20</v>
      </c>
    </row>
    <row r="216" spans="1:21" x14ac:dyDescent="0.45">
      <c r="A216" s="20">
        <v>121816156</v>
      </c>
      <c r="B216" s="21" t="str">
        <f t="shared" si="11"/>
        <v>12.181.615-6</v>
      </c>
      <c r="C216" s="22" t="s">
        <v>22</v>
      </c>
      <c r="D216" s="21" t="s">
        <v>384</v>
      </c>
      <c r="E216" s="21" t="s">
        <v>503</v>
      </c>
      <c r="F216" s="21" t="s">
        <v>504</v>
      </c>
      <c r="G216" s="23">
        <v>44949</v>
      </c>
      <c r="H216" s="23">
        <v>45322</v>
      </c>
      <c r="I216" s="21" t="s">
        <v>22</v>
      </c>
      <c r="J216" s="21" t="s">
        <v>26</v>
      </c>
      <c r="K216" s="24" t="s">
        <v>43</v>
      </c>
      <c r="L216" s="23">
        <v>45314</v>
      </c>
      <c r="M216" s="23">
        <v>45322</v>
      </c>
      <c r="N216" s="25">
        <f t="shared" ref="N216:N271" si="12">+M216-L216</f>
        <v>8</v>
      </c>
      <c r="O216" s="26"/>
      <c r="P216" t="s">
        <v>88</v>
      </c>
      <c r="Q216" t="s">
        <v>88</v>
      </c>
      <c r="R216" t="s">
        <v>88</v>
      </c>
      <c r="S216" t="s">
        <v>88</v>
      </c>
      <c r="T216" t="s">
        <v>88</v>
      </c>
      <c r="U216" t="s">
        <v>20</v>
      </c>
    </row>
    <row r="217" spans="1:21" x14ac:dyDescent="0.45">
      <c r="A217" s="20">
        <v>121816156</v>
      </c>
      <c r="B217" s="21" t="str">
        <f t="shared" si="11"/>
        <v>12.181.615-6</v>
      </c>
      <c r="C217" s="22" t="str">
        <f>IF(IFERROR(VLOOKUP(A217,$A$9:$I216,1,0),0)=0,"",VLOOKUP(A217,$A$9:$I216,3,0))</f>
        <v>UCI</v>
      </c>
      <c r="D217" s="21" t="str">
        <f>IF(IFERROR(VLOOKUP(A217,$A$9:$I216,1,0),0)=0,"",VLOOKUP(A217,$A$9:$I216,4,0))</f>
        <v>MUÑOZ</v>
      </c>
      <c r="E217" s="21" t="str">
        <f>IF(IFERROR(VLOOKUP(A217,$A$9:$I216,1,0),0)=0,"",VLOOKUP(A217,$A$9:$I216,5,0))</f>
        <v>CEA</v>
      </c>
      <c r="F217" s="21" t="str">
        <f>IF(IFERROR(VLOOKUP(A217,$A$9:$I216,1,0),0)=0,"",VLOOKUP(A217,$A$9:$I216,6,0))</f>
        <v>PATRICIA</v>
      </c>
      <c r="G217" s="23">
        <f>IF(IFERROR(VLOOKUP(A217,$A$9:$I216,1,0),0)=0,"",VLOOKUP(A217,$A$9:$I216,7,0))</f>
        <v>44949</v>
      </c>
      <c r="H217" s="23">
        <v>45322</v>
      </c>
      <c r="I217" s="21" t="s">
        <v>22</v>
      </c>
      <c r="J217" s="21" t="s">
        <v>26</v>
      </c>
      <c r="K217" s="24" t="s">
        <v>47</v>
      </c>
      <c r="L217" s="23">
        <v>45314</v>
      </c>
      <c r="M217" s="23">
        <v>45322</v>
      </c>
      <c r="N217" s="25">
        <f t="shared" si="12"/>
        <v>8</v>
      </c>
      <c r="O217" s="26"/>
      <c r="P217" t="s">
        <v>88</v>
      </c>
      <c r="Q217" t="s">
        <v>88</v>
      </c>
      <c r="R217" t="s">
        <v>88</v>
      </c>
      <c r="S217" t="s">
        <v>88</v>
      </c>
      <c r="T217" t="s">
        <v>88</v>
      </c>
      <c r="U217" t="s">
        <v>20</v>
      </c>
    </row>
    <row r="218" spans="1:21" x14ac:dyDescent="0.45">
      <c r="A218" s="20">
        <v>121816156</v>
      </c>
      <c r="B218" s="21" t="str">
        <f t="shared" si="11"/>
        <v>12.181.615-6</v>
      </c>
      <c r="C218" s="22" t="str">
        <f>IF(IFERROR(VLOOKUP(A218,$A$9:$I217,1,0),0)=0,"",VLOOKUP(A218,$A$9:$I217,3,0))</f>
        <v>UCI</v>
      </c>
      <c r="D218" s="21" t="str">
        <f>IF(IFERROR(VLOOKUP(A218,$A$9:$I217,1,0),0)=0,"",VLOOKUP(A218,$A$9:$I217,4,0))</f>
        <v>MUÑOZ</v>
      </c>
      <c r="E218" s="21" t="str">
        <f>IF(IFERROR(VLOOKUP(A218,$A$9:$I217,1,0),0)=0,"",VLOOKUP(A218,$A$9:$I217,5,0))</f>
        <v>CEA</v>
      </c>
      <c r="F218" s="21" t="str">
        <f>IF(IFERROR(VLOOKUP(A218,$A$9:$I217,1,0),0)=0,"",VLOOKUP(A218,$A$9:$I217,6,0))</f>
        <v>PATRICIA</v>
      </c>
      <c r="G218" s="23">
        <f>IF(IFERROR(VLOOKUP(A218,$A$9:$I217,1,0),0)=0,"",VLOOKUP(A218,$A$9:$I217,7,0))</f>
        <v>44949</v>
      </c>
      <c r="H218" s="23">
        <v>45322</v>
      </c>
      <c r="I218" s="21" t="s">
        <v>22</v>
      </c>
      <c r="J218" s="21" t="s">
        <v>26</v>
      </c>
      <c r="K218" s="24" t="s">
        <v>55</v>
      </c>
      <c r="L218" s="23">
        <v>45314</v>
      </c>
      <c r="M218" s="23">
        <v>45322</v>
      </c>
      <c r="N218" s="25">
        <f t="shared" si="12"/>
        <v>8</v>
      </c>
      <c r="O218" s="26"/>
      <c r="P218" t="s">
        <v>88</v>
      </c>
      <c r="Q218" t="s">
        <v>88</v>
      </c>
      <c r="R218" t="s">
        <v>88</v>
      </c>
      <c r="S218" t="s">
        <v>88</v>
      </c>
      <c r="T218" t="s">
        <v>88</v>
      </c>
      <c r="U218" t="s">
        <v>20</v>
      </c>
    </row>
    <row r="219" spans="1:21" x14ac:dyDescent="0.45">
      <c r="A219" s="20" t="s">
        <v>505</v>
      </c>
      <c r="B219" s="21" t="str">
        <f t="shared" si="11"/>
        <v>7.213.852-K</v>
      </c>
      <c r="C219" s="22" t="s">
        <v>22</v>
      </c>
      <c r="D219" s="21" t="s">
        <v>299</v>
      </c>
      <c r="E219" s="21" t="s">
        <v>384</v>
      </c>
      <c r="F219" s="21" t="s">
        <v>506</v>
      </c>
      <c r="G219" s="23">
        <v>45038</v>
      </c>
      <c r="H219" s="23">
        <v>45317</v>
      </c>
      <c r="I219" s="21" t="s">
        <v>22</v>
      </c>
      <c r="J219" s="21" t="s">
        <v>13</v>
      </c>
      <c r="K219" s="24" t="s">
        <v>43</v>
      </c>
      <c r="L219" s="23">
        <v>45292</v>
      </c>
      <c r="M219" s="23">
        <v>45317</v>
      </c>
      <c r="N219" s="25">
        <f t="shared" si="12"/>
        <v>25</v>
      </c>
      <c r="O219" s="26"/>
      <c r="P219" t="s">
        <v>88</v>
      </c>
      <c r="Q219" t="s">
        <v>88</v>
      </c>
      <c r="R219" t="s">
        <v>88</v>
      </c>
      <c r="S219" t="s">
        <v>88</v>
      </c>
      <c r="T219" t="s">
        <v>88</v>
      </c>
      <c r="U219" t="s">
        <v>20</v>
      </c>
    </row>
    <row r="220" spans="1:21" x14ac:dyDescent="0.45">
      <c r="A220" s="20" t="s">
        <v>505</v>
      </c>
      <c r="B220" s="21" t="str">
        <f t="shared" si="11"/>
        <v>7.213.852-K</v>
      </c>
      <c r="C220" s="22" t="str">
        <f>IF(IFERROR(VLOOKUP(A220,$A$9:$I219,1,0),0)=0,"",VLOOKUP(A220,$A$9:$I219,3,0))</f>
        <v>UCI</v>
      </c>
      <c r="D220" s="21" t="str">
        <f>IF(IFERROR(VLOOKUP(A220,$A$9:$I219,1,0),0)=0,"",VLOOKUP(A220,$A$9:$I219,4,0))</f>
        <v>HENRIQUEZ</v>
      </c>
      <c r="E220" s="21" t="str">
        <f>IF(IFERROR(VLOOKUP(A220,$A$9:$I219,1,0),0)=0,"",VLOOKUP(A220,$A$9:$I219,5,0))</f>
        <v>MUÑOZ</v>
      </c>
      <c r="F220" s="21" t="str">
        <f>IF(IFERROR(VLOOKUP(A220,$A$9:$I219,1,0),0)=0,"",VLOOKUP(A220,$A$9:$I219,6,0))</f>
        <v>RICARDO</v>
      </c>
      <c r="G220" s="23">
        <f>IF(IFERROR(VLOOKUP(A220,$A$9:$I219,1,0),0)=0,"",VLOOKUP(A220,$A$9:$I219,7,0))</f>
        <v>45038</v>
      </c>
      <c r="H220" s="23">
        <v>45317</v>
      </c>
      <c r="I220" s="21" t="s">
        <v>22</v>
      </c>
      <c r="J220" s="21" t="s">
        <v>13</v>
      </c>
      <c r="K220" s="24" t="s">
        <v>47</v>
      </c>
      <c r="L220" s="23">
        <v>45404</v>
      </c>
      <c r="M220" s="23">
        <v>45317</v>
      </c>
      <c r="N220" s="25">
        <f t="shared" si="12"/>
        <v>-87</v>
      </c>
      <c r="O220" s="26"/>
      <c r="P220" t="s">
        <v>88</v>
      </c>
      <c r="Q220" t="s">
        <v>88</v>
      </c>
      <c r="R220" t="s">
        <v>88</v>
      </c>
      <c r="S220" t="s">
        <v>88</v>
      </c>
      <c r="T220" t="s">
        <v>88</v>
      </c>
      <c r="U220" t="s">
        <v>20</v>
      </c>
    </row>
    <row r="221" spans="1:21" x14ac:dyDescent="0.45">
      <c r="A221" s="20">
        <v>195084106</v>
      </c>
      <c r="B221" s="21" t="str">
        <f t="shared" si="11"/>
        <v>19.508.410-6</v>
      </c>
      <c r="C221" s="22" t="s">
        <v>22</v>
      </c>
      <c r="D221" s="21" t="str">
        <f>IF(IFERROR(VLOOKUP(A221,$A$9:$I220,1,0),0)=0,"",VLOOKUP(A221,$A$9:$I220,4,0))</f>
        <v>GODOY</v>
      </c>
      <c r="E221" s="21" t="str">
        <f>IF(IFERROR(VLOOKUP(A221,$A$9:$I220,1,0),0)=0,"",VLOOKUP(A221,$A$9:$I220,5,0))</f>
        <v>MOLINA</v>
      </c>
      <c r="F221" s="21" t="str">
        <f>IF(IFERROR(VLOOKUP(A221,$A$9:$I220,1,0),0)=0,"",VLOOKUP(A221,$A$9:$I220,6,0))</f>
        <v>CLAUDIA</v>
      </c>
      <c r="G221" s="23">
        <v>45307</v>
      </c>
      <c r="H221" s="23">
        <v>45318</v>
      </c>
      <c r="I221" s="21" t="s">
        <v>22</v>
      </c>
      <c r="J221" s="21" t="s">
        <v>13</v>
      </c>
      <c r="K221" s="24" t="s">
        <v>43</v>
      </c>
      <c r="L221" s="23">
        <v>45307</v>
      </c>
      <c r="M221" s="23">
        <v>45314</v>
      </c>
      <c r="N221" s="25">
        <f t="shared" si="12"/>
        <v>7</v>
      </c>
      <c r="O221" s="26"/>
      <c r="P221" t="s">
        <v>88</v>
      </c>
      <c r="Q221" t="s">
        <v>88</v>
      </c>
      <c r="R221" t="s">
        <v>88</v>
      </c>
      <c r="S221" t="s">
        <v>88</v>
      </c>
      <c r="T221" t="s">
        <v>88</v>
      </c>
      <c r="U221" t="s">
        <v>20</v>
      </c>
    </row>
    <row r="222" spans="1:21" x14ac:dyDescent="0.45">
      <c r="A222" s="20">
        <v>68243777</v>
      </c>
      <c r="B222" s="21" t="str">
        <f t="shared" si="11"/>
        <v>6.824.377-7</v>
      </c>
      <c r="C222" s="22" t="s">
        <v>22</v>
      </c>
      <c r="D222" s="21" t="s">
        <v>498</v>
      </c>
      <c r="E222" s="21" t="s">
        <v>507</v>
      </c>
      <c r="F222" s="21" t="s">
        <v>508</v>
      </c>
      <c r="G222" s="23">
        <v>45312</v>
      </c>
      <c r="H222" s="23">
        <v>45316</v>
      </c>
      <c r="I222" s="21" t="s">
        <v>22</v>
      </c>
      <c r="J222" s="21" t="s">
        <v>24</v>
      </c>
      <c r="K222" s="24" t="s">
        <v>43</v>
      </c>
      <c r="L222" s="23">
        <v>45312</v>
      </c>
      <c r="M222" s="36">
        <v>45316</v>
      </c>
      <c r="N222" s="25">
        <f t="shared" si="12"/>
        <v>4</v>
      </c>
      <c r="O222" s="26"/>
      <c r="P222" t="s">
        <v>88</v>
      </c>
      <c r="Q222" t="s">
        <v>88</v>
      </c>
      <c r="R222" t="s">
        <v>88</v>
      </c>
      <c r="S222" t="s">
        <v>88</v>
      </c>
      <c r="T222" t="s">
        <v>88</v>
      </c>
      <c r="U222" t="s">
        <v>20</v>
      </c>
    </row>
    <row r="223" spans="1:21" x14ac:dyDescent="0.45">
      <c r="A223" s="20">
        <v>68243777</v>
      </c>
      <c r="B223" s="21" t="str">
        <f t="shared" si="11"/>
        <v>6.824.377-7</v>
      </c>
      <c r="C223" s="22" t="str">
        <f>IF(IFERROR(VLOOKUP(A223,$A$9:$I222,1,0),0)=0,"",VLOOKUP(A223,$A$9:$I222,3,0))</f>
        <v>UCI</v>
      </c>
      <c r="D223" s="21" t="str">
        <f>IF(IFERROR(VLOOKUP(A223,$A$9:$I222,1,0),0)=0,"",VLOOKUP(A223,$A$9:$I222,4,0))</f>
        <v>TOLEDO</v>
      </c>
      <c r="E223" s="21" t="str">
        <f>IF(IFERROR(VLOOKUP(A223,$A$9:$I222,1,0),0)=0,"",VLOOKUP(A223,$A$9:$I222,5,0))</f>
        <v>CAMPOS</v>
      </c>
      <c r="F223" s="21" t="str">
        <f>IF(IFERROR(VLOOKUP(A223,$A$9:$I222,1,0),0)=0,"",VLOOKUP(A223,$A$9:$I222,6,0))</f>
        <v>HUGO</v>
      </c>
      <c r="G223" s="23">
        <f>IF(IFERROR(VLOOKUP(A223,$A$9:$I222,1,0),0)=0,"",VLOOKUP(A223,$A$9:$I222,7,0))</f>
        <v>45312</v>
      </c>
      <c r="H223" s="23">
        <v>45316</v>
      </c>
      <c r="I223" s="21" t="s">
        <v>22</v>
      </c>
      <c r="J223" s="21" t="s">
        <v>24</v>
      </c>
      <c r="K223" s="24" t="s">
        <v>47</v>
      </c>
      <c r="L223" s="23">
        <v>45312</v>
      </c>
      <c r="M223" s="23">
        <v>45314</v>
      </c>
      <c r="N223" s="25">
        <f t="shared" si="12"/>
        <v>2</v>
      </c>
      <c r="O223" s="26"/>
      <c r="P223" t="s">
        <v>88</v>
      </c>
      <c r="Q223" t="s">
        <v>88</v>
      </c>
      <c r="R223" t="s">
        <v>88</v>
      </c>
      <c r="S223" t="s">
        <v>88</v>
      </c>
      <c r="T223" t="s">
        <v>88</v>
      </c>
      <c r="U223" t="s">
        <v>20</v>
      </c>
    </row>
    <row r="224" spans="1:21" x14ac:dyDescent="0.45">
      <c r="A224" s="20" t="s">
        <v>509</v>
      </c>
      <c r="B224" s="21" t="str">
        <f t="shared" si="11"/>
        <v>17.213.985-K</v>
      </c>
      <c r="C224" s="22" t="s">
        <v>22</v>
      </c>
      <c r="D224" s="21" t="s">
        <v>510</v>
      </c>
      <c r="E224" s="21" t="s">
        <v>391</v>
      </c>
      <c r="F224" s="21" t="s">
        <v>511</v>
      </c>
      <c r="G224" s="23">
        <v>45313</v>
      </c>
      <c r="H224" s="23">
        <v>45315</v>
      </c>
      <c r="I224" s="21" t="s">
        <v>22</v>
      </c>
      <c r="J224" s="21" t="s">
        <v>24</v>
      </c>
      <c r="K224" s="24" t="s">
        <v>43</v>
      </c>
      <c r="L224" s="23">
        <v>45313</v>
      </c>
      <c r="M224" s="23">
        <v>45315</v>
      </c>
      <c r="N224" s="25">
        <f t="shared" si="12"/>
        <v>2</v>
      </c>
      <c r="O224" s="26"/>
      <c r="P224" t="s">
        <v>88</v>
      </c>
      <c r="Q224" t="s">
        <v>88</v>
      </c>
      <c r="R224" t="s">
        <v>88</v>
      </c>
      <c r="S224" t="s">
        <v>88</v>
      </c>
      <c r="T224" t="s">
        <v>88</v>
      </c>
      <c r="U224" t="s">
        <v>20</v>
      </c>
    </row>
    <row r="225" spans="1:21" x14ac:dyDescent="0.45">
      <c r="A225" s="20" t="s">
        <v>509</v>
      </c>
      <c r="B225" s="21" t="str">
        <f t="shared" si="11"/>
        <v>17.213.985-K</v>
      </c>
      <c r="C225" s="22" t="str">
        <f>IF(IFERROR(VLOOKUP(A225,$A$9:$I224,1,0),0)=0,"",VLOOKUP(A225,$A$9:$I224,3,0))</f>
        <v>UCI</v>
      </c>
      <c r="D225" s="21" t="str">
        <f>IF(IFERROR(VLOOKUP(A225,$A$9:$I224,1,0),0)=0,"",VLOOKUP(A225,$A$9:$I224,4,0))</f>
        <v>RUBIERA</v>
      </c>
      <c r="E225" s="21" t="str">
        <f>IF(IFERROR(VLOOKUP(A225,$A$9:$I224,1,0),0)=0,"",VLOOKUP(A225,$A$9:$I224,5,0))</f>
        <v>CONCHA</v>
      </c>
      <c r="F225" s="21" t="str">
        <f>IF(IFERROR(VLOOKUP(A225,$A$9:$I224,1,0),0)=0,"",VLOOKUP(A225,$A$9:$I224,6,0))</f>
        <v>FRANCO</v>
      </c>
      <c r="G225" s="23">
        <f>IF(IFERROR(VLOOKUP(A225,$A$9:$I224,1,0),0)=0,"",VLOOKUP(A225,$A$9:$I224,7,0))</f>
        <v>45313</v>
      </c>
      <c r="H225" s="23">
        <v>45315</v>
      </c>
      <c r="I225" s="21" t="s">
        <v>22</v>
      </c>
      <c r="J225" s="21" t="s">
        <v>24</v>
      </c>
      <c r="K225" s="24" t="s">
        <v>47</v>
      </c>
      <c r="L225" s="23">
        <v>45313</v>
      </c>
      <c r="M225" s="23">
        <v>45315</v>
      </c>
      <c r="N225" s="25">
        <f t="shared" si="12"/>
        <v>2</v>
      </c>
      <c r="O225" s="26"/>
      <c r="P225" t="s">
        <v>88</v>
      </c>
      <c r="Q225" t="s">
        <v>88</v>
      </c>
      <c r="R225" t="s">
        <v>88</v>
      </c>
      <c r="S225" t="s">
        <v>88</v>
      </c>
      <c r="T225" t="s">
        <v>88</v>
      </c>
      <c r="U225" t="s">
        <v>20</v>
      </c>
    </row>
    <row r="226" spans="1:21" x14ac:dyDescent="0.45">
      <c r="A226" s="20">
        <v>195332916</v>
      </c>
      <c r="B226" s="21" t="str">
        <f t="shared" si="11"/>
        <v>19.533.291-6</v>
      </c>
      <c r="C226" s="22" t="s">
        <v>22</v>
      </c>
      <c r="D226" s="21" t="s">
        <v>512</v>
      </c>
      <c r="E226" s="21" t="s">
        <v>252</v>
      </c>
      <c r="F226" s="21" t="s">
        <v>513</v>
      </c>
      <c r="G226" s="23">
        <v>45310</v>
      </c>
      <c r="H226" s="23">
        <v>45314</v>
      </c>
      <c r="I226" s="21" t="s">
        <v>56</v>
      </c>
      <c r="J226" s="21" t="s">
        <v>22</v>
      </c>
      <c r="K226" s="24" t="s">
        <v>47</v>
      </c>
      <c r="L226" s="23">
        <v>45312</v>
      </c>
      <c r="M226" s="23">
        <v>45314</v>
      </c>
      <c r="N226" s="25">
        <f t="shared" si="12"/>
        <v>2</v>
      </c>
      <c r="O226" s="26"/>
      <c r="P226" t="s">
        <v>88</v>
      </c>
      <c r="Q226" t="s">
        <v>88</v>
      </c>
      <c r="R226" t="s">
        <v>88</v>
      </c>
      <c r="S226" t="s">
        <v>88</v>
      </c>
      <c r="T226" t="s">
        <v>88</v>
      </c>
      <c r="U226" t="s">
        <v>20</v>
      </c>
    </row>
    <row r="227" spans="1:21" x14ac:dyDescent="0.45">
      <c r="A227" s="20">
        <v>156474630</v>
      </c>
      <c r="B227" s="21" t="str">
        <f t="shared" si="11"/>
        <v>15.647.463-0</v>
      </c>
      <c r="C227" s="22" t="s">
        <v>22</v>
      </c>
      <c r="D227" s="21" t="s">
        <v>514</v>
      </c>
      <c r="E227" s="21" t="s">
        <v>514</v>
      </c>
      <c r="F227" s="21" t="s">
        <v>515</v>
      </c>
      <c r="G227" s="23">
        <v>45315</v>
      </c>
      <c r="H227" s="23">
        <v>45321</v>
      </c>
      <c r="I227" s="21" t="s">
        <v>22</v>
      </c>
      <c r="J227" s="21" t="s">
        <v>13</v>
      </c>
      <c r="K227" s="24" t="s">
        <v>43</v>
      </c>
      <c r="L227" s="23">
        <v>45315</v>
      </c>
      <c r="M227" s="23">
        <v>45321</v>
      </c>
      <c r="N227" s="25">
        <f t="shared" si="12"/>
        <v>6</v>
      </c>
      <c r="O227" s="26"/>
      <c r="P227" t="s">
        <v>88</v>
      </c>
      <c r="Q227" t="s">
        <v>88</v>
      </c>
      <c r="R227" t="s">
        <v>88</v>
      </c>
      <c r="S227" t="s">
        <v>88</v>
      </c>
      <c r="T227" t="s">
        <v>88</v>
      </c>
      <c r="U227" t="s">
        <v>20</v>
      </c>
    </row>
    <row r="228" spans="1:21" x14ac:dyDescent="0.45">
      <c r="A228" s="20">
        <v>156474630</v>
      </c>
      <c r="B228" s="21" t="str">
        <f t="shared" si="11"/>
        <v>15.647.463-0</v>
      </c>
      <c r="C228" s="22" t="str">
        <f>IF(IFERROR(VLOOKUP(A228,$A$9:$I227,1,0),0)=0,"",VLOOKUP(A228,$A$9:$I227,3,0))</f>
        <v>UCI</v>
      </c>
      <c r="D228" s="21" t="str">
        <f>IF(IFERROR(VLOOKUP(A228,$A$9:$I227,1,0),0)=0,"",VLOOKUP(A228,$A$9:$I227,4,0))</f>
        <v>ZAMORANO</v>
      </c>
      <c r="E228" s="21" t="str">
        <f>IF(IFERROR(VLOOKUP(A228,$A$9:$I227,1,0),0)=0,"",VLOOKUP(A228,$A$9:$I227,5,0))</f>
        <v>ZAMORANO</v>
      </c>
      <c r="F228" s="21" t="str">
        <f>IF(IFERROR(VLOOKUP(A228,$A$9:$I227,1,0),0)=0,"",VLOOKUP(A228,$A$9:$I227,6,0))</f>
        <v>CESAR</v>
      </c>
      <c r="G228" s="23">
        <f>IF(IFERROR(VLOOKUP(A228,$A$9:$I227,1,0),0)=0,"",VLOOKUP(A228,$A$9:$I227,7,0))</f>
        <v>45315</v>
      </c>
      <c r="H228" s="23">
        <v>45321</v>
      </c>
      <c r="I228" s="21" t="s">
        <v>22</v>
      </c>
      <c r="J228" s="21" t="s">
        <v>13</v>
      </c>
      <c r="K228" s="24" t="s">
        <v>47</v>
      </c>
      <c r="L228" s="23">
        <v>45315</v>
      </c>
      <c r="M228" s="23">
        <v>45321</v>
      </c>
      <c r="N228" s="25">
        <f t="shared" si="12"/>
        <v>6</v>
      </c>
      <c r="O228" s="26"/>
      <c r="P228" t="s">
        <v>88</v>
      </c>
      <c r="Q228" t="s">
        <v>88</v>
      </c>
      <c r="R228" t="s">
        <v>88</v>
      </c>
      <c r="S228" t="s">
        <v>88</v>
      </c>
      <c r="T228" t="s">
        <v>88</v>
      </c>
      <c r="U228" t="s">
        <v>20</v>
      </c>
    </row>
    <row r="229" spans="1:21" x14ac:dyDescent="0.45">
      <c r="A229" s="20">
        <v>89039444</v>
      </c>
      <c r="B229" s="21" t="str">
        <f t="shared" si="11"/>
        <v>8.903.944-4</v>
      </c>
      <c r="C229" s="22" t="s">
        <v>22</v>
      </c>
      <c r="D229" s="21" t="s">
        <v>516</v>
      </c>
      <c r="E229" s="21" t="s">
        <v>517</v>
      </c>
      <c r="F229" s="21" t="s">
        <v>518</v>
      </c>
      <c r="G229" s="23">
        <v>45315</v>
      </c>
      <c r="H229" s="23">
        <v>45323</v>
      </c>
      <c r="I229" s="21" t="s">
        <v>22</v>
      </c>
      <c r="J229" s="21" t="s">
        <v>56</v>
      </c>
      <c r="K229" s="24" t="s">
        <v>43</v>
      </c>
      <c r="L229" s="23">
        <v>45313</v>
      </c>
      <c r="M229" s="23">
        <v>45322</v>
      </c>
      <c r="N229" s="25">
        <f t="shared" si="12"/>
        <v>9</v>
      </c>
      <c r="O229" s="26"/>
      <c r="P229" t="s">
        <v>88</v>
      </c>
      <c r="Q229" t="s">
        <v>88</v>
      </c>
      <c r="R229" t="s">
        <v>88</v>
      </c>
      <c r="S229" t="s">
        <v>88</v>
      </c>
      <c r="T229" t="s">
        <v>88</v>
      </c>
      <c r="U229" t="s">
        <v>20</v>
      </c>
    </row>
    <row r="230" spans="1:21" x14ac:dyDescent="0.45">
      <c r="A230" s="20">
        <v>78019999</v>
      </c>
      <c r="B230" s="21" t="str">
        <f t="shared" si="11"/>
        <v>7.801.999-9</v>
      </c>
      <c r="C230" s="22" t="s">
        <v>22</v>
      </c>
      <c r="D230" s="21" t="str">
        <f>IF(IFERROR(VLOOKUP(A230,$A$9:$I229,1,0),0)=0,"",VLOOKUP(A230,$A$9:$I229,4,0))</f>
        <v>RIVAS</v>
      </c>
      <c r="E230" s="21" t="str">
        <f>IF(IFERROR(VLOOKUP(A230,$A$9:$I229,1,0),0)=0,"",VLOOKUP(A230,$A$9:$I229,5,0))</f>
        <v>CID</v>
      </c>
      <c r="F230" s="21" t="str">
        <f>IF(IFERROR(VLOOKUP(A230,$A$9:$I229,1,0),0)=0,"",VLOOKUP(A230,$A$9:$I229,6,0))</f>
        <v>OLGA</v>
      </c>
      <c r="G230" s="23">
        <v>45314</v>
      </c>
      <c r="H230" s="23">
        <v>45319</v>
      </c>
      <c r="I230" s="21" t="s">
        <v>30</v>
      </c>
      <c r="J230" s="21" t="s">
        <v>19</v>
      </c>
      <c r="K230" s="24" t="s">
        <v>43</v>
      </c>
      <c r="L230" s="23">
        <v>45314</v>
      </c>
      <c r="M230" s="23">
        <v>45319</v>
      </c>
      <c r="N230" s="25">
        <f t="shared" si="12"/>
        <v>5</v>
      </c>
      <c r="O230" s="26"/>
      <c r="P230" t="s">
        <v>88</v>
      </c>
      <c r="Q230" t="s">
        <v>88</v>
      </c>
      <c r="R230" t="s">
        <v>88</v>
      </c>
      <c r="S230" t="s">
        <v>88</v>
      </c>
      <c r="T230" t="s">
        <v>88</v>
      </c>
      <c r="U230" t="s">
        <v>20</v>
      </c>
    </row>
    <row r="231" spans="1:21" x14ac:dyDescent="0.45">
      <c r="A231" s="20">
        <v>78019999</v>
      </c>
      <c r="B231" s="21" t="str">
        <f t="shared" si="11"/>
        <v>7.801.999-9</v>
      </c>
      <c r="C231" s="22" t="s">
        <v>22</v>
      </c>
      <c r="D231" s="21" t="str">
        <f>IF(IFERROR(VLOOKUP(A231,$A$9:$I230,1,0),0)=0,"",VLOOKUP(A231,$A$9:$I230,4,0))</f>
        <v>RIVAS</v>
      </c>
      <c r="E231" s="21" t="str">
        <f>IF(IFERROR(VLOOKUP(A231,$A$9:$I230,1,0),0)=0,"",VLOOKUP(A231,$A$9:$I230,5,0))</f>
        <v>CID</v>
      </c>
      <c r="F231" s="21" t="str">
        <f>IF(IFERROR(VLOOKUP(A231,$A$9:$I230,1,0),0)=0,"",VLOOKUP(A231,$A$9:$I230,6,0))</f>
        <v>OLGA</v>
      </c>
      <c r="G231" s="23">
        <v>45314</v>
      </c>
      <c r="H231" s="23">
        <v>45319</v>
      </c>
      <c r="I231" s="21" t="s">
        <v>30</v>
      </c>
      <c r="J231" s="21" t="s">
        <v>19</v>
      </c>
      <c r="K231" s="24" t="s">
        <v>47</v>
      </c>
      <c r="L231" s="23">
        <v>45314</v>
      </c>
      <c r="M231" s="23">
        <v>45319</v>
      </c>
      <c r="N231" s="25">
        <f t="shared" si="12"/>
        <v>5</v>
      </c>
      <c r="O231" s="26"/>
      <c r="P231" t="s">
        <v>88</v>
      </c>
      <c r="Q231" t="s">
        <v>88</v>
      </c>
      <c r="R231" t="s">
        <v>88</v>
      </c>
      <c r="S231" t="s">
        <v>88</v>
      </c>
      <c r="T231" t="s">
        <v>88</v>
      </c>
      <c r="U231" t="s">
        <v>20</v>
      </c>
    </row>
    <row r="232" spans="1:21" x14ac:dyDescent="0.45">
      <c r="A232" s="20">
        <v>167253318</v>
      </c>
      <c r="B232" s="21" t="str">
        <f t="shared" ref="B232:B263" si="13">IF(LEN(A232)=8,MID(A232,1,1)&amp;"."&amp;MID(A232,2,3)&amp;"."&amp;MID(A232,5,3)&amp;"-"&amp;RIGHT(A232,1),IF(LEFT(RIGHT(A232,2),1)="-",MID(A232,1,1)&amp;"."&amp;MID(A232,2,3)&amp;"."&amp;MID(A232,5,3)&amp;"-"&amp;RIGHT(A232,1),MID(A232,1,2)&amp;"."&amp;MID(A232,3,3)&amp;"."&amp;MID(A232,6,3)&amp;"-"&amp;MID(A232,9,1)))</f>
        <v>16.725.331-8</v>
      </c>
      <c r="C232" s="22" t="s">
        <v>22</v>
      </c>
      <c r="D232" s="21" t="s">
        <v>519</v>
      </c>
      <c r="E232" s="21" t="s">
        <v>520</v>
      </c>
      <c r="F232" s="21" t="s">
        <v>521</v>
      </c>
      <c r="G232" s="23">
        <v>45314</v>
      </c>
      <c r="H232" s="23">
        <v>45323</v>
      </c>
      <c r="I232" s="21" t="s">
        <v>22</v>
      </c>
      <c r="J232" s="21" t="s">
        <v>56</v>
      </c>
      <c r="K232" s="24" t="s">
        <v>43</v>
      </c>
      <c r="L232" s="23">
        <v>45314</v>
      </c>
      <c r="M232" s="23">
        <v>45322</v>
      </c>
      <c r="N232" s="25">
        <f t="shared" si="12"/>
        <v>8</v>
      </c>
      <c r="O232" s="26"/>
      <c r="P232" t="s">
        <v>88</v>
      </c>
      <c r="Q232" t="s">
        <v>88</v>
      </c>
      <c r="R232" t="s">
        <v>88</v>
      </c>
      <c r="S232" t="s">
        <v>88</v>
      </c>
      <c r="T232" t="s">
        <v>88</v>
      </c>
      <c r="U232" t="s">
        <v>20</v>
      </c>
    </row>
    <row r="233" spans="1:21" x14ac:dyDescent="0.45">
      <c r="A233" s="20">
        <v>167253318</v>
      </c>
      <c r="B233" s="21" t="str">
        <f t="shared" si="13"/>
        <v>16.725.331-8</v>
      </c>
      <c r="C233" s="22" t="str">
        <f>IF(IFERROR(VLOOKUP(A233,$A$9:$I232,1,0),0)=0,"",VLOOKUP(A233,$A$9:$I232,3,0))</f>
        <v>UCI</v>
      </c>
      <c r="D233" s="21" t="str">
        <f>IF(IFERROR(VLOOKUP(A233,$A$9:$I232,1,0),0)=0,"",VLOOKUP(A233,$A$9:$I232,4,0))</f>
        <v>ALMONACID</v>
      </c>
      <c r="E233" s="21" t="str">
        <f>IF(IFERROR(VLOOKUP(A233,$A$9:$I232,1,0),0)=0,"",VLOOKUP(A233,$A$9:$I232,5,0))</f>
        <v>DURAN</v>
      </c>
      <c r="F233" s="21" t="str">
        <f>IF(IFERROR(VLOOKUP(A233,$A$9:$I232,1,0),0)=0,"",VLOOKUP(A233,$A$9:$I232,6,0))</f>
        <v>EVELIN</v>
      </c>
      <c r="G233" s="23">
        <f>IF(IFERROR(VLOOKUP(A233,$A$9:$I232,1,0),0)=0,"",VLOOKUP(A233,$A$9:$I232,7,0))</f>
        <v>45314</v>
      </c>
      <c r="H233" s="23">
        <v>45323</v>
      </c>
      <c r="I233" s="21" t="s">
        <v>22</v>
      </c>
      <c r="J233" s="21" t="s">
        <v>56</v>
      </c>
      <c r="K233" s="24" t="s">
        <v>47</v>
      </c>
      <c r="L233" s="23">
        <v>45314</v>
      </c>
      <c r="M233" s="23">
        <v>45322</v>
      </c>
      <c r="N233" s="25">
        <f t="shared" si="12"/>
        <v>8</v>
      </c>
      <c r="O233" s="26"/>
      <c r="P233" t="s">
        <v>88</v>
      </c>
      <c r="Q233" t="s">
        <v>88</v>
      </c>
      <c r="R233" t="s">
        <v>88</v>
      </c>
      <c r="S233" t="s">
        <v>88</v>
      </c>
      <c r="T233" t="s">
        <v>88</v>
      </c>
      <c r="U233" t="s">
        <v>20</v>
      </c>
    </row>
    <row r="234" spans="1:21" x14ac:dyDescent="0.45">
      <c r="A234" s="20">
        <v>198812706</v>
      </c>
      <c r="B234" s="21" t="str">
        <f t="shared" si="13"/>
        <v>19.881.270-6</v>
      </c>
      <c r="C234" s="22" t="s">
        <v>22</v>
      </c>
      <c r="D234" s="21" t="s">
        <v>522</v>
      </c>
      <c r="E234" s="21" t="s">
        <v>523</v>
      </c>
      <c r="F234" s="21" t="s">
        <v>524</v>
      </c>
      <c r="G234" s="23">
        <v>45315</v>
      </c>
      <c r="H234" s="23"/>
      <c r="I234" s="21" t="s">
        <v>22</v>
      </c>
      <c r="J234" s="21" t="s">
        <v>65</v>
      </c>
      <c r="K234" s="24" t="s">
        <v>18</v>
      </c>
      <c r="L234" s="23">
        <v>45315</v>
      </c>
      <c r="M234" s="23">
        <v>45322</v>
      </c>
      <c r="N234" s="25">
        <f t="shared" si="12"/>
        <v>7</v>
      </c>
      <c r="O234" s="26" t="s">
        <v>355</v>
      </c>
      <c r="P234" t="s">
        <v>96</v>
      </c>
      <c r="Q234" t="s">
        <v>88</v>
      </c>
      <c r="R234" t="s">
        <v>88</v>
      </c>
      <c r="S234" t="s">
        <v>88</v>
      </c>
      <c r="T234" t="s">
        <v>88</v>
      </c>
      <c r="U234" t="s">
        <v>14</v>
      </c>
    </row>
    <row r="235" spans="1:21" x14ac:dyDescent="0.45">
      <c r="A235" s="20">
        <v>198812706</v>
      </c>
      <c r="B235" s="21" t="str">
        <f t="shared" si="13"/>
        <v>19.881.270-6</v>
      </c>
      <c r="C235" s="22" t="str">
        <f>IF(IFERROR(VLOOKUP(A235,$A$9:$I234,1,0),0)=0,"",VLOOKUP(A235,$A$9:$I234,3,0))</f>
        <v>UCI</v>
      </c>
      <c r="D235" s="21" t="str">
        <f>IF(IFERROR(VLOOKUP(A235,$A$9:$I234,1,0),0)=0,"",VLOOKUP(A235,$A$9:$I234,4,0))</f>
        <v>AVALOS</v>
      </c>
      <c r="E235" s="21" t="str">
        <f>IF(IFERROR(VLOOKUP(A235,$A$9:$I234,1,0),0)=0,"",VLOOKUP(A235,$A$9:$I234,5,0))</f>
        <v>MATAMALA</v>
      </c>
      <c r="F235" s="21" t="str">
        <f>IF(IFERROR(VLOOKUP(A235,$A$9:$I234,1,0),0)=0,"",VLOOKUP(A235,$A$9:$I234,6,0))</f>
        <v>NICOLAS</v>
      </c>
      <c r="G235" s="23">
        <f>IF(IFERROR(VLOOKUP(A235,$A$9:$I234,1,0),0)=0,"",VLOOKUP(A235,$A$9:$I234,7,0))</f>
        <v>45315</v>
      </c>
      <c r="H235" s="23"/>
      <c r="I235" s="21" t="s">
        <v>22</v>
      </c>
      <c r="J235" s="21" t="s">
        <v>65</v>
      </c>
      <c r="K235" s="24" t="s">
        <v>47</v>
      </c>
      <c r="L235" s="23">
        <v>45315</v>
      </c>
      <c r="M235" s="23">
        <v>45322</v>
      </c>
      <c r="N235" s="25">
        <f t="shared" si="12"/>
        <v>7</v>
      </c>
      <c r="O235" s="26" t="s">
        <v>355</v>
      </c>
      <c r="P235" t="s">
        <v>88</v>
      </c>
      <c r="Q235" t="s">
        <v>88</v>
      </c>
      <c r="R235" t="s">
        <v>88</v>
      </c>
      <c r="S235" t="s">
        <v>88</v>
      </c>
      <c r="T235" t="s">
        <v>88</v>
      </c>
      <c r="U235" t="s">
        <v>20</v>
      </c>
    </row>
    <row r="236" spans="1:21" x14ac:dyDescent="0.45">
      <c r="A236" s="20">
        <v>860660140</v>
      </c>
      <c r="B236" s="21" t="str">
        <f t="shared" si="13"/>
        <v>86.066.014-0</v>
      </c>
      <c r="C236" s="22" t="s">
        <v>30</v>
      </c>
      <c r="D236" s="21" t="s">
        <v>403</v>
      </c>
      <c r="E236" s="21" t="s">
        <v>303</v>
      </c>
      <c r="F236" s="21" t="s">
        <v>250</v>
      </c>
      <c r="G236" s="23">
        <v>45313</v>
      </c>
      <c r="H236" s="23">
        <v>45315</v>
      </c>
      <c r="I236" s="21" t="s">
        <v>24</v>
      </c>
      <c r="J236" s="21" t="s">
        <v>13</v>
      </c>
      <c r="K236" s="24" t="s">
        <v>43</v>
      </c>
      <c r="L236" s="23">
        <v>45313</v>
      </c>
      <c r="M236" s="23">
        <v>45315</v>
      </c>
      <c r="N236" s="25">
        <f t="shared" si="12"/>
        <v>2</v>
      </c>
      <c r="O236" s="26"/>
      <c r="P236" t="s">
        <v>88</v>
      </c>
      <c r="Q236" t="s">
        <v>88</v>
      </c>
      <c r="R236" t="s">
        <v>88</v>
      </c>
      <c r="S236" t="s">
        <v>88</v>
      </c>
      <c r="T236" t="s">
        <v>88</v>
      </c>
      <c r="U236" t="s">
        <v>20</v>
      </c>
    </row>
    <row r="237" spans="1:21" x14ac:dyDescent="0.45">
      <c r="A237" s="20">
        <v>860660140</v>
      </c>
      <c r="B237" s="21" t="str">
        <f t="shared" si="13"/>
        <v>86.066.014-0</v>
      </c>
      <c r="C237" s="22" t="str">
        <f>IF(IFERROR(VLOOKUP(A237,$A$9:$I236,1,0),0)=0,"",VLOOKUP(A237,$A$9:$I236,3,0))</f>
        <v>UCO</v>
      </c>
      <c r="D237" s="21" t="str">
        <f>IF(IFERROR(VLOOKUP(A237,$A$9:$I236,1,0),0)=0,"",VLOOKUP(A237,$A$9:$I236,4,0))</f>
        <v>GARRIDO</v>
      </c>
      <c r="E237" s="21" t="str">
        <f>IF(IFERROR(VLOOKUP(A237,$A$9:$I236,1,0),0)=0,"",VLOOKUP(A237,$A$9:$I236,5,0))</f>
        <v>PEÑA</v>
      </c>
      <c r="F237" s="21" t="str">
        <f>IF(IFERROR(VLOOKUP(A237,$A$9:$I236,1,0),0)=0,"",VLOOKUP(A237,$A$9:$I236,6,0))</f>
        <v>JOSE</v>
      </c>
      <c r="G237" s="23">
        <f>IF(IFERROR(VLOOKUP(A237,$A$9:$I236,1,0),0)=0,"",VLOOKUP(A237,$A$9:$I236,7,0))</f>
        <v>45313</v>
      </c>
      <c r="H237" s="23">
        <v>45315</v>
      </c>
      <c r="I237" s="21" t="s">
        <v>24</v>
      </c>
      <c r="J237" s="21" t="s">
        <v>13</v>
      </c>
      <c r="K237" s="24" t="s">
        <v>47</v>
      </c>
      <c r="L237" s="23">
        <v>45313</v>
      </c>
      <c r="M237" s="23">
        <v>45315</v>
      </c>
      <c r="N237" s="25">
        <f t="shared" si="12"/>
        <v>2</v>
      </c>
      <c r="O237" s="26"/>
      <c r="P237" t="s">
        <v>88</v>
      </c>
      <c r="Q237" t="s">
        <v>88</v>
      </c>
      <c r="R237" t="s">
        <v>88</v>
      </c>
      <c r="S237" t="s">
        <v>88</v>
      </c>
      <c r="T237" t="s">
        <v>88</v>
      </c>
      <c r="U237" t="s">
        <v>20</v>
      </c>
    </row>
    <row r="238" spans="1:21" x14ac:dyDescent="0.45">
      <c r="A238" s="20">
        <v>146269494</v>
      </c>
      <c r="B238" s="21" t="str">
        <f t="shared" si="13"/>
        <v>14.626.949-4</v>
      </c>
      <c r="C238" s="22" t="s">
        <v>30</v>
      </c>
      <c r="D238" s="21" t="s">
        <v>525</v>
      </c>
      <c r="E238" s="21" t="s">
        <v>526</v>
      </c>
      <c r="F238" s="21" t="s">
        <v>527</v>
      </c>
      <c r="G238" s="23">
        <v>45313</v>
      </c>
      <c r="H238" s="23">
        <v>45318</v>
      </c>
      <c r="I238" s="21" t="s">
        <v>54</v>
      </c>
      <c r="J238" s="21" t="s">
        <v>46</v>
      </c>
      <c r="K238" s="24" t="s">
        <v>43</v>
      </c>
      <c r="L238" s="23">
        <v>45313</v>
      </c>
      <c r="M238" s="23">
        <v>45318</v>
      </c>
      <c r="N238" s="25">
        <f t="shared" si="12"/>
        <v>5</v>
      </c>
      <c r="O238" s="26"/>
      <c r="P238" t="s">
        <v>88</v>
      </c>
      <c r="Q238" t="s">
        <v>88</v>
      </c>
      <c r="R238" t="s">
        <v>88</v>
      </c>
      <c r="S238" t="s">
        <v>88</v>
      </c>
      <c r="T238" t="s">
        <v>88</v>
      </c>
      <c r="U238" t="s">
        <v>20</v>
      </c>
    </row>
    <row r="239" spans="1:21" x14ac:dyDescent="0.45">
      <c r="A239" s="20">
        <v>146269494</v>
      </c>
      <c r="B239" s="21" t="str">
        <f t="shared" si="13"/>
        <v>14.626.949-4</v>
      </c>
      <c r="C239" s="22" t="str">
        <f>IF(IFERROR(VLOOKUP(A239,$A$9:$I238,1,0),0)=0,"",VLOOKUP(A239,$A$9:$I238,3,0))</f>
        <v>UCO</v>
      </c>
      <c r="D239" s="21" t="str">
        <f>IF(IFERROR(VLOOKUP(A239,$A$9:$I238,1,0),0)=0,"",VLOOKUP(A239,$A$9:$I238,4,0))</f>
        <v>MARCHAND</v>
      </c>
      <c r="E239" s="21" t="str">
        <f>IF(IFERROR(VLOOKUP(A239,$A$9:$I238,1,0),0)=0,"",VLOOKUP(A239,$A$9:$I238,5,0))</f>
        <v>.</v>
      </c>
      <c r="F239" s="21" t="str">
        <f>IF(IFERROR(VLOOKUP(A239,$A$9:$I238,1,0),0)=0,"",VLOOKUP(A239,$A$9:$I238,6,0))</f>
        <v>MICHEL</v>
      </c>
      <c r="G239" s="23">
        <f>IF(IFERROR(VLOOKUP(A239,$A$9:$I238,1,0),0)=0,"",VLOOKUP(A239,$A$9:$I238,7,0))</f>
        <v>45313</v>
      </c>
      <c r="H239" s="23">
        <v>45318</v>
      </c>
      <c r="I239" s="21" t="s">
        <v>54</v>
      </c>
      <c r="J239" s="21" t="s">
        <v>46</v>
      </c>
      <c r="K239" s="24" t="s">
        <v>47</v>
      </c>
      <c r="L239" s="23">
        <v>45313</v>
      </c>
      <c r="M239" s="23">
        <v>45318</v>
      </c>
      <c r="N239" s="25">
        <f t="shared" si="12"/>
        <v>5</v>
      </c>
      <c r="O239" s="26"/>
      <c r="P239" t="s">
        <v>88</v>
      </c>
      <c r="Q239" t="s">
        <v>88</v>
      </c>
      <c r="R239" t="s">
        <v>88</v>
      </c>
      <c r="S239" t="s">
        <v>88</v>
      </c>
      <c r="T239" t="s">
        <v>88</v>
      </c>
      <c r="U239" t="s">
        <v>20</v>
      </c>
    </row>
    <row r="240" spans="1:21" x14ac:dyDescent="0.45">
      <c r="A240" s="20">
        <v>241103285</v>
      </c>
      <c r="B240" s="21" t="str">
        <f t="shared" si="13"/>
        <v>24.110.328-5</v>
      </c>
      <c r="C240" s="22" t="s">
        <v>30</v>
      </c>
      <c r="D240" s="21" t="s">
        <v>528</v>
      </c>
      <c r="E240" s="21" t="s">
        <v>529</v>
      </c>
      <c r="F240" s="21" t="s">
        <v>530</v>
      </c>
      <c r="G240" s="23">
        <v>45307</v>
      </c>
      <c r="H240" s="23">
        <v>45316</v>
      </c>
      <c r="I240" s="21" t="s">
        <v>54</v>
      </c>
      <c r="J240" s="21" t="s">
        <v>22</v>
      </c>
      <c r="K240" s="24" t="s">
        <v>43</v>
      </c>
      <c r="L240" s="23">
        <v>45307</v>
      </c>
      <c r="M240" s="23">
        <v>45316</v>
      </c>
      <c r="N240" s="25">
        <f t="shared" si="12"/>
        <v>9</v>
      </c>
      <c r="O240" s="26" t="s">
        <v>531</v>
      </c>
      <c r="P240" t="s">
        <v>88</v>
      </c>
      <c r="Q240" t="s">
        <v>88</v>
      </c>
      <c r="R240" t="s">
        <v>88</v>
      </c>
      <c r="S240" t="s">
        <v>88</v>
      </c>
      <c r="T240" t="s">
        <v>88</v>
      </c>
      <c r="U240" t="s">
        <v>20</v>
      </c>
    </row>
    <row r="241" spans="1:21" x14ac:dyDescent="0.45">
      <c r="A241" s="20">
        <v>241103285</v>
      </c>
      <c r="B241" s="21" t="str">
        <f t="shared" si="13"/>
        <v>24.110.328-5</v>
      </c>
      <c r="C241" s="22" t="str">
        <f>IF(IFERROR(VLOOKUP(A241,$A$9:$I240,1,0),0)=0,"",VLOOKUP(A241,$A$9:$I240,3,0))</f>
        <v>UCO</v>
      </c>
      <c r="D241" s="21" t="str">
        <f>IF(IFERROR(VLOOKUP(A241,$A$9:$I240,1,0),0)=0,"",VLOOKUP(A241,$A$9:$I240,4,0))</f>
        <v>PAULINO</v>
      </c>
      <c r="E241" s="21" t="str">
        <f>IF(IFERROR(VLOOKUP(A241,$A$9:$I240,1,0),0)=0,"",VLOOKUP(A241,$A$9:$I240,5,0))</f>
        <v>FILHO</v>
      </c>
      <c r="F241" s="21" t="str">
        <f>IF(IFERROR(VLOOKUP(A241,$A$9:$I240,1,0),0)=0,"",VLOOKUP(A241,$A$9:$I240,6,0))</f>
        <v>GERARLDO</v>
      </c>
      <c r="G241" s="23">
        <f>IF(IFERROR(VLOOKUP(A241,$A$9:$I240,1,0),0)=0,"",VLOOKUP(A241,$A$9:$I240,7,0))</f>
        <v>45307</v>
      </c>
      <c r="H241" s="23">
        <v>45316</v>
      </c>
      <c r="I241" s="21" t="s">
        <v>54</v>
      </c>
      <c r="J241" s="21" t="s">
        <v>22</v>
      </c>
      <c r="K241" s="24" t="s">
        <v>47</v>
      </c>
      <c r="L241" s="23">
        <v>45307</v>
      </c>
      <c r="M241" s="23">
        <v>45316</v>
      </c>
      <c r="N241" s="25">
        <f t="shared" si="12"/>
        <v>9</v>
      </c>
      <c r="O241" s="26" t="s">
        <v>531</v>
      </c>
      <c r="P241" t="s">
        <v>88</v>
      </c>
      <c r="Q241" t="s">
        <v>88</v>
      </c>
      <c r="R241" t="s">
        <v>88</v>
      </c>
      <c r="S241" t="s">
        <v>88</v>
      </c>
      <c r="T241" t="s">
        <v>88</v>
      </c>
      <c r="U241" t="s">
        <v>20</v>
      </c>
    </row>
    <row r="242" spans="1:21" x14ac:dyDescent="0.45">
      <c r="A242" s="20">
        <v>241103285</v>
      </c>
      <c r="B242" s="21" t="str">
        <f t="shared" si="13"/>
        <v>24.110.328-5</v>
      </c>
      <c r="C242" s="22" t="str">
        <f>IF(IFERROR(VLOOKUP(A242,$A$9:$I241,1,0),0)=0,"",VLOOKUP(A242,$A$9:$I241,3,0))</f>
        <v>UCO</v>
      </c>
      <c r="D242" s="21" t="str">
        <f>IF(IFERROR(VLOOKUP(A242,$A$9:$I241,1,0),0)=0,"",VLOOKUP(A242,$A$9:$I241,4,0))</f>
        <v>PAULINO</v>
      </c>
      <c r="E242" s="21" t="str">
        <f>IF(IFERROR(VLOOKUP(A242,$A$9:$I241,1,0),0)=0,"",VLOOKUP(A242,$A$9:$I241,5,0))</f>
        <v>FILHO</v>
      </c>
      <c r="F242" s="21" t="str">
        <f>IF(IFERROR(VLOOKUP(A242,$A$9:$I241,1,0),0)=0,"",VLOOKUP(A242,$A$9:$I241,6,0))</f>
        <v>GERARLDO</v>
      </c>
      <c r="G242" s="23">
        <f>IF(IFERROR(VLOOKUP(A242,$A$9:$I241,1,0),0)=0,"",VLOOKUP(A242,$A$9:$I241,7,0))</f>
        <v>45307</v>
      </c>
      <c r="H242" s="23">
        <v>45316</v>
      </c>
      <c r="I242" s="21" t="s">
        <v>54</v>
      </c>
      <c r="J242" s="21" t="s">
        <v>22</v>
      </c>
      <c r="K242" s="24" t="s">
        <v>55</v>
      </c>
      <c r="L242" s="23">
        <v>45309</v>
      </c>
      <c r="M242" s="23">
        <v>45316</v>
      </c>
      <c r="N242" s="25">
        <f t="shared" si="12"/>
        <v>7</v>
      </c>
      <c r="O242" s="26" t="s">
        <v>531</v>
      </c>
      <c r="P242" t="s">
        <v>88</v>
      </c>
      <c r="Q242" t="s">
        <v>88</v>
      </c>
      <c r="R242" t="s">
        <v>88</v>
      </c>
      <c r="S242" t="s">
        <v>88</v>
      </c>
      <c r="T242" t="s">
        <v>88</v>
      </c>
      <c r="U242" t="s">
        <v>20</v>
      </c>
    </row>
    <row r="243" spans="1:21" x14ac:dyDescent="0.45">
      <c r="A243" s="20">
        <v>241103285</v>
      </c>
      <c r="B243" s="21" t="str">
        <f t="shared" si="13"/>
        <v>24.110.328-5</v>
      </c>
      <c r="C243" s="22" t="s">
        <v>22</v>
      </c>
      <c r="D243" s="21" t="str">
        <f>IF(IFERROR(VLOOKUP(A243,$A$9:$I242,1,0),0)=0,"",VLOOKUP(A243,$A$9:$I242,4,0))</f>
        <v>PAULINO</v>
      </c>
      <c r="E243" s="21" t="str">
        <f>IF(IFERROR(VLOOKUP(A243,$A$9:$I242,1,0),0)=0,"",VLOOKUP(A243,$A$9:$I242,5,0))</f>
        <v>FILHO</v>
      </c>
      <c r="F243" s="21" t="str">
        <f>IF(IFERROR(VLOOKUP(A243,$A$9:$I242,1,0),0)=0,"",VLOOKUP(A243,$A$9:$I242,6,0))</f>
        <v>GERARLDO</v>
      </c>
      <c r="G243" s="23">
        <v>45316</v>
      </c>
      <c r="H243" s="23">
        <v>45321</v>
      </c>
      <c r="I243" s="21" t="s">
        <v>22</v>
      </c>
      <c r="J243" s="21" t="s">
        <v>65</v>
      </c>
      <c r="K243" s="24" t="s">
        <v>43</v>
      </c>
      <c r="L243" s="23">
        <v>45316</v>
      </c>
      <c r="M243" s="23">
        <v>45322</v>
      </c>
      <c r="N243" s="25">
        <f t="shared" si="12"/>
        <v>6</v>
      </c>
      <c r="O243" s="26" t="s">
        <v>531</v>
      </c>
      <c r="P243" t="s">
        <v>88</v>
      </c>
      <c r="Q243" t="s">
        <v>88</v>
      </c>
      <c r="R243" t="s">
        <v>88</v>
      </c>
      <c r="S243" t="s">
        <v>88</v>
      </c>
      <c r="T243" t="s">
        <v>88</v>
      </c>
      <c r="U243" t="s">
        <v>20</v>
      </c>
    </row>
    <row r="244" spans="1:21" x14ac:dyDescent="0.45">
      <c r="A244" s="20">
        <v>241103285</v>
      </c>
      <c r="B244" s="21" t="str">
        <f t="shared" si="13"/>
        <v>24.110.328-5</v>
      </c>
      <c r="C244" s="22" t="s">
        <v>22</v>
      </c>
      <c r="D244" s="21" t="str">
        <f>IF(IFERROR(VLOOKUP(A244,$A$9:$I243,1,0),0)=0,"",VLOOKUP(A244,$A$9:$I243,4,0))</f>
        <v>PAULINO</v>
      </c>
      <c r="E244" s="21" t="str">
        <f>IF(IFERROR(VLOOKUP(A244,$A$9:$I243,1,0),0)=0,"",VLOOKUP(A244,$A$9:$I243,5,0))</f>
        <v>FILHO</v>
      </c>
      <c r="F244" s="21" t="str">
        <f>IF(IFERROR(VLOOKUP(A244,$A$9:$I243,1,0),0)=0,"",VLOOKUP(A244,$A$9:$I243,6,0))</f>
        <v>GERARLDO</v>
      </c>
      <c r="G244" s="23">
        <v>45316</v>
      </c>
      <c r="H244" s="23">
        <v>45321</v>
      </c>
      <c r="I244" s="21" t="s">
        <v>22</v>
      </c>
      <c r="J244" s="21" t="s">
        <v>65</v>
      </c>
      <c r="K244" s="24" t="s">
        <v>47</v>
      </c>
      <c r="L244" s="23">
        <v>45316</v>
      </c>
      <c r="M244" s="23">
        <v>45322</v>
      </c>
      <c r="N244" s="25">
        <f t="shared" si="12"/>
        <v>6</v>
      </c>
      <c r="O244" s="26" t="s">
        <v>531</v>
      </c>
      <c r="P244" t="s">
        <v>88</v>
      </c>
      <c r="Q244" t="s">
        <v>88</v>
      </c>
      <c r="R244" t="s">
        <v>88</v>
      </c>
      <c r="S244" t="s">
        <v>88</v>
      </c>
      <c r="T244" t="s">
        <v>88</v>
      </c>
      <c r="U244" t="s">
        <v>20</v>
      </c>
    </row>
    <row r="245" spans="1:21" x14ac:dyDescent="0.45">
      <c r="A245" s="20">
        <v>241103285</v>
      </c>
      <c r="B245" s="21" t="str">
        <f t="shared" si="13"/>
        <v>24.110.328-5</v>
      </c>
      <c r="C245" s="22" t="s">
        <v>22</v>
      </c>
      <c r="D245" s="21" t="str">
        <f>IF(IFERROR(VLOOKUP(A245,$A$9:$I244,1,0),0)=0,"",VLOOKUP(A245,$A$9:$I244,4,0))</f>
        <v>PAULINO</v>
      </c>
      <c r="E245" s="21" t="str">
        <f>IF(IFERROR(VLOOKUP(A245,$A$9:$I244,1,0),0)=0,"",VLOOKUP(A245,$A$9:$I244,5,0))</f>
        <v>FILHO</v>
      </c>
      <c r="F245" s="21" t="str">
        <f>IF(IFERROR(VLOOKUP(A245,$A$9:$I244,1,0),0)=0,"",VLOOKUP(A245,$A$9:$I244,6,0))</f>
        <v>GERARLDO</v>
      </c>
      <c r="G245" s="23">
        <v>45316</v>
      </c>
      <c r="H245" s="23">
        <v>45321</v>
      </c>
      <c r="I245" s="21" t="s">
        <v>22</v>
      </c>
      <c r="J245" s="21" t="s">
        <v>65</v>
      </c>
      <c r="K245" s="24" t="s">
        <v>55</v>
      </c>
      <c r="L245" s="23">
        <v>45316</v>
      </c>
      <c r="M245" s="23">
        <v>45322</v>
      </c>
      <c r="N245" s="25">
        <f t="shared" si="12"/>
        <v>6</v>
      </c>
      <c r="O245" s="26" t="s">
        <v>531</v>
      </c>
      <c r="P245" t="s">
        <v>88</v>
      </c>
      <c r="Q245" t="s">
        <v>88</v>
      </c>
      <c r="R245" t="s">
        <v>88</v>
      </c>
      <c r="S245" t="s">
        <v>88</v>
      </c>
      <c r="T245" t="s">
        <v>88</v>
      </c>
      <c r="U245" t="s">
        <v>20</v>
      </c>
    </row>
    <row r="246" spans="1:21" x14ac:dyDescent="0.45">
      <c r="A246" s="20">
        <v>62936053</v>
      </c>
      <c r="B246" s="21" t="str">
        <f t="shared" si="13"/>
        <v>6.293.605-3</v>
      </c>
      <c r="C246" s="22" t="s">
        <v>30</v>
      </c>
      <c r="D246" s="21" t="s">
        <v>486</v>
      </c>
      <c r="E246" s="21" t="s">
        <v>532</v>
      </c>
      <c r="F246" s="21" t="s">
        <v>533</v>
      </c>
      <c r="G246" s="23">
        <v>45309</v>
      </c>
      <c r="H246" s="23">
        <v>45321</v>
      </c>
      <c r="I246" s="21" t="s">
        <v>24</v>
      </c>
      <c r="J246" s="21" t="s">
        <v>69</v>
      </c>
      <c r="K246" s="24" t="s">
        <v>43</v>
      </c>
      <c r="L246" s="23">
        <v>45309</v>
      </c>
      <c r="M246" s="23">
        <v>45322</v>
      </c>
      <c r="N246" s="25">
        <f t="shared" si="12"/>
        <v>13</v>
      </c>
      <c r="O246" s="26"/>
      <c r="P246" t="s">
        <v>88</v>
      </c>
      <c r="Q246" t="s">
        <v>88</v>
      </c>
      <c r="R246" t="s">
        <v>88</v>
      </c>
      <c r="S246" t="s">
        <v>88</v>
      </c>
      <c r="T246" t="s">
        <v>88</v>
      </c>
      <c r="U246" t="s">
        <v>20</v>
      </c>
    </row>
    <row r="247" spans="1:21" x14ac:dyDescent="0.45">
      <c r="A247" s="20">
        <v>62936053</v>
      </c>
      <c r="B247" s="21" t="str">
        <f t="shared" si="13"/>
        <v>6.293.605-3</v>
      </c>
      <c r="C247" s="22" t="str">
        <f>IF(IFERROR(VLOOKUP(A247,$A$9:$I246,1,0),0)=0,"",VLOOKUP(A247,$A$9:$I246,3,0))</f>
        <v>UCO</v>
      </c>
      <c r="D247" s="21" t="str">
        <f>IF(IFERROR(VLOOKUP(A247,$A$9:$I246,1,0),0)=0,"",VLOOKUP(A247,$A$9:$I246,4,0))</f>
        <v>CUEVAS</v>
      </c>
      <c r="E247" s="21" t="str">
        <f>IF(IFERROR(VLOOKUP(A247,$A$9:$I246,1,0),0)=0,"",VLOOKUP(A247,$A$9:$I246,5,0))</f>
        <v>GRANDON</v>
      </c>
      <c r="F247" s="21" t="str">
        <f>IF(IFERROR(VLOOKUP(A247,$A$9:$I246,1,0),0)=0,"",VLOOKUP(A247,$A$9:$I246,6,0))</f>
        <v>AYDEE</v>
      </c>
      <c r="G247" s="23">
        <f>IF(IFERROR(VLOOKUP(A247,$A$9:$I246,1,0),0)=0,"",VLOOKUP(A247,$A$9:$I246,7,0))</f>
        <v>45309</v>
      </c>
      <c r="H247" s="23">
        <v>45321</v>
      </c>
      <c r="I247" s="21" t="s">
        <v>24</v>
      </c>
      <c r="J247" s="21" t="s">
        <v>69</v>
      </c>
      <c r="K247" s="24" t="s">
        <v>47</v>
      </c>
      <c r="L247" s="23">
        <v>45309</v>
      </c>
      <c r="M247" s="23">
        <v>45322</v>
      </c>
      <c r="N247" s="25">
        <f t="shared" si="12"/>
        <v>13</v>
      </c>
      <c r="O247" s="26"/>
      <c r="P247" t="s">
        <v>88</v>
      </c>
      <c r="Q247" t="s">
        <v>88</v>
      </c>
      <c r="R247" t="s">
        <v>88</v>
      </c>
      <c r="S247" t="s">
        <v>88</v>
      </c>
      <c r="T247" t="s">
        <v>88</v>
      </c>
      <c r="U247" t="s">
        <v>20</v>
      </c>
    </row>
    <row r="248" spans="1:21" x14ac:dyDescent="0.45">
      <c r="A248" s="20">
        <v>283359875</v>
      </c>
      <c r="B248" s="21" t="str">
        <f t="shared" si="13"/>
        <v>28.335.987-5</v>
      </c>
      <c r="C248" s="22" t="s">
        <v>16</v>
      </c>
      <c r="D248" s="21" t="s">
        <v>303</v>
      </c>
      <c r="E248" s="21" t="s">
        <v>534</v>
      </c>
      <c r="F248" s="21" t="s">
        <v>535</v>
      </c>
      <c r="G248" s="23">
        <v>45308</v>
      </c>
      <c r="H248" s="23"/>
      <c r="I248" s="21" t="s">
        <v>84</v>
      </c>
      <c r="J248" s="21" t="s">
        <v>65</v>
      </c>
      <c r="K248" s="24" t="s">
        <v>35</v>
      </c>
      <c r="L248" s="23">
        <v>45308</v>
      </c>
      <c r="M248" s="23">
        <v>45322</v>
      </c>
      <c r="N248" s="25">
        <f t="shared" si="12"/>
        <v>14</v>
      </c>
      <c r="O248" s="33" t="s">
        <v>14</v>
      </c>
      <c r="P248" t="s">
        <v>88</v>
      </c>
      <c r="Q248" t="s">
        <v>88</v>
      </c>
      <c r="R248" t="s">
        <v>88</v>
      </c>
      <c r="S248" t="s">
        <v>88</v>
      </c>
      <c r="T248" t="s">
        <v>88</v>
      </c>
      <c r="U248" t="s">
        <v>20</v>
      </c>
    </row>
    <row r="249" spans="1:21" x14ac:dyDescent="0.45">
      <c r="A249" s="20">
        <v>283359875</v>
      </c>
      <c r="B249" s="21" t="str">
        <f t="shared" si="13"/>
        <v>28.335.987-5</v>
      </c>
      <c r="C249" s="22" t="str">
        <f>IF(IFERROR(VLOOKUP(A249,$A$9:$I248,1,0),0)=0,"",VLOOKUP(A249,$A$9:$I248,3,0))</f>
        <v>UCI neonatal</v>
      </c>
      <c r="D249" s="21" t="str">
        <f>IF(IFERROR(VLOOKUP(A249,$A$9:$I248,1,0),0)=0,"",VLOOKUP(A249,$A$9:$I248,4,0))</f>
        <v>PEÑA</v>
      </c>
      <c r="E249" s="21" t="str">
        <f>IF(IFERROR(VLOOKUP(A249,$A$9:$I248,1,0),0)=0,"",VLOOKUP(A249,$A$9:$I248,5,0))</f>
        <v>ACEVEDO</v>
      </c>
      <c r="F249" s="21" t="str">
        <f>IF(IFERROR(VLOOKUP(A249,$A$9:$I248,1,0),0)=0,"",VLOOKUP(A249,$A$9:$I248,6,0))</f>
        <v>DANTE</v>
      </c>
      <c r="G249" s="23">
        <f>IF(IFERROR(VLOOKUP(A249,$A$9:$I248,1,0),0)=0,"",VLOOKUP(A249,$A$9:$I248,7,0))</f>
        <v>45308</v>
      </c>
      <c r="H249" s="23"/>
      <c r="I249" s="21" t="s">
        <v>84</v>
      </c>
      <c r="J249" s="21" t="s">
        <v>65</v>
      </c>
      <c r="K249" s="24" t="s">
        <v>39</v>
      </c>
      <c r="L249" s="23">
        <v>45308</v>
      </c>
      <c r="M249" s="23">
        <v>45322</v>
      </c>
      <c r="N249" s="25">
        <f t="shared" si="12"/>
        <v>14</v>
      </c>
      <c r="O249" s="26"/>
      <c r="P249" t="s">
        <v>88</v>
      </c>
      <c r="Q249" t="s">
        <v>88</v>
      </c>
      <c r="R249" t="s">
        <v>88</v>
      </c>
      <c r="S249" t="s">
        <v>88</v>
      </c>
      <c r="T249" t="s">
        <v>88</v>
      </c>
      <c r="U249" t="s">
        <v>20</v>
      </c>
    </row>
    <row r="250" spans="1:21" x14ac:dyDescent="0.45">
      <c r="A250" s="20">
        <v>283191354</v>
      </c>
      <c r="B250" s="21" t="str">
        <f t="shared" si="13"/>
        <v>28.319.135-4</v>
      </c>
      <c r="C250" s="22" t="str">
        <f>IF(IFERROR(VLOOKUP(A250,$A$9:$I249,1,0),0)=0,"",VLOOKUP(A250,$A$9:$I249,3,0))</f>
        <v>UCI neonatal</v>
      </c>
      <c r="D250" s="21" t="str">
        <f>IF(IFERROR(VLOOKUP(A250,$A$9:$I249,1,0),0)=0,"",VLOOKUP(A250,$A$9:$I249,4,0))</f>
        <v>CONTRERAS</v>
      </c>
      <c r="E250" s="21" t="str">
        <f>IF(IFERROR(VLOOKUP(A250,$A$9:$I249,1,0),0)=0,"",VLOOKUP(A250,$A$9:$I249,5,0))</f>
        <v>CONCHA</v>
      </c>
      <c r="F250" s="21" t="str">
        <f>IF(IFERROR(VLOOKUP(A250,$A$9:$I249,1,0),0)=0,"",VLOOKUP(A250,$A$9:$I249,6,0))</f>
        <v>SARA</v>
      </c>
      <c r="G250" s="23">
        <f>IF(IFERROR(VLOOKUP(A250,$A$9:$I249,1,0),0)=0,"",VLOOKUP(A250,$A$9:$I249,7,0))</f>
        <v>45292</v>
      </c>
      <c r="H250" s="23"/>
      <c r="I250" s="21" t="s">
        <v>84</v>
      </c>
      <c r="J250" s="21" t="s">
        <v>65</v>
      </c>
      <c r="K250" s="24" t="s">
        <v>18</v>
      </c>
      <c r="L250" s="23">
        <v>45312</v>
      </c>
      <c r="M250" s="23">
        <v>45322</v>
      </c>
      <c r="N250" s="25">
        <f t="shared" si="12"/>
        <v>10</v>
      </c>
      <c r="O250" s="26"/>
      <c r="P250" t="s">
        <v>88</v>
      </c>
      <c r="Q250" t="s">
        <v>88</v>
      </c>
      <c r="R250" t="s">
        <v>88</v>
      </c>
      <c r="S250" t="s">
        <v>88</v>
      </c>
      <c r="T250" t="s">
        <v>88</v>
      </c>
      <c r="U250" t="s">
        <v>20</v>
      </c>
    </row>
    <row r="251" spans="1:21" x14ac:dyDescent="0.45">
      <c r="A251" s="20">
        <v>283191354</v>
      </c>
      <c r="B251" s="21" t="str">
        <f t="shared" si="13"/>
        <v>28.319.135-4</v>
      </c>
      <c r="C251" s="22" t="str">
        <f>IF(IFERROR(VLOOKUP(A251,$A$9:$I250,1,0),0)=0,"",VLOOKUP(A251,$A$9:$I250,3,0))</f>
        <v>UCI neonatal</v>
      </c>
      <c r="D251" s="21" t="str">
        <f>IF(IFERROR(VLOOKUP(A251,$A$9:$I250,1,0),0)=0,"",VLOOKUP(A251,$A$9:$I250,4,0))</f>
        <v>CONTRERAS</v>
      </c>
      <c r="E251" s="21" t="str">
        <f>IF(IFERROR(VLOOKUP(A251,$A$9:$I250,1,0),0)=0,"",VLOOKUP(A251,$A$9:$I250,5,0))</f>
        <v>CONCHA</v>
      </c>
      <c r="F251" s="21" t="str">
        <f>IF(IFERROR(VLOOKUP(A251,$A$9:$I250,1,0),0)=0,"",VLOOKUP(A251,$A$9:$I250,6,0))</f>
        <v>SARA</v>
      </c>
      <c r="G251" s="23">
        <f>IF(IFERROR(VLOOKUP(A251,$A$9:$I250,1,0),0)=0,"",VLOOKUP(A251,$A$9:$I250,7,0))</f>
        <v>45292</v>
      </c>
      <c r="H251" s="23"/>
      <c r="I251" s="21" t="s">
        <v>84</v>
      </c>
      <c r="J251" s="21" t="s">
        <v>65</v>
      </c>
      <c r="K251" s="24" t="s">
        <v>55</v>
      </c>
      <c r="L251" s="23">
        <v>45311</v>
      </c>
      <c r="M251" s="23">
        <v>45322</v>
      </c>
      <c r="N251" s="25">
        <f t="shared" si="12"/>
        <v>11</v>
      </c>
      <c r="O251" s="26"/>
      <c r="P251" t="s">
        <v>88</v>
      </c>
      <c r="Q251" t="s">
        <v>88</v>
      </c>
      <c r="R251" t="s">
        <v>88</v>
      </c>
      <c r="S251" t="s">
        <v>88</v>
      </c>
      <c r="T251" t="s">
        <v>88</v>
      </c>
      <c r="U251" t="s">
        <v>20</v>
      </c>
    </row>
    <row r="252" spans="1:21" x14ac:dyDescent="0.45">
      <c r="A252" s="20">
        <v>51151712</v>
      </c>
      <c r="B252" s="21" t="str">
        <f t="shared" si="13"/>
        <v>5.115.171-2</v>
      </c>
      <c r="C252" s="22" t="s">
        <v>38</v>
      </c>
      <c r="D252" s="21" t="s">
        <v>536</v>
      </c>
      <c r="E252" s="21" t="s">
        <v>537</v>
      </c>
      <c r="F252" s="21" t="s">
        <v>538</v>
      </c>
      <c r="G252" s="23">
        <v>45314</v>
      </c>
      <c r="H252" s="23">
        <v>45320</v>
      </c>
      <c r="I252" s="21" t="s">
        <v>54</v>
      </c>
      <c r="J252" s="21" t="s">
        <v>13</v>
      </c>
      <c r="K252" s="24" t="s">
        <v>47</v>
      </c>
      <c r="L252" s="23">
        <v>45314</v>
      </c>
      <c r="M252" s="23">
        <v>45320</v>
      </c>
      <c r="N252" s="25">
        <f t="shared" si="12"/>
        <v>6</v>
      </c>
      <c r="O252" s="26"/>
      <c r="P252" t="s">
        <v>88</v>
      </c>
      <c r="Q252" t="s">
        <v>88</v>
      </c>
      <c r="R252" t="s">
        <v>88</v>
      </c>
      <c r="S252" t="s">
        <v>88</v>
      </c>
      <c r="T252" t="s">
        <v>88</v>
      </c>
      <c r="U252" t="s">
        <v>20</v>
      </c>
    </row>
    <row r="253" spans="1:21" x14ac:dyDescent="0.45">
      <c r="A253" s="20">
        <v>63937363</v>
      </c>
      <c r="B253" s="21" t="str">
        <f t="shared" si="13"/>
        <v>6.393.736-3</v>
      </c>
      <c r="C253" s="22" t="s">
        <v>46</v>
      </c>
      <c r="D253" s="21" t="s">
        <v>539</v>
      </c>
      <c r="E253" s="21" t="s">
        <v>512</v>
      </c>
      <c r="F253" s="21" t="s">
        <v>540</v>
      </c>
      <c r="G253" s="23">
        <v>45314</v>
      </c>
      <c r="H253" s="23">
        <v>45320</v>
      </c>
      <c r="I253" s="21" t="s">
        <v>56</v>
      </c>
      <c r="J253" s="21" t="s">
        <v>13</v>
      </c>
      <c r="K253" s="24" t="s">
        <v>47</v>
      </c>
      <c r="L253" s="23">
        <v>45314</v>
      </c>
      <c r="M253" s="23">
        <v>45320</v>
      </c>
      <c r="N253" s="25">
        <f t="shared" si="12"/>
        <v>6</v>
      </c>
      <c r="O253" s="26"/>
      <c r="P253" t="s">
        <v>88</v>
      </c>
      <c r="Q253" t="s">
        <v>88</v>
      </c>
      <c r="R253" t="s">
        <v>88</v>
      </c>
      <c r="S253" t="s">
        <v>88</v>
      </c>
      <c r="T253" t="s">
        <v>88</v>
      </c>
      <c r="U253" t="s">
        <v>20</v>
      </c>
    </row>
    <row r="254" spans="1:21" x14ac:dyDescent="0.45">
      <c r="A254" s="20" t="s">
        <v>541</v>
      </c>
      <c r="B254" s="21" t="str">
        <f t="shared" si="13"/>
        <v>5.386.240-3</v>
      </c>
      <c r="C254" s="22" t="s">
        <v>22</v>
      </c>
      <c r="D254" s="21" t="s">
        <v>240</v>
      </c>
      <c r="E254" s="21" t="s">
        <v>285</v>
      </c>
      <c r="F254" s="21" t="s">
        <v>380</v>
      </c>
      <c r="G254" s="23">
        <v>45320</v>
      </c>
      <c r="H254" s="23"/>
      <c r="I254" s="21" t="s">
        <v>54</v>
      </c>
      <c r="J254" s="21" t="s">
        <v>65</v>
      </c>
      <c r="K254" s="24" t="s">
        <v>55</v>
      </c>
      <c r="L254" s="23">
        <v>45320</v>
      </c>
      <c r="M254" s="23">
        <v>45322</v>
      </c>
      <c r="N254" s="25">
        <f t="shared" si="12"/>
        <v>2</v>
      </c>
      <c r="O254" s="26"/>
      <c r="P254" t="s">
        <v>88</v>
      </c>
      <c r="Q254" t="s">
        <v>88</v>
      </c>
      <c r="R254" t="s">
        <v>88</v>
      </c>
      <c r="S254" t="s">
        <v>88</v>
      </c>
      <c r="T254" t="s">
        <v>88</v>
      </c>
      <c r="U254" t="s">
        <v>20</v>
      </c>
    </row>
    <row r="255" spans="1:21" x14ac:dyDescent="0.45">
      <c r="A255" s="20" t="s">
        <v>542</v>
      </c>
      <c r="B255" s="21" t="str">
        <f t="shared" si="13"/>
        <v>7.160.781-K</v>
      </c>
      <c r="C255" s="22" t="s">
        <v>22</v>
      </c>
      <c r="D255" s="21" t="s">
        <v>439</v>
      </c>
      <c r="E255" s="21" t="s">
        <v>426</v>
      </c>
      <c r="F255" s="21" t="s">
        <v>543</v>
      </c>
      <c r="G255" s="23">
        <v>45316</v>
      </c>
      <c r="H255" s="23">
        <v>45322</v>
      </c>
      <c r="I255" s="21" t="s">
        <v>56</v>
      </c>
      <c r="J255" s="21" t="s">
        <v>56</v>
      </c>
      <c r="K255" s="24" t="s">
        <v>43</v>
      </c>
      <c r="L255" s="23">
        <v>45319</v>
      </c>
      <c r="M255" s="23">
        <v>45322</v>
      </c>
      <c r="N255" s="25">
        <f t="shared" si="12"/>
        <v>3</v>
      </c>
      <c r="O255" s="26"/>
      <c r="P255" t="s">
        <v>88</v>
      </c>
      <c r="Q255" t="s">
        <v>88</v>
      </c>
      <c r="R255" t="s">
        <v>88</v>
      </c>
      <c r="S255" t="s">
        <v>88</v>
      </c>
      <c r="T255" t="s">
        <v>88</v>
      </c>
      <c r="U255" t="s">
        <v>20</v>
      </c>
    </row>
    <row r="256" spans="1:21" x14ac:dyDescent="0.45">
      <c r="A256" s="20" t="s">
        <v>544</v>
      </c>
      <c r="B256" s="21" t="str">
        <f t="shared" si="13"/>
        <v>8.097.876-6</v>
      </c>
      <c r="C256" s="22" t="s">
        <v>22</v>
      </c>
      <c r="D256" s="21" t="s">
        <v>374</v>
      </c>
      <c r="E256" s="21" t="s">
        <v>537</v>
      </c>
      <c r="F256" s="21" t="s">
        <v>545</v>
      </c>
      <c r="G256" s="23">
        <v>45318</v>
      </c>
      <c r="H256" s="23"/>
      <c r="I256" s="21" t="s">
        <v>60</v>
      </c>
      <c r="J256" s="21" t="s">
        <v>65</v>
      </c>
      <c r="K256" s="24" t="s">
        <v>43</v>
      </c>
      <c r="L256" s="23">
        <v>45317</v>
      </c>
      <c r="M256" s="23">
        <v>45322</v>
      </c>
      <c r="N256" s="25">
        <f t="shared" si="12"/>
        <v>5</v>
      </c>
      <c r="O256" s="26"/>
      <c r="P256" t="s">
        <v>90</v>
      </c>
      <c r="Q256" t="s">
        <v>88</v>
      </c>
      <c r="R256" t="s">
        <v>88</v>
      </c>
      <c r="S256" t="s">
        <v>88</v>
      </c>
      <c r="T256" t="s">
        <v>88</v>
      </c>
      <c r="U256" t="s">
        <v>20</v>
      </c>
    </row>
    <row r="257" spans="1:21" x14ac:dyDescent="0.45">
      <c r="A257" s="20" t="s">
        <v>544</v>
      </c>
      <c r="B257" s="21" t="str">
        <f t="shared" si="13"/>
        <v>8.097.876-6</v>
      </c>
      <c r="C257" s="22" t="s">
        <v>22</v>
      </c>
      <c r="D257" s="21" t="s">
        <v>374</v>
      </c>
      <c r="E257" s="21" t="s">
        <v>537</v>
      </c>
      <c r="F257" s="21" t="s">
        <v>545</v>
      </c>
      <c r="G257" s="23">
        <f>IF(IFERROR(VLOOKUP(A257,$A$9:$I256,1,0),0)=0,"",VLOOKUP(A257,$A$9:$I256,7,0))</f>
        <v>45318</v>
      </c>
      <c r="H257" s="23"/>
      <c r="I257" s="21" t="s">
        <v>60</v>
      </c>
      <c r="J257" s="21" t="s">
        <v>65</v>
      </c>
      <c r="K257" s="24" t="s">
        <v>47</v>
      </c>
      <c r="L257" s="23">
        <v>45318</v>
      </c>
      <c r="M257" s="23">
        <v>45322</v>
      </c>
      <c r="N257" s="25">
        <f t="shared" si="12"/>
        <v>4</v>
      </c>
      <c r="O257" s="26"/>
      <c r="P257" t="s">
        <v>88</v>
      </c>
      <c r="Q257" t="s">
        <v>88</v>
      </c>
      <c r="R257" t="s">
        <v>88</v>
      </c>
      <c r="S257" t="s">
        <v>88</v>
      </c>
      <c r="T257" t="s">
        <v>88</v>
      </c>
      <c r="U257" t="s">
        <v>20</v>
      </c>
    </row>
    <row r="258" spans="1:21" x14ac:dyDescent="0.45">
      <c r="A258" s="20" t="s">
        <v>544</v>
      </c>
      <c r="B258" s="21" t="str">
        <f t="shared" si="13"/>
        <v>8.097.876-6</v>
      </c>
      <c r="C258" s="22" t="s">
        <v>22</v>
      </c>
      <c r="D258" s="21" t="s">
        <v>374</v>
      </c>
      <c r="E258" s="21" t="s">
        <v>537</v>
      </c>
      <c r="F258" s="21" t="s">
        <v>545</v>
      </c>
      <c r="G258" s="23">
        <f>IF(IFERROR(VLOOKUP(A258,$A$9:$I257,1,0),0)=0,"",VLOOKUP(A258,$A$9:$I257,7,0))</f>
        <v>45318</v>
      </c>
      <c r="H258" s="23"/>
      <c r="I258" s="21" t="s">
        <v>60</v>
      </c>
      <c r="J258" s="21" t="s">
        <v>65</v>
      </c>
      <c r="K258" s="24" t="s">
        <v>55</v>
      </c>
      <c r="L258" s="23">
        <v>45318</v>
      </c>
      <c r="M258" s="23">
        <v>45322</v>
      </c>
      <c r="N258" s="25">
        <f t="shared" si="12"/>
        <v>4</v>
      </c>
      <c r="O258" s="26"/>
      <c r="P258" t="s">
        <v>88</v>
      </c>
      <c r="Q258" t="s">
        <v>88</v>
      </c>
      <c r="R258" t="s">
        <v>88</v>
      </c>
      <c r="S258" t="s">
        <v>88</v>
      </c>
      <c r="T258" t="s">
        <v>88</v>
      </c>
      <c r="U258" t="s">
        <v>20</v>
      </c>
    </row>
    <row r="259" spans="1:21" x14ac:dyDescent="0.45">
      <c r="A259" s="20">
        <v>104652018</v>
      </c>
      <c r="B259" s="21" t="str">
        <f t="shared" si="13"/>
        <v>10.465.201-8</v>
      </c>
      <c r="C259" s="22" t="s">
        <v>22</v>
      </c>
      <c r="D259" s="21" t="s">
        <v>546</v>
      </c>
      <c r="E259" s="21" t="s">
        <v>547</v>
      </c>
      <c r="F259" s="21" t="s">
        <v>548</v>
      </c>
      <c r="G259" s="23">
        <v>45318</v>
      </c>
      <c r="H259" s="23"/>
      <c r="I259" s="21" t="s">
        <v>61</v>
      </c>
      <c r="J259" s="21" t="s">
        <v>65</v>
      </c>
      <c r="K259" s="24" t="s">
        <v>43</v>
      </c>
      <c r="L259" s="23">
        <v>45319</v>
      </c>
      <c r="M259" s="23">
        <v>45322</v>
      </c>
      <c r="N259" s="25">
        <f t="shared" si="12"/>
        <v>3</v>
      </c>
      <c r="O259" s="26"/>
      <c r="P259" t="s">
        <v>96</v>
      </c>
      <c r="Q259" t="s">
        <v>88</v>
      </c>
      <c r="R259" t="s">
        <v>88</v>
      </c>
      <c r="S259" t="s">
        <v>88</v>
      </c>
      <c r="T259" t="s">
        <v>88</v>
      </c>
      <c r="U259" t="s">
        <v>14</v>
      </c>
    </row>
    <row r="260" spans="1:21" x14ac:dyDescent="0.45">
      <c r="A260" s="20">
        <v>104652018</v>
      </c>
      <c r="B260" s="21" t="str">
        <f t="shared" si="13"/>
        <v>10.465.201-8</v>
      </c>
      <c r="C260" s="22" t="s">
        <v>22</v>
      </c>
      <c r="D260" s="21" t="s">
        <v>546</v>
      </c>
      <c r="E260" s="21" t="s">
        <v>547</v>
      </c>
      <c r="F260" s="21" t="s">
        <v>548</v>
      </c>
      <c r="G260" s="23">
        <v>45318</v>
      </c>
      <c r="H260" s="23"/>
      <c r="I260" s="21" t="s">
        <v>61</v>
      </c>
      <c r="J260" s="21" t="s">
        <v>65</v>
      </c>
      <c r="K260" s="24" t="s">
        <v>47</v>
      </c>
      <c r="L260" s="23">
        <v>45318</v>
      </c>
      <c r="M260" s="23">
        <v>45322</v>
      </c>
      <c r="N260" s="25">
        <f t="shared" si="12"/>
        <v>4</v>
      </c>
      <c r="O260" s="26"/>
      <c r="P260" t="s">
        <v>88</v>
      </c>
      <c r="Q260" t="s">
        <v>88</v>
      </c>
      <c r="R260" t="s">
        <v>88</v>
      </c>
      <c r="S260" t="s">
        <v>88</v>
      </c>
      <c r="T260" t="s">
        <v>88</v>
      </c>
      <c r="U260" t="s">
        <v>20</v>
      </c>
    </row>
    <row r="261" spans="1:21" x14ac:dyDescent="0.45">
      <c r="A261" s="20">
        <v>104652018</v>
      </c>
      <c r="B261" s="21" t="str">
        <f t="shared" si="13"/>
        <v>10.465.201-8</v>
      </c>
      <c r="C261" s="22" t="s">
        <v>22</v>
      </c>
      <c r="D261" s="21" t="s">
        <v>546</v>
      </c>
      <c r="E261" s="21" t="s">
        <v>547</v>
      </c>
      <c r="F261" s="21" t="s">
        <v>548</v>
      </c>
      <c r="G261" s="23">
        <v>45318</v>
      </c>
      <c r="H261" s="23"/>
      <c r="I261" s="21" t="s">
        <v>61</v>
      </c>
      <c r="J261" s="21" t="s">
        <v>65</v>
      </c>
      <c r="K261" s="24" t="s">
        <v>55</v>
      </c>
      <c r="L261" s="23">
        <v>45319</v>
      </c>
      <c r="M261" s="23">
        <v>45322</v>
      </c>
      <c r="N261" s="25">
        <f t="shared" si="12"/>
        <v>3</v>
      </c>
      <c r="O261" s="26"/>
      <c r="P261" t="s">
        <v>88</v>
      </c>
      <c r="Q261" t="s">
        <v>88</v>
      </c>
      <c r="R261" t="s">
        <v>88</v>
      </c>
      <c r="S261" t="s">
        <v>88</v>
      </c>
      <c r="T261" t="s">
        <v>88</v>
      </c>
      <c r="U261" t="s">
        <v>20</v>
      </c>
    </row>
    <row r="262" spans="1:21" x14ac:dyDescent="0.45">
      <c r="A262" s="20">
        <v>105952562</v>
      </c>
      <c r="B262" s="21" t="str">
        <f t="shared" si="13"/>
        <v>10.595.256-2</v>
      </c>
      <c r="C262" s="22" t="s">
        <v>38</v>
      </c>
      <c r="D262" s="21" t="s">
        <v>549</v>
      </c>
      <c r="E262" s="21" t="s">
        <v>550</v>
      </c>
      <c r="F262" s="21" t="s">
        <v>551</v>
      </c>
      <c r="G262" s="23">
        <v>45318</v>
      </c>
      <c r="H262" s="23"/>
      <c r="I262" s="21" t="s">
        <v>24</v>
      </c>
      <c r="J262" s="21" t="s">
        <v>65</v>
      </c>
      <c r="K262" s="24" t="s">
        <v>43</v>
      </c>
      <c r="L262" s="23">
        <v>45318</v>
      </c>
      <c r="M262" s="23">
        <v>45322</v>
      </c>
      <c r="N262" s="25">
        <f t="shared" si="12"/>
        <v>4</v>
      </c>
      <c r="O262" s="26"/>
      <c r="P262" t="s">
        <v>88</v>
      </c>
      <c r="Q262" t="s">
        <v>88</v>
      </c>
      <c r="R262" t="s">
        <v>88</v>
      </c>
      <c r="S262" t="s">
        <v>88</v>
      </c>
      <c r="T262" t="s">
        <v>88</v>
      </c>
      <c r="U262" t="s">
        <v>20</v>
      </c>
    </row>
    <row r="263" spans="1:21" x14ac:dyDescent="0.45">
      <c r="A263" s="20">
        <v>105952562</v>
      </c>
      <c r="B263" s="21" t="str">
        <f t="shared" si="13"/>
        <v>10.595.256-2</v>
      </c>
      <c r="C263" s="22" t="s">
        <v>38</v>
      </c>
      <c r="D263" s="21" t="s">
        <v>549</v>
      </c>
      <c r="E263" s="21" t="s">
        <v>550</v>
      </c>
      <c r="F263" s="21" t="s">
        <v>551</v>
      </c>
      <c r="G263" s="23">
        <v>45318</v>
      </c>
      <c r="H263" s="23"/>
      <c r="I263" s="21" t="s">
        <v>24</v>
      </c>
      <c r="J263" s="21" t="s">
        <v>65</v>
      </c>
      <c r="K263" s="24" t="s">
        <v>47</v>
      </c>
      <c r="L263" s="23">
        <v>45318</v>
      </c>
      <c r="M263" s="23">
        <v>45322</v>
      </c>
      <c r="N263" s="25">
        <f t="shared" si="12"/>
        <v>4</v>
      </c>
      <c r="O263" s="26"/>
      <c r="P263" t="s">
        <v>88</v>
      </c>
      <c r="Q263" t="s">
        <v>88</v>
      </c>
      <c r="R263" t="s">
        <v>88</v>
      </c>
      <c r="S263" t="s">
        <v>88</v>
      </c>
      <c r="T263" t="s">
        <v>88</v>
      </c>
      <c r="U263" t="s">
        <v>20</v>
      </c>
    </row>
    <row r="264" spans="1:21" x14ac:dyDescent="0.45">
      <c r="A264" s="20">
        <v>67212339</v>
      </c>
      <c r="B264" s="21" t="str">
        <f t="shared" ref="B264:B271" si="14">IF(LEN(A264)=8,MID(A264,1,1)&amp;"."&amp;MID(A264,2,3)&amp;"."&amp;MID(A264,5,3)&amp;"-"&amp;RIGHT(A264,1),IF(LEFT(RIGHT(A264,2),1)="-",MID(A264,1,1)&amp;"."&amp;MID(A264,2,3)&amp;"."&amp;MID(A264,5,3)&amp;"-"&amp;RIGHT(A264,1),MID(A264,1,2)&amp;"."&amp;MID(A264,3,3)&amp;"."&amp;MID(A264,6,3)&amp;"-"&amp;MID(A264,9,1)))</f>
        <v>6.721.233-9</v>
      </c>
      <c r="C264" s="22" t="s">
        <v>38</v>
      </c>
      <c r="D264" s="21" t="s">
        <v>552</v>
      </c>
      <c r="E264" s="21" t="s">
        <v>553</v>
      </c>
      <c r="F264" s="21" t="s">
        <v>327</v>
      </c>
      <c r="G264" s="23">
        <v>45319</v>
      </c>
      <c r="H264" s="23">
        <v>45323</v>
      </c>
      <c r="I264" s="21" t="s">
        <v>24</v>
      </c>
      <c r="J264" s="21" t="s">
        <v>46</v>
      </c>
      <c r="K264" s="24" t="s">
        <v>43</v>
      </c>
      <c r="L264" s="23">
        <v>45319</v>
      </c>
      <c r="M264" s="23">
        <v>45322</v>
      </c>
      <c r="N264" s="25">
        <f t="shared" si="12"/>
        <v>3</v>
      </c>
      <c r="O264" s="26"/>
      <c r="P264" t="s">
        <v>88</v>
      </c>
      <c r="Q264" t="s">
        <v>88</v>
      </c>
      <c r="R264" t="s">
        <v>88</v>
      </c>
      <c r="S264" t="s">
        <v>88</v>
      </c>
      <c r="T264" t="s">
        <v>88</v>
      </c>
      <c r="U264" t="s">
        <v>20</v>
      </c>
    </row>
    <row r="265" spans="1:21" x14ac:dyDescent="0.45">
      <c r="A265" s="20" t="s">
        <v>554</v>
      </c>
      <c r="B265" s="21" t="str">
        <f t="shared" si="14"/>
        <v>12.204.386-K</v>
      </c>
      <c r="C265" s="22" t="s">
        <v>30</v>
      </c>
      <c r="D265" s="21" t="s">
        <v>555</v>
      </c>
      <c r="E265" s="21" t="s">
        <v>556</v>
      </c>
      <c r="F265" s="21" t="s">
        <v>557</v>
      </c>
      <c r="G265" s="23">
        <v>45321</v>
      </c>
      <c r="H265" s="23">
        <v>45327</v>
      </c>
      <c r="I265" s="21" t="s">
        <v>24</v>
      </c>
      <c r="J265" s="21" t="s">
        <v>13</v>
      </c>
      <c r="K265" s="24" t="s">
        <v>43</v>
      </c>
      <c r="L265" s="23">
        <v>45321</v>
      </c>
      <c r="M265" s="23">
        <v>45327</v>
      </c>
      <c r="N265" s="25">
        <f t="shared" si="12"/>
        <v>6</v>
      </c>
      <c r="O265" s="26"/>
      <c r="P265" t="s">
        <v>88</v>
      </c>
      <c r="Q265" t="s">
        <v>88</v>
      </c>
      <c r="R265" t="s">
        <v>88</v>
      </c>
      <c r="S265" t="s">
        <v>88</v>
      </c>
      <c r="T265" t="s">
        <v>88</v>
      </c>
      <c r="U265" t="s">
        <v>20</v>
      </c>
    </row>
    <row r="266" spans="1:21" x14ac:dyDescent="0.45">
      <c r="A266" s="20" t="s">
        <v>554</v>
      </c>
      <c r="B266" s="21" t="str">
        <f t="shared" si="14"/>
        <v>12.204.386-K</v>
      </c>
      <c r="C266" s="22" t="s">
        <v>30</v>
      </c>
      <c r="D266" s="21" t="s">
        <v>555</v>
      </c>
      <c r="E266" s="21" t="s">
        <v>556</v>
      </c>
      <c r="F266" s="21" t="s">
        <v>557</v>
      </c>
      <c r="G266" s="23">
        <f>IF(IFERROR(VLOOKUP(A266,$A$9:$I265,1,0),0)=0,"",VLOOKUP(A266,$A$9:$I265,7,0))</f>
        <v>45321</v>
      </c>
      <c r="H266" s="23">
        <v>45327</v>
      </c>
      <c r="I266" s="21" t="s">
        <v>24</v>
      </c>
      <c r="J266" s="21" t="s">
        <v>13</v>
      </c>
      <c r="K266" s="24" t="s">
        <v>47</v>
      </c>
      <c r="L266" s="23">
        <v>45321</v>
      </c>
      <c r="M266" s="23">
        <v>45327</v>
      </c>
      <c r="N266" s="25">
        <f t="shared" si="12"/>
        <v>6</v>
      </c>
      <c r="O266" s="26"/>
      <c r="P266" t="s">
        <v>88</v>
      </c>
      <c r="Q266" t="s">
        <v>88</v>
      </c>
      <c r="R266" t="s">
        <v>88</v>
      </c>
      <c r="S266" t="s">
        <v>88</v>
      </c>
      <c r="T266" t="s">
        <v>88</v>
      </c>
      <c r="U266" t="s">
        <v>20</v>
      </c>
    </row>
    <row r="267" spans="1:21" x14ac:dyDescent="0.45">
      <c r="A267" s="20">
        <v>114515108</v>
      </c>
      <c r="B267" s="21" t="str">
        <f t="shared" si="14"/>
        <v>11.451.510-8</v>
      </c>
      <c r="C267" s="22" t="s">
        <v>30</v>
      </c>
      <c r="D267" s="21" t="s">
        <v>240</v>
      </c>
      <c r="E267" s="21" t="s">
        <v>558</v>
      </c>
      <c r="F267" s="21" t="s">
        <v>481</v>
      </c>
      <c r="G267" s="23">
        <v>45322</v>
      </c>
      <c r="H267" s="23">
        <v>45325</v>
      </c>
      <c r="I267" s="21" t="s">
        <v>24</v>
      </c>
      <c r="J267" s="21" t="s">
        <v>13</v>
      </c>
      <c r="K267" s="24" t="s">
        <v>43</v>
      </c>
      <c r="L267" s="23">
        <v>45321</v>
      </c>
      <c r="M267" s="23">
        <v>45325</v>
      </c>
      <c r="N267" s="25">
        <f t="shared" si="12"/>
        <v>4</v>
      </c>
      <c r="O267" s="26"/>
      <c r="P267" t="s">
        <v>88</v>
      </c>
      <c r="Q267" t="s">
        <v>88</v>
      </c>
      <c r="R267" t="s">
        <v>88</v>
      </c>
      <c r="S267" t="s">
        <v>88</v>
      </c>
      <c r="T267" t="s">
        <v>88</v>
      </c>
      <c r="U267" t="s">
        <v>20</v>
      </c>
    </row>
    <row r="268" spans="1:21" x14ac:dyDescent="0.45">
      <c r="A268" s="20">
        <v>73923514</v>
      </c>
      <c r="B268" s="21" t="str">
        <f t="shared" si="14"/>
        <v>7.392.351-4</v>
      </c>
      <c r="C268" s="22" t="s">
        <v>30</v>
      </c>
      <c r="D268" s="21" t="s">
        <v>558</v>
      </c>
      <c r="E268" s="21" t="s">
        <v>559</v>
      </c>
      <c r="F268" s="21" t="s">
        <v>560</v>
      </c>
      <c r="G268" s="23">
        <v>45317</v>
      </c>
      <c r="H268" s="23"/>
      <c r="I268" s="21" t="s">
        <v>24</v>
      </c>
      <c r="J268" s="21" t="s">
        <v>65</v>
      </c>
      <c r="K268" s="24" t="s">
        <v>43</v>
      </c>
      <c r="L268" s="23">
        <v>45322</v>
      </c>
      <c r="M268" s="23">
        <v>45322</v>
      </c>
      <c r="N268" s="25">
        <f t="shared" si="12"/>
        <v>0</v>
      </c>
      <c r="O268" s="26"/>
      <c r="P268" t="s">
        <v>88</v>
      </c>
      <c r="Q268" t="s">
        <v>88</v>
      </c>
      <c r="R268" t="s">
        <v>88</v>
      </c>
      <c r="S268" t="s">
        <v>88</v>
      </c>
      <c r="T268" t="s">
        <v>88</v>
      </c>
      <c r="U268" t="s">
        <v>20</v>
      </c>
    </row>
    <row r="269" spans="1:21" x14ac:dyDescent="0.45">
      <c r="A269" s="20">
        <v>73923514</v>
      </c>
      <c r="B269" s="21" t="str">
        <f t="shared" si="14"/>
        <v>7.392.351-4</v>
      </c>
      <c r="C269" s="22" t="s">
        <v>30</v>
      </c>
      <c r="D269" s="21" t="s">
        <v>558</v>
      </c>
      <c r="E269" s="21" t="s">
        <v>559</v>
      </c>
      <c r="F269" s="21" t="s">
        <v>560</v>
      </c>
      <c r="G269" s="23">
        <f>IF(IFERROR(VLOOKUP(A269,$A$9:$I268,1,0),0)=0,"",VLOOKUP(A269,$A$9:$I268,7,0))</f>
        <v>45317</v>
      </c>
      <c r="H269" s="23"/>
      <c r="I269" s="21" t="s">
        <v>24</v>
      </c>
      <c r="J269" s="21" t="s">
        <v>65</v>
      </c>
      <c r="K269" s="24" t="s">
        <v>55</v>
      </c>
      <c r="L269" s="23">
        <v>45317</v>
      </c>
      <c r="M269" s="23">
        <v>45322</v>
      </c>
      <c r="N269" s="25">
        <f t="shared" si="12"/>
        <v>5</v>
      </c>
      <c r="O269" s="26"/>
      <c r="P269" t="s">
        <v>88</v>
      </c>
      <c r="Q269" t="s">
        <v>88</v>
      </c>
      <c r="R269" t="s">
        <v>88</v>
      </c>
      <c r="S269" t="s">
        <v>88</v>
      </c>
      <c r="T269" t="s">
        <v>88</v>
      </c>
      <c r="U269" t="s">
        <v>20</v>
      </c>
    </row>
    <row r="270" spans="1:21" x14ac:dyDescent="0.45">
      <c r="A270" s="20">
        <v>58186511</v>
      </c>
      <c r="B270" s="21" t="str">
        <f t="shared" si="14"/>
        <v>5.818.651-1</v>
      </c>
      <c r="C270" s="22" t="s">
        <v>30</v>
      </c>
      <c r="D270" s="21" t="s">
        <v>294</v>
      </c>
      <c r="E270" s="21" t="s">
        <v>561</v>
      </c>
      <c r="F270" s="21" t="s">
        <v>562</v>
      </c>
      <c r="G270" s="23">
        <v>45320</v>
      </c>
      <c r="H270" s="23">
        <v>45323</v>
      </c>
      <c r="I270" s="21" t="s">
        <v>24</v>
      </c>
      <c r="J270" s="21" t="s">
        <v>46</v>
      </c>
      <c r="K270" s="24" t="s">
        <v>43</v>
      </c>
      <c r="L270" s="23">
        <v>45317</v>
      </c>
      <c r="M270" s="23">
        <v>45323</v>
      </c>
      <c r="N270" s="25">
        <f t="shared" si="12"/>
        <v>6</v>
      </c>
      <c r="O270" s="26"/>
      <c r="P270" t="s">
        <v>88</v>
      </c>
      <c r="Q270" t="s">
        <v>88</v>
      </c>
      <c r="R270" t="s">
        <v>88</v>
      </c>
      <c r="S270" t="s">
        <v>88</v>
      </c>
      <c r="T270" t="s">
        <v>88</v>
      </c>
      <c r="U270" t="s">
        <v>20</v>
      </c>
    </row>
    <row r="271" spans="1:21" x14ac:dyDescent="0.45">
      <c r="A271" s="20">
        <v>93131835</v>
      </c>
      <c r="B271" s="21" t="str">
        <f t="shared" si="14"/>
        <v>9.313.183-5</v>
      </c>
      <c r="C271" s="22" t="s">
        <v>46</v>
      </c>
      <c r="D271" s="21" t="s">
        <v>563</v>
      </c>
      <c r="E271" s="21" t="s">
        <v>536</v>
      </c>
      <c r="F271" s="21" t="s">
        <v>564</v>
      </c>
      <c r="G271" s="23">
        <v>45640</v>
      </c>
      <c r="H271" s="23"/>
      <c r="I271" s="21" t="s">
        <v>54</v>
      </c>
      <c r="J271" s="21" t="s">
        <v>65</v>
      </c>
      <c r="K271" s="24" t="s">
        <v>18</v>
      </c>
      <c r="L271" s="23">
        <v>45311</v>
      </c>
      <c r="M271" s="23">
        <v>45322</v>
      </c>
      <c r="N271" s="25">
        <f t="shared" si="12"/>
        <v>11</v>
      </c>
      <c r="O271" s="26"/>
      <c r="P271" t="s">
        <v>88</v>
      </c>
      <c r="Q271" t="s">
        <v>88</v>
      </c>
      <c r="R271" t="s">
        <v>88</v>
      </c>
      <c r="S271" t="s">
        <v>88</v>
      </c>
      <c r="T271" t="s">
        <v>88</v>
      </c>
      <c r="U271" t="s">
        <v>20</v>
      </c>
    </row>
    <row r="272" spans="1:21" x14ac:dyDescent="0.45">
      <c r="U272">
        <f>COUNTIF(U8:U271,"si")</f>
        <v>10</v>
      </c>
    </row>
  </sheetData>
  <dataValidations xWindow="219" yWindow="591" count="5">
    <dataValidation allowBlank="1" showInputMessage="1" sqref="O1:O32 O34:O89 O91:O1047435" xr:uid="{00000000-0002-0000-0200-000000000000}"/>
    <dataValidation type="date" operator="greaterThanOrEqual" allowBlank="1" showInputMessage="1" showErrorMessage="1" errorTitle="Error de formato de fecha" error="Favor escribir fecha en formato indicado en mensaje." promptTitle="Inserte fecha" prompt="Utilice el formato DD-MM-AAAA._x000a_Si al terminar la quincena, el paciente hospitalizado mantiene el elemento invasivo instalado, favor colocar la fecha de término de la quincena. Luego, especificar en observaciones." sqref="H60:H62 L222 M9:M42 M45:M48 M51:M62 M67:M69 M76 M78:M82 M89:M91 M93:M95 M98:M101 M104:M110 M115:M120 M127:M135 M138:M139 M144 M148:M154 M157:M159 M163:M165 M167:M173 M175:M178 M181:M209 M212:M221 M223 M226:M271" xr:uid="{00000000-0002-0000-0200-000001000000}">
      <formula1>42583</formula1>
    </dataValidation>
    <dataValidation type="date" operator="greaterThanOrEqual" allowBlank="1" showInputMessage="1" showErrorMessage="1" errorTitle="Error de formato de fecha" error="Favor escribir fecha en formato indicado en mensaje." promptTitle="Inserte fecha" prompt="Utilice el formato_x000a_DD-MM-AAAA" sqref="G9:H32 G33:G271 H33:H59 H63:H271 L9:L48 L49:M50 L51:L165 L167:L271 M43:M44 M63:M66 M70:M75 M77 M83:M88 M92 M96:M97 M102:M103 M111:M114 M121:M126 M136:M137 M140:M143 M145:M147 M155:M156 M160:M162 M166 M174 M179:M180 M210:M211 M224:M225" xr:uid="{00000000-0002-0000-0200-000002000000}">
      <formula1>42583</formula1>
    </dataValidation>
    <dataValidation allowBlank="1" sqref="N1:N1047112 O34 O41 O90" xr:uid="{00000000-0002-0000-0200-000003000000}"/>
    <dataValidation type="textLength" allowBlank="1" showInputMessage="1" showErrorMessage="1" errorTitle="Error de formato" error="Ingrese un rut válido, sin utilizar puntos ni guión." promptTitle="Ingrese Rut" prompt="No utilice puntos ni guión. Si necesita agregar nuevos tipos de invasivos para un mismo paciente, ingrese nuevamente el rut en la siguiente fila." sqref="A9:A271 B199" xr:uid="{00000000-0002-0000-0200-000004000000}">
      <formula1>8</formula1>
      <formula2>9</formula2>
    </dataValidation>
  </dataValidations>
  <pageMargins left="0.7" right="0.7" top="0.75" bottom="0.75" header="0.3" footer="0.3"/>
  <pageSetup paperSize="345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8"/>
  <sheetViews>
    <sheetView topLeftCell="G188" zoomScale="70" zoomScaleNormal="70" workbookViewId="0">
      <selection activeCell="AA231" sqref="AA231"/>
    </sheetView>
  </sheetViews>
  <sheetFormatPr baseColWidth="10" defaultRowHeight="14.25" x14ac:dyDescent="0.45"/>
  <cols>
    <col min="11" max="11" width="17.19921875" customWidth="1"/>
  </cols>
  <sheetData>
    <row r="1" spans="1:21" x14ac:dyDescent="0.45">
      <c r="A1" s="1" t="s">
        <v>215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1" x14ac:dyDescent="0.45">
      <c r="A2" s="3"/>
      <c r="B2" s="3"/>
      <c r="C2" s="3"/>
      <c r="D2" s="3"/>
      <c r="E2" s="3"/>
      <c r="F2" s="3"/>
      <c r="G2" s="3"/>
      <c r="H2" s="3"/>
      <c r="I2" s="3"/>
      <c r="J2" s="3"/>
      <c r="K2" s="4"/>
      <c r="L2" s="3"/>
      <c r="M2" s="3"/>
      <c r="N2" s="3"/>
      <c r="O2" s="3"/>
    </row>
    <row r="3" spans="1:21" x14ac:dyDescent="0.45">
      <c r="A3" s="5" t="s">
        <v>216</v>
      </c>
      <c r="B3" s="6"/>
      <c r="C3" s="7" t="s">
        <v>22</v>
      </c>
      <c r="D3" s="6" t="s">
        <v>217</v>
      </c>
      <c r="E3" s="7" t="s">
        <v>21</v>
      </c>
      <c r="F3" s="6" t="s">
        <v>218</v>
      </c>
      <c r="G3" s="7"/>
      <c r="H3" s="6" t="s">
        <v>219</v>
      </c>
      <c r="I3" s="7">
        <v>2024</v>
      </c>
      <c r="J3" s="6"/>
      <c r="K3" s="8"/>
      <c r="L3" s="6"/>
      <c r="M3" s="6"/>
      <c r="N3" s="6"/>
      <c r="O3" s="6"/>
    </row>
    <row r="4" spans="1:21" x14ac:dyDescent="0.45">
      <c r="A4" s="3"/>
      <c r="B4" s="3"/>
      <c r="C4" s="3"/>
      <c r="D4" s="3"/>
      <c r="E4" s="3"/>
      <c r="F4" s="3"/>
      <c r="G4" s="3"/>
      <c r="H4" s="3"/>
      <c r="I4" s="3"/>
      <c r="J4" s="3"/>
      <c r="K4" s="9"/>
      <c r="L4" s="3"/>
      <c r="M4" s="3"/>
      <c r="N4" s="3"/>
      <c r="O4" s="3"/>
    </row>
    <row r="5" spans="1:21" x14ac:dyDescent="0.45">
      <c r="A5" s="3"/>
      <c r="B5" s="3"/>
      <c r="C5" s="3"/>
      <c r="D5" s="3"/>
      <c r="E5" s="3"/>
      <c r="F5" s="3"/>
      <c r="G5" s="3"/>
      <c r="H5" s="3"/>
      <c r="I5" s="3"/>
      <c r="J5" s="3"/>
      <c r="K5" s="9"/>
      <c r="L5" s="3"/>
      <c r="M5" s="3"/>
      <c r="N5" s="3"/>
      <c r="O5" s="3"/>
    </row>
    <row r="6" spans="1:21" ht="14.65" customHeight="1" thickBot="1" x14ac:dyDescent="0.5">
      <c r="A6" s="3"/>
      <c r="B6" s="3"/>
      <c r="C6" s="3"/>
      <c r="D6" s="3"/>
      <c r="E6" s="3"/>
      <c r="F6" s="3"/>
      <c r="G6" s="3"/>
      <c r="H6" s="3"/>
      <c r="I6" s="3"/>
      <c r="J6" s="3"/>
      <c r="K6" s="9"/>
      <c r="L6" s="3"/>
      <c r="M6" s="3"/>
      <c r="N6" s="3"/>
      <c r="O6" s="3"/>
    </row>
    <row r="7" spans="1:21" ht="30.75" customHeight="1" x14ac:dyDescent="0.45">
      <c r="A7" s="10" t="s">
        <v>220</v>
      </c>
      <c r="B7" s="11" t="s">
        <v>221</v>
      </c>
      <c r="C7" s="11" t="s">
        <v>222</v>
      </c>
      <c r="D7" s="12" t="s">
        <v>223</v>
      </c>
      <c r="E7" s="12" t="s">
        <v>224</v>
      </c>
      <c r="F7" s="11" t="s">
        <v>225</v>
      </c>
      <c r="G7" s="12" t="s">
        <v>226</v>
      </c>
      <c r="H7" s="12" t="s">
        <v>227</v>
      </c>
      <c r="I7" s="11" t="s">
        <v>4</v>
      </c>
      <c r="J7" s="11" t="s">
        <v>5</v>
      </c>
      <c r="K7" s="13" t="s">
        <v>3</v>
      </c>
      <c r="L7" s="12" t="s">
        <v>228</v>
      </c>
      <c r="M7" s="12" t="s">
        <v>229</v>
      </c>
      <c r="N7" s="14" t="s">
        <v>230</v>
      </c>
      <c r="O7" s="16" t="s">
        <v>7</v>
      </c>
      <c r="P7" s="127" t="s">
        <v>231</v>
      </c>
      <c r="Q7" s="127" t="s">
        <v>232</v>
      </c>
      <c r="R7" s="127" t="s">
        <v>233</v>
      </c>
      <c r="S7" s="127" t="s">
        <v>234</v>
      </c>
      <c r="T7" s="127" t="s">
        <v>235</v>
      </c>
      <c r="U7" s="127" t="s">
        <v>8</v>
      </c>
    </row>
    <row r="8" spans="1:21" x14ac:dyDescent="0.45">
      <c r="A8" s="20">
        <v>170173759</v>
      </c>
      <c r="B8" s="21" t="str">
        <f t="shared" ref="B8:B71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17.017.375-9</v>
      </c>
      <c r="C8" s="22" t="s">
        <v>22</v>
      </c>
      <c r="D8" s="21" t="s">
        <v>306</v>
      </c>
      <c r="E8" s="21" t="s">
        <v>467</v>
      </c>
      <c r="F8" s="21" t="s">
        <v>565</v>
      </c>
      <c r="G8" s="23">
        <v>45323</v>
      </c>
      <c r="H8" s="23">
        <v>45329</v>
      </c>
      <c r="I8" s="21" t="s">
        <v>56</v>
      </c>
      <c r="J8" s="21" t="s">
        <v>56</v>
      </c>
      <c r="K8" s="24" t="s">
        <v>43</v>
      </c>
      <c r="L8" s="23">
        <v>45323</v>
      </c>
      <c r="M8" s="23">
        <v>45329</v>
      </c>
      <c r="N8" s="25">
        <f t="shared" ref="N8:N71" si="1">+M8-L8</f>
        <v>6</v>
      </c>
      <c r="O8" s="26"/>
      <c r="P8" t="s">
        <v>88</v>
      </c>
      <c r="Q8" t="s">
        <v>88</v>
      </c>
      <c r="R8" t="s">
        <v>88</v>
      </c>
      <c r="S8" t="s">
        <v>88</v>
      </c>
      <c r="T8" t="s">
        <v>88</v>
      </c>
      <c r="U8" t="s">
        <v>20</v>
      </c>
    </row>
    <row r="9" spans="1:21" x14ac:dyDescent="0.45">
      <c r="A9" s="20">
        <v>170173759</v>
      </c>
      <c r="B9" s="21" t="str">
        <f t="shared" si="0"/>
        <v>17.017.375-9</v>
      </c>
      <c r="C9" s="22" t="s">
        <v>22</v>
      </c>
      <c r="D9" s="21" t="s">
        <v>306</v>
      </c>
      <c r="E9" s="21" t="s">
        <v>467</v>
      </c>
      <c r="F9" s="21" t="s">
        <v>565</v>
      </c>
      <c r="G9" s="23">
        <f>IF(IFERROR(VLOOKUP(A9,$A8:$I$9,1,0),0)=0,"",VLOOKUP(A9,$A8:$I$9,7,0))</f>
        <v>45323</v>
      </c>
      <c r="H9" s="23">
        <v>45329</v>
      </c>
      <c r="I9" s="21" t="s">
        <v>56</v>
      </c>
      <c r="J9" s="21" t="s">
        <v>56</v>
      </c>
      <c r="K9" s="24" t="s">
        <v>47</v>
      </c>
      <c r="L9" s="23">
        <v>45323</v>
      </c>
      <c r="M9" s="23">
        <v>45329</v>
      </c>
      <c r="N9" s="25">
        <f t="shared" si="1"/>
        <v>6</v>
      </c>
      <c r="O9" s="26"/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20</v>
      </c>
    </row>
    <row r="10" spans="1:21" x14ac:dyDescent="0.45">
      <c r="A10" s="20">
        <v>170173759</v>
      </c>
      <c r="B10" s="21" t="str">
        <f t="shared" si="0"/>
        <v>17.017.375-9</v>
      </c>
      <c r="C10" s="22" t="s">
        <v>22</v>
      </c>
      <c r="D10" s="21" t="s">
        <v>306</v>
      </c>
      <c r="E10" s="21" t="s">
        <v>467</v>
      </c>
      <c r="F10" s="21" t="s">
        <v>565</v>
      </c>
      <c r="G10" s="23">
        <f>IF(IFERROR(VLOOKUP(A10,$A9:$I$9,1,0),0)=0,"",VLOOKUP(A10,$A9:$I$9,7,0))</f>
        <v>45323</v>
      </c>
      <c r="H10" s="23">
        <v>45329</v>
      </c>
      <c r="I10" s="21" t="s">
        <v>56</v>
      </c>
      <c r="J10" s="21" t="s">
        <v>56</v>
      </c>
      <c r="K10" s="24" t="s">
        <v>55</v>
      </c>
      <c r="L10" s="23">
        <v>45323</v>
      </c>
      <c r="M10" s="23">
        <v>45326</v>
      </c>
      <c r="N10" s="25">
        <f t="shared" si="1"/>
        <v>3</v>
      </c>
      <c r="O10" s="26"/>
      <c r="P10" t="s">
        <v>88</v>
      </c>
      <c r="Q10" t="s">
        <v>88</v>
      </c>
      <c r="R10" t="s">
        <v>88</v>
      </c>
      <c r="S10" t="s">
        <v>88</v>
      </c>
      <c r="T10" t="s">
        <v>88</v>
      </c>
      <c r="U10" t="s">
        <v>20</v>
      </c>
    </row>
    <row r="11" spans="1:21" x14ac:dyDescent="0.45">
      <c r="A11" s="20">
        <v>80978766</v>
      </c>
      <c r="B11" s="21" t="str">
        <f t="shared" si="0"/>
        <v>8.097.876-6</v>
      </c>
      <c r="C11" s="22" t="s">
        <v>22</v>
      </c>
      <c r="D11" s="21" t="s">
        <v>374</v>
      </c>
      <c r="E11" s="21" t="s">
        <v>566</v>
      </c>
      <c r="F11" s="21" t="s">
        <v>567</v>
      </c>
      <c r="G11" s="23">
        <v>45318</v>
      </c>
      <c r="H11" s="23">
        <v>45335</v>
      </c>
      <c r="I11" s="21" t="s">
        <v>60</v>
      </c>
      <c r="J11" s="21"/>
      <c r="K11" s="24" t="s">
        <v>43</v>
      </c>
      <c r="L11" s="23">
        <v>45323</v>
      </c>
      <c r="M11" s="23">
        <v>45335</v>
      </c>
      <c r="N11" s="25">
        <f t="shared" si="1"/>
        <v>12</v>
      </c>
      <c r="O11" s="26"/>
      <c r="P11" t="s">
        <v>88</v>
      </c>
      <c r="Q11" t="s">
        <v>88</v>
      </c>
      <c r="R11" t="s">
        <v>88</v>
      </c>
      <c r="S11" t="s">
        <v>88</v>
      </c>
      <c r="T11" t="s">
        <v>88</v>
      </c>
      <c r="U11" t="s">
        <v>20</v>
      </c>
    </row>
    <row r="12" spans="1:21" x14ac:dyDescent="0.45">
      <c r="A12" s="20">
        <v>80978766</v>
      </c>
      <c r="B12" s="21" t="str">
        <f t="shared" si="0"/>
        <v>8.097.876-6</v>
      </c>
      <c r="C12" s="22" t="s">
        <v>22</v>
      </c>
      <c r="D12" s="21" t="s">
        <v>374</v>
      </c>
      <c r="E12" s="21" t="s">
        <v>566</v>
      </c>
      <c r="F12" s="21" t="s">
        <v>567</v>
      </c>
      <c r="G12" s="23">
        <v>45318</v>
      </c>
      <c r="H12" s="23">
        <v>45335</v>
      </c>
      <c r="I12" s="21" t="s">
        <v>60</v>
      </c>
      <c r="J12" s="21"/>
      <c r="K12" s="24" t="s">
        <v>47</v>
      </c>
      <c r="L12" s="23">
        <v>45323</v>
      </c>
      <c r="M12" s="23">
        <v>45335</v>
      </c>
      <c r="N12" s="25">
        <f t="shared" si="1"/>
        <v>12</v>
      </c>
      <c r="O12" s="26"/>
      <c r="P12" t="s">
        <v>88</v>
      </c>
      <c r="Q12" t="s">
        <v>88</v>
      </c>
      <c r="R12" t="s">
        <v>88</v>
      </c>
      <c r="S12" t="s">
        <v>88</v>
      </c>
      <c r="T12" t="s">
        <v>88</v>
      </c>
      <c r="U12" t="s">
        <v>20</v>
      </c>
    </row>
    <row r="13" spans="1:21" x14ac:dyDescent="0.45">
      <c r="A13" s="20">
        <v>80978766</v>
      </c>
      <c r="B13" s="21" t="str">
        <f t="shared" si="0"/>
        <v>8.097.876-6</v>
      </c>
      <c r="C13" s="22" t="s">
        <v>22</v>
      </c>
      <c r="D13" s="21" t="s">
        <v>374</v>
      </c>
      <c r="E13" s="21" t="s">
        <v>566</v>
      </c>
      <c r="F13" s="21" t="s">
        <v>567</v>
      </c>
      <c r="G13" s="23">
        <v>45318</v>
      </c>
      <c r="H13" s="23">
        <v>45335</v>
      </c>
      <c r="I13" s="21" t="s">
        <v>60</v>
      </c>
      <c r="J13" s="21" t="s">
        <v>22</v>
      </c>
      <c r="K13" s="24" t="s">
        <v>55</v>
      </c>
      <c r="L13" s="23">
        <v>45323</v>
      </c>
      <c r="M13" s="23">
        <v>45332</v>
      </c>
      <c r="N13" s="25">
        <f t="shared" si="1"/>
        <v>9</v>
      </c>
      <c r="O13" s="26"/>
      <c r="P13" t="s">
        <v>88</v>
      </c>
      <c r="Q13" t="s">
        <v>88</v>
      </c>
      <c r="R13" t="s">
        <v>88</v>
      </c>
      <c r="S13" t="s">
        <v>88</v>
      </c>
      <c r="T13" t="s">
        <v>88</v>
      </c>
      <c r="U13" t="s">
        <v>20</v>
      </c>
    </row>
    <row r="14" spans="1:21" x14ac:dyDescent="0.45">
      <c r="A14" s="20">
        <v>62651598</v>
      </c>
      <c r="B14" s="21" t="str">
        <f t="shared" si="0"/>
        <v>6.265.159-8</v>
      </c>
      <c r="C14" s="22" t="s">
        <v>22</v>
      </c>
      <c r="D14" s="21" t="s">
        <v>568</v>
      </c>
      <c r="E14" s="21" t="s">
        <v>569</v>
      </c>
      <c r="F14" s="21" t="s">
        <v>238</v>
      </c>
      <c r="G14" s="23">
        <v>45318</v>
      </c>
      <c r="H14" s="23">
        <v>45324</v>
      </c>
      <c r="I14" s="21" t="s">
        <v>61</v>
      </c>
      <c r="J14" s="21" t="s">
        <v>13</v>
      </c>
      <c r="K14" s="24" t="s">
        <v>47</v>
      </c>
      <c r="L14" s="23">
        <v>45323</v>
      </c>
      <c r="M14" s="23">
        <v>45324</v>
      </c>
      <c r="N14" s="25">
        <f t="shared" si="1"/>
        <v>1</v>
      </c>
      <c r="O14" s="26"/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20</v>
      </c>
    </row>
    <row r="15" spans="1:21" x14ac:dyDescent="0.45">
      <c r="A15" s="20">
        <v>104652018</v>
      </c>
      <c r="B15" s="21" t="str">
        <f t="shared" si="0"/>
        <v>10.465.201-8</v>
      </c>
      <c r="C15" s="22" t="s">
        <v>22</v>
      </c>
      <c r="D15" s="21" t="s">
        <v>546</v>
      </c>
      <c r="E15" s="21" t="s">
        <v>547</v>
      </c>
      <c r="F15" s="21" t="s">
        <v>548</v>
      </c>
      <c r="G15" s="23">
        <v>45319</v>
      </c>
      <c r="H15" s="23">
        <v>45341</v>
      </c>
      <c r="I15" s="21" t="s">
        <v>61</v>
      </c>
      <c r="J15" s="21" t="s">
        <v>19</v>
      </c>
      <c r="K15" s="24" t="s">
        <v>43</v>
      </c>
      <c r="L15" s="23">
        <v>45323</v>
      </c>
      <c r="M15" s="23">
        <v>45341</v>
      </c>
      <c r="N15" s="25">
        <f t="shared" si="1"/>
        <v>18</v>
      </c>
      <c r="O15" s="26"/>
      <c r="P15" t="s">
        <v>88</v>
      </c>
      <c r="Q15" t="s">
        <v>88</v>
      </c>
      <c r="R15" t="s">
        <v>88</v>
      </c>
      <c r="S15" t="s">
        <v>88</v>
      </c>
      <c r="T15" t="s">
        <v>88</v>
      </c>
      <c r="U15" t="s">
        <v>20</v>
      </c>
    </row>
    <row r="16" spans="1:21" x14ac:dyDescent="0.45">
      <c r="A16" s="20">
        <v>104652018</v>
      </c>
      <c r="B16" s="21" t="str">
        <f t="shared" si="0"/>
        <v>10.465.201-8</v>
      </c>
      <c r="C16" s="22" t="s">
        <v>22</v>
      </c>
      <c r="D16" s="21" t="s">
        <v>546</v>
      </c>
      <c r="E16" s="21" t="s">
        <v>547</v>
      </c>
      <c r="F16" s="21" t="s">
        <v>548</v>
      </c>
      <c r="G16" s="23">
        <v>45319</v>
      </c>
      <c r="H16" s="23">
        <v>45341</v>
      </c>
      <c r="I16" s="21" t="s">
        <v>61</v>
      </c>
      <c r="J16" s="21" t="s">
        <v>19</v>
      </c>
      <c r="K16" s="24" t="s">
        <v>47</v>
      </c>
      <c r="L16" s="23">
        <v>45323</v>
      </c>
      <c r="M16" s="23">
        <v>45328</v>
      </c>
      <c r="N16" s="25">
        <f t="shared" si="1"/>
        <v>5</v>
      </c>
      <c r="O16" s="26"/>
      <c r="P16" t="s">
        <v>106</v>
      </c>
      <c r="Q16" t="s">
        <v>88</v>
      </c>
      <c r="R16" t="s">
        <v>88</v>
      </c>
      <c r="S16" t="s">
        <v>88</v>
      </c>
      <c r="T16" t="s">
        <v>88</v>
      </c>
      <c r="U16" t="s">
        <v>20</v>
      </c>
    </row>
    <row r="17" spans="1:21" x14ac:dyDescent="0.45">
      <c r="A17" s="20">
        <v>104652018</v>
      </c>
      <c r="B17" s="21" t="str">
        <f t="shared" si="0"/>
        <v>10.465.201-8</v>
      </c>
      <c r="C17" s="22" t="s">
        <v>22</v>
      </c>
      <c r="D17" s="21" t="s">
        <v>546</v>
      </c>
      <c r="E17" s="21" t="s">
        <v>547</v>
      </c>
      <c r="F17" s="21" t="s">
        <v>548</v>
      </c>
      <c r="G17" s="23">
        <v>45319</v>
      </c>
      <c r="H17" s="23">
        <v>45341</v>
      </c>
      <c r="I17" s="21" t="s">
        <v>61</v>
      </c>
      <c r="J17" s="21" t="s">
        <v>19</v>
      </c>
      <c r="K17" s="24" t="s">
        <v>55</v>
      </c>
      <c r="L17" s="23">
        <v>45323</v>
      </c>
      <c r="M17" s="23">
        <v>45341</v>
      </c>
      <c r="N17" s="25">
        <f t="shared" si="1"/>
        <v>18</v>
      </c>
      <c r="O17" s="37"/>
      <c r="P17" t="s">
        <v>132</v>
      </c>
      <c r="Q17" t="s">
        <v>88</v>
      </c>
      <c r="R17" t="s">
        <v>88</v>
      </c>
      <c r="S17" t="s">
        <v>88</v>
      </c>
      <c r="T17" t="s">
        <v>88</v>
      </c>
      <c r="U17" t="s">
        <v>14</v>
      </c>
    </row>
    <row r="18" spans="1:21" ht="15" customHeight="1" x14ac:dyDescent="0.45">
      <c r="A18" s="20">
        <v>104652018</v>
      </c>
      <c r="B18" s="21" t="str">
        <f t="shared" si="0"/>
        <v>10.465.201-8</v>
      </c>
      <c r="C18" s="22" t="s">
        <v>22</v>
      </c>
      <c r="D18" s="21" t="s">
        <v>546</v>
      </c>
      <c r="E18" s="21" t="s">
        <v>547</v>
      </c>
      <c r="F18" s="21" t="s">
        <v>548</v>
      </c>
      <c r="G18" s="23">
        <v>45319</v>
      </c>
      <c r="H18" s="23">
        <v>45341</v>
      </c>
      <c r="I18" s="21" t="s">
        <v>61</v>
      </c>
      <c r="J18" s="21" t="s">
        <v>19</v>
      </c>
      <c r="K18" s="24" t="s">
        <v>47</v>
      </c>
      <c r="L18" s="23">
        <v>45323</v>
      </c>
      <c r="M18" s="23">
        <v>45341</v>
      </c>
      <c r="N18" s="25">
        <f t="shared" si="1"/>
        <v>18</v>
      </c>
      <c r="O18" s="26"/>
      <c r="P18" t="s">
        <v>88</v>
      </c>
      <c r="Q18" t="s">
        <v>88</v>
      </c>
      <c r="R18" t="s">
        <v>88</v>
      </c>
      <c r="S18" t="s">
        <v>88</v>
      </c>
      <c r="T18" t="s">
        <v>88</v>
      </c>
      <c r="U18" t="s">
        <v>20</v>
      </c>
    </row>
    <row r="19" spans="1:21" x14ac:dyDescent="0.45">
      <c r="A19" s="20">
        <v>115697099</v>
      </c>
      <c r="B19" s="21" t="str">
        <f t="shared" si="0"/>
        <v>11.569.709-9</v>
      </c>
      <c r="C19" s="22" t="s">
        <v>22</v>
      </c>
      <c r="D19" s="21" t="s">
        <v>570</v>
      </c>
      <c r="E19" s="21" t="s">
        <v>417</v>
      </c>
      <c r="F19" s="21" t="s">
        <v>571</v>
      </c>
      <c r="G19" s="23">
        <v>45321</v>
      </c>
      <c r="H19" s="23">
        <v>45328</v>
      </c>
      <c r="I19" s="21" t="s">
        <v>22</v>
      </c>
      <c r="J19" s="21" t="s">
        <v>19</v>
      </c>
      <c r="K19" s="24" t="s">
        <v>43</v>
      </c>
      <c r="L19" s="23">
        <v>45323</v>
      </c>
      <c r="M19" s="23">
        <v>45328</v>
      </c>
      <c r="N19" s="25">
        <f t="shared" si="1"/>
        <v>5</v>
      </c>
      <c r="O19" s="26"/>
      <c r="P19" t="s">
        <v>88</v>
      </c>
      <c r="Q19" t="s">
        <v>88</v>
      </c>
      <c r="R19" t="s">
        <v>88</v>
      </c>
      <c r="S19" t="s">
        <v>88</v>
      </c>
      <c r="T19" t="s">
        <v>88</v>
      </c>
      <c r="U19" t="s">
        <v>20</v>
      </c>
    </row>
    <row r="20" spans="1:21" x14ac:dyDescent="0.45">
      <c r="A20" s="20">
        <v>115697099</v>
      </c>
      <c r="B20" s="21" t="str">
        <f t="shared" si="0"/>
        <v>11.569.709-9</v>
      </c>
      <c r="C20" s="22" t="s">
        <v>22</v>
      </c>
      <c r="D20" s="21" t="s">
        <v>570</v>
      </c>
      <c r="E20" s="21" t="s">
        <v>417</v>
      </c>
      <c r="F20" s="21" t="s">
        <v>571</v>
      </c>
      <c r="G20" s="23">
        <f>IF(IFERROR(VLOOKUP(A20,$A$9:$I19,1,0),0)=0,"",VLOOKUP(A20,$A$9:$I19,7,0))</f>
        <v>45321</v>
      </c>
      <c r="H20" s="23">
        <v>45328</v>
      </c>
      <c r="I20" s="21" t="s">
        <v>22</v>
      </c>
      <c r="J20" s="21" t="s">
        <v>19</v>
      </c>
      <c r="K20" s="24" t="s">
        <v>47</v>
      </c>
      <c r="L20" s="23">
        <v>45323</v>
      </c>
      <c r="M20" s="23">
        <v>45328</v>
      </c>
      <c r="N20" s="25">
        <f t="shared" si="1"/>
        <v>5</v>
      </c>
      <c r="O20" s="26"/>
      <c r="P20" t="s">
        <v>88</v>
      </c>
      <c r="Q20" t="s">
        <v>88</v>
      </c>
      <c r="R20" t="s">
        <v>88</v>
      </c>
      <c r="S20" t="s">
        <v>88</v>
      </c>
      <c r="T20" t="s">
        <v>88</v>
      </c>
      <c r="U20" t="s">
        <v>20</v>
      </c>
    </row>
    <row r="21" spans="1:21" x14ac:dyDescent="0.45">
      <c r="A21" s="20" t="s">
        <v>572</v>
      </c>
      <c r="B21" s="21" t="str">
        <f t="shared" si="0"/>
        <v>7.965.292-K</v>
      </c>
      <c r="C21" s="22" t="s">
        <v>22</v>
      </c>
      <c r="D21" s="21" t="s">
        <v>573</v>
      </c>
      <c r="E21" s="21" t="s">
        <v>574</v>
      </c>
      <c r="F21" s="21" t="s">
        <v>565</v>
      </c>
      <c r="G21" s="23">
        <v>45324</v>
      </c>
      <c r="H21" s="23">
        <v>45326</v>
      </c>
      <c r="I21" s="21" t="s">
        <v>56</v>
      </c>
      <c r="J21" s="21" t="s">
        <v>22</v>
      </c>
      <c r="K21" s="24" t="s">
        <v>47</v>
      </c>
      <c r="L21" s="23">
        <v>45323</v>
      </c>
      <c r="M21" s="23">
        <v>45326</v>
      </c>
      <c r="N21" s="25">
        <f t="shared" si="1"/>
        <v>3</v>
      </c>
      <c r="O21" s="26"/>
      <c r="P21" t="s">
        <v>88</v>
      </c>
      <c r="Q21" t="s">
        <v>88</v>
      </c>
      <c r="R21" t="s">
        <v>88</v>
      </c>
      <c r="S21" t="s">
        <v>88</v>
      </c>
      <c r="T21" t="s">
        <v>88</v>
      </c>
      <c r="U21" t="s">
        <v>20</v>
      </c>
    </row>
    <row r="22" spans="1:21" x14ac:dyDescent="0.45">
      <c r="A22" s="20">
        <v>53862403</v>
      </c>
      <c r="B22" s="21" t="str">
        <f t="shared" si="0"/>
        <v>5.386.240-3</v>
      </c>
      <c r="C22" s="22" t="s">
        <v>22</v>
      </c>
      <c r="D22" s="21" t="s">
        <v>240</v>
      </c>
      <c r="E22" s="21" t="s">
        <v>285</v>
      </c>
      <c r="F22" s="21" t="s">
        <v>380</v>
      </c>
      <c r="G22" s="23">
        <v>45320</v>
      </c>
      <c r="H22" s="23">
        <v>45329</v>
      </c>
      <c r="I22" s="21" t="s">
        <v>54</v>
      </c>
      <c r="J22" s="21" t="s">
        <v>22</v>
      </c>
      <c r="K22" s="24" t="s">
        <v>43</v>
      </c>
      <c r="L22" s="23">
        <v>45323</v>
      </c>
      <c r="M22" s="23">
        <v>45329</v>
      </c>
      <c r="N22" s="25">
        <f t="shared" si="1"/>
        <v>6</v>
      </c>
      <c r="O22" s="26"/>
      <c r="P22" t="s">
        <v>88</v>
      </c>
      <c r="Q22" t="s">
        <v>88</v>
      </c>
      <c r="R22" t="s">
        <v>88</v>
      </c>
      <c r="S22" t="s">
        <v>88</v>
      </c>
      <c r="T22" t="s">
        <v>88</v>
      </c>
      <c r="U22" t="s">
        <v>20</v>
      </c>
    </row>
    <row r="23" spans="1:21" x14ac:dyDescent="0.45">
      <c r="A23" s="20">
        <v>53862403</v>
      </c>
      <c r="B23" s="21" t="str">
        <f t="shared" si="0"/>
        <v>5.386.240-3</v>
      </c>
      <c r="C23" s="22" t="s">
        <v>22</v>
      </c>
      <c r="D23" s="21" t="s">
        <v>240</v>
      </c>
      <c r="E23" s="21" t="s">
        <v>285</v>
      </c>
      <c r="F23" s="21" t="s">
        <v>380</v>
      </c>
      <c r="G23" s="23">
        <v>45320</v>
      </c>
      <c r="H23" s="23">
        <v>45329</v>
      </c>
      <c r="I23" s="21" t="s">
        <v>54</v>
      </c>
      <c r="J23" s="21" t="s">
        <v>22</v>
      </c>
      <c r="K23" s="24" t="s">
        <v>47</v>
      </c>
      <c r="L23" s="23">
        <v>45323</v>
      </c>
      <c r="M23" s="23">
        <v>45329</v>
      </c>
      <c r="N23" s="25">
        <f t="shared" si="1"/>
        <v>6</v>
      </c>
      <c r="O23" s="26"/>
      <c r="P23" t="s">
        <v>88</v>
      </c>
      <c r="Q23" t="s">
        <v>88</v>
      </c>
      <c r="R23" t="s">
        <v>88</v>
      </c>
      <c r="S23" t="s">
        <v>88</v>
      </c>
      <c r="T23" t="s">
        <v>88</v>
      </c>
      <c r="U23" t="s">
        <v>20</v>
      </c>
    </row>
    <row r="24" spans="1:21" x14ac:dyDescent="0.45">
      <c r="A24" s="20">
        <v>53485235</v>
      </c>
      <c r="B24" s="21" t="str">
        <f t="shared" si="0"/>
        <v>5.348.523-5</v>
      </c>
      <c r="C24" s="22" t="s">
        <v>22</v>
      </c>
      <c r="D24" s="21" t="s">
        <v>575</v>
      </c>
      <c r="E24" s="21" t="s">
        <v>559</v>
      </c>
      <c r="F24" s="21" t="s">
        <v>565</v>
      </c>
      <c r="G24" s="23">
        <v>45325</v>
      </c>
      <c r="H24" s="32">
        <v>45337</v>
      </c>
      <c r="I24" s="21" t="s">
        <v>22</v>
      </c>
      <c r="J24" s="38" t="s">
        <v>24</v>
      </c>
      <c r="K24" s="24" t="s">
        <v>43</v>
      </c>
      <c r="L24" s="23">
        <v>45323</v>
      </c>
      <c r="M24" s="23">
        <v>45337</v>
      </c>
      <c r="N24" s="25">
        <f t="shared" si="1"/>
        <v>14</v>
      </c>
      <c r="O24" s="26"/>
      <c r="P24" t="s">
        <v>88</v>
      </c>
      <c r="Q24" t="s">
        <v>88</v>
      </c>
      <c r="R24" t="s">
        <v>88</v>
      </c>
      <c r="S24" t="s">
        <v>88</v>
      </c>
      <c r="T24" t="s">
        <v>88</v>
      </c>
      <c r="U24" t="s">
        <v>20</v>
      </c>
    </row>
    <row r="25" spans="1:21" x14ac:dyDescent="0.45">
      <c r="A25" s="20">
        <v>53485235</v>
      </c>
      <c r="B25" s="21" t="str">
        <f t="shared" si="0"/>
        <v>5.348.523-5</v>
      </c>
      <c r="C25" s="22" t="s">
        <v>22</v>
      </c>
      <c r="D25" s="21" t="s">
        <v>575</v>
      </c>
      <c r="E25" s="21" t="s">
        <v>559</v>
      </c>
      <c r="F25" s="21" t="s">
        <v>565</v>
      </c>
      <c r="G25" s="23">
        <v>45325</v>
      </c>
      <c r="H25" s="32">
        <v>45337</v>
      </c>
      <c r="I25" s="21" t="s">
        <v>22</v>
      </c>
      <c r="J25" s="21" t="s">
        <v>24</v>
      </c>
      <c r="K25" s="24" t="s">
        <v>47</v>
      </c>
      <c r="L25" s="23">
        <v>45323</v>
      </c>
      <c r="M25" s="23">
        <v>45337</v>
      </c>
      <c r="N25" s="25">
        <f t="shared" si="1"/>
        <v>14</v>
      </c>
      <c r="O25" s="26"/>
      <c r="P25" t="s">
        <v>88</v>
      </c>
      <c r="Q25" t="s">
        <v>88</v>
      </c>
      <c r="R25" t="s">
        <v>88</v>
      </c>
      <c r="S25" t="s">
        <v>88</v>
      </c>
      <c r="T25" t="s">
        <v>88</v>
      </c>
      <c r="U25" t="s">
        <v>20</v>
      </c>
    </row>
    <row r="26" spans="1:21" x14ac:dyDescent="0.45">
      <c r="A26" s="20">
        <v>53485235</v>
      </c>
      <c r="B26" s="21" t="str">
        <f t="shared" si="0"/>
        <v>5.348.523-5</v>
      </c>
      <c r="C26" s="22" t="s">
        <v>22</v>
      </c>
      <c r="D26" s="21" t="s">
        <v>575</v>
      </c>
      <c r="E26" s="21" t="s">
        <v>559</v>
      </c>
      <c r="F26" s="21" t="s">
        <v>565</v>
      </c>
      <c r="G26" s="23">
        <v>45325</v>
      </c>
      <c r="H26" s="32">
        <v>45337</v>
      </c>
      <c r="I26" s="21" t="s">
        <v>22</v>
      </c>
      <c r="J26" s="21" t="s">
        <v>24</v>
      </c>
      <c r="K26" s="24" t="s">
        <v>55</v>
      </c>
      <c r="L26" s="23">
        <v>45323</v>
      </c>
      <c r="M26" s="23">
        <v>45332</v>
      </c>
      <c r="N26" s="25">
        <f t="shared" si="1"/>
        <v>9</v>
      </c>
      <c r="O26" s="26"/>
      <c r="P26" t="s">
        <v>88</v>
      </c>
      <c r="Q26" t="s">
        <v>88</v>
      </c>
      <c r="R26" t="s">
        <v>88</v>
      </c>
      <c r="S26" t="s">
        <v>88</v>
      </c>
      <c r="T26" t="s">
        <v>88</v>
      </c>
      <c r="U26" t="s">
        <v>20</v>
      </c>
    </row>
    <row r="27" spans="1:21" x14ac:dyDescent="0.45">
      <c r="A27" s="20" t="s">
        <v>576</v>
      </c>
      <c r="B27" s="21" t="str">
        <f t="shared" si="0"/>
        <v>7.392.351-4</v>
      </c>
      <c r="C27" s="22" t="s">
        <v>22</v>
      </c>
      <c r="D27" s="21" t="s">
        <v>558</v>
      </c>
      <c r="E27" s="21" t="s">
        <v>559</v>
      </c>
      <c r="F27" s="21" t="s">
        <v>560</v>
      </c>
      <c r="G27" s="23">
        <v>45324</v>
      </c>
      <c r="H27" s="23">
        <v>45329</v>
      </c>
      <c r="I27" s="21" t="s">
        <v>22</v>
      </c>
      <c r="J27" s="21" t="s">
        <v>30</v>
      </c>
      <c r="K27" s="24" t="s">
        <v>43</v>
      </c>
      <c r="L27" s="23">
        <v>45323</v>
      </c>
      <c r="M27" s="23">
        <v>45329</v>
      </c>
      <c r="N27" s="25">
        <f t="shared" si="1"/>
        <v>6</v>
      </c>
      <c r="O27" s="26"/>
      <c r="P27" t="s">
        <v>88</v>
      </c>
      <c r="Q27" t="s">
        <v>88</v>
      </c>
      <c r="R27" t="s">
        <v>88</v>
      </c>
      <c r="S27" t="s">
        <v>88</v>
      </c>
      <c r="T27" t="s">
        <v>88</v>
      </c>
      <c r="U27" t="s">
        <v>20</v>
      </c>
    </row>
    <row r="28" spans="1:21" x14ac:dyDescent="0.45">
      <c r="A28" s="20" t="s">
        <v>576</v>
      </c>
      <c r="B28" s="21" t="str">
        <f t="shared" si="0"/>
        <v>7.392.351-4</v>
      </c>
      <c r="C28" s="22" t="s">
        <v>22</v>
      </c>
      <c r="D28" s="21" t="s">
        <v>558</v>
      </c>
      <c r="E28" s="21" t="s">
        <v>559</v>
      </c>
      <c r="F28" s="21" t="s">
        <v>560</v>
      </c>
      <c r="G28" s="23">
        <v>45324</v>
      </c>
      <c r="H28" s="23">
        <v>45329</v>
      </c>
      <c r="I28" s="21" t="s">
        <v>22</v>
      </c>
      <c r="J28" s="21" t="s">
        <v>30</v>
      </c>
      <c r="K28" s="24" t="s">
        <v>55</v>
      </c>
      <c r="L28" s="23">
        <v>45323</v>
      </c>
      <c r="M28" s="23">
        <v>45329</v>
      </c>
      <c r="N28" s="25">
        <f t="shared" si="1"/>
        <v>6</v>
      </c>
      <c r="O28" s="26"/>
      <c r="P28" t="s">
        <v>88</v>
      </c>
      <c r="Q28" t="s">
        <v>88</v>
      </c>
      <c r="R28" t="s">
        <v>88</v>
      </c>
      <c r="S28" t="s">
        <v>88</v>
      </c>
      <c r="T28" t="s">
        <v>88</v>
      </c>
      <c r="U28" t="s">
        <v>20</v>
      </c>
    </row>
    <row r="29" spans="1:21" x14ac:dyDescent="0.45">
      <c r="A29" s="20">
        <v>145899818</v>
      </c>
      <c r="B29" s="21" t="str">
        <f t="shared" si="0"/>
        <v>14.589.981-8</v>
      </c>
      <c r="C29" s="22" t="s">
        <v>22</v>
      </c>
      <c r="D29" s="21" t="s">
        <v>236</v>
      </c>
      <c r="E29" s="21" t="s">
        <v>559</v>
      </c>
      <c r="F29" s="21" t="s">
        <v>577</v>
      </c>
      <c r="G29" s="23">
        <v>45325</v>
      </c>
      <c r="H29" s="23">
        <v>45331</v>
      </c>
      <c r="I29" s="21" t="s">
        <v>24</v>
      </c>
      <c r="J29" s="21" t="s">
        <v>22</v>
      </c>
      <c r="K29" s="24" t="s">
        <v>43</v>
      </c>
      <c r="L29" s="23">
        <v>45323</v>
      </c>
      <c r="M29" s="23">
        <v>45331</v>
      </c>
      <c r="N29" s="25">
        <f t="shared" si="1"/>
        <v>8</v>
      </c>
      <c r="O29" s="26"/>
      <c r="P29" t="s">
        <v>88</v>
      </c>
      <c r="Q29" t="s">
        <v>88</v>
      </c>
      <c r="R29" t="s">
        <v>88</v>
      </c>
      <c r="S29" t="s">
        <v>88</v>
      </c>
      <c r="T29" t="s">
        <v>88</v>
      </c>
      <c r="U29" t="s">
        <v>20</v>
      </c>
    </row>
    <row r="30" spans="1:21" x14ac:dyDescent="0.45">
      <c r="A30" s="20">
        <v>145899818</v>
      </c>
      <c r="B30" s="21" t="str">
        <f t="shared" si="0"/>
        <v>14.589.981-8</v>
      </c>
      <c r="C30" s="22" t="s">
        <v>22</v>
      </c>
      <c r="D30" s="21" t="s">
        <v>236</v>
      </c>
      <c r="E30" s="21" t="s">
        <v>559</v>
      </c>
      <c r="F30" s="21" t="s">
        <v>577</v>
      </c>
      <c r="G30" s="23">
        <f>IF(IFERROR(VLOOKUP(A30,$A$9:$I29,1,0),0)=0,"",VLOOKUP(A30,$A$9:$I29,7,0))</f>
        <v>45325</v>
      </c>
      <c r="H30" s="23">
        <v>45331</v>
      </c>
      <c r="I30" s="21" t="s">
        <v>24</v>
      </c>
      <c r="J30" s="21" t="s">
        <v>22</v>
      </c>
      <c r="K30" s="24" t="s">
        <v>47</v>
      </c>
      <c r="L30" s="23">
        <v>45323</v>
      </c>
      <c r="M30" s="23">
        <v>45331</v>
      </c>
      <c r="N30" s="25">
        <f t="shared" si="1"/>
        <v>8</v>
      </c>
      <c r="O30" s="26"/>
      <c r="P30" t="s">
        <v>88</v>
      </c>
      <c r="Q30" t="s">
        <v>88</v>
      </c>
      <c r="R30" t="s">
        <v>88</v>
      </c>
      <c r="S30" t="s">
        <v>88</v>
      </c>
      <c r="T30" t="s">
        <v>88</v>
      </c>
      <c r="U30" t="s">
        <v>20</v>
      </c>
    </row>
    <row r="31" spans="1:21" x14ac:dyDescent="0.45">
      <c r="A31" s="20">
        <v>145899818</v>
      </c>
      <c r="B31" s="21" t="str">
        <f t="shared" si="0"/>
        <v>14.589.981-8</v>
      </c>
      <c r="C31" s="22" t="s">
        <v>22</v>
      </c>
      <c r="D31" s="21" t="s">
        <v>236</v>
      </c>
      <c r="E31" s="21" t="s">
        <v>559</v>
      </c>
      <c r="F31" s="21" t="s">
        <v>577</v>
      </c>
      <c r="G31" s="23">
        <f>IF(IFERROR(VLOOKUP(A31,$A$9:$I30,1,0),0)=0,"",VLOOKUP(A31,$A$9:$I30,7,0))</f>
        <v>45325</v>
      </c>
      <c r="H31" s="23">
        <v>45331</v>
      </c>
      <c r="I31" s="21" t="s">
        <v>24</v>
      </c>
      <c r="J31" s="21" t="s">
        <v>22</v>
      </c>
      <c r="K31" s="24" t="s">
        <v>55</v>
      </c>
      <c r="L31" s="23">
        <v>45323</v>
      </c>
      <c r="M31" s="23">
        <v>45331</v>
      </c>
      <c r="N31" s="25">
        <f t="shared" si="1"/>
        <v>8</v>
      </c>
      <c r="O31" s="26"/>
      <c r="P31" t="s">
        <v>88</v>
      </c>
      <c r="Q31" t="s">
        <v>88</v>
      </c>
      <c r="R31" t="s">
        <v>88</v>
      </c>
      <c r="S31" t="s">
        <v>88</v>
      </c>
      <c r="T31" t="s">
        <v>88</v>
      </c>
      <c r="U31" t="s">
        <v>20</v>
      </c>
    </row>
    <row r="32" spans="1:21" x14ac:dyDescent="0.45">
      <c r="A32" s="20">
        <v>59432397</v>
      </c>
      <c r="B32" s="21" t="str">
        <f t="shared" si="0"/>
        <v>5.943.239-7</v>
      </c>
      <c r="C32" s="22" t="s">
        <v>22</v>
      </c>
      <c r="D32" s="21" t="s">
        <v>266</v>
      </c>
      <c r="E32" s="21" t="s">
        <v>578</v>
      </c>
      <c r="F32" s="21" t="s">
        <v>348</v>
      </c>
      <c r="G32" s="23">
        <v>45326</v>
      </c>
      <c r="H32" s="23">
        <v>45328</v>
      </c>
      <c r="I32" s="21" t="s">
        <v>54</v>
      </c>
      <c r="J32" s="21" t="s">
        <v>22</v>
      </c>
      <c r="K32" s="24" t="s">
        <v>43</v>
      </c>
      <c r="L32" s="23">
        <v>45323</v>
      </c>
      <c r="M32" s="23">
        <v>45328</v>
      </c>
      <c r="N32" s="25">
        <f t="shared" si="1"/>
        <v>5</v>
      </c>
      <c r="O32" s="26"/>
      <c r="P32" t="s">
        <v>88</v>
      </c>
      <c r="Q32" t="s">
        <v>88</v>
      </c>
      <c r="R32" t="s">
        <v>88</v>
      </c>
      <c r="S32" t="s">
        <v>88</v>
      </c>
      <c r="T32" t="s">
        <v>88</v>
      </c>
      <c r="U32" t="s">
        <v>20</v>
      </c>
    </row>
    <row r="33" spans="1:21" x14ac:dyDescent="0.45">
      <c r="A33" s="20">
        <v>59432397</v>
      </c>
      <c r="B33" s="21" t="str">
        <f t="shared" si="0"/>
        <v>5.943.239-7</v>
      </c>
      <c r="C33" s="22" t="s">
        <v>22</v>
      </c>
      <c r="D33" s="21" t="s">
        <v>266</v>
      </c>
      <c r="E33" s="21" t="s">
        <v>578</v>
      </c>
      <c r="F33" s="21" t="s">
        <v>348</v>
      </c>
      <c r="G33" s="23">
        <f>IF(IFERROR(VLOOKUP(A33,$A$9:$I32,1,0),0)=0,"",VLOOKUP(A33,$A$9:$I32,7,0))</f>
        <v>45326</v>
      </c>
      <c r="H33" s="23">
        <v>45328</v>
      </c>
      <c r="I33" s="21" t="s">
        <v>54</v>
      </c>
      <c r="J33" s="21" t="s">
        <v>22</v>
      </c>
      <c r="K33" s="24" t="s">
        <v>47</v>
      </c>
      <c r="L33" s="23">
        <v>45323</v>
      </c>
      <c r="M33" s="23">
        <v>45328</v>
      </c>
      <c r="N33" s="25">
        <f t="shared" si="1"/>
        <v>5</v>
      </c>
      <c r="O33" s="26"/>
      <c r="P33" t="s">
        <v>88</v>
      </c>
      <c r="Q33" t="s">
        <v>88</v>
      </c>
      <c r="R33" t="s">
        <v>88</v>
      </c>
      <c r="S33" t="s">
        <v>88</v>
      </c>
      <c r="T33" t="s">
        <v>88</v>
      </c>
      <c r="U33" t="s">
        <v>20</v>
      </c>
    </row>
    <row r="34" spans="1:21" x14ac:dyDescent="0.45">
      <c r="A34" s="20" t="s">
        <v>579</v>
      </c>
      <c r="B34" s="21" t="str">
        <f t="shared" si="0"/>
        <v>10.729.208-K</v>
      </c>
      <c r="C34" s="22" t="s">
        <v>22</v>
      </c>
      <c r="D34" s="21" t="s">
        <v>367</v>
      </c>
      <c r="E34" s="21" t="s">
        <v>580</v>
      </c>
      <c r="F34" s="21" t="s">
        <v>581</v>
      </c>
      <c r="G34" s="23">
        <v>45326</v>
      </c>
      <c r="H34" s="23">
        <v>45331</v>
      </c>
      <c r="I34" s="21" t="s">
        <v>22</v>
      </c>
      <c r="J34" s="21" t="s">
        <v>24</v>
      </c>
      <c r="K34" s="24" t="s">
        <v>43</v>
      </c>
      <c r="L34" s="23">
        <v>45323</v>
      </c>
      <c r="M34" s="23">
        <v>45331</v>
      </c>
      <c r="N34" s="25">
        <f t="shared" si="1"/>
        <v>8</v>
      </c>
      <c r="O34" s="26"/>
      <c r="P34" t="s">
        <v>147</v>
      </c>
      <c r="Q34" t="s">
        <v>88</v>
      </c>
      <c r="R34" t="s">
        <v>88</v>
      </c>
      <c r="S34" t="s">
        <v>88</v>
      </c>
      <c r="T34" t="s">
        <v>88</v>
      </c>
      <c r="U34" t="s">
        <v>14</v>
      </c>
    </row>
    <row r="35" spans="1:21" x14ac:dyDescent="0.45">
      <c r="A35" s="20" t="s">
        <v>579</v>
      </c>
      <c r="B35" s="21" t="str">
        <f t="shared" si="0"/>
        <v>10.729.208-K</v>
      </c>
      <c r="C35" s="22" t="s">
        <v>22</v>
      </c>
      <c r="D35" s="21" t="s">
        <v>367</v>
      </c>
      <c r="E35" s="21" t="s">
        <v>580</v>
      </c>
      <c r="F35" s="21" t="s">
        <v>581</v>
      </c>
      <c r="G35" s="23">
        <f>IF(IFERROR(VLOOKUP(A35,$A$9:$I34,1,0),0)=0,"",VLOOKUP(A35,$A$9:$I34,7,0))</f>
        <v>45326</v>
      </c>
      <c r="H35" s="23">
        <v>45331</v>
      </c>
      <c r="I35" s="21" t="s">
        <v>22</v>
      </c>
      <c r="J35" s="21" t="s">
        <v>24</v>
      </c>
      <c r="K35" s="24" t="s">
        <v>47</v>
      </c>
      <c r="L35" s="23">
        <v>45323</v>
      </c>
      <c r="M35" s="23">
        <v>45331</v>
      </c>
      <c r="N35" s="25">
        <f t="shared" si="1"/>
        <v>8</v>
      </c>
      <c r="O35" s="26"/>
      <c r="P35" t="s">
        <v>88</v>
      </c>
      <c r="Q35" t="s">
        <v>88</v>
      </c>
      <c r="R35" t="s">
        <v>88</v>
      </c>
      <c r="S35" t="s">
        <v>88</v>
      </c>
      <c r="T35" t="s">
        <v>88</v>
      </c>
      <c r="U35" t="s">
        <v>20</v>
      </c>
    </row>
    <row r="36" spans="1:21" x14ac:dyDescent="0.45">
      <c r="A36" s="20" t="s">
        <v>579</v>
      </c>
      <c r="B36" s="21" t="str">
        <f t="shared" si="0"/>
        <v>10.729.208-K</v>
      </c>
      <c r="C36" s="22" t="s">
        <v>22</v>
      </c>
      <c r="D36" s="21" t="s">
        <v>367</v>
      </c>
      <c r="E36" s="21" t="s">
        <v>580</v>
      </c>
      <c r="F36" s="21" t="s">
        <v>581</v>
      </c>
      <c r="G36" s="23">
        <f>IF(IFERROR(VLOOKUP(A36,$A$9:$I35,1,0),0)=0,"",VLOOKUP(A36,$A$9:$I35,7,0))</f>
        <v>45326</v>
      </c>
      <c r="H36" s="23">
        <v>45331</v>
      </c>
      <c r="I36" s="21" t="s">
        <v>22</v>
      </c>
      <c r="J36" s="21" t="s">
        <v>24</v>
      </c>
      <c r="K36" s="24" t="s">
        <v>55</v>
      </c>
      <c r="L36" s="23">
        <v>45323</v>
      </c>
      <c r="M36" s="23">
        <v>45331</v>
      </c>
      <c r="N36" s="25">
        <f t="shared" si="1"/>
        <v>8</v>
      </c>
      <c r="O36" s="26"/>
      <c r="P36" t="s">
        <v>88</v>
      </c>
      <c r="Q36" t="s">
        <v>88</v>
      </c>
      <c r="R36" t="s">
        <v>88</v>
      </c>
      <c r="S36" t="s">
        <v>88</v>
      </c>
      <c r="T36" t="s">
        <v>88</v>
      </c>
      <c r="U36" t="s">
        <v>20</v>
      </c>
    </row>
    <row r="37" spans="1:21" s="48" customFormat="1" x14ac:dyDescent="0.45">
      <c r="A37" s="41">
        <v>165134710</v>
      </c>
      <c r="B37" s="42" t="str">
        <f t="shared" si="0"/>
        <v>16.513.471-0</v>
      </c>
      <c r="C37" s="43" t="s">
        <v>22</v>
      </c>
      <c r="D37" s="42" t="s">
        <v>582</v>
      </c>
      <c r="E37" s="42" t="s">
        <v>583</v>
      </c>
      <c r="F37" s="42" t="s">
        <v>584</v>
      </c>
      <c r="G37" s="44">
        <v>45324</v>
      </c>
      <c r="H37" s="44"/>
      <c r="I37" s="42" t="s">
        <v>54</v>
      </c>
      <c r="J37" s="42"/>
      <c r="K37" s="45" t="s">
        <v>43</v>
      </c>
      <c r="L37" s="44">
        <v>45323</v>
      </c>
      <c r="M37" s="44">
        <v>45351</v>
      </c>
      <c r="N37" s="46">
        <f t="shared" si="1"/>
        <v>28</v>
      </c>
      <c r="O37" s="47"/>
      <c r="P37" t="s">
        <v>88</v>
      </c>
      <c r="Q37" t="s">
        <v>88</v>
      </c>
      <c r="R37" t="s">
        <v>88</v>
      </c>
      <c r="S37" t="s">
        <v>88</v>
      </c>
      <c r="T37" t="s">
        <v>88</v>
      </c>
      <c r="U37" t="s">
        <v>20</v>
      </c>
    </row>
    <row r="38" spans="1:21" s="48" customFormat="1" x14ac:dyDescent="0.45">
      <c r="A38" s="41">
        <v>165134710</v>
      </c>
      <c r="B38" s="42" t="str">
        <f t="shared" si="0"/>
        <v>16.513.471-0</v>
      </c>
      <c r="C38" s="43" t="s">
        <v>22</v>
      </c>
      <c r="D38" s="42" t="s">
        <v>582</v>
      </c>
      <c r="E38" s="42" t="s">
        <v>583</v>
      </c>
      <c r="F38" s="42" t="s">
        <v>584</v>
      </c>
      <c r="G38" s="44">
        <f>IF(IFERROR(VLOOKUP(A38,$A$9:$I37,1,0),0)=0,"",VLOOKUP(A38,$A$9:$I37,7,0))</f>
        <v>45324</v>
      </c>
      <c r="H38" s="44"/>
      <c r="I38" s="42" t="s">
        <v>54</v>
      </c>
      <c r="J38" s="42"/>
      <c r="K38" s="45" t="s">
        <v>47</v>
      </c>
      <c r="L38" s="44">
        <v>45323</v>
      </c>
      <c r="M38" s="44">
        <v>45351</v>
      </c>
      <c r="N38" s="46">
        <f t="shared" si="1"/>
        <v>28</v>
      </c>
      <c r="O38" s="47"/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20</v>
      </c>
    </row>
    <row r="39" spans="1:21" s="48" customFormat="1" x14ac:dyDescent="0.45">
      <c r="A39" s="41">
        <v>165134710</v>
      </c>
      <c r="B39" s="42" t="str">
        <f t="shared" si="0"/>
        <v>16.513.471-0</v>
      </c>
      <c r="C39" s="43" t="s">
        <v>22</v>
      </c>
      <c r="D39" s="42" t="s">
        <v>582</v>
      </c>
      <c r="E39" s="42" t="s">
        <v>583</v>
      </c>
      <c r="F39" s="42" t="s">
        <v>584</v>
      </c>
      <c r="G39" s="44">
        <f>IF(IFERROR(VLOOKUP(A39,$A$9:$I38,1,0),0)=0,"",VLOOKUP(A39,$A$9:$I38,7,0))</f>
        <v>45324</v>
      </c>
      <c r="H39" s="44"/>
      <c r="I39" s="42" t="s">
        <v>54</v>
      </c>
      <c r="J39" s="42"/>
      <c r="K39" s="45" t="s">
        <v>55</v>
      </c>
      <c r="L39" s="44">
        <v>45323</v>
      </c>
      <c r="M39" s="44">
        <v>45344</v>
      </c>
      <c r="N39" s="46">
        <f t="shared" si="1"/>
        <v>21</v>
      </c>
      <c r="O39" s="47"/>
      <c r="P39" t="s">
        <v>88</v>
      </c>
      <c r="Q39" t="s">
        <v>88</v>
      </c>
      <c r="R39" t="s">
        <v>88</v>
      </c>
      <c r="S39" t="s">
        <v>88</v>
      </c>
      <c r="T39" t="s">
        <v>88</v>
      </c>
      <c r="U39" t="s">
        <v>20</v>
      </c>
    </row>
    <row r="40" spans="1:21" x14ac:dyDescent="0.45">
      <c r="A40" s="20">
        <v>111782555</v>
      </c>
      <c r="B40" s="21" t="str">
        <f t="shared" si="0"/>
        <v>11.178.255-5</v>
      </c>
      <c r="C40" s="22" t="s">
        <v>22</v>
      </c>
      <c r="D40" s="21" t="s">
        <v>249</v>
      </c>
      <c r="E40" s="21" t="s">
        <v>585</v>
      </c>
      <c r="F40" s="21" t="s">
        <v>586</v>
      </c>
      <c r="G40" s="23">
        <v>45325</v>
      </c>
      <c r="H40" s="23">
        <v>45336</v>
      </c>
      <c r="I40" s="21" t="s">
        <v>54</v>
      </c>
      <c r="J40" s="21"/>
      <c r="K40" s="24" t="s">
        <v>43</v>
      </c>
      <c r="L40" s="23">
        <v>45323</v>
      </c>
      <c r="M40" s="23">
        <v>45336</v>
      </c>
      <c r="N40" s="25">
        <f t="shared" si="1"/>
        <v>13</v>
      </c>
      <c r="O40" s="26" t="s">
        <v>531</v>
      </c>
      <c r="P40" t="s">
        <v>106</v>
      </c>
      <c r="Q40" t="s">
        <v>88</v>
      </c>
      <c r="R40" t="s">
        <v>88</v>
      </c>
      <c r="S40" t="s">
        <v>88</v>
      </c>
      <c r="T40" t="s">
        <v>88</v>
      </c>
      <c r="U40" t="s">
        <v>14</v>
      </c>
    </row>
    <row r="41" spans="1:21" x14ac:dyDescent="0.45">
      <c r="A41" s="20">
        <v>111782555</v>
      </c>
      <c r="B41" s="21" t="str">
        <f t="shared" si="0"/>
        <v>11.178.255-5</v>
      </c>
      <c r="C41" s="22" t="s">
        <v>22</v>
      </c>
      <c r="D41" s="21" t="s">
        <v>249</v>
      </c>
      <c r="E41" s="21" t="s">
        <v>585</v>
      </c>
      <c r="F41" s="21" t="s">
        <v>586</v>
      </c>
      <c r="G41" s="23">
        <v>45325</v>
      </c>
      <c r="H41" s="23">
        <v>45336</v>
      </c>
      <c r="I41" s="21" t="s">
        <v>54</v>
      </c>
      <c r="J41" s="21"/>
      <c r="K41" s="24" t="s">
        <v>55</v>
      </c>
      <c r="L41" s="23">
        <v>45323</v>
      </c>
      <c r="M41" s="23">
        <v>45333</v>
      </c>
      <c r="N41" s="25">
        <f t="shared" si="1"/>
        <v>10</v>
      </c>
      <c r="O41" s="26" t="s">
        <v>531</v>
      </c>
      <c r="P41" t="s">
        <v>143</v>
      </c>
      <c r="Q41" t="s">
        <v>88</v>
      </c>
      <c r="R41" t="s">
        <v>88</v>
      </c>
      <c r="S41" t="s">
        <v>88</v>
      </c>
      <c r="T41" t="s">
        <v>88</v>
      </c>
      <c r="U41" t="s">
        <v>14</v>
      </c>
    </row>
    <row r="42" spans="1:21" x14ac:dyDescent="0.45">
      <c r="A42" s="20">
        <v>111782555</v>
      </c>
      <c r="B42" s="21" t="str">
        <f t="shared" si="0"/>
        <v>11.178.255-5</v>
      </c>
      <c r="C42" s="22" t="s">
        <v>22</v>
      </c>
      <c r="D42" s="21" t="s">
        <v>249</v>
      </c>
      <c r="E42" s="21" t="s">
        <v>585</v>
      </c>
      <c r="F42" s="21" t="s">
        <v>586</v>
      </c>
      <c r="G42" s="23">
        <v>45325</v>
      </c>
      <c r="H42" s="23">
        <v>45336</v>
      </c>
      <c r="I42" s="21" t="s">
        <v>54</v>
      </c>
      <c r="J42" s="21"/>
      <c r="K42" s="24" t="s">
        <v>47</v>
      </c>
      <c r="L42" s="23">
        <v>45323</v>
      </c>
      <c r="M42" s="23">
        <v>45334</v>
      </c>
      <c r="N42" s="25">
        <f t="shared" si="1"/>
        <v>11</v>
      </c>
      <c r="O42" s="26" t="s">
        <v>531</v>
      </c>
      <c r="P42" t="s">
        <v>88</v>
      </c>
      <c r="Q42" t="s">
        <v>88</v>
      </c>
      <c r="R42" t="s">
        <v>88</v>
      </c>
      <c r="S42" t="s">
        <v>88</v>
      </c>
      <c r="T42" t="s">
        <v>88</v>
      </c>
      <c r="U42" t="s">
        <v>20</v>
      </c>
    </row>
    <row r="43" spans="1:21" x14ac:dyDescent="0.45">
      <c r="A43" s="20">
        <v>67517814</v>
      </c>
      <c r="B43" s="21" t="str">
        <f t="shared" si="0"/>
        <v>6.751.781-4</v>
      </c>
      <c r="C43" s="22" t="s">
        <v>38</v>
      </c>
      <c r="D43" s="21" t="s">
        <v>439</v>
      </c>
      <c r="E43" s="21" t="s">
        <v>587</v>
      </c>
      <c r="F43" s="21" t="s">
        <v>537</v>
      </c>
      <c r="G43" s="23">
        <v>45323</v>
      </c>
      <c r="H43" s="23">
        <v>45328</v>
      </c>
      <c r="I43" s="21" t="s">
        <v>61</v>
      </c>
      <c r="J43" s="21" t="s">
        <v>61</v>
      </c>
      <c r="K43" s="24" t="s">
        <v>43</v>
      </c>
      <c r="L43" s="23">
        <v>45323</v>
      </c>
      <c r="M43" s="23">
        <v>45328</v>
      </c>
      <c r="N43" s="25">
        <f t="shared" si="1"/>
        <v>5</v>
      </c>
      <c r="O43" s="26"/>
      <c r="P43" t="s">
        <v>88</v>
      </c>
      <c r="Q43" t="s">
        <v>88</v>
      </c>
      <c r="R43" t="s">
        <v>88</v>
      </c>
      <c r="S43" t="s">
        <v>88</v>
      </c>
      <c r="T43" t="s">
        <v>88</v>
      </c>
      <c r="U43" t="s">
        <v>20</v>
      </c>
    </row>
    <row r="44" spans="1:21" x14ac:dyDescent="0.45">
      <c r="A44" s="20">
        <v>67517814</v>
      </c>
      <c r="B44" s="21" t="str">
        <f t="shared" si="0"/>
        <v>6.751.781-4</v>
      </c>
      <c r="C44" s="22" t="s">
        <v>38</v>
      </c>
      <c r="D44" s="21" t="s">
        <v>439</v>
      </c>
      <c r="E44" s="21" t="s">
        <v>587</v>
      </c>
      <c r="F44" s="21" t="s">
        <v>537</v>
      </c>
      <c r="G44" s="23">
        <v>45323</v>
      </c>
      <c r="H44" s="23">
        <v>45328</v>
      </c>
      <c r="I44" s="21" t="s">
        <v>61</v>
      </c>
      <c r="J44" s="21" t="s">
        <v>61</v>
      </c>
      <c r="K44" s="24" t="s">
        <v>47</v>
      </c>
      <c r="L44" s="23">
        <v>45323</v>
      </c>
      <c r="M44" s="23">
        <v>45328</v>
      </c>
      <c r="N44" s="25">
        <f t="shared" si="1"/>
        <v>5</v>
      </c>
      <c r="O44" s="26"/>
      <c r="P44" t="s">
        <v>88</v>
      </c>
      <c r="Q44" t="s">
        <v>88</v>
      </c>
      <c r="R44" t="s">
        <v>88</v>
      </c>
      <c r="S44" t="s">
        <v>88</v>
      </c>
      <c r="T44" t="s">
        <v>88</v>
      </c>
      <c r="U44" t="s">
        <v>20</v>
      </c>
    </row>
    <row r="45" spans="1:21" x14ac:dyDescent="0.45">
      <c r="A45" s="20" t="s">
        <v>588</v>
      </c>
      <c r="B45" s="21" t="str">
        <f t="shared" si="0"/>
        <v>3.572.841-4</v>
      </c>
      <c r="C45" s="22" t="s">
        <v>38</v>
      </c>
      <c r="D45" s="21" t="s">
        <v>589</v>
      </c>
      <c r="E45" s="21" t="s">
        <v>444</v>
      </c>
      <c r="F45" s="21" t="s">
        <v>336</v>
      </c>
      <c r="G45" s="23">
        <v>45326</v>
      </c>
      <c r="H45" s="23">
        <v>45329</v>
      </c>
      <c r="I45" s="21" t="s">
        <v>24</v>
      </c>
      <c r="J45" s="21" t="s">
        <v>24</v>
      </c>
      <c r="K45" s="24" t="s">
        <v>47</v>
      </c>
      <c r="L45" s="23">
        <v>45323</v>
      </c>
      <c r="M45" s="23">
        <v>45329</v>
      </c>
      <c r="N45" s="25">
        <f t="shared" si="1"/>
        <v>6</v>
      </c>
      <c r="O45" s="26"/>
      <c r="P45" t="s">
        <v>88</v>
      </c>
      <c r="Q45" t="s">
        <v>88</v>
      </c>
      <c r="R45" t="s">
        <v>88</v>
      </c>
      <c r="S45" t="s">
        <v>88</v>
      </c>
      <c r="T45" t="s">
        <v>88</v>
      </c>
      <c r="U45" t="s">
        <v>20</v>
      </c>
    </row>
    <row r="46" spans="1:21" x14ac:dyDescent="0.45">
      <c r="A46" s="20">
        <v>105952562</v>
      </c>
      <c r="B46" s="21" t="str">
        <f t="shared" si="0"/>
        <v>10.595.256-2</v>
      </c>
      <c r="C46" s="22" t="s">
        <v>38</v>
      </c>
      <c r="D46" s="21" t="s">
        <v>549</v>
      </c>
      <c r="E46" s="21" t="s">
        <v>550</v>
      </c>
      <c r="F46" s="21" t="s">
        <v>551</v>
      </c>
      <c r="G46" s="23">
        <v>45327</v>
      </c>
      <c r="H46" s="23">
        <v>45329</v>
      </c>
      <c r="I46" s="21" t="s">
        <v>24</v>
      </c>
      <c r="J46" s="21" t="s">
        <v>24</v>
      </c>
      <c r="K46" s="24" t="s">
        <v>43</v>
      </c>
      <c r="L46" s="23">
        <v>45323</v>
      </c>
      <c r="M46" s="23">
        <v>45330</v>
      </c>
      <c r="N46" s="25">
        <f t="shared" si="1"/>
        <v>7</v>
      </c>
      <c r="O46" s="26"/>
      <c r="P46" t="s">
        <v>88</v>
      </c>
      <c r="Q46" t="s">
        <v>88</v>
      </c>
      <c r="R46" t="s">
        <v>88</v>
      </c>
      <c r="S46" t="s">
        <v>88</v>
      </c>
      <c r="T46" t="s">
        <v>88</v>
      </c>
      <c r="U46" t="s">
        <v>20</v>
      </c>
    </row>
    <row r="47" spans="1:21" x14ac:dyDescent="0.45">
      <c r="A47" s="20">
        <v>105952562</v>
      </c>
      <c r="B47" s="21" t="str">
        <f t="shared" si="0"/>
        <v>10.595.256-2</v>
      </c>
      <c r="C47" s="22" t="s">
        <v>38</v>
      </c>
      <c r="D47" s="21" t="s">
        <v>549</v>
      </c>
      <c r="E47" s="21" t="s">
        <v>550</v>
      </c>
      <c r="F47" s="21" t="s">
        <v>551</v>
      </c>
      <c r="G47" s="23">
        <v>45327</v>
      </c>
      <c r="H47" s="23">
        <v>45329</v>
      </c>
      <c r="I47" s="21" t="s">
        <v>24</v>
      </c>
      <c r="J47" s="21" t="s">
        <v>24</v>
      </c>
      <c r="K47" s="24" t="s">
        <v>47</v>
      </c>
      <c r="L47" s="23">
        <v>45323</v>
      </c>
      <c r="M47" s="23">
        <v>45330</v>
      </c>
      <c r="N47" s="25">
        <f t="shared" si="1"/>
        <v>7</v>
      </c>
      <c r="O47" s="26"/>
      <c r="P47" t="s">
        <v>88</v>
      </c>
      <c r="Q47" t="s">
        <v>88</v>
      </c>
      <c r="R47" t="s">
        <v>88</v>
      </c>
      <c r="S47" t="s">
        <v>88</v>
      </c>
      <c r="T47" t="s">
        <v>88</v>
      </c>
      <c r="U47" t="s">
        <v>20</v>
      </c>
    </row>
    <row r="48" spans="1:21" x14ac:dyDescent="0.45">
      <c r="A48" s="20" t="s">
        <v>453</v>
      </c>
      <c r="B48" s="21" t="str">
        <f t="shared" si="0"/>
        <v>3.579.477-8</v>
      </c>
      <c r="C48" s="22" t="s">
        <v>38</v>
      </c>
      <c r="D48" s="21" t="s">
        <v>454</v>
      </c>
      <c r="E48" s="21" t="s">
        <v>318</v>
      </c>
      <c r="F48" s="21" t="s">
        <v>455</v>
      </c>
      <c r="G48" s="23">
        <v>45327</v>
      </c>
      <c r="H48" s="23">
        <v>45337</v>
      </c>
      <c r="I48" s="21" t="s">
        <v>24</v>
      </c>
      <c r="J48" s="21" t="s">
        <v>82</v>
      </c>
      <c r="K48" s="24" t="s">
        <v>43</v>
      </c>
      <c r="L48" s="23">
        <v>45327</v>
      </c>
      <c r="M48" s="23">
        <v>45337</v>
      </c>
      <c r="N48" s="25">
        <f t="shared" si="1"/>
        <v>10</v>
      </c>
      <c r="O48" s="26"/>
      <c r="P48" t="s">
        <v>88</v>
      </c>
      <c r="Q48" t="s">
        <v>88</v>
      </c>
      <c r="R48" t="s">
        <v>88</v>
      </c>
      <c r="S48" t="s">
        <v>88</v>
      </c>
      <c r="T48" t="s">
        <v>88</v>
      </c>
      <c r="U48" t="s">
        <v>20</v>
      </c>
    </row>
    <row r="49" spans="1:21" x14ac:dyDescent="0.45">
      <c r="A49" s="20" t="s">
        <v>453</v>
      </c>
      <c r="B49" s="21" t="str">
        <f t="shared" si="0"/>
        <v>3.579.477-8</v>
      </c>
      <c r="C49" s="22" t="s">
        <v>38</v>
      </c>
      <c r="D49" s="21" t="s">
        <v>454</v>
      </c>
      <c r="E49" s="21" t="s">
        <v>318</v>
      </c>
      <c r="F49" s="21" t="s">
        <v>455</v>
      </c>
      <c r="G49" s="23">
        <v>45327</v>
      </c>
      <c r="H49" s="23">
        <v>45337</v>
      </c>
      <c r="I49" s="21" t="s">
        <v>24</v>
      </c>
      <c r="J49" s="21" t="s">
        <v>82</v>
      </c>
      <c r="K49" s="24" t="s">
        <v>47</v>
      </c>
      <c r="L49" s="23">
        <v>45329</v>
      </c>
      <c r="M49" s="23">
        <v>45337</v>
      </c>
      <c r="N49" s="25">
        <f t="shared" si="1"/>
        <v>8</v>
      </c>
      <c r="O49" s="26"/>
      <c r="P49" t="s">
        <v>88</v>
      </c>
      <c r="Q49" t="s">
        <v>88</v>
      </c>
      <c r="R49" t="s">
        <v>88</v>
      </c>
      <c r="S49" t="s">
        <v>88</v>
      </c>
      <c r="T49" t="s">
        <v>88</v>
      </c>
      <c r="U49" t="s">
        <v>20</v>
      </c>
    </row>
    <row r="50" spans="1:21" x14ac:dyDescent="0.45">
      <c r="A50" s="20" t="s">
        <v>590</v>
      </c>
      <c r="B50" s="21" t="str">
        <f t="shared" si="0"/>
        <v>9.113.706-2</v>
      </c>
      <c r="C50" s="22" t="s">
        <v>38</v>
      </c>
      <c r="D50" s="21" t="s">
        <v>591</v>
      </c>
      <c r="E50" s="21" t="s">
        <v>318</v>
      </c>
      <c r="F50" s="21" t="s">
        <v>592</v>
      </c>
      <c r="G50" s="23">
        <v>45321</v>
      </c>
      <c r="H50" s="23">
        <v>45328</v>
      </c>
      <c r="I50" s="21" t="s">
        <v>56</v>
      </c>
      <c r="J50" s="21" t="s">
        <v>26</v>
      </c>
      <c r="K50" s="24" t="s">
        <v>43</v>
      </c>
      <c r="L50" s="23">
        <v>45327</v>
      </c>
      <c r="M50" s="23">
        <v>45328</v>
      </c>
      <c r="N50" s="25">
        <f t="shared" si="1"/>
        <v>1</v>
      </c>
      <c r="O50" s="26"/>
      <c r="P50" t="s">
        <v>88</v>
      </c>
      <c r="Q50" t="s">
        <v>88</v>
      </c>
      <c r="R50" t="s">
        <v>88</v>
      </c>
      <c r="S50" t="s">
        <v>88</v>
      </c>
      <c r="T50" t="s">
        <v>88</v>
      </c>
      <c r="U50" t="s">
        <v>20</v>
      </c>
    </row>
    <row r="51" spans="1:21" x14ac:dyDescent="0.45">
      <c r="A51" s="20" t="s">
        <v>590</v>
      </c>
      <c r="B51" s="21" t="str">
        <f t="shared" si="0"/>
        <v>9.113.706-2</v>
      </c>
      <c r="C51" s="22" t="s">
        <v>38</v>
      </c>
      <c r="D51" s="21" t="s">
        <v>591</v>
      </c>
      <c r="E51" s="21" t="s">
        <v>318</v>
      </c>
      <c r="F51" s="21" t="s">
        <v>592</v>
      </c>
      <c r="G51" s="23">
        <v>45321</v>
      </c>
      <c r="H51" s="23">
        <v>45328</v>
      </c>
      <c r="I51" s="21" t="s">
        <v>56</v>
      </c>
      <c r="J51" s="21" t="s">
        <v>26</v>
      </c>
      <c r="K51" s="24" t="s">
        <v>47</v>
      </c>
      <c r="L51" s="23">
        <v>45327</v>
      </c>
      <c r="M51" s="23">
        <v>45328</v>
      </c>
      <c r="N51" s="25">
        <f t="shared" si="1"/>
        <v>1</v>
      </c>
      <c r="O51" s="26"/>
      <c r="P51" t="s">
        <v>88</v>
      </c>
      <c r="Q51" t="s">
        <v>88</v>
      </c>
      <c r="R51" t="s">
        <v>88</v>
      </c>
      <c r="S51" t="s">
        <v>88</v>
      </c>
      <c r="T51" t="s">
        <v>88</v>
      </c>
      <c r="U51" t="s">
        <v>20</v>
      </c>
    </row>
    <row r="52" spans="1:21" x14ac:dyDescent="0.45">
      <c r="A52" s="20" t="s">
        <v>593</v>
      </c>
      <c r="B52" s="21" t="str">
        <f t="shared" si="0"/>
        <v>7.859.815-8</v>
      </c>
      <c r="C52" s="22" t="s">
        <v>38</v>
      </c>
      <c r="D52" s="21" t="s">
        <v>496</v>
      </c>
      <c r="E52" s="21" t="s">
        <v>383</v>
      </c>
      <c r="F52" s="21" t="s">
        <v>594</v>
      </c>
      <c r="G52" s="23">
        <v>45323</v>
      </c>
      <c r="H52" s="23">
        <v>45330</v>
      </c>
      <c r="I52" s="21" t="s">
        <v>24</v>
      </c>
      <c r="J52" s="21"/>
      <c r="K52" s="24" t="s">
        <v>43</v>
      </c>
      <c r="L52" s="23">
        <v>45323</v>
      </c>
      <c r="M52" s="23">
        <v>45330</v>
      </c>
      <c r="N52" s="25">
        <f t="shared" si="1"/>
        <v>7</v>
      </c>
      <c r="O52" s="26"/>
      <c r="P52" t="s">
        <v>88</v>
      </c>
      <c r="Q52" t="s">
        <v>88</v>
      </c>
      <c r="R52" t="s">
        <v>88</v>
      </c>
      <c r="S52" t="s">
        <v>88</v>
      </c>
      <c r="T52" t="s">
        <v>88</v>
      </c>
      <c r="U52" t="s">
        <v>20</v>
      </c>
    </row>
    <row r="53" spans="1:21" x14ac:dyDescent="0.45">
      <c r="A53" s="20" t="s">
        <v>593</v>
      </c>
      <c r="B53" s="21" t="str">
        <f t="shared" si="0"/>
        <v>7.859.815-8</v>
      </c>
      <c r="C53" s="22" t="s">
        <v>38</v>
      </c>
      <c r="D53" s="21" t="s">
        <v>496</v>
      </c>
      <c r="E53" s="21" t="s">
        <v>383</v>
      </c>
      <c r="F53" s="21" t="s">
        <v>594</v>
      </c>
      <c r="G53" s="23">
        <v>45323</v>
      </c>
      <c r="H53" s="23">
        <v>45330</v>
      </c>
      <c r="I53" s="21" t="s">
        <v>24</v>
      </c>
      <c r="J53" s="21"/>
      <c r="K53" s="24" t="s">
        <v>47</v>
      </c>
      <c r="L53" s="23">
        <v>45323</v>
      </c>
      <c r="M53" s="23">
        <v>45329</v>
      </c>
      <c r="N53" s="25">
        <f t="shared" si="1"/>
        <v>6</v>
      </c>
      <c r="O53" s="26"/>
      <c r="P53" t="s">
        <v>88</v>
      </c>
      <c r="Q53" t="s">
        <v>88</v>
      </c>
      <c r="R53" t="s">
        <v>88</v>
      </c>
      <c r="S53" t="s">
        <v>88</v>
      </c>
      <c r="T53" t="s">
        <v>88</v>
      </c>
      <c r="U53" t="s">
        <v>20</v>
      </c>
    </row>
    <row r="54" spans="1:21" x14ac:dyDescent="0.45">
      <c r="A54" s="20">
        <v>283191354</v>
      </c>
      <c r="B54" s="21" t="str">
        <f t="shared" si="0"/>
        <v>28.319.135-4</v>
      </c>
      <c r="C54" s="22" t="s">
        <v>16</v>
      </c>
      <c r="D54" s="21" t="s">
        <v>352</v>
      </c>
      <c r="E54" s="21" t="s">
        <v>391</v>
      </c>
      <c r="F54" s="21" t="s">
        <v>392</v>
      </c>
      <c r="G54" s="23">
        <v>45302</v>
      </c>
      <c r="H54" s="23"/>
      <c r="I54" s="21" t="s">
        <v>84</v>
      </c>
      <c r="J54" s="21"/>
      <c r="K54" s="24" t="s">
        <v>18</v>
      </c>
      <c r="L54" s="23">
        <v>45344</v>
      </c>
      <c r="M54" s="23">
        <v>45351</v>
      </c>
      <c r="N54" s="25">
        <f t="shared" si="1"/>
        <v>7</v>
      </c>
      <c r="O54" s="26"/>
      <c r="P54" t="s">
        <v>88</v>
      </c>
      <c r="Q54" t="s">
        <v>88</v>
      </c>
      <c r="R54" t="s">
        <v>88</v>
      </c>
      <c r="S54" t="s">
        <v>88</v>
      </c>
      <c r="T54" t="s">
        <v>88</v>
      </c>
      <c r="U54" t="s">
        <v>20</v>
      </c>
    </row>
    <row r="55" spans="1:21" x14ac:dyDescent="0.45">
      <c r="A55" s="20">
        <v>283359875</v>
      </c>
      <c r="B55" s="21" t="str">
        <f t="shared" si="0"/>
        <v>28.335.987-5</v>
      </c>
      <c r="C55" s="22" t="s">
        <v>16</v>
      </c>
      <c r="D55" s="21" t="s">
        <v>303</v>
      </c>
      <c r="E55" s="21" t="s">
        <v>534</v>
      </c>
      <c r="F55" s="21" t="s">
        <v>535</v>
      </c>
      <c r="G55" s="23">
        <v>45318</v>
      </c>
      <c r="H55" s="23"/>
      <c r="I55" s="21" t="s">
        <v>84</v>
      </c>
      <c r="J55" s="21"/>
      <c r="K55" s="24" t="s">
        <v>18</v>
      </c>
      <c r="L55" s="23">
        <v>45323</v>
      </c>
      <c r="M55" s="23">
        <v>45335</v>
      </c>
      <c r="N55" s="25">
        <f t="shared" si="1"/>
        <v>12</v>
      </c>
      <c r="O55" s="26"/>
      <c r="P55" t="s">
        <v>88</v>
      </c>
      <c r="Q55" t="s">
        <v>88</v>
      </c>
      <c r="R55" t="s">
        <v>88</v>
      </c>
      <c r="S55" t="s">
        <v>88</v>
      </c>
      <c r="T55" t="s">
        <v>88</v>
      </c>
      <c r="U55" t="s">
        <v>20</v>
      </c>
    </row>
    <row r="56" spans="1:21" x14ac:dyDescent="0.45">
      <c r="A56" s="20">
        <v>283267180</v>
      </c>
      <c r="B56" s="21" t="str">
        <f t="shared" si="0"/>
        <v>28.326.718-0</v>
      </c>
      <c r="C56" s="22" t="s">
        <v>16</v>
      </c>
      <c r="D56" s="21" t="s">
        <v>384</v>
      </c>
      <c r="E56" s="21" t="s">
        <v>245</v>
      </c>
      <c r="F56" s="21" t="s">
        <v>293</v>
      </c>
      <c r="G56" s="23">
        <v>45301</v>
      </c>
      <c r="H56" s="23"/>
      <c r="I56" s="21" t="s">
        <v>84</v>
      </c>
      <c r="J56" s="21"/>
      <c r="K56" s="24" t="s">
        <v>18</v>
      </c>
      <c r="L56" s="23">
        <v>45323</v>
      </c>
      <c r="M56" s="23">
        <v>45329</v>
      </c>
      <c r="N56" s="25">
        <f t="shared" si="1"/>
        <v>6</v>
      </c>
      <c r="O56" s="26"/>
      <c r="P56" t="s">
        <v>88</v>
      </c>
      <c r="Q56" t="s">
        <v>88</v>
      </c>
      <c r="R56" t="s">
        <v>88</v>
      </c>
      <c r="S56" t="s">
        <v>88</v>
      </c>
      <c r="T56" t="s">
        <v>88</v>
      </c>
      <c r="U56" t="s">
        <v>20</v>
      </c>
    </row>
    <row r="57" spans="1:21" x14ac:dyDescent="0.45">
      <c r="A57" s="20">
        <v>283489779</v>
      </c>
      <c r="B57" s="21" t="str">
        <f t="shared" si="0"/>
        <v>28.348.977-9</v>
      </c>
      <c r="C57" s="22" t="s">
        <v>16</v>
      </c>
      <c r="D57" s="21" t="s">
        <v>363</v>
      </c>
      <c r="E57" s="21" t="s">
        <v>595</v>
      </c>
      <c r="F57" s="21" t="s">
        <v>258</v>
      </c>
      <c r="G57" s="23">
        <v>45294</v>
      </c>
      <c r="H57" s="23"/>
      <c r="I57" s="21" t="s">
        <v>54</v>
      </c>
      <c r="J57" s="21"/>
      <c r="K57" s="24" t="s">
        <v>18</v>
      </c>
      <c r="L57" s="23">
        <v>45327</v>
      </c>
      <c r="M57" s="23">
        <v>45336</v>
      </c>
      <c r="N57" s="25">
        <f t="shared" si="1"/>
        <v>9</v>
      </c>
      <c r="O57" s="26"/>
      <c r="P57" t="s">
        <v>88</v>
      </c>
      <c r="Q57" t="s">
        <v>88</v>
      </c>
      <c r="R57" t="s">
        <v>88</v>
      </c>
      <c r="S57" t="s">
        <v>88</v>
      </c>
      <c r="T57" t="s">
        <v>88</v>
      </c>
      <c r="U57" t="s">
        <v>20</v>
      </c>
    </row>
    <row r="58" spans="1:21" x14ac:dyDescent="0.45">
      <c r="A58" s="20">
        <v>184097265</v>
      </c>
      <c r="B58" s="21" t="str">
        <f t="shared" si="0"/>
        <v>18.409.726-5</v>
      </c>
      <c r="C58" s="22" t="s">
        <v>22</v>
      </c>
      <c r="D58" s="21" t="s">
        <v>596</v>
      </c>
      <c r="E58" s="21" t="s">
        <v>439</v>
      </c>
      <c r="F58" s="21" t="s">
        <v>597</v>
      </c>
      <c r="G58" s="23">
        <v>45326</v>
      </c>
      <c r="H58" s="23">
        <v>45331</v>
      </c>
      <c r="I58" s="21" t="s">
        <v>22</v>
      </c>
      <c r="J58" s="21"/>
      <c r="K58" s="24" t="s">
        <v>47</v>
      </c>
      <c r="L58" s="23">
        <v>45325</v>
      </c>
      <c r="M58" s="23">
        <v>45331</v>
      </c>
      <c r="N58" s="25">
        <f t="shared" si="1"/>
        <v>6</v>
      </c>
      <c r="O58" s="26" t="s">
        <v>531</v>
      </c>
      <c r="P58" t="s">
        <v>88</v>
      </c>
      <c r="Q58" t="s">
        <v>88</v>
      </c>
      <c r="R58" t="s">
        <v>88</v>
      </c>
      <c r="S58" t="s">
        <v>88</v>
      </c>
      <c r="T58" t="s">
        <v>88</v>
      </c>
      <c r="U58" t="s">
        <v>20</v>
      </c>
    </row>
    <row r="59" spans="1:21" x14ac:dyDescent="0.45">
      <c r="A59" s="20">
        <v>170173759</v>
      </c>
      <c r="B59" s="21" t="str">
        <f t="shared" si="0"/>
        <v>17.017.375-9</v>
      </c>
      <c r="C59" s="22" t="s">
        <v>22</v>
      </c>
      <c r="D59" s="21" t="str">
        <f>IF(IFERROR(VLOOKUP(A59,$A$9:$I58,1,0),0)=0,"",VLOOKUP(A59,$A$9:$I58,4,0))</f>
        <v>RIVERA</v>
      </c>
      <c r="E59" s="21" t="str">
        <f>IF(IFERROR(VLOOKUP(A59,$A$9:$I58,1,0),0)=0,"",VLOOKUP(A59,$A$9:$I58,5,0))</f>
        <v>BELLO</v>
      </c>
      <c r="F59" s="21" t="str">
        <f>IF(IFERROR(VLOOKUP(A59,$A$9:$I58,1,0),0)=0,"",VLOOKUP(A59,$A$9:$I58,6,0))</f>
        <v xml:space="preserve">JOSE </v>
      </c>
      <c r="G59" s="23">
        <v>45327</v>
      </c>
      <c r="H59" s="23">
        <v>45329</v>
      </c>
      <c r="I59" s="21" t="s">
        <v>22</v>
      </c>
      <c r="J59" s="21" t="s">
        <v>56</v>
      </c>
      <c r="K59" s="24" t="s">
        <v>43</v>
      </c>
      <c r="L59" s="23">
        <v>45323</v>
      </c>
      <c r="M59" s="23">
        <v>45329</v>
      </c>
      <c r="N59" s="25">
        <f t="shared" si="1"/>
        <v>6</v>
      </c>
      <c r="O59" s="26"/>
      <c r="P59" t="s">
        <v>88</v>
      </c>
      <c r="Q59" t="s">
        <v>88</v>
      </c>
      <c r="R59" t="s">
        <v>88</v>
      </c>
      <c r="S59" t="s">
        <v>88</v>
      </c>
      <c r="T59" t="s">
        <v>88</v>
      </c>
      <c r="U59" t="s">
        <v>20</v>
      </c>
    </row>
    <row r="60" spans="1:21" x14ac:dyDescent="0.45">
      <c r="A60" s="20">
        <v>170173759</v>
      </c>
      <c r="B60" s="21" t="str">
        <f t="shared" si="0"/>
        <v>17.017.375-9</v>
      </c>
      <c r="C60" s="22" t="s">
        <v>22</v>
      </c>
      <c r="D60" s="21" t="str">
        <f>IF(IFERROR(VLOOKUP(A60,$A$9:$I59,1,0),0)=0,"",VLOOKUP(A60,$A$9:$I59,4,0))</f>
        <v>RIVERA</v>
      </c>
      <c r="E60" s="21" t="str">
        <f>IF(IFERROR(VLOOKUP(A60,$A$9:$I59,1,0),0)=0,"",VLOOKUP(A60,$A$9:$I59,5,0))</f>
        <v>BELLO</v>
      </c>
      <c r="F60" s="21" t="str">
        <f>IF(IFERROR(VLOOKUP(A60,$A$9:$I59,1,0),0)=0,"",VLOOKUP(A60,$A$9:$I59,6,0))</f>
        <v xml:space="preserve">JOSE </v>
      </c>
      <c r="G60" s="23">
        <v>45327</v>
      </c>
      <c r="H60" s="23">
        <v>45329</v>
      </c>
      <c r="I60" s="21" t="s">
        <v>22</v>
      </c>
      <c r="J60" s="21" t="s">
        <v>56</v>
      </c>
      <c r="K60" s="24" t="s">
        <v>47</v>
      </c>
      <c r="L60" s="23">
        <v>45323</v>
      </c>
      <c r="M60" s="23">
        <v>45329</v>
      </c>
      <c r="N60" s="25">
        <f t="shared" si="1"/>
        <v>6</v>
      </c>
      <c r="O60" s="26"/>
      <c r="P60" t="s">
        <v>88</v>
      </c>
      <c r="Q60" t="s">
        <v>88</v>
      </c>
      <c r="R60" t="s">
        <v>88</v>
      </c>
      <c r="S60" t="s">
        <v>88</v>
      </c>
      <c r="T60" t="s">
        <v>88</v>
      </c>
      <c r="U60" t="s">
        <v>20</v>
      </c>
    </row>
    <row r="61" spans="1:21" x14ac:dyDescent="0.45">
      <c r="A61" s="20">
        <v>198812706</v>
      </c>
      <c r="B61" s="21" t="str">
        <f t="shared" si="0"/>
        <v>19.881.270-6</v>
      </c>
      <c r="C61" s="22" t="s">
        <v>22</v>
      </c>
      <c r="D61" s="21" t="s">
        <v>522</v>
      </c>
      <c r="E61" s="21" t="s">
        <v>523</v>
      </c>
      <c r="F61" s="21" t="s">
        <v>524</v>
      </c>
      <c r="G61" s="23">
        <v>45327</v>
      </c>
      <c r="H61" s="23">
        <v>45329</v>
      </c>
      <c r="I61" s="21" t="s">
        <v>22</v>
      </c>
      <c r="J61" s="21" t="s">
        <v>56</v>
      </c>
      <c r="K61" s="24" t="s">
        <v>47</v>
      </c>
      <c r="L61" s="23">
        <v>45323</v>
      </c>
      <c r="M61" s="23">
        <v>45329</v>
      </c>
      <c r="N61" s="25">
        <f t="shared" si="1"/>
        <v>6</v>
      </c>
      <c r="O61" s="26"/>
      <c r="P61" t="s">
        <v>88</v>
      </c>
      <c r="Q61" t="s">
        <v>88</v>
      </c>
      <c r="R61" t="s">
        <v>88</v>
      </c>
      <c r="S61" t="s">
        <v>88</v>
      </c>
      <c r="T61" t="s">
        <v>88</v>
      </c>
      <c r="U61" t="s">
        <v>20</v>
      </c>
    </row>
    <row r="62" spans="1:21" x14ac:dyDescent="0.45">
      <c r="A62" s="20">
        <v>198812706</v>
      </c>
      <c r="B62" s="21" t="str">
        <f t="shared" si="0"/>
        <v>19.881.270-6</v>
      </c>
      <c r="C62" s="22" t="s">
        <v>22</v>
      </c>
      <c r="D62" s="21" t="s">
        <v>522</v>
      </c>
      <c r="E62" s="21" t="s">
        <v>523</v>
      </c>
      <c r="F62" s="21" t="s">
        <v>524</v>
      </c>
      <c r="G62" s="23">
        <f>IF(IFERROR(VLOOKUP(A62,$A$9:$I61,1,0),0)=0,"",VLOOKUP(A62,$A$9:$I61,7,0))</f>
        <v>45327</v>
      </c>
      <c r="H62" s="23">
        <v>45329</v>
      </c>
      <c r="I62" s="21" t="s">
        <v>22</v>
      </c>
      <c r="J62" s="21" t="s">
        <v>56</v>
      </c>
      <c r="K62" s="24" t="s">
        <v>18</v>
      </c>
      <c r="L62" s="23">
        <v>45323</v>
      </c>
      <c r="M62" s="23">
        <v>45329</v>
      </c>
      <c r="N62" s="25">
        <f t="shared" si="1"/>
        <v>6</v>
      </c>
      <c r="O62" s="26"/>
      <c r="P62" t="s">
        <v>88</v>
      </c>
      <c r="Q62" t="s">
        <v>88</v>
      </c>
      <c r="R62" t="s">
        <v>88</v>
      </c>
      <c r="S62" t="s">
        <v>88</v>
      </c>
      <c r="T62" t="s">
        <v>88</v>
      </c>
      <c r="U62" t="s">
        <v>20</v>
      </c>
    </row>
    <row r="63" spans="1:21" x14ac:dyDescent="0.45">
      <c r="A63" s="20">
        <v>96491654</v>
      </c>
      <c r="B63" s="21" t="str">
        <f t="shared" si="0"/>
        <v>9.649.165-4</v>
      </c>
      <c r="C63" s="22" t="s">
        <v>22</v>
      </c>
      <c r="D63" s="21" t="s">
        <v>422</v>
      </c>
      <c r="E63" s="21" t="s">
        <v>444</v>
      </c>
      <c r="F63" s="21" t="s">
        <v>598</v>
      </c>
      <c r="G63" s="23">
        <v>45326</v>
      </c>
      <c r="H63" s="23">
        <v>45328</v>
      </c>
      <c r="I63" s="21" t="s">
        <v>22</v>
      </c>
      <c r="J63" s="21" t="s">
        <v>56</v>
      </c>
      <c r="K63" s="24" t="s">
        <v>47</v>
      </c>
      <c r="L63" s="23">
        <v>45323</v>
      </c>
      <c r="M63" s="23">
        <v>45328</v>
      </c>
      <c r="N63" s="25">
        <f t="shared" si="1"/>
        <v>5</v>
      </c>
      <c r="O63" s="26"/>
      <c r="P63" t="s">
        <v>88</v>
      </c>
      <c r="Q63" t="s">
        <v>88</v>
      </c>
      <c r="R63" t="s">
        <v>88</v>
      </c>
      <c r="S63" t="s">
        <v>88</v>
      </c>
      <c r="T63" t="s">
        <v>88</v>
      </c>
      <c r="U63" t="s">
        <v>20</v>
      </c>
    </row>
    <row r="64" spans="1:21" x14ac:dyDescent="0.45">
      <c r="A64" s="20">
        <v>96491654</v>
      </c>
      <c r="B64" s="21" t="str">
        <f t="shared" si="0"/>
        <v>9.649.165-4</v>
      </c>
      <c r="C64" s="22" t="s">
        <v>22</v>
      </c>
      <c r="D64" s="21" t="s">
        <v>422</v>
      </c>
      <c r="E64" s="21" t="s">
        <v>444</v>
      </c>
      <c r="F64" s="21" t="s">
        <v>598</v>
      </c>
      <c r="G64" s="23">
        <v>45326</v>
      </c>
      <c r="H64" s="23">
        <v>45328</v>
      </c>
      <c r="I64" s="21" t="s">
        <v>22</v>
      </c>
      <c r="J64" s="21" t="s">
        <v>56</v>
      </c>
      <c r="K64" s="24" t="s">
        <v>18</v>
      </c>
      <c r="L64" s="23">
        <v>45323</v>
      </c>
      <c r="M64" s="23">
        <v>45328</v>
      </c>
      <c r="N64" s="25">
        <f t="shared" si="1"/>
        <v>5</v>
      </c>
      <c r="O64" s="26"/>
      <c r="P64" t="s">
        <v>96</v>
      </c>
      <c r="Q64" t="s">
        <v>88</v>
      </c>
      <c r="R64" t="s">
        <v>88</v>
      </c>
      <c r="S64" t="s">
        <v>88</v>
      </c>
      <c r="T64" t="s">
        <v>88</v>
      </c>
      <c r="U64" t="s">
        <v>20</v>
      </c>
    </row>
    <row r="65" spans="1:21" x14ac:dyDescent="0.45">
      <c r="A65" s="20">
        <v>76116644</v>
      </c>
      <c r="B65" s="21" t="str">
        <f t="shared" si="0"/>
        <v>7.611.664-4</v>
      </c>
      <c r="C65" s="22" t="s">
        <v>22</v>
      </c>
      <c r="D65" s="21" t="s">
        <v>599</v>
      </c>
      <c r="E65" s="21" t="s">
        <v>600</v>
      </c>
      <c r="F65" s="21" t="s">
        <v>601</v>
      </c>
      <c r="G65" s="23">
        <v>45326</v>
      </c>
      <c r="H65" s="23">
        <v>45329</v>
      </c>
      <c r="I65" s="21" t="s">
        <v>22</v>
      </c>
      <c r="J65" s="21" t="s">
        <v>66</v>
      </c>
      <c r="K65" s="24" t="s">
        <v>43</v>
      </c>
      <c r="L65" s="23">
        <v>45323</v>
      </c>
      <c r="M65" s="23">
        <v>45329</v>
      </c>
      <c r="N65" s="25">
        <f t="shared" si="1"/>
        <v>6</v>
      </c>
      <c r="O65" s="26"/>
      <c r="P65" t="s">
        <v>88</v>
      </c>
      <c r="Q65" t="s">
        <v>88</v>
      </c>
      <c r="R65" t="s">
        <v>88</v>
      </c>
      <c r="S65" t="s">
        <v>88</v>
      </c>
      <c r="T65" t="s">
        <v>88</v>
      </c>
      <c r="U65" t="s">
        <v>20</v>
      </c>
    </row>
    <row r="66" spans="1:21" x14ac:dyDescent="0.45">
      <c r="A66" s="20">
        <v>76116644</v>
      </c>
      <c r="B66" s="21" t="str">
        <f t="shared" si="0"/>
        <v>7.611.664-4</v>
      </c>
      <c r="C66" s="22" t="s">
        <v>22</v>
      </c>
      <c r="D66" s="21" t="s">
        <v>599</v>
      </c>
      <c r="E66" s="21" t="s">
        <v>600</v>
      </c>
      <c r="F66" s="21" t="s">
        <v>601</v>
      </c>
      <c r="G66" s="23">
        <v>45326</v>
      </c>
      <c r="H66" s="23">
        <v>45329</v>
      </c>
      <c r="I66" s="21" t="s">
        <v>22</v>
      </c>
      <c r="J66" s="21" t="s">
        <v>66</v>
      </c>
      <c r="K66" s="24" t="s">
        <v>47</v>
      </c>
      <c r="L66" s="23">
        <v>45323</v>
      </c>
      <c r="M66" s="23">
        <v>45329</v>
      </c>
      <c r="N66" s="25">
        <f t="shared" si="1"/>
        <v>6</v>
      </c>
      <c r="O66" s="26"/>
      <c r="P66" t="s">
        <v>88</v>
      </c>
      <c r="Q66" t="s">
        <v>88</v>
      </c>
      <c r="R66" t="s">
        <v>88</v>
      </c>
      <c r="S66" t="s">
        <v>88</v>
      </c>
      <c r="T66" t="s">
        <v>88</v>
      </c>
      <c r="U66" t="s">
        <v>20</v>
      </c>
    </row>
    <row r="67" spans="1:21" x14ac:dyDescent="0.45">
      <c r="A67" s="20">
        <v>140267619</v>
      </c>
      <c r="B67" s="21" t="str">
        <f t="shared" si="0"/>
        <v>14.026.761-9</v>
      </c>
      <c r="C67" s="22" t="s">
        <v>46</v>
      </c>
      <c r="D67" s="21" t="s">
        <v>454</v>
      </c>
      <c r="E67" s="21" t="s">
        <v>240</v>
      </c>
      <c r="F67" s="21" t="s">
        <v>489</v>
      </c>
      <c r="G67" s="23">
        <v>45322</v>
      </c>
      <c r="H67" s="23">
        <v>45347</v>
      </c>
      <c r="I67" s="21" t="s">
        <v>30</v>
      </c>
      <c r="J67" s="21" t="s">
        <v>22</v>
      </c>
      <c r="K67" s="24" t="s">
        <v>18</v>
      </c>
      <c r="L67" s="23">
        <v>45323</v>
      </c>
      <c r="M67" s="23">
        <v>45347</v>
      </c>
      <c r="N67" s="25">
        <f t="shared" si="1"/>
        <v>24</v>
      </c>
      <c r="O67" s="26" t="s">
        <v>531</v>
      </c>
      <c r="P67" t="s">
        <v>96</v>
      </c>
      <c r="Q67" t="s">
        <v>88</v>
      </c>
      <c r="R67" t="s">
        <v>88</v>
      </c>
      <c r="S67" t="s">
        <v>88</v>
      </c>
      <c r="T67" t="s">
        <v>88</v>
      </c>
      <c r="U67" t="s">
        <v>20</v>
      </c>
    </row>
    <row r="68" spans="1:21" x14ac:dyDescent="0.45">
      <c r="A68" s="20">
        <v>51778847</v>
      </c>
      <c r="B68" s="21" t="str">
        <f t="shared" si="0"/>
        <v>5.177.884-7</v>
      </c>
      <c r="C68" s="22" t="s">
        <v>46</v>
      </c>
      <c r="D68" s="21" t="s">
        <v>277</v>
      </c>
      <c r="E68" s="21" t="s">
        <v>602</v>
      </c>
      <c r="F68" s="21" t="s">
        <v>603</v>
      </c>
      <c r="G68" s="23">
        <v>45324</v>
      </c>
      <c r="H68" s="23">
        <v>45335</v>
      </c>
      <c r="I68" s="21" t="s">
        <v>56</v>
      </c>
      <c r="J68" s="21" t="s">
        <v>22</v>
      </c>
      <c r="K68" s="24" t="s">
        <v>43</v>
      </c>
      <c r="L68" s="23">
        <v>45323</v>
      </c>
      <c r="M68" s="23">
        <v>45335</v>
      </c>
      <c r="N68" s="25">
        <f t="shared" si="1"/>
        <v>12</v>
      </c>
      <c r="O68" s="26" t="s">
        <v>531</v>
      </c>
      <c r="P68" t="s">
        <v>88</v>
      </c>
      <c r="Q68" t="s">
        <v>88</v>
      </c>
      <c r="R68" t="s">
        <v>88</v>
      </c>
      <c r="S68" t="s">
        <v>88</v>
      </c>
      <c r="T68" t="s">
        <v>88</v>
      </c>
      <c r="U68" t="s">
        <v>20</v>
      </c>
    </row>
    <row r="69" spans="1:21" x14ac:dyDescent="0.45">
      <c r="A69" s="20" t="s">
        <v>604</v>
      </c>
      <c r="B69" s="21" t="str">
        <f t="shared" si="0"/>
        <v>6.011.739-K</v>
      </c>
      <c r="C69" s="22" t="s">
        <v>46</v>
      </c>
      <c r="D69" s="21" t="s">
        <v>605</v>
      </c>
      <c r="E69" s="21" t="s">
        <v>606</v>
      </c>
      <c r="F69" s="21" t="s">
        <v>565</v>
      </c>
      <c r="G69" s="23">
        <v>45326</v>
      </c>
      <c r="H69" s="23">
        <v>45337</v>
      </c>
      <c r="I69" s="21" t="s">
        <v>56</v>
      </c>
      <c r="J69" s="21"/>
      <c r="K69" s="24" t="s">
        <v>47</v>
      </c>
      <c r="L69" s="23">
        <v>45323</v>
      </c>
      <c r="M69" s="23">
        <v>45337</v>
      </c>
      <c r="N69" s="25">
        <f t="shared" si="1"/>
        <v>14</v>
      </c>
      <c r="O69" s="26" t="s">
        <v>531</v>
      </c>
      <c r="P69" t="s">
        <v>88</v>
      </c>
      <c r="Q69" t="s">
        <v>88</v>
      </c>
      <c r="R69" t="s">
        <v>88</v>
      </c>
      <c r="S69" t="s">
        <v>88</v>
      </c>
      <c r="T69" t="s">
        <v>88</v>
      </c>
      <c r="U69" t="s">
        <v>20</v>
      </c>
    </row>
    <row r="70" spans="1:21" x14ac:dyDescent="0.45">
      <c r="A70" s="20">
        <v>72610415</v>
      </c>
      <c r="B70" s="21" t="str">
        <f t="shared" si="0"/>
        <v>7.261.041-5</v>
      </c>
      <c r="C70" s="22" t="s">
        <v>46</v>
      </c>
      <c r="D70" s="21" t="s">
        <v>607</v>
      </c>
      <c r="E70" s="21" t="s">
        <v>341</v>
      </c>
      <c r="F70" s="21" t="s">
        <v>386</v>
      </c>
      <c r="G70" s="23">
        <v>45297</v>
      </c>
      <c r="H70" s="23"/>
      <c r="I70" s="21" t="s">
        <v>56</v>
      </c>
      <c r="J70" s="21"/>
      <c r="K70" s="24" t="s">
        <v>43</v>
      </c>
      <c r="L70" s="23">
        <v>45323</v>
      </c>
      <c r="M70" s="23">
        <v>45351</v>
      </c>
      <c r="N70" s="25">
        <f t="shared" si="1"/>
        <v>28</v>
      </c>
      <c r="O70" s="26" t="s">
        <v>355</v>
      </c>
      <c r="P70" t="s">
        <v>88</v>
      </c>
      <c r="Q70" t="s">
        <v>88</v>
      </c>
      <c r="R70" t="s">
        <v>88</v>
      </c>
      <c r="S70" t="s">
        <v>88</v>
      </c>
      <c r="T70" t="s">
        <v>88</v>
      </c>
      <c r="U70" t="s">
        <v>20</v>
      </c>
    </row>
    <row r="71" spans="1:21" x14ac:dyDescent="0.45">
      <c r="A71" s="20">
        <v>72610415</v>
      </c>
      <c r="B71" s="21" t="str">
        <f t="shared" si="0"/>
        <v>7.261.041-5</v>
      </c>
      <c r="C71" s="22" t="s">
        <v>46</v>
      </c>
      <c r="D71" s="21" t="s">
        <v>607</v>
      </c>
      <c r="E71" s="21" t="s">
        <v>341</v>
      </c>
      <c r="F71" s="21" t="s">
        <v>386</v>
      </c>
      <c r="G71" s="23">
        <v>45297</v>
      </c>
      <c r="H71" s="23"/>
      <c r="I71" s="21" t="s">
        <v>56</v>
      </c>
      <c r="J71" s="21"/>
      <c r="K71" s="24" t="s">
        <v>47</v>
      </c>
      <c r="L71" s="23">
        <v>45323</v>
      </c>
      <c r="M71" s="23">
        <v>45351</v>
      </c>
      <c r="N71" s="25">
        <f t="shared" si="1"/>
        <v>28</v>
      </c>
      <c r="O71" s="26" t="s">
        <v>355</v>
      </c>
      <c r="P71" t="s">
        <v>88</v>
      </c>
      <c r="Q71" t="s">
        <v>88</v>
      </c>
      <c r="R71" t="s">
        <v>88</v>
      </c>
      <c r="S71" t="s">
        <v>88</v>
      </c>
      <c r="T71" t="s">
        <v>88</v>
      </c>
      <c r="U71" t="s">
        <v>20</v>
      </c>
    </row>
    <row r="72" spans="1:21" x14ac:dyDescent="0.45">
      <c r="A72" s="20">
        <v>50449270</v>
      </c>
      <c r="B72" s="21" t="str">
        <f t="shared" ref="B72:B135" si="2">IF(LEN(A72)=8,MID(A72,1,1)&amp;"."&amp;MID(A72,2,3)&amp;"."&amp;MID(A72,5,3)&amp;"-"&amp;RIGHT(A72,1),IF(LEFT(RIGHT(A72,2),1)="-",MID(A72,1,1)&amp;"."&amp;MID(A72,2,3)&amp;"."&amp;MID(A72,5,3)&amp;"-"&amp;RIGHT(A72,1),MID(A72,1,2)&amp;"."&amp;MID(A72,3,3)&amp;"."&amp;MID(A72,6,3)&amp;"-"&amp;MID(A72,9,1)))</f>
        <v>5.044.927-0</v>
      </c>
      <c r="C72" s="22" t="s">
        <v>46</v>
      </c>
      <c r="D72" s="21" t="s">
        <v>267</v>
      </c>
      <c r="E72" s="21" t="s">
        <v>608</v>
      </c>
      <c r="F72" s="21" t="s">
        <v>609</v>
      </c>
      <c r="G72" s="23">
        <v>45307</v>
      </c>
      <c r="H72" s="23">
        <v>45331</v>
      </c>
      <c r="I72" s="21" t="s">
        <v>56</v>
      </c>
      <c r="J72" s="21" t="s">
        <v>13</v>
      </c>
      <c r="K72" s="24" t="s">
        <v>47</v>
      </c>
      <c r="L72" s="23">
        <v>45323</v>
      </c>
      <c r="M72" s="23">
        <v>45331</v>
      </c>
      <c r="N72" s="25">
        <f t="shared" ref="N72:N135" si="3">+M72-L72</f>
        <v>8</v>
      </c>
      <c r="O72" s="26" t="s">
        <v>531</v>
      </c>
      <c r="P72" t="s">
        <v>88</v>
      </c>
      <c r="Q72" t="s">
        <v>88</v>
      </c>
      <c r="R72" t="s">
        <v>88</v>
      </c>
      <c r="S72" t="s">
        <v>88</v>
      </c>
      <c r="T72" t="s">
        <v>88</v>
      </c>
      <c r="U72" t="s">
        <v>20</v>
      </c>
    </row>
    <row r="73" spans="1:21" x14ac:dyDescent="0.45">
      <c r="A73" s="20">
        <v>110047053</v>
      </c>
      <c r="B73" s="21" t="str">
        <f t="shared" si="2"/>
        <v>11.004.705-3</v>
      </c>
      <c r="C73" s="22" t="s">
        <v>46</v>
      </c>
      <c r="D73" s="21" t="s">
        <v>352</v>
      </c>
      <c r="E73" s="21" t="s">
        <v>353</v>
      </c>
      <c r="F73" s="21" t="s">
        <v>354</v>
      </c>
      <c r="G73" s="23">
        <v>45301</v>
      </c>
      <c r="H73" s="23">
        <v>45334</v>
      </c>
      <c r="I73" s="21" t="s">
        <v>22</v>
      </c>
      <c r="J73" s="21"/>
      <c r="K73" s="24" t="s">
        <v>43</v>
      </c>
      <c r="L73" s="23">
        <v>45323</v>
      </c>
      <c r="M73" s="23">
        <v>45331</v>
      </c>
      <c r="N73" s="25">
        <f t="shared" si="3"/>
        <v>8</v>
      </c>
      <c r="O73" s="26" t="s">
        <v>610</v>
      </c>
      <c r="P73" t="s">
        <v>88</v>
      </c>
      <c r="Q73" t="s">
        <v>88</v>
      </c>
      <c r="R73" t="s">
        <v>88</v>
      </c>
      <c r="S73" t="s">
        <v>88</v>
      </c>
      <c r="T73" t="s">
        <v>88</v>
      </c>
      <c r="U73" t="s">
        <v>20</v>
      </c>
    </row>
    <row r="74" spans="1:21" x14ac:dyDescent="0.45">
      <c r="A74" s="20">
        <v>93131835</v>
      </c>
      <c r="B74" s="21" t="str">
        <f t="shared" si="2"/>
        <v>9.313.183-5</v>
      </c>
      <c r="C74" s="22" t="s">
        <v>46</v>
      </c>
      <c r="D74" s="21" t="s">
        <v>611</v>
      </c>
      <c r="E74" s="21" t="s">
        <v>612</v>
      </c>
      <c r="F74" s="21" t="s">
        <v>564</v>
      </c>
      <c r="G74" s="23">
        <v>45640</v>
      </c>
      <c r="H74" s="23"/>
      <c r="I74" s="21" t="s">
        <v>56</v>
      </c>
      <c r="J74" s="21"/>
      <c r="K74" s="24" t="s">
        <v>18</v>
      </c>
      <c r="L74" s="23">
        <v>45323</v>
      </c>
      <c r="M74" s="23">
        <v>45351</v>
      </c>
      <c r="N74" s="25">
        <f t="shared" si="3"/>
        <v>28</v>
      </c>
      <c r="O74" s="26"/>
      <c r="P74" t="s">
        <v>143</v>
      </c>
      <c r="Q74" t="s">
        <v>88</v>
      </c>
      <c r="R74" t="s">
        <v>143</v>
      </c>
      <c r="S74" t="s">
        <v>88</v>
      </c>
      <c r="T74" t="s">
        <v>88</v>
      </c>
      <c r="U74" t="s">
        <v>14</v>
      </c>
    </row>
    <row r="75" spans="1:21" x14ac:dyDescent="0.45">
      <c r="A75" s="20">
        <v>112382275</v>
      </c>
      <c r="B75" s="21" t="str">
        <f t="shared" si="2"/>
        <v>11.238.227-5</v>
      </c>
      <c r="C75" s="22" t="s">
        <v>22</v>
      </c>
      <c r="D75" s="21" t="s">
        <v>613</v>
      </c>
      <c r="E75" s="21" t="s">
        <v>614</v>
      </c>
      <c r="F75" s="21" t="s">
        <v>615</v>
      </c>
      <c r="G75" s="23">
        <v>45330</v>
      </c>
      <c r="H75" s="23">
        <v>45334</v>
      </c>
      <c r="I75" s="21" t="s">
        <v>54</v>
      </c>
      <c r="J75" s="21" t="s">
        <v>56</v>
      </c>
      <c r="K75" s="24" t="s">
        <v>43</v>
      </c>
      <c r="L75" s="23">
        <v>45323</v>
      </c>
      <c r="M75" s="23">
        <v>45334</v>
      </c>
      <c r="N75" s="25">
        <f t="shared" si="3"/>
        <v>11</v>
      </c>
      <c r="O75" s="26"/>
      <c r="P75" t="s">
        <v>88</v>
      </c>
      <c r="Q75" t="s">
        <v>88</v>
      </c>
      <c r="R75" t="s">
        <v>88</v>
      </c>
      <c r="S75" t="s">
        <v>88</v>
      </c>
      <c r="T75" t="s">
        <v>88</v>
      </c>
      <c r="U75" t="s">
        <v>20</v>
      </c>
    </row>
    <row r="76" spans="1:21" x14ac:dyDescent="0.45">
      <c r="A76" s="20">
        <v>112382275</v>
      </c>
      <c r="B76" s="21" t="str">
        <f t="shared" si="2"/>
        <v>11.238.227-5</v>
      </c>
      <c r="C76" s="22" t="s">
        <v>22</v>
      </c>
      <c r="D76" s="21" t="s">
        <v>613</v>
      </c>
      <c r="E76" s="21" t="s">
        <v>614</v>
      </c>
      <c r="F76" s="21" t="s">
        <v>615</v>
      </c>
      <c r="G76" s="23">
        <v>45330</v>
      </c>
      <c r="H76" s="23">
        <v>45334</v>
      </c>
      <c r="I76" s="21" t="s">
        <v>54</v>
      </c>
      <c r="J76" s="21" t="s">
        <v>56</v>
      </c>
      <c r="K76" s="24" t="s">
        <v>47</v>
      </c>
      <c r="L76" s="23">
        <v>45323</v>
      </c>
      <c r="M76" s="23">
        <v>45334</v>
      </c>
      <c r="N76" s="25">
        <f t="shared" si="3"/>
        <v>11</v>
      </c>
      <c r="O76" s="26"/>
      <c r="P76" t="s">
        <v>88</v>
      </c>
      <c r="Q76" t="s">
        <v>88</v>
      </c>
      <c r="R76" t="s">
        <v>88</v>
      </c>
      <c r="S76" t="s">
        <v>88</v>
      </c>
      <c r="T76" t="s">
        <v>88</v>
      </c>
      <c r="U76" t="s">
        <v>20</v>
      </c>
    </row>
    <row r="77" spans="1:21" x14ac:dyDescent="0.45">
      <c r="A77" s="20">
        <v>119849128</v>
      </c>
      <c r="B77" s="21" t="str">
        <f t="shared" si="2"/>
        <v>11.984.912-8</v>
      </c>
      <c r="C77" s="22" t="s">
        <v>22</v>
      </c>
      <c r="D77" s="21" t="s">
        <v>616</v>
      </c>
      <c r="E77" s="21" t="s">
        <v>322</v>
      </c>
      <c r="F77" s="21" t="s">
        <v>504</v>
      </c>
      <c r="G77" s="23">
        <v>45329</v>
      </c>
      <c r="H77" s="23">
        <v>45335</v>
      </c>
      <c r="I77" s="21" t="s">
        <v>54</v>
      </c>
      <c r="J77" s="21" t="s">
        <v>56</v>
      </c>
      <c r="K77" s="24" t="s">
        <v>43</v>
      </c>
      <c r="L77" s="23">
        <v>45323</v>
      </c>
      <c r="M77" s="23">
        <v>45334</v>
      </c>
      <c r="N77" s="25">
        <f t="shared" si="3"/>
        <v>11</v>
      </c>
      <c r="O77" s="26"/>
      <c r="P77" t="s">
        <v>96</v>
      </c>
      <c r="Q77" t="s">
        <v>88</v>
      </c>
      <c r="R77" t="s">
        <v>88</v>
      </c>
      <c r="S77" t="s">
        <v>88</v>
      </c>
      <c r="T77" t="s">
        <v>88</v>
      </c>
      <c r="U77" t="s">
        <v>20</v>
      </c>
    </row>
    <row r="78" spans="1:21" x14ac:dyDescent="0.45">
      <c r="A78" s="20">
        <v>119849128</v>
      </c>
      <c r="B78" s="21" t="str">
        <f t="shared" si="2"/>
        <v>11.984.912-8</v>
      </c>
      <c r="C78" s="22" t="s">
        <v>22</v>
      </c>
      <c r="D78" s="21" t="s">
        <v>616</v>
      </c>
      <c r="E78" s="21" t="s">
        <v>322</v>
      </c>
      <c r="F78" s="21" t="s">
        <v>504</v>
      </c>
      <c r="G78" s="23">
        <v>45329</v>
      </c>
      <c r="H78" s="23">
        <v>45335</v>
      </c>
      <c r="I78" s="21" t="s">
        <v>54</v>
      </c>
      <c r="J78" s="21" t="s">
        <v>56</v>
      </c>
      <c r="K78" s="24" t="s">
        <v>47</v>
      </c>
      <c r="L78" s="23">
        <v>45323</v>
      </c>
      <c r="M78" s="23">
        <v>45334</v>
      </c>
      <c r="N78" s="25">
        <f t="shared" si="3"/>
        <v>11</v>
      </c>
      <c r="O78" s="26"/>
      <c r="P78" t="s">
        <v>88</v>
      </c>
      <c r="Q78" t="s">
        <v>88</v>
      </c>
      <c r="R78" t="s">
        <v>88</v>
      </c>
      <c r="S78" t="s">
        <v>88</v>
      </c>
      <c r="T78" t="s">
        <v>88</v>
      </c>
      <c r="U78" t="s">
        <v>20</v>
      </c>
    </row>
    <row r="79" spans="1:21" x14ac:dyDescent="0.45">
      <c r="A79" s="20">
        <v>119849128</v>
      </c>
      <c r="B79" s="21" t="str">
        <f t="shared" si="2"/>
        <v>11.984.912-8</v>
      </c>
      <c r="C79" s="22" t="s">
        <v>22</v>
      </c>
      <c r="D79" s="21" t="s">
        <v>616</v>
      </c>
      <c r="E79" s="21" t="s">
        <v>322</v>
      </c>
      <c r="F79" s="21" t="s">
        <v>504</v>
      </c>
      <c r="G79" s="23">
        <v>45329</v>
      </c>
      <c r="H79" s="23">
        <v>45335</v>
      </c>
      <c r="I79" s="21" t="s">
        <v>54</v>
      </c>
      <c r="J79" s="21" t="s">
        <v>56</v>
      </c>
      <c r="K79" s="24" t="s">
        <v>55</v>
      </c>
      <c r="L79" s="23">
        <v>45323</v>
      </c>
      <c r="M79" s="23">
        <v>45332</v>
      </c>
      <c r="N79" s="25">
        <f t="shared" si="3"/>
        <v>9</v>
      </c>
      <c r="O79" s="26"/>
      <c r="P79" t="s">
        <v>88</v>
      </c>
      <c r="Q79" t="s">
        <v>88</v>
      </c>
      <c r="R79" t="s">
        <v>88</v>
      </c>
      <c r="S79" t="s">
        <v>88</v>
      </c>
      <c r="T79" t="s">
        <v>88</v>
      </c>
      <c r="U79" t="s">
        <v>20</v>
      </c>
    </row>
    <row r="80" spans="1:21" x14ac:dyDescent="0.45">
      <c r="A80" s="20">
        <v>93484363</v>
      </c>
      <c r="B80" s="21" t="str">
        <f t="shared" si="2"/>
        <v>9.348.436-3</v>
      </c>
      <c r="C80" s="22" t="s">
        <v>22</v>
      </c>
      <c r="D80" s="21" t="s">
        <v>617</v>
      </c>
      <c r="E80" s="21" t="s">
        <v>245</v>
      </c>
      <c r="F80" s="21" t="s">
        <v>504</v>
      </c>
      <c r="G80" s="23">
        <v>45327</v>
      </c>
      <c r="H80" s="23">
        <v>45335</v>
      </c>
      <c r="I80" s="21" t="s">
        <v>54</v>
      </c>
      <c r="J80" s="21" t="s">
        <v>26</v>
      </c>
      <c r="K80" s="24" t="s">
        <v>43</v>
      </c>
      <c r="L80" s="23">
        <v>45323</v>
      </c>
      <c r="M80" s="23">
        <v>45335</v>
      </c>
      <c r="N80" s="25">
        <f t="shared" si="3"/>
        <v>12</v>
      </c>
      <c r="O80" s="26"/>
      <c r="P80" t="s">
        <v>88</v>
      </c>
      <c r="Q80" t="s">
        <v>88</v>
      </c>
      <c r="R80" t="s">
        <v>88</v>
      </c>
      <c r="S80" t="s">
        <v>88</v>
      </c>
      <c r="T80" t="s">
        <v>88</v>
      </c>
      <c r="U80" t="s">
        <v>20</v>
      </c>
    </row>
    <row r="81" spans="1:21" x14ac:dyDescent="0.45">
      <c r="A81" s="20">
        <v>93484363</v>
      </c>
      <c r="B81" s="21" t="str">
        <f t="shared" si="2"/>
        <v>9.348.436-3</v>
      </c>
      <c r="C81" s="22" t="s">
        <v>22</v>
      </c>
      <c r="D81" s="21" t="s">
        <v>617</v>
      </c>
      <c r="E81" s="21" t="s">
        <v>245</v>
      </c>
      <c r="F81" s="21" t="s">
        <v>504</v>
      </c>
      <c r="G81" s="23">
        <f>IF(IFERROR(VLOOKUP(A81,$A$9:$I80,1,0),0)=0,"",VLOOKUP(A81,$A$9:$I80,7,0))</f>
        <v>45327</v>
      </c>
      <c r="H81" s="23">
        <v>45335</v>
      </c>
      <c r="I81" s="21" t="s">
        <v>54</v>
      </c>
      <c r="J81" s="21" t="s">
        <v>26</v>
      </c>
      <c r="K81" s="24" t="s">
        <v>51</v>
      </c>
      <c r="L81" s="23">
        <v>45323</v>
      </c>
      <c r="M81" s="23">
        <v>45335</v>
      </c>
      <c r="N81" s="25">
        <f t="shared" si="3"/>
        <v>12</v>
      </c>
      <c r="O81" s="26"/>
      <c r="P81" t="s">
        <v>88</v>
      </c>
      <c r="Q81" t="s">
        <v>88</v>
      </c>
      <c r="R81" t="s">
        <v>88</v>
      </c>
      <c r="S81" t="s">
        <v>88</v>
      </c>
      <c r="T81" t="s">
        <v>88</v>
      </c>
      <c r="U81" t="s">
        <v>20</v>
      </c>
    </row>
    <row r="82" spans="1:21" x14ac:dyDescent="0.45">
      <c r="A82" s="20">
        <v>93484363</v>
      </c>
      <c r="B82" s="21" t="str">
        <f t="shared" si="2"/>
        <v>9.348.436-3</v>
      </c>
      <c r="C82" s="22" t="s">
        <v>22</v>
      </c>
      <c r="D82" s="21" t="s">
        <v>617</v>
      </c>
      <c r="E82" s="21" t="s">
        <v>245</v>
      </c>
      <c r="F82" s="21" t="s">
        <v>504</v>
      </c>
      <c r="G82" s="23">
        <f>IF(IFERROR(VLOOKUP(A82,$A$9:$I81,1,0),0)=0,"",VLOOKUP(A82,$A$9:$I81,7,0))</f>
        <v>45327</v>
      </c>
      <c r="H82" s="23">
        <v>45335</v>
      </c>
      <c r="I82" s="21" t="s">
        <v>54</v>
      </c>
      <c r="J82" s="21" t="s">
        <v>26</v>
      </c>
      <c r="K82" s="24" t="s">
        <v>55</v>
      </c>
      <c r="L82" s="23">
        <v>45323</v>
      </c>
      <c r="M82" s="23">
        <v>45333</v>
      </c>
      <c r="N82" s="25">
        <f t="shared" si="3"/>
        <v>10</v>
      </c>
      <c r="O82" s="26"/>
      <c r="P82" t="s">
        <v>88</v>
      </c>
      <c r="Q82" t="s">
        <v>88</v>
      </c>
      <c r="R82" t="s">
        <v>88</v>
      </c>
      <c r="S82" t="s">
        <v>88</v>
      </c>
      <c r="T82" t="s">
        <v>88</v>
      </c>
      <c r="U82" t="s">
        <v>20</v>
      </c>
    </row>
    <row r="83" spans="1:21" x14ac:dyDescent="0.45">
      <c r="A83" s="20">
        <v>62393912</v>
      </c>
      <c r="B83" s="21" t="str">
        <f t="shared" si="2"/>
        <v>6.239.391-2</v>
      </c>
      <c r="C83" s="22" t="s">
        <v>22</v>
      </c>
      <c r="D83" s="21" t="s">
        <v>618</v>
      </c>
      <c r="E83" s="21" t="s">
        <v>619</v>
      </c>
      <c r="F83" s="21" t="s">
        <v>620</v>
      </c>
      <c r="G83" s="23">
        <v>45331</v>
      </c>
      <c r="H83" s="23">
        <v>45334</v>
      </c>
      <c r="I83" s="21" t="s">
        <v>54</v>
      </c>
      <c r="J83" s="21" t="s">
        <v>19</v>
      </c>
      <c r="K83" s="24" t="s">
        <v>43</v>
      </c>
      <c r="L83" s="23">
        <v>45323</v>
      </c>
      <c r="M83" s="23">
        <v>45334</v>
      </c>
      <c r="N83" s="25">
        <f t="shared" si="3"/>
        <v>11</v>
      </c>
      <c r="O83" s="26"/>
      <c r="P83" t="s">
        <v>88</v>
      </c>
      <c r="Q83" t="s">
        <v>88</v>
      </c>
      <c r="R83" t="s">
        <v>88</v>
      </c>
      <c r="S83" t="s">
        <v>88</v>
      </c>
      <c r="T83" t="s">
        <v>88</v>
      </c>
      <c r="U83" t="s">
        <v>20</v>
      </c>
    </row>
    <row r="84" spans="1:21" x14ac:dyDescent="0.45">
      <c r="A84" s="20">
        <v>62393912</v>
      </c>
      <c r="B84" s="21" t="str">
        <f t="shared" si="2"/>
        <v>6.239.391-2</v>
      </c>
      <c r="C84" s="22" t="str">
        <f>IF(IFERROR(VLOOKUP(A84,$A$9:$I83,1,0),0)=0,"",VLOOKUP(A84,$A$9:$I83,3,0))</f>
        <v>UCI</v>
      </c>
      <c r="D84" s="21" t="s">
        <v>618</v>
      </c>
      <c r="E84" s="21" t="s">
        <v>619</v>
      </c>
      <c r="F84" s="21" t="s">
        <v>620</v>
      </c>
      <c r="G84" s="23">
        <v>45331</v>
      </c>
      <c r="H84" s="23">
        <v>45334</v>
      </c>
      <c r="I84" s="21" t="s">
        <v>54</v>
      </c>
      <c r="J84" s="21" t="s">
        <v>19</v>
      </c>
      <c r="K84" s="24" t="s">
        <v>47</v>
      </c>
      <c r="L84" s="23">
        <v>45323</v>
      </c>
      <c r="M84" s="23">
        <v>45334</v>
      </c>
      <c r="N84" s="25">
        <f t="shared" si="3"/>
        <v>11</v>
      </c>
      <c r="O84" s="26"/>
      <c r="P84" t="s">
        <v>88</v>
      </c>
      <c r="Q84" t="s">
        <v>88</v>
      </c>
      <c r="R84" t="s">
        <v>88</v>
      </c>
      <c r="S84" t="s">
        <v>88</v>
      </c>
      <c r="T84" t="s">
        <v>88</v>
      </c>
      <c r="U84" t="s">
        <v>20</v>
      </c>
    </row>
    <row r="85" spans="1:21" x14ac:dyDescent="0.45">
      <c r="A85" s="20">
        <v>62393912</v>
      </c>
      <c r="B85" s="21" t="str">
        <f t="shared" si="2"/>
        <v>6.239.391-2</v>
      </c>
      <c r="C85" s="22" t="str">
        <f>IF(IFERROR(VLOOKUP(A85,$A$9:$I84,1,0),0)=0,"",VLOOKUP(A85,$A$9:$I84,3,0))</f>
        <v>UCI</v>
      </c>
      <c r="D85" s="21" t="s">
        <v>618</v>
      </c>
      <c r="E85" s="21" t="s">
        <v>619</v>
      </c>
      <c r="F85" s="21" t="s">
        <v>620</v>
      </c>
      <c r="G85" s="23">
        <v>45331</v>
      </c>
      <c r="H85" s="23">
        <v>45334</v>
      </c>
      <c r="I85" s="21" t="s">
        <v>54</v>
      </c>
      <c r="J85" s="21" t="s">
        <v>19</v>
      </c>
      <c r="K85" s="24" t="s">
        <v>55</v>
      </c>
      <c r="L85" s="23">
        <v>45323</v>
      </c>
      <c r="M85" s="23">
        <v>45334</v>
      </c>
      <c r="N85" s="25">
        <f t="shared" si="3"/>
        <v>11</v>
      </c>
      <c r="O85" s="26"/>
      <c r="P85" t="s">
        <v>88</v>
      </c>
      <c r="Q85" t="s">
        <v>88</v>
      </c>
      <c r="R85" t="s">
        <v>88</v>
      </c>
      <c r="S85" t="s">
        <v>88</v>
      </c>
      <c r="T85" t="s">
        <v>88</v>
      </c>
      <c r="U85" t="s">
        <v>20</v>
      </c>
    </row>
    <row r="86" spans="1:21" x14ac:dyDescent="0.45">
      <c r="A86" s="20">
        <v>182263591</v>
      </c>
      <c r="B86" s="21" t="str">
        <f t="shared" si="2"/>
        <v>18.226.359-1</v>
      </c>
      <c r="C86" s="22" t="s">
        <v>22</v>
      </c>
      <c r="D86" s="21" t="s">
        <v>621</v>
      </c>
      <c r="E86" s="21" t="s">
        <v>622</v>
      </c>
      <c r="F86" s="21" t="s">
        <v>258</v>
      </c>
      <c r="G86" s="23">
        <v>45328</v>
      </c>
      <c r="H86" s="49">
        <v>45335</v>
      </c>
      <c r="I86" s="21" t="s">
        <v>54</v>
      </c>
      <c r="J86" s="29"/>
      <c r="K86" s="24" t="s">
        <v>43</v>
      </c>
      <c r="L86" s="23">
        <v>45323</v>
      </c>
      <c r="M86" s="49">
        <v>45335</v>
      </c>
      <c r="N86" s="25">
        <f t="shared" si="3"/>
        <v>12</v>
      </c>
      <c r="O86" s="26"/>
      <c r="P86" t="s">
        <v>88</v>
      </c>
      <c r="Q86" t="s">
        <v>88</v>
      </c>
      <c r="R86" t="s">
        <v>88</v>
      </c>
      <c r="S86" t="s">
        <v>88</v>
      </c>
      <c r="T86" t="s">
        <v>88</v>
      </c>
      <c r="U86" t="s">
        <v>20</v>
      </c>
    </row>
    <row r="87" spans="1:21" x14ac:dyDescent="0.45">
      <c r="A87" s="20">
        <v>182263591</v>
      </c>
      <c r="B87" s="21" t="str">
        <f t="shared" si="2"/>
        <v>18.226.359-1</v>
      </c>
      <c r="C87" s="22" t="s">
        <v>22</v>
      </c>
      <c r="D87" s="21" t="s">
        <v>621</v>
      </c>
      <c r="E87" s="21" t="s">
        <v>622</v>
      </c>
      <c r="F87" s="21" t="s">
        <v>258</v>
      </c>
      <c r="G87" s="23">
        <v>45328</v>
      </c>
      <c r="H87" s="49">
        <v>45335</v>
      </c>
      <c r="I87" s="21" t="s">
        <v>54</v>
      </c>
      <c r="J87" s="29"/>
      <c r="K87" s="24" t="s">
        <v>47</v>
      </c>
      <c r="L87" s="23">
        <v>45323</v>
      </c>
      <c r="M87" s="49">
        <v>45335</v>
      </c>
      <c r="N87" s="25">
        <f t="shared" si="3"/>
        <v>12</v>
      </c>
      <c r="O87" s="26"/>
      <c r="P87" t="s">
        <v>88</v>
      </c>
      <c r="Q87" t="s">
        <v>88</v>
      </c>
      <c r="R87" t="s">
        <v>88</v>
      </c>
      <c r="S87" t="s">
        <v>88</v>
      </c>
      <c r="T87" t="s">
        <v>88</v>
      </c>
      <c r="U87" t="s">
        <v>20</v>
      </c>
    </row>
    <row r="88" spans="1:21" x14ac:dyDescent="0.45">
      <c r="A88" s="20">
        <v>205140603</v>
      </c>
      <c r="B88" s="21" t="str">
        <f t="shared" si="2"/>
        <v>20.514.060-3</v>
      </c>
      <c r="C88" s="22" t="s">
        <v>22</v>
      </c>
      <c r="D88" s="21" t="s">
        <v>623</v>
      </c>
      <c r="E88" s="21" t="s">
        <v>623</v>
      </c>
      <c r="F88" s="21" t="s">
        <v>624</v>
      </c>
      <c r="G88" s="23">
        <v>45330</v>
      </c>
      <c r="H88" s="23">
        <v>45335</v>
      </c>
      <c r="I88" s="21" t="s">
        <v>54</v>
      </c>
      <c r="J88" s="21"/>
      <c r="K88" s="24" t="s">
        <v>43</v>
      </c>
      <c r="L88" s="23">
        <v>45323</v>
      </c>
      <c r="M88" s="23">
        <v>45335</v>
      </c>
      <c r="N88" s="25">
        <f t="shared" si="3"/>
        <v>12</v>
      </c>
      <c r="O88" s="26" t="s">
        <v>531</v>
      </c>
      <c r="P88" t="s">
        <v>88</v>
      </c>
      <c r="Q88" t="s">
        <v>88</v>
      </c>
      <c r="R88" t="s">
        <v>88</v>
      </c>
      <c r="S88" t="s">
        <v>88</v>
      </c>
      <c r="T88" t="s">
        <v>88</v>
      </c>
      <c r="U88" t="s">
        <v>20</v>
      </c>
    </row>
    <row r="89" spans="1:21" x14ac:dyDescent="0.45">
      <c r="A89" s="20">
        <v>205140603</v>
      </c>
      <c r="B89" s="21" t="str">
        <f t="shared" si="2"/>
        <v>20.514.060-3</v>
      </c>
      <c r="C89" s="22" t="str">
        <f>IF(IFERROR(VLOOKUP(A89,$A$9:$I88,1,0),0)=0,"",VLOOKUP(A89,$A$9:$I88,3,0))</f>
        <v>UCI</v>
      </c>
      <c r="D89" s="21" t="str">
        <f>IF(IFERROR(VLOOKUP(A89,$A$9:$I88,1,0),0)=0,"",VLOOKUP(A89,$A$9:$I88,4,0))</f>
        <v>TIZNADO</v>
      </c>
      <c r="E89" s="21" t="str">
        <f>IF(IFERROR(VLOOKUP(A89,$A$9:$I88,1,0),0)=0,"",VLOOKUP(A89,$A$9:$I88,5,0))</f>
        <v>TIZNADO</v>
      </c>
      <c r="F89" s="21" t="str">
        <f>IF(IFERROR(VLOOKUP(A89,$A$9:$I88,1,0),0)=0,"",VLOOKUP(A89,$A$9:$I88,6,0))</f>
        <v>MICHELLE</v>
      </c>
      <c r="G89" s="23">
        <f>IF(IFERROR(VLOOKUP(A89,$A$9:$I88,1,0),0)=0,"",VLOOKUP(A89,$A$9:$I88,7,0))</f>
        <v>45330</v>
      </c>
      <c r="H89" s="23">
        <v>45335</v>
      </c>
      <c r="I89" s="21" t="s">
        <v>54</v>
      </c>
      <c r="J89" s="21"/>
      <c r="K89" s="24" t="s">
        <v>47</v>
      </c>
      <c r="L89" s="23">
        <v>45323</v>
      </c>
      <c r="M89" s="23">
        <v>45333</v>
      </c>
      <c r="N89" s="25">
        <f t="shared" si="3"/>
        <v>10</v>
      </c>
      <c r="O89" s="26" t="s">
        <v>531</v>
      </c>
      <c r="P89" t="s">
        <v>96</v>
      </c>
      <c r="Q89" t="s">
        <v>88</v>
      </c>
      <c r="R89" t="s">
        <v>88</v>
      </c>
      <c r="S89" t="s">
        <v>88</v>
      </c>
      <c r="T89" t="s">
        <v>88</v>
      </c>
      <c r="U89" t="s">
        <v>14</v>
      </c>
    </row>
    <row r="90" spans="1:21" x14ac:dyDescent="0.45">
      <c r="A90" s="20">
        <v>205140603</v>
      </c>
      <c r="B90" s="21" t="str">
        <f t="shared" si="2"/>
        <v>20.514.060-3</v>
      </c>
      <c r="C90" s="22" t="str">
        <f>IF(IFERROR(VLOOKUP(A90,$A$9:$I89,1,0),0)=0,"",VLOOKUP(A90,$A$9:$I89,3,0))</f>
        <v>UCI</v>
      </c>
      <c r="D90" s="21" t="str">
        <f>IF(IFERROR(VLOOKUP(A90,$A$9:$I89,1,0),0)=0,"",VLOOKUP(A90,$A$9:$I89,4,0))</f>
        <v>TIZNADO</v>
      </c>
      <c r="E90" s="21" t="str">
        <f>IF(IFERROR(VLOOKUP(A90,$A$9:$I89,1,0),0)=0,"",VLOOKUP(A90,$A$9:$I89,5,0))</f>
        <v>TIZNADO</v>
      </c>
      <c r="F90" s="21" t="str">
        <f>IF(IFERROR(VLOOKUP(A90,$A$9:$I89,1,0),0)=0,"",VLOOKUP(A90,$A$9:$I89,6,0))</f>
        <v>MICHELLE</v>
      </c>
      <c r="G90" s="23">
        <f>IF(IFERROR(VLOOKUP(A90,$A$9:$I89,1,0),0)=0,"",VLOOKUP(A90,$A$9:$I89,7,0))</f>
        <v>45330</v>
      </c>
      <c r="H90" s="23">
        <v>45335</v>
      </c>
      <c r="I90" s="21" t="s">
        <v>54</v>
      </c>
      <c r="J90" s="21"/>
      <c r="K90" s="24" t="s">
        <v>55</v>
      </c>
      <c r="L90" s="23">
        <v>45323</v>
      </c>
      <c r="M90" s="23">
        <v>45331</v>
      </c>
      <c r="N90" s="25">
        <f t="shared" si="3"/>
        <v>8</v>
      </c>
      <c r="O90" s="26" t="s">
        <v>531</v>
      </c>
      <c r="P90" t="s">
        <v>106</v>
      </c>
      <c r="Q90" t="s">
        <v>88</v>
      </c>
      <c r="R90" t="s">
        <v>88</v>
      </c>
      <c r="S90" t="s">
        <v>88</v>
      </c>
      <c r="T90" t="s">
        <v>88</v>
      </c>
      <c r="U90" t="s">
        <v>14</v>
      </c>
    </row>
    <row r="91" spans="1:21" x14ac:dyDescent="0.45">
      <c r="A91" s="20">
        <v>51849264</v>
      </c>
      <c r="B91" s="21" t="str">
        <f t="shared" si="2"/>
        <v>5.184.926-4</v>
      </c>
      <c r="C91" s="22" t="s">
        <v>30</v>
      </c>
      <c r="D91" s="21" t="s">
        <v>625</v>
      </c>
      <c r="E91" s="21" t="s">
        <v>626</v>
      </c>
      <c r="F91" s="21" t="s">
        <v>565</v>
      </c>
      <c r="G91" s="23">
        <v>45332</v>
      </c>
      <c r="H91" s="23"/>
      <c r="I91" s="21" t="s">
        <v>24</v>
      </c>
      <c r="J91" s="21"/>
      <c r="K91" s="24" t="s">
        <v>43</v>
      </c>
      <c r="L91" s="23">
        <v>45332</v>
      </c>
      <c r="M91" s="23">
        <v>45335</v>
      </c>
      <c r="N91" s="25">
        <f t="shared" si="3"/>
        <v>3</v>
      </c>
      <c r="O91" s="26"/>
      <c r="P91" t="s">
        <v>88</v>
      </c>
      <c r="Q91" t="s">
        <v>88</v>
      </c>
      <c r="R91" t="s">
        <v>88</v>
      </c>
      <c r="S91" t="s">
        <v>88</v>
      </c>
      <c r="T91" t="s">
        <v>88</v>
      </c>
      <c r="U91" t="s">
        <v>20</v>
      </c>
    </row>
    <row r="92" spans="1:21" x14ac:dyDescent="0.45">
      <c r="A92" s="20">
        <v>75895844</v>
      </c>
      <c r="B92" s="21" t="str">
        <f t="shared" si="2"/>
        <v>7.589.584-4</v>
      </c>
      <c r="C92" s="22" t="s">
        <v>30</v>
      </c>
      <c r="D92" s="21" t="s">
        <v>627</v>
      </c>
      <c r="E92" s="21" t="s">
        <v>628</v>
      </c>
      <c r="F92" s="21" t="s">
        <v>629</v>
      </c>
      <c r="G92" s="23">
        <v>45330</v>
      </c>
      <c r="H92" s="23">
        <v>45337</v>
      </c>
      <c r="I92" s="21" t="s">
        <v>24</v>
      </c>
      <c r="J92" s="21" t="s">
        <v>22</v>
      </c>
      <c r="K92" s="24" t="s">
        <v>43</v>
      </c>
      <c r="L92" s="23">
        <v>45323</v>
      </c>
      <c r="M92" s="23">
        <v>45337</v>
      </c>
      <c r="N92" s="25">
        <f t="shared" si="3"/>
        <v>14</v>
      </c>
      <c r="O92" s="26"/>
      <c r="P92" t="s">
        <v>88</v>
      </c>
      <c r="Q92" t="s">
        <v>88</v>
      </c>
      <c r="R92" t="s">
        <v>88</v>
      </c>
      <c r="S92" t="s">
        <v>88</v>
      </c>
      <c r="T92" t="s">
        <v>88</v>
      </c>
      <c r="U92" t="s">
        <v>20</v>
      </c>
    </row>
    <row r="93" spans="1:21" x14ac:dyDescent="0.45">
      <c r="A93" s="20">
        <v>75895844</v>
      </c>
      <c r="B93" s="21" t="str">
        <f t="shared" si="2"/>
        <v>7.589.584-4</v>
      </c>
      <c r="C93" s="22" t="s">
        <v>30</v>
      </c>
      <c r="D93" s="21" t="s">
        <v>627</v>
      </c>
      <c r="E93" s="21" t="s">
        <v>628</v>
      </c>
      <c r="F93" s="21" t="s">
        <v>629</v>
      </c>
      <c r="G93" s="23">
        <v>45330</v>
      </c>
      <c r="H93" s="23"/>
      <c r="I93" s="21" t="s">
        <v>24</v>
      </c>
      <c r="J93" s="21"/>
      <c r="K93" s="24" t="s">
        <v>47</v>
      </c>
      <c r="L93" s="23">
        <v>45323</v>
      </c>
      <c r="M93" s="23">
        <v>45336</v>
      </c>
      <c r="N93" s="25">
        <f t="shared" si="3"/>
        <v>13</v>
      </c>
      <c r="O93" s="26"/>
      <c r="P93" t="s">
        <v>88</v>
      </c>
      <c r="Q93" t="s">
        <v>88</v>
      </c>
      <c r="R93" t="s">
        <v>88</v>
      </c>
      <c r="S93" t="s">
        <v>88</v>
      </c>
      <c r="T93" t="s">
        <v>88</v>
      </c>
      <c r="U93" t="s">
        <v>20</v>
      </c>
    </row>
    <row r="94" spans="1:21" x14ac:dyDescent="0.45">
      <c r="A94" s="20" t="s">
        <v>630</v>
      </c>
      <c r="B94" s="21" t="str">
        <f t="shared" si="2"/>
        <v>9.731.585-K</v>
      </c>
      <c r="C94" s="22" t="s">
        <v>30</v>
      </c>
      <c r="D94" s="21" t="s">
        <v>617</v>
      </c>
      <c r="E94" s="21" t="s">
        <v>631</v>
      </c>
      <c r="F94" s="21" t="s">
        <v>504</v>
      </c>
      <c r="G94" s="23">
        <v>45328</v>
      </c>
      <c r="H94" s="23">
        <v>45336</v>
      </c>
      <c r="I94" s="21" t="s">
        <v>24</v>
      </c>
      <c r="J94" s="21"/>
      <c r="K94" s="24" t="s">
        <v>43</v>
      </c>
      <c r="L94" s="23">
        <v>45323</v>
      </c>
      <c r="M94" s="23">
        <v>45334</v>
      </c>
      <c r="N94" s="25">
        <f t="shared" si="3"/>
        <v>11</v>
      </c>
      <c r="O94" s="26"/>
      <c r="P94" t="s">
        <v>88</v>
      </c>
      <c r="Q94" t="s">
        <v>88</v>
      </c>
      <c r="R94" t="s">
        <v>88</v>
      </c>
      <c r="S94" t="s">
        <v>88</v>
      </c>
      <c r="T94" t="s">
        <v>88</v>
      </c>
      <c r="U94" t="s">
        <v>20</v>
      </c>
    </row>
    <row r="95" spans="1:21" x14ac:dyDescent="0.45">
      <c r="A95" s="20">
        <v>68275288</v>
      </c>
      <c r="B95" s="21" t="str">
        <f t="shared" si="2"/>
        <v>6.827.528-8</v>
      </c>
      <c r="C95" s="22" t="s">
        <v>30</v>
      </c>
      <c r="D95" s="21" t="s">
        <v>306</v>
      </c>
      <c r="E95" s="21" t="s">
        <v>632</v>
      </c>
      <c r="F95" s="21" t="s">
        <v>633</v>
      </c>
      <c r="G95" s="23">
        <v>45331</v>
      </c>
      <c r="H95" s="23">
        <v>45336</v>
      </c>
      <c r="I95" s="21" t="s">
        <v>24</v>
      </c>
      <c r="J95" s="21"/>
      <c r="K95" s="24" t="s">
        <v>43</v>
      </c>
      <c r="L95" s="23">
        <v>45323</v>
      </c>
      <c r="M95" s="23">
        <v>45335</v>
      </c>
      <c r="N95" s="25">
        <f t="shared" si="3"/>
        <v>12</v>
      </c>
      <c r="O95" s="26"/>
      <c r="P95" t="s">
        <v>88</v>
      </c>
      <c r="Q95" t="s">
        <v>88</v>
      </c>
      <c r="R95" t="s">
        <v>88</v>
      </c>
      <c r="S95" t="s">
        <v>88</v>
      </c>
      <c r="T95" t="s">
        <v>88</v>
      </c>
      <c r="U95" t="s">
        <v>20</v>
      </c>
    </row>
    <row r="96" spans="1:21" x14ac:dyDescent="0.45">
      <c r="A96" s="20">
        <v>61868046</v>
      </c>
      <c r="B96" s="21" t="str">
        <f t="shared" si="2"/>
        <v>6.186.804-6</v>
      </c>
      <c r="C96" s="22" t="s">
        <v>22</v>
      </c>
      <c r="D96" s="21" t="s">
        <v>241</v>
      </c>
      <c r="E96" s="21" t="s">
        <v>313</v>
      </c>
      <c r="F96" s="21" t="s">
        <v>634</v>
      </c>
      <c r="G96" s="23">
        <v>45331</v>
      </c>
      <c r="H96" s="23">
        <v>45335</v>
      </c>
      <c r="I96" s="21" t="s">
        <v>22</v>
      </c>
      <c r="J96" s="21" t="s">
        <v>46</v>
      </c>
      <c r="K96" s="24" t="s">
        <v>43</v>
      </c>
      <c r="L96" s="23">
        <v>45323</v>
      </c>
      <c r="M96" s="23">
        <v>45335</v>
      </c>
      <c r="N96" s="25">
        <f t="shared" si="3"/>
        <v>12</v>
      </c>
      <c r="O96" s="26"/>
      <c r="P96" t="s">
        <v>88</v>
      </c>
      <c r="Q96" t="s">
        <v>88</v>
      </c>
      <c r="R96" t="s">
        <v>88</v>
      </c>
      <c r="S96" t="s">
        <v>88</v>
      </c>
      <c r="T96" t="s">
        <v>88</v>
      </c>
      <c r="U96" t="s">
        <v>20</v>
      </c>
    </row>
    <row r="97" spans="1:21" x14ac:dyDescent="0.45">
      <c r="A97" s="20">
        <v>53862403</v>
      </c>
      <c r="B97" s="21" t="str">
        <f t="shared" si="2"/>
        <v>5.386.240-3</v>
      </c>
      <c r="C97" s="22" t="s">
        <v>22</v>
      </c>
      <c r="D97" s="21" t="s">
        <v>240</v>
      </c>
      <c r="E97" s="21" t="s">
        <v>285</v>
      </c>
      <c r="F97" s="21" t="str">
        <f>IF(IFERROR(VLOOKUP(A97,$A$9:$I96,1,0),0)=0,"",VLOOKUP(A97,$A$9:$I96,6,0))</f>
        <v>VICTOR</v>
      </c>
      <c r="G97" s="23">
        <v>45320</v>
      </c>
      <c r="H97" s="23">
        <v>45336</v>
      </c>
      <c r="I97" s="21" t="s">
        <v>22</v>
      </c>
      <c r="J97" s="21" t="s">
        <v>56</v>
      </c>
      <c r="K97" s="24" t="s">
        <v>43</v>
      </c>
      <c r="L97" s="23">
        <v>45323</v>
      </c>
      <c r="M97" s="23">
        <v>45336</v>
      </c>
      <c r="N97" s="25">
        <f t="shared" si="3"/>
        <v>13</v>
      </c>
      <c r="O97" s="26"/>
      <c r="P97" t="s">
        <v>88</v>
      </c>
      <c r="Q97" t="s">
        <v>88</v>
      </c>
      <c r="R97" t="s">
        <v>88</v>
      </c>
      <c r="S97" t="s">
        <v>88</v>
      </c>
      <c r="T97" t="s">
        <v>88</v>
      </c>
      <c r="U97" t="s">
        <v>20</v>
      </c>
    </row>
    <row r="98" spans="1:21" x14ac:dyDescent="0.45">
      <c r="A98" s="20">
        <v>53862403</v>
      </c>
      <c r="B98" s="21" t="str">
        <f t="shared" si="2"/>
        <v>5.386.240-3</v>
      </c>
      <c r="C98" s="22" t="s">
        <v>22</v>
      </c>
      <c r="D98" s="21" t="s">
        <v>240</v>
      </c>
      <c r="E98" s="21" t="s">
        <v>285</v>
      </c>
      <c r="F98" s="21" t="str">
        <f>IF(IFERROR(VLOOKUP(A98,$A$9:$I97,1,0),0)=0,"",VLOOKUP(A98,$A$9:$I97,6,0))</f>
        <v>VICTOR</v>
      </c>
      <c r="G98" s="23">
        <f>IF(IFERROR(VLOOKUP(A98,$A$9:$I97,1,0),0)=0,"",VLOOKUP(A98,$A$9:$I97,7,0))</f>
        <v>45320</v>
      </c>
      <c r="H98" s="23">
        <v>45336</v>
      </c>
      <c r="I98" s="21" t="s">
        <v>22</v>
      </c>
      <c r="J98" s="21" t="s">
        <v>56</v>
      </c>
      <c r="K98" s="24" t="s">
        <v>47</v>
      </c>
      <c r="L98" s="23">
        <v>45323</v>
      </c>
      <c r="M98" s="23">
        <v>45335</v>
      </c>
      <c r="N98" s="25">
        <f t="shared" si="3"/>
        <v>12</v>
      </c>
      <c r="O98" s="26"/>
      <c r="P98" t="s">
        <v>88</v>
      </c>
      <c r="Q98" t="s">
        <v>88</v>
      </c>
      <c r="R98" t="s">
        <v>88</v>
      </c>
      <c r="S98" t="s">
        <v>88</v>
      </c>
      <c r="T98" t="s">
        <v>88</v>
      </c>
      <c r="U98" t="s">
        <v>20</v>
      </c>
    </row>
    <row r="99" spans="1:21" x14ac:dyDescent="0.45">
      <c r="A99" s="20">
        <v>56263187</v>
      </c>
      <c r="B99" s="21" t="str">
        <f t="shared" si="2"/>
        <v>5.626.318-7</v>
      </c>
      <c r="C99" s="22" t="s">
        <v>22</v>
      </c>
      <c r="D99" s="21" t="s">
        <v>568</v>
      </c>
      <c r="E99" s="21" t="s">
        <v>635</v>
      </c>
      <c r="F99" s="21" t="s">
        <v>258</v>
      </c>
      <c r="G99" s="23">
        <v>45331</v>
      </c>
      <c r="H99" s="23">
        <v>45337</v>
      </c>
      <c r="I99" s="21" t="s">
        <v>22</v>
      </c>
      <c r="J99" s="21"/>
      <c r="K99" s="24" t="s">
        <v>43</v>
      </c>
      <c r="L99" s="23">
        <v>45323</v>
      </c>
      <c r="M99" s="23">
        <v>45337</v>
      </c>
      <c r="N99" s="25">
        <f t="shared" si="3"/>
        <v>14</v>
      </c>
      <c r="O99" s="26" t="s">
        <v>14</v>
      </c>
      <c r="P99" t="s">
        <v>88</v>
      </c>
      <c r="Q99" t="s">
        <v>88</v>
      </c>
      <c r="R99" t="s">
        <v>88</v>
      </c>
      <c r="S99" t="s">
        <v>88</v>
      </c>
      <c r="T99" t="s">
        <v>88</v>
      </c>
      <c r="U99" t="s">
        <v>20</v>
      </c>
    </row>
    <row r="100" spans="1:21" x14ac:dyDescent="0.45">
      <c r="A100" s="20">
        <v>56263187</v>
      </c>
      <c r="B100" s="21" t="str">
        <f t="shared" si="2"/>
        <v>5.626.318-7</v>
      </c>
      <c r="C100" s="22" t="s">
        <v>22</v>
      </c>
      <c r="D100" s="21" t="s">
        <v>568</v>
      </c>
      <c r="E100" s="21" t="s">
        <v>635</v>
      </c>
      <c r="F100" s="21" t="s">
        <v>258</v>
      </c>
      <c r="G100" s="23">
        <v>45331</v>
      </c>
      <c r="H100" s="23">
        <v>45337</v>
      </c>
      <c r="I100" s="21" t="s">
        <v>22</v>
      </c>
      <c r="J100" s="21"/>
      <c r="K100" s="24" t="s">
        <v>47</v>
      </c>
      <c r="L100" s="23">
        <v>45323</v>
      </c>
      <c r="M100" s="23">
        <v>45337</v>
      </c>
      <c r="N100" s="25">
        <f t="shared" si="3"/>
        <v>14</v>
      </c>
      <c r="O100" s="26"/>
      <c r="P100" t="s">
        <v>88</v>
      </c>
      <c r="Q100" t="s">
        <v>88</v>
      </c>
      <c r="R100" t="s">
        <v>88</v>
      </c>
      <c r="S100" t="s">
        <v>88</v>
      </c>
      <c r="T100" t="s">
        <v>88</v>
      </c>
      <c r="U100" t="s">
        <v>20</v>
      </c>
    </row>
    <row r="101" spans="1:21" x14ac:dyDescent="0.45">
      <c r="A101" s="20">
        <v>112389857</v>
      </c>
      <c r="B101" s="21" t="str">
        <f t="shared" si="2"/>
        <v>11.238.985-7</v>
      </c>
      <c r="C101" s="22" t="s">
        <v>22</v>
      </c>
      <c r="D101" s="21" t="s">
        <v>439</v>
      </c>
      <c r="E101" s="21" t="s">
        <v>636</v>
      </c>
      <c r="F101" s="21" t="s">
        <v>637</v>
      </c>
      <c r="G101" s="23">
        <v>44967</v>
      </c>
      <c r="H101" s="23">
        <v>45335</v>
      </c>
      <c r="I101" s="21" t="s">
        <v>22</v>
      </c>
      <c r="J101" s="21" t="s">
        <v>56</v>
      </c>
      <c r="K101" s="24" t="s">
        <v>43</v>
      </c>
      <c r="L101" s="23">
        <v>45323</v>
      </c>
      <c r="M101" s="23">
        <v>45335</v>
      </c>
      <c r="N101" s="25">
        <f t="shared" si="3"/>
        <v>12</v>
      </c>
      <c r="O101" s="26"/>
      <c r="P101" t="s">
        <v>88</v>
      </c>
      <c r="Q101" t="s">
        <v>88</v>
      </c>
      <c r="R101" t="s">
        <v>88</v>
      </c>
      <c r="S101" t="s">
        <v>88</v>
      </c>
      <c r="T101" t="s">
        <v>88</v>
      </c>
      <c r="U101" t="s">
        <v>20</v>
      </c>
    </row>
    <row r="102" spans="1:21" x14ac:dyDescent="0.45">
      <c r="A102" s="20">
        <v>64791087</v>
      </c>
      <c r="B102" s="21" t="str">
        <f t="shared" si="2"/>
        <v>6.479.108-7</v>
      </c>
      <c r="C102" s="22" t="s">
        <v>22</v>
      </c>
      <c r="D102" s="21" t="s">
        <v>612</v>
      </c>
      <c r="E102" s="21" t="s">
        <v>384</v>
      </c>
      <c r="F102" s="21" t="s">
        <v>638</v>
      </c>
      <c r="G102" s="23">
        <v>45329</v>
      </c>
      <c r="H102" s="23">
        <v>45334</v>
      </c>
      <c r="I102" s="21" t="s">
        <v>22</v>
      </c>
      <c r="J102" s="21" t="s">
        <v>22</v>
      </c>
      <c r="K102" s="24" t="s">
        <v>18</v>
      </c>
      <c r="L102" s="23">
        <v>45323</v>
      </c>
      <c r="M102" s="23">
        <v>45334</v>
      </c>
      <c r="N102" s="25">
        <f t="shared" si="3"/>
        <v>11</v>
      </c>
      <c r="O102" s="26" t="s">
        <v>14</v>
      </c>
      <c r="P102" t="s">
        <v>88</v>
      </c>
      <c r="Q102" t="s">
        <v>88</v>
      </c>
      <c r="R102" t="s">
        <v>88</v>
      </c>
      <c r="S102" t="s">
        <v>88</v>
      </c>
      <c r="T102" t="s">
        <v>88</v>
      </c>
      <c r="U102" t="s">
        <v>20</v>
      </c>
    </row>
    <row r="103" spans="1:21" x14ac:dyDescent="0.45">
      <c r="A103" s="20">
        <v>64791087</v>
      </c>
      <c r="B103" s="21" t="str">
        <f t="shared" si="2"/>
        <v>6.479.108-7</v>
      </c>
      <c r="C103" s="22" t="s">
        <v>22</v>
      </c>
      <c r="D103" s="21" t="s">
        <v>612</v>
      </c>
      <c r="E103" s="21" t="s">
        <v>384</v>
      </c>
      <c r="F103" s="21" t="s">
        <v>638</v>
      </c>
      <c r="G103" s="23">
        <f>IF(IFERROR(VLOOKUP(A103,$A$9:$I102,1,0),0)=0,"",VLOOKUP(A103,$A$9:$I102,7,0))</f>
        <v>45329</v>
      </c>
      <c r="H103" s="23">
        <v>45334</v>
      </c>
      <c r="I103" s="21" t="s">
        <v>22</v>
      </c>
      <c r="J103" s="21" t="s">
        <v>22</v>
      </c>
      <c r="K103" s="24" t="s">
        <v>47</v>
      </c>
      <c r="L103" s="23">
        <v>45323</v>
      </c>
      <c r="M103" s="23">
        <v>45334</v>
      </c>
      <c r="N103" s="25">
        <f t="shared" si="3"/>
        <v>11</v>
      </c>
      <c r="O103" s="26"/>
      <c r="P103" t="s">
        <v>96</v>
      </c>
      <c r="Q103" t="s">
        <v>88</v>
      </c>
      <c r="R103" t="s">
        <v>88</v>
      </c>
      <c r="S103" t="s">
        <v>88</v>
      </c>
      <c r="T103" t="s">
        <v>88</v>
      </c>
      <c r="U103" t="s">
        <v>14</v>
      </c>
    </row>
    <row r="104" spans="1:21" x14ac:dyDescent="0.45">
      <c r="A104" s="20">
        <v>77885501</v>
      </c>
      <c r="B104" s="21" t="str">
        <f t="shared" si="2"/>
        <v>7.788.550-1</v>
      </c>
      <c r="C104" s="22" t="s">
        <v>22</v>
      </c>
      <c r="D104" s="21" t="s">
        <v>639</v>
      </c>
      <c r="E104" s="21" t="s">
        <v>640</v>
      </c>
      <c r="F104" s="21" t="s">
        <v>271</v>
      </c>
      <c r="G104" s="23">
        <v>45331</v>
      </c>
      <c r="H104" s="23"/>
      <c r="I104" s="21" t="s">
        <v>54</v>
      </c>
      <c r="J104" s="21"/>
      <c r="K104" s="24" t="s">
        <v>43</v>
      </c>
      <c r="L104" s="23">
        <v>45331</v>
      </c>
      <c r="M104" s="23">
        <v>45351</v>
      </c>
      <c r="N104" s="25">
        <f t="shared" si="3"/>
        <v>20</v>
      </c>
      <c r="O104" s="26"/>
      <c r="P104" t="s">
        <v>88</v>
      </c>
      <c r="Q104" t="s">
        <v>88</v>
      </c>
      <c r="R104" t="s">
        <v>88</v>
      </c>
      <c r="S104" t="s">
        <v>88</v>
      </c>
      <c r="T104" t="s">
        <v>88</v>
      </c>
      <c r="U104" t="s">
        <v>20</v>
      </c>
    </row>
    <row r="105" spans="1:21" x14ac:dyDescent="0.45">
      <c r="A105" s="20">
        <v>77885501</v>
      </c>
      <c r="B105" s="21" t="str">
        <f t="shared" si="2"/>
        <v>7.788.550-1</v>
      </c>
      <c r="C105" s="22" t="s">
        <v>22</v>
      </c>
      <c r="D105" s="21" t="s">
        <v>639</v>
      </c>
      <c r="E105" s="21" t="s">
        <v>640</v>
      </c>
      <c r="F105" s="21" t="s">
        <v>271</v>
      </c>
      <c r="G105" s="23">
        <f>IF(IFERROR(VLOOKUP(A105,$A$9:$I104,1,0),0)=0,"",VLOOKUP(A105,$A$9:$I104,7,0))</f>
        <v>45331</v>
      </c>
      <c r="H105" s="23"/>
      <c r="I105" s="21" t="s">
        <v>54</v>
      </c>
      <c r="J105" s="21"/>
      <c r="K105" s="24" t="s">
        <v>55</v>
      </c>
      <c r="L105" s="23">
        <v>45331</v>
      </c>
      <c r="M105" s="23">
        <v>45342</v>
      </c>
      <c r="N105" s="25">
        <f t="shared" si="3"/>
        <v>11</v>
      </c>
      <c r="O105" s="26"/>
      <c r="P105" t="s">
        <v>88</v>
      </c>
      <c r="Q105" t="s">
        <v>88</v>
      </c>
      <c r="R105" t="s">
        <v>88</v>
      </c>
      <c r="S105" t="s">
        <v>88</v>
      </c>
      <c r="T105" t="s">
        <v>88</v>
      </c>
      <c r="U105" t="s">
        <v>20</v>
      </c>
    </row>
    <row r="106" spans="1:21" x14ac:dyDescent="0.45">
      <c r="A106" s="20">
        <v>73923514</v>
      </c>
      <c r="B106" s="21" t="str">
        <f t="shared" si="2"/>
        <v>7.392.351-4</v>
      </c>
      <c r="C106" s="22" t="s">
        <v>22</v>
      </c>
      <c r="D106" s="21" t="s">
        <v>558</v>
      </c>
      <c r="E106" s="21" t="s">
        <v>559</v>
      </c>
      <c r="F106" s="21" t="s">
        <v>560</v>
      </c>
      <c r="G106" s="23">
        <v>45331</v>
      </c>
      <c r="H106" s="23"/>
      <c r="I106" s="21" t="s">
        <v>30</v>
      </c>
      <c r="J106" s="21"/>
      <c r="K106" s="24" t="s">
        <v>43</v>
      </c>
      <c r="L106" s="23">
        <v>45329</v>
      </c>
      <c r="M106" s="23">
        <v>45351</v>
      </c>
      <c r="N106" s="25">
        <f t="shared" si="3"/>
        <v>22</v>
      </c>
      <c r="O106" s="26"/>
      <c r="P106" t="s">
        <v>88</v>
      </c>
      <c r="Q106" t="s">
        <v>88</v>
      </c>
      <c r="R106" t="s">
        <v>88</v>
      </c>
      <c r="S106" t="s">
        <v>88</v>
      </c>
      <c r="T106" t="s">
        <v>88</v>
      </c>
      <c r="U106" t="s">
        <v>20</v>
      </c>
    </row>
    <row r="107" spans="1:21" x14ac:dyDescent="0.45">
      <c r="A107" s="20">
        <v>73923514</v>
      </c>
      <c r="B107" s="21" t="str">
        <f t="shared" si="2"/>
        <v>7.392.351-4</v>
      </c>
      <c r="C107" s="22" t="s">
        <v>22</v>
      </c>
      <c r="D107" s="21" t="s">
        <v>558</v>
      </c>
      <c r="E107" s="21" t="s">
        <v>559</v>
      </c>
      <c r="F107" s="21" t="s">
        <v>560</v>
      </c>
      <c r="G107" s="23">
        <v>45331</v>
      </c>
      <c r="H107" s="23"/>
      <c r="I107" s="21" t="s">
        <v>641</v>
      </c>
      <c r="J107" s="21"/>
      <c r="K107" s="24" t="s">
        <v>55</v>
      </c>
      <c r="L107" s="23">
        <v>45331</v>
      </c>
      <c r="M107" s="23">
        <v>45333</v>
      </c>
      <c r="N107" s="25">
        <f t="shared" si="3"/>
        <v>2</v>
      </c>
      <c r="O107" s="26"/>
      <c r="P107" t="s">
        <v>88</v>
      </c>
      <c r="Q107" t="s">
        <v>88</v>
      </c>
      <c r="R107" t="s">
        <v>88</v>
      </c>
      <c r="S107" t="s">
        <v>88</v>
      </c>
      <c r="T107" t="s">
        <v>88</v>
      </c>
      <c r="U107" t="s">
        <v>20</v>
      </c>
    </row>
    <row r="108" spans="1:21" x14ac:dyDescent="0.45">
      <c r="A108" s="20">
        <v>73923514</v>
      </c>
      <c r="B108" s="21" t="str">
        <f t="shared" si="2"/>
        <v>7.392.351-4</v>
      </c>
      <c r="C108" s="22" t="s">
        <v>22</v>
      </c>
      <c r="D108" s="21" t="s">
        <v>558</v>
      </c>
      <c r="E108" s="21" t="s">
        <v>559</v>
      </c>
      <c r="F108" s="21" t="s">
        <v>560</v>
      </c>
      <c r="G108" s="23">
        <v>45331</v>
      </c>
      <c r="H108" s="23"/>
      <c r="I108" s="21" t="s">
        <v>641</v>
      </c>
      <c r="J108" s="21"/>
      <c r="K108" s="24" t="s">
        <v>55</v>
      </c>
      <c r="L108" s="23">
        <v>45336</v>
      </c>
      <c r="M108" s="23">
        <v>45341</v>
      </c>
      <c r="N108" s="25">
        <f t="shared" si="3"/>
        <v>5</v>
      </c>
      <c r="O108" s="26"/>
      <c r="P108" t="s">
        <v>88</v>
      </c>
      <c r="Q108" t="s">
        <v>88</v>
      </c>
      <c r="R108" t="s">
        <v>88</v>
      </c>
      <c r="S108" t="s">
        <v>88</v>
      </c>
      <c r="T108" t="s">
        <v>88</v>
      </c>
      <c r="U108" t="s">
        <v>20</v>
      </c>
    </row>
    <row r="109" spans="1:21" x14ac:dyDescent="0.45">
      <c r="A109" s="20">
        <v>131345429</v>
      </c>
      <c r="B109" s="21" t="str">
        <f t="shared" si="2"/>
        <v>13.134.542-9</v>
      </c>
      <c r="C109" s="22" t="s">
        <v>22</v>
      </c>
      <c r="D109" s="21" t="s">
        <v>471</v>
      </c>
      <c r="E109" s="21" t="s">
        <v>642</v>
      </c>
      <c r="F109" s="21" t="s">
        <v>485</v>
      </c>
      <c r="G109" s="23">
        <v>45334</v>
      </c>
      <c r="H109" s="23">
        <v>45339</v>
      </c>
      <c r="I109" s="21" t="s">
        <v>56</v>
      </c>
      <c r="J109" s="21"/>
      <c r="K109" s="24" t="s">
        <v>18</v>
      </c>
      <c r="L109" s="23">
        <v>45334</v>
      </c>
      <c r="M109" s="23">
        <v>45339</v>
      </c>
      <c r="N109" s="25">
        <f t="shared" si="3"/>
        <v>5</v>
      </c>
      <c r="O109" s="26" t="s">
        <v>531</v>
      </c>
      <c r="P109" t="s">
        <v>88</v>
      </c>
      <c r="Q109" t="s">
        <v>88</v>
      </c>
      <c r="R109" t="s">
        <v>88</v>
      </c>
      <c r="S109" t="s">
        <v>88</v>
      </c>
      <c r="T109" t="s">
        <v>88</v>
      </c>
      <c r="U109" t="s">
        <v>20</v>
      </c>
    </row>
    <row r="110" spans="1:21" x14ac:dyDescent="0.45">
      <c r="A110" s="20">
        <v>131345429</v>
      </c>
      <c r="B110" s="21" t="str">
        <f t="shared" si="2"/>
        <v>13.134.542-9</v>
      </c>
      <c r="C110" s="22" t="s">
        <v>22</v>
      </c>
      <c r="D110" s="21" t="s">
        <v>471</v>
      </c>
      <c r="E110" s="21" t="s">
        <v>642</v>
      </c>
      <c r="F110" s="21" t="s">
        <v>485</v>
      </c>
      <c r="G110" s="23">
        <v>45334</v>
      </c>
      <c r="H110" s="23">
        <v>45339</v>
      </c>
      <c r="I110" s="21" t="s">
        <v>56</v>
      </c>
      <c r="J110" s="21"/>
      <c r="K110" s="24" t="s">
        <v>47</v>
      </c>
      <c r="L110" s="23">
        <v>45334</v>
      </c>
      <c r="M110" s="23">
        <v>45338</v>
      </c>
      <c r="N110" s="25">
        <f t="shared" si="3"/>
        <v>4</v>
      </c>
      <c r="O110" s="26" t="s">
        <v>531</v>
      </c>
      <c r="P110" t="s">
        <v>88</v>
      </c>
      <c r="Q110" t="s">
        <v>88</v>
      </c>
      <c r="R110" t="s">
        <v>88</v>
      </c>
      <c r="S110" t="s">
        <v>88</v>
      </c>
      <c r="T110" t="s">
        <v>88</v>
      </c>
      <c r="U110" t="s">
        <v>20</v>
      </c>
    </row>
    <row r="111" spans="1:21" x14ac:dyDescent="0.45">
      <c r="A111" s="20">
        <v>35728414</v>
      </c>
      <c r="B111" s="21" t="str">
        <f t="shared" si="2"/>
        <v>3.572.841-4</v>
      </c>
      <c r="C111" s="22" t="s">
        <v>38</v>
      </c>
      <c r="D111" s="21" t="s">
        <v>643</v>
      </c>
      <c r="E111" s="21" t="s">
        <v>644</v>
      </c>
      <c r="F111" s="21" t="s">
        <v>348</v>
      </c>
      <c r="G111" s="23">
        <v>45335</v>
      </c>
      <c r="H111" s="23">
        <v>45338</v>
      </c>
      <c r="I111" s="21"/>
      <c r="J111" s="21"/>
      <c r="K111" s="24" t="s">
        <v>51</v>
      </c>
      <c r="L111" s="23">
        <v>45335</v>
      </c>
      <c r="M111" s="23">
        <v>45337</v>
      </c>
      <c r="N111" s="25">
        <f t="shared" si="3"/>
        <v>2</v>
      </c>
      <c r="O111" s="26"/>
      <c r="P111" t="s">
        <v>88</v>
      </c>
      <c r="Q111" t="s">
        <v>88</v>
      </c>
      <c r="R111" t="s">
        <v>88</v>
      </c>
      <c r="S111" t="s">
        <v>88</v>
      </c>
      <c r="T111" t="s">
        <v>88</v>
      </c>
      <c r="U111" t="s">
        <v>20</v>
      </c>
    </row>
    <row r="112" spans="1:21" x14ac:dyDescent="0.45">
      <c r="A112" s="20">
        <v>85948725</v>
      </c>
      <c r="B112" s="21" t="str">
        <f t="shared" si="2"/>
        <v>8.594.872-5</v>
      </c>
      <c r="C112" s="22" t="s">
        <v>38</v>
      </c>
      <c r="D112" s="21" t="s">
        <v>626</v>
      </c>
      <c r="E112" s="21" t="s">
        <v>626</v>
      </c>
      <c r="F112" s="21" t="s">
        <v>481</v>
      </c>
      <c r="G112" s="23">
        <v>45336</v>
      </c>
      <c r="H112" s="23">
        <v>45337</v>
      </c>
      <c r="I112" s="21"/>
      <c r="J112" s="21"/>
      <c r="K112" s="24" t="s">
        <v>47</v>
      </c>
      <c r="L112" s="23">
        <v>45336</v>
      </c>
      <c r="M112" s="23">
        <v>45337</v>
      </c>
      <c r="N112" s="25">
        <f t="shared" si="3"/>
        <v>1</v>
      </c>
      <c r="O112" s="26"/>
      <c r="P112" t="s">
        <v>88</v>
      </c>
      <c r="Q112" t="s">
        <v>88</v>
      </c>
      <c r="R112" t="s">
        <v>88</v>
      </c>
      <c r="S112" t="s">
        <v>88</v>
      </c>
      <c r="T112" t="s">
        <v>88</v>
      </c>
      <c r="U112" t="s">
        <v>20</v>
      </c>
    </row>
    <row r="113" spans="1:21" x14ac:dyDescent="0.45">
      <c r="A113" s="20">
        <v>151869238</v>
      </c>
      <c r="B113" s="21" t="str">
        <f t="shared" si="2"/>
        <v>15.186.923-8</v>
      </c>
      <c r="C113" s="22" t="s">
        <v>38</v>
      </c>
      <c r="D113" s="21" t="s">
        <v>467</v>
      </c>
      <c r="E113" s="21" t="s">
        <v>614</v>
      </c>
      <c r="F113" s="21" t="s">
        <v>343</v>
      </c>
      <c r="G113" s="23">
        <v>45329</v>
      </c>
      <c r="H113" s="23">
        <v>45344</v>
      </c>
      <c r="I113" s="21"/>
      <c r="J113" s="21"/>
      <c r="K113" s="24" t="s">
        <v>43</v>
      </c>
      <c r="L113" s="23">
        <v>45329</v>
      </c>
      <c r="M113" s="23">
        <v>45344</v>
      </c>
      <c r="N113" s="25">
        <f t="shared" si="3"/>
        <v>15</v>
      </c>
      <c r="O113" s="26" t="s">
        <v>355</v>
      </c>
      <c r="P113" t="s">
        <v>88</v>
      </c>
      <c r="Q113" t="s">
        <v>88</v>
      </c>
      <c r="R113" t="s">
        <v>88</v>
      </c>
      <c r="S113" t="s">
        <v>88</v>
      </c>
      <c r="T113" t="s">
        <v>88</v>
      </c>
      <c r="U113" t="s">
        <v>20</v>
      </c>
    </row>
    <row r="114" spans="1:21" x14ac:dyDescent="0.45">
      <c r="A114" s="20">
        <v>132092303</v>
      </c>
      <c r="B114" s="21" t="str">
        <f t="shared" si="2"/>
        <v>13.209.230-3</v>
      </c>
      <c r="C114" s="22" t="s">
        <v>38</v>
      </c>
      <c r="D114" s="21" t="s">
        <v>257</v>
      </c>
      <c r="E114" s="21" t="s">
        <v>393</v>
      </c>
      <c r="F114" s="21" t="s">
        <v>645</v>
      </c>
      <c r="G114" s="23">
        <v>45332</v>
      </c>
      <c r="H114" s="23"/>
      <c r="I114" s="21"/>
      <c r="J114" s="21"/>
      <c r="K114" s="24" t="s">
        <v>43</v>
      </c>
      <c r="L114" s="23">
        <v>45332</v>
      </c>
      <c r="M114" s="23">
        <v>45342</v>
      </c>
      <c r="N114" s="25">
        <f t="shared" si="3"/>
        <v>10</v>
      </c>
      <c r="O114" s="26"/>
      <c r="P114" t="s">
        <v>88</v>
      </c>
      <c r="Q114" t="s">
        <v>88</v>
      </c>
      <c r="R114" t="s">
        <v>88</v>
      </c>
      <c r="S114" t="s">
        <v>88</v>
      </c>
      <c r="T114" t="s">
        <v>88</v>
      </c>
      <c r="U114" t="s">
        <v>20</v>
      </c>
    </row>
    <row r="115" spans="1:21" x14ac:dyDescent="0.45">
      <c r="A115" s="20">
        <v>132092303</v>
      </c>
      <c r="B115" s="21" t="str">
        <f t="shared" si="2"/>
        <v>13.209.230-3</v>
      </c>
      <c r="C115" s="22" t="str">
        <f>IF(IFERROR(VLOOKUP(A115,$A$9:$I114,1,0),0)=0,"",VLOOKUP(A115,$A$9:$I114,3,0))</f>
        <v xml:space="preserve">Sala de cuidados intermedios </v>
      </c>
      <c r="D115" s="21" t="str">
        <f>IF(IFERROR(VLOOKUP(A115,$A$9:$I114,1,0),0)=0,"",VLOOKUP(A115,$A$9:$I114,4,0))</f>
        <v>CHAVEZ</v>
      </c>
      <c r="E115" s="21" t="str">
        <f>IF(IFERROR(VLOOKUP(A115,$A$9:$I114,1,0),0)=0,"",VLOOKUP(A115,$A$9:$I114,5,0))</f>
        <v>FERNANDEZ</v>
      </c>
      <c r="F115" s="21" t="str">
        <f>IF(IFERROR(VLOOKUP(A115,$A$9:$I114,1,0),0)=0,"",VLOOKUP(A115,$A$9:$I114,6,0))</f>
        <v>VIANCKA</v>
      </c>
      <c r="G115" s="23">
        <f>IF(IFERROR(VLOOKUP(A115,$A$9:$I114,1,0),0)=0,"",VLOOKUP(A115,$A$9:$I114,7,0))</f>
        <v>45332</v>
      </c>
      <c r="H115" s="23"/>
      <c r="I115" s="21"/>
      <c r="J115" s="21"/>
      <c r="K115" s="24" t="s">
        <v>47</v>
      </c>
      <c r="L115" s="23">
        <v>45332</v>
      </c>
      <c r="M115" s="23">
        <v>45342</v>
      </c>
      <c r="N115" s="25">
        <f t="shared" si="3"/>
        <v>10</v>
      </c>
      <c r="O115" s="26"/>
      <c r="P115" t="s">
        <v>88</v>
      </c>
      <c r="Q115" t="s">
        <v>88</v>
      </c>
      <c r="R115" t="s">
        <v>88</v>
      </c>
      <c r="S115" t="s">
        <v>88</v>
      </c>
      <c r="T115" t="s">
        <v>88</v>
      </c>
      <c r="U115" t="s">
        <v>20</v>
      </c>
    </row>
    <row r="116" spans="1:21" x14ac:dyDescent="0.45">
      <c r="A116" s="20">
        <v>100770822</v>
      </c>
      <c r="B116" s="21" t="str">
        <f t="shared" si="2"/>
        <v>10.077.082-2</v>
      </c>
      <c r="C116" s="22" t="s">
        <v>22</v>
      </c>
      <c r="D116" s="21" t="s">
        <v>367</v>
      </c>
      <c r="E116" s="21" t="s">
        <v>582</v>
      </c>
      <c r="F116" s="21" t="s">
        <v>487</v>
      </c>
      <c r="G116" s="23">
        <v>45336</v>
      </c>
      <c r="H116" s="23">
        <v>45339</v>
      </c>
      <c r="I116" s="21" t="s">
        <v>56</v>
      </c>
      <c r="J116" s="21" t="s">
        <v>22</v>
      </c>
      <c r="K116" s="24" t="s">
        <v>43</v>
      </c>
      <c r="L116" s="23">
        <v>45336</v>
      </c>
      <c r="M116" s="23">
        <v>45339</v>
      </c>
      <c r="N116" s="25">
        <f t="shared" si="3"/>
        <v>3</v>
      </c>
      <c r="O116" s="26" t="s">
        <v>531</v>
      </c>
      <c r="P116" t="s">
        <v>88</v>
      </c>
      <c r="Q116" t="s">
        <v>88</v>
      </c>
      <c r="R116" t="s">
        <v>88</v>
      </c>
      <c r="S116" t="s">
        <v>88</v>
      </c>
      <c r="T116" t="s">
        <v>88</v>
      </c>
      <c r="U116" t="s">
        <v>20</v>
      </c>
    </row>
    <row r="117" spans="1:21" x14ac:dyDescent="0.45">
      <c r="A117" s="20">
        <v>100770822</v>
      </c>
      <c r="B117" s="21" t="str">
        <f t="shared" si="2"/>
        <v>10.077.082-2</v>
      </c>
      <c r="C117" s="22" t="str">
        <f>IF(IFERROR(VLOOKUP(A117,$A$9:$I116,1,0),0)=0,"",VLOOKUP(A117,$A$9:$I116,3,0))</f>
        <v>UCI</v>
      </c>
      <c r="D117" s="21" t="str">
        <f>IF(IFERROR(VLOOKUP(A117,$A$9:$I116,1,0),0)=0,"",VLOOKUP(A117,$A$9:$I116,4,0))</f>
        <v>HERRERA</v>
      </c>
      <c r="E117" s="21" t="str">
        <f>IF(IFERROR(VLOOKUP(A117,$A$9:$I116,1,0),0)=0,"",VLOOKUP(A117,$A$9:$I116,5,0))</f>
        <v>QUINTEROS</v>
      </c>
      <c r="F117" s="21" t="str">
        <f>IF(IFERROR(VLOOKUP(A117,$A$9:$I116,1,0),0)=0,"",VLOOKUP(A117,$A$9:$I116,6,0))</f>
        <v>CRISTIAN</v>
      </c>
      <c r="G117" s="23">
        <f>IF(IFERROR(VLOOKUP(A117,$A$9:$I116,1,0),0)=0,"",VLOOKUP(A117,$A$9:$I116,7,0))</f>
        <v>45336</v>
      </c>
      <c r="H117" s="23">
        <v>45339</v>
      </c>
      <c r="I117" s="21"/>
      <c r="J117" s="21" t="s">
        <v>22</v>
      </c>
      <c r="K117" s="24" t="s">
        <v>47</v>
      </c>
      <c r="L117" s="23">
        <v>45336</v>
      </c>
      <c r="M117" s="23">
        <v>45338</v>
      </c>
      <c r="N117" s="25">
        <f t="shared" si="3"/>
        <v>2</v>
      </c>
      <c r="O117" s="26" t="s">
        <v>531</v>
      </c>
      <c r="P117" t="s">
        <v>88</v>
      </c>
      <c r="Q117" t="s">
        <v>88</v>
      </c>
      <c r="R117" t="s">
        <v>88</v>
      </c>
      <c r="S117" t="s">
        <v>88</v>
      </c>
      <c r="T117" t="s">
        <v>88</v>
      </c>
      <c r="U117" t="s">
        <v>20</v>
      </c>
    </row>
    <row r="118" spans="1:21" x14ac:dyDescent="0.45">
      <c r="A118" s="20">
        <v>100770822</v>
      </c>
      <c r="B118" s="21" t="str">
        <f t="shared" si="2"/>
        <v>10.077.082-2</v>
      </c>
      <c r="C118" s="22" t="str">
        <f>IF(IFERROR(VLOOKUP(A118,$A$9:$I117,1,0),0)=0,"",VLOOKUP(A118,$A$9:$I117,3,0))</f>
        <v>UCI</v>
      </c>
      <c r="D118" s="21" t="str">
        <f>IF(IFERROR(VLOOKUP(A118,$A$9:$I117,1,0),0)=0,"",VLOOKUP(A118,$A$9:$I117,4,0))</f>
        <v>HERRERA</v>
      </c>
      <c r="E118" s="21" t="str">
        <f>IF(IFERROR(VLOOKUP(A118,$A$9:$I117,1,0),0)=0,"",VLOOKUP(A118,$A$9:$I117,5,0))</f>
        <v>QUINTEROS</v>
      </c>
      <c r="F118" s="21" t="str">
        <f>IF(IFERROR(VLOOKUP(A118,$A$9:$I117,1,0),0)=0,"",VLOOKUP(A118,$A$9:$I117,6,0))</f>
        <v>CRISTIAN</v>
      </c>
      <c r="G118" s="23">
        <f>IF(IFERROR(VLOOKUP(A118,$A$9:$I117,1,0),0)=0,"",VLOOKUP(A118,$A$9:$I117,7,0))</f>
        <v>45336</v>
      </c>
      <c r="H118" s="23">
        <v>45339</v>
      </c>
      <c r="I118" s="21"/>
      <c r="J118" s="21" t="s">
        <v>22</v>
      </c>
      <c r="K118" s="24" t="s">
        <v>55</v>
      </c>
      <c r="L118" s="23">
        <v>45336</v>
      </c>
      <c r="M118" s="23">
        <v>45338</v>
      </c>
      <c r="N118" s="25">
        <f t="shared" si="3"/>
        <v>2</v>
      </c>
      <c r="O118" s="26" t="s">
        <v>531</v>
      </c>
      <c r="P118" t="s">
        <v>88</v>
      </c>
      <c r="Q118" t="s">
        <v>88</v>
      </c>
      <c r="R118" t="s">
        <v>88</v>
      </c>
      <c r="S118" t="s">
        <v>88</v>
      </c>
      <c r="T118" t="s">
        <v>88</v>
      </c>
      <c r="U118" t="s">
        <v>20</v>
      </c>
    </row>
    <row r="119" spans="1:21" x14ac:dyDescent="0.45">
      <c r="A119" s="20">
        <v>204395373</v>
      </c>
      <c r="B119" s="21" t="str">
        <f t="shared" si="2"/>
        <v>20.439.537-3</v>
      </c>
      <c r="C119" s="22" t="s">
        <v>22</v>
      </c>
      <c r="D119" s="21" t="s">
        <v>646</v>
      </c>
      <c r="E119" s="21" t="s">
        <v>647</v>
      </c>
      <c r="F119" s="21" t="s">
        <v>648</v>
      </c>
      <c r="G119" s="23">
        <v>45334</v>
      </c>
      <c r="H119" s="23">
        <v>45337</v>
      </c>
      <c r="I119" s="21"/>
      <c r="J119" s="21"/>
      <c r="K119" s="24" t="s">
        <v>43</v>
      </c>
      <c r="L119" s="23">
        <v>45334</v>
      </c>
      <c r="M119" s="23">
        <v>45337</v>
      </c>
      <c r="N119" s="25">
        <f t="shared" si="3"/>
        <v>3</v>
      </c>
      <c r="O119" s="26"/>
      <c r="P119" t="s">
        <v>88</v>
      </c>
      <c r="Q119" t="s">
        <v>88</v>
      </c>
      <c r="R119" t="s">
        <v>88</v>
      </c>
      <c r="S119" t="s">
        <v>88</v>
      </c>
      <c r="T119" t="s">
        <v>88</v>
      </c>
      <c r="U119" t="s">
        <v>20</v>
      </c>
    </row>
    <row r="120" spans="1:21" x14ac:dyDescent="0.45">
      <c r="A120" s="20">
        <v>204395373</v>
      </c>
      <c r="B120" s="21" t="str">
        <f t="shared" si="2"/>
        <v>20.439.537-3</v>
      </c>
      <c r="C120" s="22" t="str">
        <f>IF(IFERROR(VLOOKUP(A120,$A$9:$I119,1,0),0)=0,"",VLOOKUP(A120,$A$9:$I119,3,0))</f>
        <v>UCI</v>
      </c>
      <c r="D120" s="21" t="str">
        <f>IF(IFERROR(VLOOKUP(A120,$A$9:$I119,1,0),0)=0,"",VLOOKUP(A120,$A$9:$I119,4,0))</f>
        <v>ARRIAGADA</v>
      </c>
      <c r="E120" s="21" t="str">
        <f>IF(IFERROR(VLOOKUP(A120,$A$9:$I119,1,0),0)=0,"",VLOOKUP(A120,$A$9:$I119,5,0))</f>
        <v>CERECEDA</v>
      </c>
      <c r="F120" s="21" t="str">
        <f>IF(IFERROR(VLOOKUP(A120,$A$9:$I119,1,0),0)=0,"",VLOOKUP(A120,$A$9:$I119,6,0))</f>
        <v>FRANCISCA</v>
      </c>
      <c r="G120" s="23">
        <f>IF(IFERROR(VLOOKUP(A120,$A$9:$I119,1,0),0)=0,"",VLOOKUP(A120,$A$9:$I119,7,0))</f>
        <v>45334</v>
      </c>
      <c r="H120" s="23">
        <v>45337</v>
      </c>
      <c r="I120" s="21"/>
      <c r="J120" s="21"/>
      <c r="K120" s="24" t="s">
        <v>47</v>
      </c>
      <c r="L120" s="23">
        <v>45334</v>
      </c>
      <c r="M120" s="23">
        <v>45337</v>
      </c>
      <c r="N120" s="25">
        <f t="shared" si="3"/>
        <v>3</v>
      </c>
      <c r="O120" s="26"/>
      <c r="P120" t="s">
        <v>88</v>
      </c>
      <c r="Q120" t="s">
        <v>88</v>
      </c>
      <c r="R120" t="s">
        <v>88</v>
      </c>
      <c r="S120" t="s">
        <v>88</v>
      </c>
      <c r="T120" t="s">
        <v>88</v>
      </c>
      <c r="U120" t="s">
        <v>20</v>
      </c>
    </row>
    <row r="121" spans="1:21" x14ac:dyDescent="0.45">
      <c r="A121" s="20">
        <v>106002193</v>
      </c>
      <c r="B121" s="21" t="str">
        <f t="shared" si="2"/>
        <v>10.600.219-3</v>
      </c>
      <c r="C121" s="22" t="s">
        <v>22</v>
      </c>
      <c r="D121" s="21" t="s">
        <v>282</v>
      </c>
      <c r="E121" s="21" t="s">
        <v>537</v>
      </c>
      <c r="F121" s="21" t="s">
        <v>508</v>
      </c>
      <c r="G121" s="23">
        <v>45334</v>
      </c>
      <c r="H121" s="23"/>
      <c r="I121" s="21"/>
      <c r="J121" s="21"/>
      <c r="K121" s="24" t="s">
        <v>43</v>
      </c>
      <c r="L121" s="23">
        <v>45334</v>
      </c>
      <c r="M121" s="23">
        <v>45350</v>
      </c>
      <c r="N121" s="25">
        <f t="shared" si="3"/>
        <v>16</v>
      </c>
      <c r="O121" s="26" t="s">
        <v>531</v>
      </c>
      <c r="P121" t="s">
        <v>88</v>
      </c>
      <c r="Q121" t="s">
        <v>88</v>
      </c>
      <c r="R121" t="s">
        <v>88</v>
      </c>
      <c r="S121" t="s">
        <v>88</v>
      </c>
      <c r="T121" t="s">
        <v>88</v>
      </c>
      <c r="U121" t="s">
        <v>20</v>
      </c>
    </row>
    <row r="122" spans="1:21" x14ac:dyDescent="0.45">
      <c r="A122" s="20">
        <v>106002193</v>
      </c>
      <c r="B122" s="21" t="str">
        <f t="shared" si="2"/>
        <v>10.600.219-3</v>
      </c>
      <c r="C122" s="22" t="str">
        <f>IF(IFERROR(VLOOKUP(A122,$A$9:$I121,1,0),0)=0,"",VLOOKUP(A122,$A$9:$I121,3,0))</f>
        <v>UCI</v>
      </c>
      <c r="D122" s="21" t="str">
        <f>IF(IFERROR(VLOOKUP(A122,$A$9:$I121,1,0),0)=0,"",VLOOKUP(A122,$A$9:$I121,4,0))</f>
        <v>CARRASCO</v>
      </c>
      <c r="E122" s="21" t="str">
        <f>IF(IFERROR(VLOOKUP(A122,$A$9:$I121,1,0),0)=0,"",VLOOKUP(A122,$A$9:$I121,5,0))</f>
        <v>FLORES</v>
      </c>
      <c r="F122" s="21" t="str">
        <f>IF(IFERROR(VLOOKUP(A122,$A$9:$I121,1,0),0)=0,"",VLOOKUP(A122,$A$9:$I121,6,0))</f>
        <v>HUGO</v>
      </c>
      <c r="G122" s="23">
        <f>IF(IFERROR(VLOOKUP(A122,$A$9:$I121,1,0),0)=0,"",VLOOKUP(A122,$A$9:$I121,7,0))</f>
        <v>45334</v>
      </c>
      <c r="H122" s="23"/>
      <c r="I122" s="21"/>
      <c r="J122" s="21"/>
      <c r="K122" s="24" t="s">
        <v>47</v>
      </c>
      <c r="L122" s="23">
        <v>45334</v>
      </c>
      <c r="M122" s="23">
        <v>45351</v>
      </c>
      <c r="N122" s="25">
        <f t="shared" si="3"/>
        <v>17</v>
      </c>
      <c r="O122" s="26" t="s">
        <v>531</v>
      </c>
      <c r="P122" t="s">
        <v>88</v>
      </c>
      <c r="Q122" t="s">
        <v>88</v>
      </c>
      <c r="R122" t="s">
        <v>88</v>
      </c>
      <c r="S122" t="s">
        <v>88</v>
      </c>
      <c r="T122" t="s">
        <v>88</v>
      </c>
      <c r="U122" t="s">
        <v>20</v>
      </c>
    </row>
    <row r="123" spans="1:21" x14ac:dyDescent="0.45">
      <c r="A123" s="20">
        <v>106002193</v>
      </c>
      <c r="B123" s="21" t="str">
        <f t="shared" si="2"/>
        <v>10.600.219-3</v>
      </c>
      <c r="C123" s="22" t="str">
        <f>IF(IFERROR(VLOOKUP(A123,$A$9:$I122,1,0),0)=0,"",VLOOKUP(A123,$A$9:$I122,3,0))</f>
        <v>UCI</v>
      </c>
      <c r="D123" s="21" t="str">
        <f>IF(IFERROR(VLOOKUP(A123,$A$9:$I122,1,0),0)=0,"",VLOOKUP(A123,$A$9:$I122,4,0))</f>
        <v>CARRASCO</v>
      </c>
      <c r="E123" s="21" t="str">
        <f>IF(IFERROR(VLOOKUP(A123,$A$9:$I122,1,0),0)=0,"",VLOOKUP(A123,$A$9:$I122,5,0))</f>
        <v>FLORES</v>
      </c>
      <c r="F123" s="21" t="str">
        <f>IF(IFERROR(VLOOKUP(A123,$A$9:$I122,1,0),0)=0,"",VLOOKUP(A123,$A$9:$I122,6,0))</f>
        <v>HUGO</v>
      </c>
      <c r="G123" s="23">
        <f>IF(IFERROR(VLOOKUP(A123,$A$9:$I122,1,0),0)=0,"",VLOOKUP(A123,$A$9:$I122,7,0))</f>
        <v>45334</v>
      </c>
      <c r="H123" s="23"/>
      <c r="I123" s="21"/>
      <c r="J123" s="21"/>
      <c r="K123" s="24" t="s">
        <v>55</v>
      </c>
      <c r="L123" s="23">
        <v>45334</v>
      </c>
      <c r="M123" s="23">
        <v>45351</v>
      </c>
      <c r="N123" s="25">
        <f t="shared" si="3"/>
        <v>17</v>
      </c>
      <c r="O123" s="26" t="s">
        <v>531</v>
      </c>
      <c r="P123" t="s">
        <v>88</v>
      </c>
      <c r="Q123" t="s">
        <v>88</v>
      </c>
      <c r="R123" t="s">
        <v>88</v>
      </c>
      <c r="S123" t="s">
        <v>88</v>
      </c>
      <c r="T123" t="s">
        <v>88</v>
      </c>
      <c r="U123" t="s">
        <v>20</v>
      </c>
    </row>
    <row r="124" spans="1:21" x14ac:dyDescent="0.45">
      <c r="A124" s="20">
        <v>199366904</v>
      </c>
      <c r="B124" s="21" t="str">
        <f t="shared" si="2"/>
        <v>19.936.690-4</v>
      </c>
      <c r="C124" s="22" t="s">
        <v>22</v>
      </c>
      <c r="D124" s="21" t="s">
        <v>649</v>
      </c>
      <c r="E124" s="21" t="s">
        <v>650</v>
      </c>
      <c r="F124" s="21" t="s">
        <v>651</v>
      </c>
      <c r="G124" s="23">
        <v>45336</v>
      </c>
      <c r="H124" s="23">
        <v>45341</v>
      </c>
      <c r="I124" s="21"/>
      <c r="J124" s="21" t="s">
        <v>56</v>
      </c>
      <c r="K124" s="24" t="s">
        <v>43</v>
      </c>
      <c r="L124" s="23">
        <v>45336</v>
      </c>
      <c r="M124" s="23">
        <v>45341</v>
      </c>
      <c r="N124" s="25">
        <f t="shared" si="3"/>
        <v>5</v>
      </c>
      <c r="O124" s="26" t="s">
        <v>531</v>
      </c>
      <c r="P124" t="s">
        <v>88</v>
      </c>
      <c r="Q124" t="s">
        <v>88</v>
      </c>
      <c r="R124" t="s">
        <v>88</v>
      </c>
      <c r="S124" t="s">
        <v>88</v>
      </c>
      <c r="T124" t="s">
        <v>88</v>
      </c>
      <c r="U124" t="s">
        <v>20</v>
      </c>
    </row>
    <row r="125" spans="1:21" x14ac:dyDescent="0.45">
      <c r="A125" s="20">
        <v>199366904</v>
      </c>
      <c r="B125" s="21" t="str">
        <f t="shared" si="2"/>
        <v>19.936.690-4</v>
      </c>
      <c r="C125" s="22" t="str">
        <f>IF(IFERROR(VLOOKUP(A125,$A$9:$I124,1,0),0)=0,"",VLOOKUP(A125,$A$9:$I124,3,0))</f>
        <v>UCI</v>
      </c>
      <c r="D125" s="21" t="str">
        <f>IF(IFERROR(VLOOKUP(A125,$A$9:$I124,1,0),0)=0,"",VLOOKUP(A125,$A$9:$I124,4,0))</f>
        <v>STEPHANIE</v>
      </c>
      <c r="E125" s="21" t="str">
        <f>IF(IFERROR(VLOOKUP(A125,$A$9:$I124,1,0),0)=0,"",VLOOKUP(A125,$A$9:$I124,5,0))</f>
        <v>COELLO</v>
      </c>
      <c r="F125" s="21" t="str">
        <f>IF(IFERROR(VLOOKUP(A125,$A$9:$I124,1,0),0)=0,"",VLOOKUP(A125,$A$9:$I124,6,0))</f>
        <v>PENDOLA</v>
      </c>
      <c r="G125" s="23">
        <f>IF(IFERROR(VLOOKUP(A125,$A$9:$I124,1,0),0)=0,"",VLOOKUP(A125,$A$9:$I124,7,0))</f>
        <v>45336</v>
      </c>
      <c r="H125" s="23">
        <v>45341</v>
      </c>
      <c r="I125" s="21"/>
      <c r="J125" s="21" t="s">
        <v>56</v>
      </c>
      <c r="K125" s="24" t="s">
        <v>47</v>
      </c>
      <c r="L125" s="23">
        <v>45336</v>
      </c>
      <c r="M125" s="23">
        <v>45338</v>
      </c>
      <c r="N125" s="25">
        <f t="shared" si="3"/>
        <v>2</v>
      </c>
      <c r="O125" s="26" t="s">
        <v>531</v>
      </c>
      <c r="P125" t="s">
        <v>88</v>
      </c>
      <c r="Q125" t="s">
        <v>88</v>
      </c>
      <c r="R125" t="s">
        <v>88</v>
      </c>
      <c r="S125" t="s">
        <v>88</v>
      </c>
      <c r="T125" t="s">
        <v>88</v>
      </c>
      <c r="U125" t="s">
        <v>20</v>
      </c>
    </row>
    <row r="126" spans="1:21" x14ac:dyDescent="0.45">
      <c r="A126" s="20">
        <v>199366904</v>
      </c>
      <c r="B126" s="21" t="str">
        <f t="shared" si="2"/>
        <v>19.936.690-4</v>
      </c>
      <c r="C126" s="22" t="str">
        <f>IF(IFERROR(VLOOKUP(A126,$A$9:$I125,1,0),0)=0,"",VLOOKUP(A126,$A$9:$I125,3,0))</f>
        <v>UCI</v>
      </c>
      <c r="D126" s="21" t="str">
        <f>IF(IFERROR(VLOOKUP(A126,$A$9:$I125,1,0),0)=0,"",VLOOKUP(A126,$A$9:$I125,4,0))</f>
        <v>STEPHANIE</v>
      </c>
      <c r="E126" s="21" t="str">
        <f>IF(IFERROR(VLOOKUP(A126,$A$9:$I125,1,0),0)=0,"",VLOOKUP(A126,$A$9:$I125,5,0))</f>
        <v>COELLO</v>
      </c>
      <c r="F126" s="21" t="str">
        <f>IF(IFERROR(VLOOKUP(A126,$A$9:$I125,1,0),0)=0,"",VLOOKUP(A126,$A$9:$I125,6,0))</f>
        <v>PENDOLA</v>
      </c>
      <c r="G126" s="23">
        <f>IF(IFERROR(VLOOKUP(A126,$A$9:$I125,1,0),0)=0,"",VLOOKUP(A126,$A$9:$I125,7,0))</f>
        <v>45336</v>
      </c>
      <c r="H126" s="23">
        <v>45341</v>
      </c>
      <c r="I126" s="21"/>
      <c r="J126" s="21" t="s">
        <v>56</v>
      </c>
      <c r="K126" s="24" t="s">
        <v>55</v>
      </c>
      <c r="L126" s="23">
        <v>45336</v>
      </c>
      <c r="M126" s="23">
        <v>45337</v>
      </c>
      <c r="N126" s="25">
        <f t="shared" si="3"/>
        <v>1</v>
      </c>
      <c r="O126" s="26" t="s">
        <v>531</v>
      </c>
      <c r="P126" t="s">
        <v>88</v>
      </c>
      <c r="Q126" t="s">
        <v>88</v>
      </c>
      <c r="R126" t="s">
        <v>88</v>
      </c>
      <c r="S126" t="s">
        <v>88</v>
      </c>
      <c r="T126" t="s">
        <v>88</v>
      </c>
      <c r="U126" t="s">
        <v>20</v>
      </c>
    </row>
    <row r="127" spans="1:21" x14ac:dyDescent="0.45">
      <c r="A127" s="20">
        <v>29283559</v>
      </c>
      <c r="B127" s="21" t="str">
        <f t="shared" si="2"/>
        <v>2.928.355-9</v>
      </c>
      <c r="C127" s="22" t="s">
        <v>22</v>
      </c>
      <c r="D127" s="21" t="s">
        <v>393</v>
      </c>
      <c r="E127" s="21" t="s">
        <v>393</v>
      </c>
      <c r="F127" s="21" t="s">
        <v>238</v>
      </c>
      <c r="G127" s="23">
        <v>45341</v>
      </c>
      <c r="H127" s="23"/>
      <c r="I127" s="21"/>
      <c r="J127" s="21"/>
      <c r="K127" s="24" t="s">
        <v>43</v>
      </c>
      <c r="L127" s="23">
        <v>45341</v>
      </c>
      <c r="M127" s="23">
        <v>45351</v>
      </c>
      <c r="N127" s="25">
        <f t="shared" si="3"/>
        <v>10</v>
      </c>
      <c r="O127" s="26" t="s">
        <v>531</v>
      </c>
      <c r="P127" t="s">
        <v>88</v>
      </c>
      <c r="Q127" t="s">
        <v>88</v>
      </c>
      <c r="R127" t="s">
        <v>88</v>
      </c>
      <c r="S127" t="s">
        <v>88</v>
      </c>
      <c r="T127" t="s">
        <v>88</v>
      </c>
      <c r="U127" t="s">
        <v>20</v>
      </c>
    </row>
    <row r="128" spans="1:21" x14ac:dyDescent="0.45">
      <c r="A128" s="20">
        <v>29283559</v>
      </c>
      <c r="B128" s="21" t="str">
        <f t="shared" si="2"/>
        <v>2.928.355-9</v>
      </c>
      <c r="C128" s="22" t="str">
        <f>IF(IFERROR(VLOOKUP(A128,$A$9:$I127,1,0),0)=0,"",VLOOKUP(A128,$A$9:$I127,3,0))</f>
        <v>UCI</v>
      </c>
      <c r="D128" s="21" t="str">
        <f>IF(IFERROR(VLOOKUP(A128,$A$9:$I127,1,0),0)=0,"",VLOOKUP(A128,$A$9:$I127,4,0))</f>
        <v>FERNANDEZ</v>
      </c>
      <c r="E128" s="21" t="str">
        <f>IF(IFERROR(VLOOKUP(A128,$A$9:$I127,1,0),0)=0,"",VLOOKUP(A128,$A$9:$I127,5,0))</f>
        <v>FERNANDEZ</v>
      </c>
      <c r="F128" s="21" t="str">
        <f>IF(IFERROR(VLOOKUP(A128,$A$9:$I127,1,0),0)=0,"",VLOOKUP(A128,$A$9:$I127,6,0))</f>
        <v>LUIS</v>
      </c>
      <c r="G128" s="23">
        <f>IF(IFERROR(VLOOKUP(A128,$A$9:$I127,1,0),0)=0,"",VLOOKUP(A128,$A$9:$I127,7,0))</f>
        <v>45341</v>
      </c>
      <c r="H128" s="23"/>
      <c r="I128" s="21"/>
      <c r="J128" s="21"/>
      <c r="K128" s="24" t="s">
        <v>47</v>
      </c>
      <c r="L128" s="23">
        <v>45341</v>
      </c>
      <c r="M128" s="23">
        <v>45351</v>
      </c>
      <c r="N128" s="25">
        <f t="shared" si="3"/>
        <v>10</v>
      </c>
      <c r="O128" s="26" t="s">
        <v>531</v>
      </c>
      <c r="P128" t="s">
        <v>88</v>
      </c>
      <c r="Q128" t="s">
        <v>88</v>
      </c>
      <c r="R128" t="s">
        <v>88</v>
      </c>
      <c r="S128" t="s">
        <v>88</v>
      </c>
      <c r="T128" t="s">
        <v>88</v>
      </c>
      <c r="U128" t="s">
        <v>20</v>
      </c>
    </row>
    <row r="129" spans="1:21" x14ac:dyDescent="0.45">
      <c r="A129" s="20">
        <v>29283559</v>
      </c>
      <c r="B129" s="21" t="str">
        <f t="shared" si="2"/>
        <v>2.928.355-9</v>
      </c>
      <c r="C129" s="22" t="str">
        <f>IF(IFERROR(VLOOKUP(A129,$A$9:$I128,1,0),0)=0,"",VLOOKUP(A129,$A$9:$I128,3,0))</f>
        <v>UCI</v>
      </c>
      <c r="D129" s="21" t="str">
        <f>IF(IFERROR(VLOOKUP(A129,$A$9:$I128,1,0),0)=0,"",VLOOKUP(A129,$A$9:$I128,4,0))</f>
        <v>FERNANDEZ</v>
      </c>
      <c r="E129" s="21" t="str">
        <f>IF(IFERROR(VLOOKUP(A129,$A$9:$I128,1,0),0)=0,"",VLOOKUP(A129,$A$9:$I128,5,0))</f>
        <v>FERNANDEZ</v>
      </c>
      <c r="F129" s="21" t="str">
        <f>IF(IFERROR(VLOOKUP(A129,$A$9:$I128,1,0),0)=0,"",VLOOKUP(A129,$A$9:$I128,6,0))</f>
        <v>LUIS</v>
      </c>
      <c r="G129" s="23">
        <f>IF(IFERROR(VLOOKUP(A129,$A$9:$I128,1,0),0)=0,"",VLOOKUP(A129,$A$9:$I128,7,0))</f>
        <v>45341</v>
      </c>
      <c r="H129" s="23"/>
      <c r="I129" s="21"/>
      <c r="J129" s="21"/>
      <c r="K129" s="24" t="s">
        <v>55</v>
      </c>
      <c r="L129" s="23">
        <v>45341</v>
      </c>
      <c r="M129" s="23">
        <v>45351</v>
      </c>
      <c r="N129" s="25">
        <f t="shared" si="3"/>
        <v>10</v>
      </c>
      <c r="O129" s="26" t="s">
        <v>531</v>
      </c>
      <c r="P129" t="s">
        <v>88</v>
      </c>
      <c r="Q129" t="s">
        <v>88</v>
      </c>
      <c r="R129" t="s">
        <v>88</v>
      </c>
      <c r="S129" t="s">
        <v>88</v>
      </c>
      <c r="T129" t="s">
        <v>88</v>
      </c>
      <c r="U129" t="s">
        <v>20</v>
      </c>
    </row>
    <row r="130" spans="1:21" x14ac:dyDescent="0.45">
      <c r="A130" s="20">
        <v>95368123</v>
      </c>
      <c r="B130" s="21" t="str">
        <f t="shared" si="2"/>
        <v>9.536.812-3</v>
      </c>
      <c r="C130" s="22" t="s">
        <v>22</v>
      </c>
      <c r="D130" s="21" t="s">
        <v>652</v>
      </c>
      <c r="E130" s="21" t="s">
        <v>653</v>
      </c>
      <c r="F130" s="21" t="s">
        <v>654</v>
      </c>
      <c r="G130" s="23">
        <v>45340</v>
      </c>
      <c r="H130" s="23"/>
      <c r="I130" s="21"/>
      <c r="J130" s="21"/>
      <c r="K130" s="24" t="s">
        <v>43</v>
      </c>
      <c r="L130" s="23">
        <v>45340</v>
      </c>
      <c r="M130" s="23">
        <v>45351</v>
      </c>
      <c r="N130" s="25">
        <f t="shared" si="3"/>
        <v>11</v>
      </c>
      <c r="O130" s="26"/>
      <c r="P130" t="s">
        <v>88</v>
      </c>
      <c r="Q130" t="s">
        <v>88</v>
      </c>
      <c r="R130" t="s">
        <v>88</v>
      </c>
      <c r="S130" t="s">
        <v>88</v>
      </c>
      <c r="T130" t="s">
        <v>88</v>
      </c>
      <c r="U130" t="s">
        <v>20</v>
      </c>
    </row>
    <row r="131" spans="1:21" x14ac:dyDescent="0.45">
      <c r="A131" s="20">
        <v>95368123</v>
      </c>
      <c r="B131" s="21" t="str">
        <f t="shared" si="2"/>
        <v>9.536.812-3</v>
      </c>
      <c r="C131" s="22" t="str">
        <f>IF(IFERROR(VLOOKUP(A131,$A$9:$I130,1,0),0)=0,"",VLOOKUP(A131,$A$9:$I130,3,0))</f>
        <v>UCI</v>
      </c>
      <c r="D131" s="21" t="s">
        <v>652</v>
      </c>
      <c r="E131" s="21" t="str">
        <f>IF(IFERROR(VLOOKUP(A131,$A$9:$I130,1,0),0)=0,"",VLOOKUP(A131,$A$9:$I130,5,0))</f>
        <v>DIOCARES</v>
      </c>
      <c r="F131" s="21" t="str">
        <f>IF(IFERROR(VLOOKUP(A131,$A$9:$I130,1,0),0)=0,"",VLOOKUP(A131,$A$9:$I130,6,0))</f>
        <v>SERGIO</v>
      </c>
      <c r="G131" s="23">
        <f>IF(IFERROR(VLOOKUP(A131,$A$9:$I130,1,0),0)=0,"",VLOOKUP(A131,$A$9:$I130,7,0))</f>
        <v>45340</v>
      </c>
      <c r="H131" s="23"/>
      <c r="I131" s="21"/>
      <c r="J131" s="21"/>
      <c r="K131" s="24" t="s">
        <v>55</v>
      </c>
      <c r="L131" s="23">
        <v>45340</v>
      </c>
      <c r="M131" s="23">
        <v>45351</v>
      </c>
      <c r="N131" s="25">
        <f t="shared" si="3"/>
        <v>11</v>
      </c>
      <c r="O131" s="26"/>
      <c r="P131" t="s">
        <v>88</v>
      </c>
      <c r="Q131" t="s">
        <v>88</v>
      </c>
      <c r="R131" t="s">
        <v>88</v>
      </c>
      <c r="S131" t="s">
        <v>88</v>
      </c>
      <c r="T131" t="s">
        <v>88</v>
      </c>
      <c r="U131" t="s">
        <v>20</v>
      </c>
    </row>
    <row r="132" spans="1:21" x14ac:dyDescent="0.45">
      <c r="A132" s="20">
        <v>53485235</v>
      </c>
      <c r="B132" s="21" t="str">
        <f t="shared" si="2"/>
        <v>5.348.523-5</v>
      </c>
      <c r="C132" s="22" t="str">
        <f>IF(IFERROR(VLOOKUP(A132,$A$9:$I131,1,0),0)=0,"",VLOOKUP(A132,$A$9:$I131,3,0))</f>
        <v>UCI</v>
      </c>
      <c r="D132" s="21" t="str">
        <f>IF(IFERROR(VLOOKUP(A132,$A$9:$I131,1,0),0)=0,"",VLOOKUP(A132,$A$9:$I131,4,0))</f>
        <v>PINEDA</v>
      </c>
      <c r="E132" s="21" t="str">
        <f>IF(IFERROR(VLOOKUP(A132,$A$9:$I131,1,0),0)=0,"",VLOOKUP(A132,$A$9:$I131,5,0))</f>
        <v>SEPULVEDA</v>
      </c>
      <c r="F132" s="21" t="str">
        <f>IF(IFERROR(VLOOKUP(A132,$A$9:$I131,1,0),0)=0,"",VLOOKUP(A132,$A$9:$I131,6,0))</f>
        <v xml:space="preserve">JOSE </v>
      </c>
      <c r="G132" s="23">
        <v>45340</v>
      </c>
      <c r="H132" s="23"/>
      <c r="I132" s="21" t="s">
        <v>24</v>
      </c>
      <c r="J132" s="21" t="s">
        <v>22</v>
      </c>
      <c r="K132" s="24" t="s">
        <v>43</v>
      </c>
      <c r="L132" s="23">
        <v>45340</v>
      </c>
      <c r="M132" s="23">
        <v>45351</v>
      </c>
      <c r="N132" s="25">
        <f t="shared" si="3"/>
        <v>11</v>
      </c>
      <c r="O132" s="26" t="s">
        <v>355</v>
      </c>
      <c r="P132" t="s">
        <v>96</v>
      </c>
      <c r="Q132" t="s">
        <v>88</v>
      </c>
      <c r="R132" t="s">
        <v>88</v>
      </c>
      <c r="S132" t="s">
        <v>88</v>
      </c>
      <c r="T132" t="s">
        <v>88</v>
      </c>
      <c r="U132" t="s">
        <v>20</v>
      </c>
    </row>
    <row r="133" spans="1:21" x14ac:dyDescent="0.45">
      <c r="A133" s="20">
        <v>53485235</v>
      </c>
      <c r="B133" s="21" t="str">
        <f t="shared" si="2"/>
        <v>5.348.523-5</v>
      </c>
      <c r="C133" s="22" t="str">
        <f>IF(IFERROR(VLOOKUP(A133,$A$9:$I132,1,0),0)=0,"",VLOOKUP(A133,$A$9:$I132,3,0))</f>
        <v>UCI</v>
      </c>
      <c r="D133" s="21" t="str">
        <f>IF(IFERROR(VLOOKUP(A133,$A$9:$I132,1,0),0)=0,"",VLOOKUP(A133,$A$9:$I132,4,0))</f>
        <v>PINEDA</v>
      </c>
      <c r="E133" s="21" t="str">
        <f>IF(IFERROR(VLOOKUP(A133,$A$9:$I132,1,0),0)=0,"",VLOOKUP(A133,$A$9:$I132,5,0))</f>
        <v>SEPULVEDA</v>
      </c>
      <c r="F133" s="21" t="str">
        <f>IF(IFERROR(VLOOKUP(A133,$A$9:$I132,1,0),0)=0,"",VLOOKUP(A133,$A$9:$I132,6,0))</f>
        <v xml:space="preserve">JOSE </v>
      </c>
      <c r="G133" s="23">
        <v>45340</v>
      </c>
      <c r="H133" s="23"/>
      <c r="I133" s="21" t="s">
        <v>24</v>
      </c>
      <c r="J133" s="21"/>
      <c r="K133" s="24" t="s">
        <v>47</v>
      </c>
      <c r="L133" s="23">
        <v>45340</v>
      </c>
      <c r="M133" s="23">
        <v>45351</v>
      </c>
      <c r="N133" s="25">
        <f t="shared" si="3"/>
        <v>11</v>
      </c>
      <c r="O133" s="26" t="s">
        <v>355</v>
      </c>
      <c r="P133" t="s">
        <v>88</v>
      </c>
      <c r="Q133" t="s">
        <v>88</v>
      </c>
      <c r="R133" t="s">
        <v>88</v>
      </c>
      <c r="S133" t="s">
        <v>88</v>
      </c>
      <c r="T133" t="s">
        <v>88</v>
      </c>
      <c r="U133" t="s">
        <v>20</v>
      </c>
    </row>
    <row r="134" spans="1:21" x14ac:dyDescent="0.45">
      <c r="A134" s="20">
        <v>53485235</v>
      </c>
      <c r="B134" s="21" t="str">
        <f t="shared" si="2"/>
        <v>5.348.523-5</v>
      </c>
      <c r="C134" s="22" t="str">
        <f>IF(IFERROR(VLOOKUP(A134,$A$9:$I133,1,0),0)=0,"",VLOOKUP(A134,$A$9:$I133,3,0))</f>
        <v>UCI</v>
      </c>
      <c r="D134" s="21" t="str">
        <f>IF(IFERROR(VLOOKUP(A134,$A$9:$I133,1,0),0)=0,"",VLOOKUP(A134,$A$9:$I133,4,0))</f>
        <v>PINEDA</v>
      </c>
      <c r="E134" s="21" t="str">
        <f>IF(IFERROR(VLOOKUP(A134,$A$9:$I133,1,0),0)=0,"",VLOOKUP(A134,$A$9:$I133,5,0))</f>
        <v>SEPULVEDA</v>
      </c>
      <c r="F134" s="21" t="str">
        <f>IF(IFERROR(VLOOKUP(A134,$A$9:$I133,1,0),0)=0,"",VLOOKUP(A134,$A$9:$I133,6,0))</f>
        <v xml:space="preserve">JOSE </v>
      </c>
      <c r="G134" s="23">
        <v>45340</v>
      </c>
      <c r="H134" s="23"/>
      <c r="I134" s="21" t="s">
        <v>24</v>
      </c>
      <c r="J134" s="21"/>
      <c r="K134" s="24" t="s">
        <v>55</v>
      </c>
      <c r="L134" s="23">
        <v>45340</v>
      </c>
      <c r="M134" s="23">
        <v>45343</v>
      </c>
      <c r="N134" s="25">
        <f t="shared" si="3"/>
        <v>3</v>
      </c>
      <c r="O134" s="26" t="s">
        <v>355</v>
      </c>
      <c r="P134" t="s">
        <v>147</v>
      </c>
      <c r="Q134" t="s">
        <v>88</v>
      </c>
      <c r="R134" t="s">
        <v>88</v>
      </c>
      <c r="S134" t="s">
        <v>88</v>
      </c>
      <c r="T134" t="s">
        <v>88</v>
      </c>
      <c r="U134" t="s">
        <v>14</v>
      </c>
    </row>
    <row r="135" spans="1:21" x14ac:dyDescent="0.45">
      <c r="A135" s="20">
        <v>172081827</v>
      </c>
      <c r="B135" s="21" t="str">
        <f t="shared" si="2"/>
        <v>17.208.182-7</v>
      </c>
      <c r="C135" s="22" t="s">
        <v>22</v>
      </c>
      <c r="D135" s="21" t="s">
        <v>569</v>
      </c>
      <c r="E135" s="21" t="s">
        <v>655</v>
      </c>
      <c r="F135" s="21" t="s">
        <v>656</v>
      </c>
      <c r="G135" s="23">
        <v>45340</v>
      </c>
      <c r="H135" s="23">
        <v>45342</v>
      </c>
      <c r="I135" s="21"/>
      <c r="J135" s="21" t="s">
        <v>22</v>
      </c>
      <c r="K135" s="24" t="s">
        <v>47</v>
      </c>
      <c r="L135" s="23">
        <v>45340</v>
      </c>
      <c r="M135" s="23">
        <v>45342</v>
      </c>
      <c r="N135" s="25">
        <f t="shared" si="3"/>
        <v>2</v>
      </c>
      <c r="O135" s="26"/>
      <c r="P135" t="s">
        <v>88</v>
      </c>
      <c r="Q135" t="s">
        <v>88</v>
      </c>
      <c r="R135" t="s">
        <v>88</v>
      </c>
      <c r="S135" t="s">
        <v>88</v>
      </c>
      <c r="T135" t="s">
        <v>88</v>
      </c>
      <c r="U135" t="s">
        <v>20</v>
      </c>
    </row>
    <row r="136" spans="1:21" x14ac:dyDescent="0.45">
      <c r="A136" s="20">
        <v>51858549</v>
      </c>
      <c r="B136" s="21" t="str">
        <f t="shared" ref="B136:B199" si="4">IF(LEN(A136)=8,MID(A136,1,1)&amp;"."&amp;MID(A136,2,3)&amp;"."&amp;MID(A136,5,3)&amp;"-"&amp;RIGHT(A136,1),IF(LEFT(RIGHT(A136,2),1)="-",MID(A136,1,1)&amp;"."&amp;MID(A136,2,3)&amp;"."&amp;MID(A136,5,3)&amp;"-"&amp;RIGHT(A136,1),MID(A136,1,2)&amp;"."&amp;MID(A136,3,3)&amp;"."&amp;MID(A136,6,3)&amp;"-"&amp;MID(A136,9,1)))</f>
        <v>5.185.854-9</v>
      </c>
      <c r="C136" s="22" t="s">
        <v>22</v>
      </c>
      <c r="D136" s="21" t="s">
        <v>657</v>
      </c>
      <c r="E136" s="21" t="s">
        <v>367</v>
      </c>
      <c r="F136" s="21" t="s">
        <v>658</v>
      </c>
      <c r="G136" s="23">
        <v>45341</v>
      </c>
      <c r="H136" s="23">
        <v>45346</v>
      </c>
      <c r="I136" s="21"/>
      <c r="J136" s="21" t="s">
        <v>24</v>
      </c>
      <c r="K136" s="24" t="s">
        <v>43</v>
      </c>
      <c r="L136" s="23">
        <v>45341</v>
      </c>
      <c r="M136" s="23">
        <v>45346</v>
      </c>
      <c r="N136" s="25">
        <f t="shared" ref="N136:N199" si="5">+M136-L136</f>
        <v>5</v>
      </c>
      <c r="O136" s="26" t="s">
        <v>531</v>
      </c>
      <c r="P136" t="s">
        <v>88</v>
      </c>
      <c r="Q136" t="s">
        <v>88</v>
      </c>
      <c r="R136" t="s">
        <v>88</v>
      </c>
      <c r="S136" t="s">
        <v>88</v>
      </c>
      <c r="T136" t="s">
        <v>88</v>
      </c>
      <c r="U136" t="s">
        <v>20</v>
      </c>
    </row>
    <row r="137" spans="1:21" x14ac:dyDescent="0.45">
      <c r="A137" s="20">
        <v>51858549</v>
      </c>
      <c r="B137" s="21" t="str">
        <f t="shared" si="4"/>
        <v>5.185.854-9</v>
      </c>
      <c r="C137" s="22" t="str">
        <f>IF(IFERROR(VLOOKUP(A137,$A$9:$I136,1,0),0)=0,"",VLOOKUP(A137,$A$9:$I136,3,0))</f>
        <v>UCI</v>
      </c>
      <c r="D137" s="21" t="str">
        <f>IF(IFERROR(VLOOKUP(A137,$A$9:$I136,1,0),0)=0,"",VLOOKUP(A137,$A$9:$I136,4,0))</f>
        <v>VIDAL</v>
      </c>
      <c r="E137" s="21" t="str">
        <f>IF(IFERROR(VLOOKUP(A137,$A$9:$I136,1,0),0)=0,"",VLOOKUP(A137,$A$9:$I136,5,0))</f>
        <v>HERRERA</v>
      </c>
      <c r="F137" s="21" t="str">
        <f>IF(IFERROR(VLOOKUP(A137,$A$9:$I136,1,0),0)=0,"",VLOOKUP(A137,$A$9:$I136,6,0))</f>
        <v>RAQUEL</v>
      </c>
      <c r="G137" s="23">
        <f>IF(IFERROR(VLOOKUP(A137,$A$9:$I136,1,0),0)=0,"",VLOOKUP(A137,$A$9:$I136,7,0))</f>
        <v>45341</v>
      </c>
      <c r="H137" s="23">
        <v>45346</v>
      </c>
      <c r="I137" s="21"/>
      <c r="J137" s="21" t="s">
        <v>24</v>
      </c>
      <c r="K137" s="24" t="s">
        <v>47</v>
      </c>
      <c r="L137" s="23">
        <v>45341</v>
      </c>
      <c r="M137" s="23">
        <v>45346</v>
      </c>
      <c r="N137" s="25">
        <f t="shared" si="5"/>
        <v>5</v>
      </c>
      <c r="O137" s="26" t="s">
        <v>531</v>
      </c>
      <c r="P137" t="s">
        <v>88</v>
      </c>
      <c r="Q137" t="s">
        <v>88</v>
      </c>
      <c r="R137" t="s">
        <v>88</v>
      </c>
      <c r="S137" t="s">
        <v>88</v>
      </c>
      <c r="T137" t="s">
        <v>88</v>
      </c>
      <c r="U137" t="s">
        <v>20</v>
      </c>
    </row>
    <row r="138" spans="1:21" x14ac:dyDescent="0.45">
      <c r="A138" s="20">
        <v>51858549</v>
      </c>
      <c r="B138" s="21" t="str">
        <f t="shared" si="4"/>
        <v>5.185.854-9</v>
      </c>
      <c r="C138" s="22" t="str">
        <f>IF(IFERROR(VLOOKUP(A138,$A$9:$I137,1,0),0)=0,"",VLOOKUP(A138,$A$9:$I137,3,0))</f>
        <v>UCI</v>
      </c>
      <c r="D138" s="21" t="str">
        <f>IF(IFERROR(VLOOKUP(A138,$A$9:$I137,1,0),0)=0,"",VLOOKUP(A138,$A$9:$I137,4,0))</f>
        <v>VIDAL</v>
      </c>
      <c r="E138" s="21" t="str">
        <f>IF(IFERROR(VLOOKUP(A138,$A$9:$I137,1,0),0)=0,"",VLOOKUP(A138,$A$9:$I137,5,0))</f>
        <v>HERRERA</v>
      </c>
      <c r="F138" s="21" t="str">
        <f>IF(IFERROR(VLOOKUP(A138,$A$9:$I137,1,0),0)=0,"",VLOOKUP(A138,$A$9:$I137,6,0))</f>
        <v>RAQUEL</v>
      </c>
      <c r="G138" s="23">
        <f>IF(IFERROR(VLOOKUP(A138,$A$9:$I137,1,0),0)=0,"",VLOOKUP(A138,$A$9:$I137,7,0))</f>
        <v>45341</v>
      </c>
      <c r="H138" s="23">
        <v>45346</v>
      </c>
      <c r="I138" s="21"/>
      <c r="J138" s="21" t="s">
        <v>24</v>
      </c>
      <c r="K138" s="24" t="s">
        <v>55</v>
      </c>
      <c r="L138" s="23">
        <v>45341</v>
      </c>
      <c r="M138" s="23">
        <v>45342</v>
      </c>
      <c r="N138" s="25">
        <f t="shared" si="5"/>
        <v>1</v>
      </c>
      <c r="O138" s="26" t="s">
        <v>531</v>
      </c>
      <c r="P138" t="s">
        <v>88</v>
      </c>
      <c r="Q138" t="s">
        <v>88</v>
      </c>
      <c r="R138" t="s">
        <v>88</v>
      </c>
      <c r="S138" t="s">
        <v>88</v>
      </c>
      <c r="T138" t="s">
        <v>88</v>
      </c>
      <c r="U138" t="s">
        <v>20</v>
      </c>
    </row>
    <row r="139" spans="1:21" x14ac:dyDescent="0.45">
      <c r="A139" s="20" t="s">
        <v>659</v>
      </c>
      <c r="B139" s="21" t="str">
        <f t="shared" si="4"/>
        <v>4.496.396-5</v>
      </c>
      <c r="C139" s="22" t="s">
        <v>22</v>
      </c>
      <c r="D139" s="21" t="s">
        <v>471</v>
      </c>
      <c r="E139" s="21" t="s">
        <v>660</v>
      </c>
      <c r="F139" s="21" t="s">
        <v>390</v>
      </c>
      <c r="G139" s="23">
        <v>45336</v>
      </c>
      <c r="H139" s="23">
        <v>45343</v>
      </c>
      <c r="I139" s="21"/>
      <c r="J139" s="21" t="s">
        <v>46</v>
      </c>
      <c r="K139" s="24" t="s">
        <v>43</v>
      </c>
      <c r="L139" s="23">
        <v>45336</v>
      </c>
      <c r="M139" s="23">
        <v>45343</v>
      </c>
      <c r="N139" s="25">
        <f t="shared" si="5"/>
        <v>7</v>
      </c>
      <c r="O139" s="26"/>
      <c r="P139" t="s">
        <v>88</v>
      </c>
      <c r="Q139" t="s">
        <v>88</v>
      </c>
      <c r="R139" t="s">
        <v>88</v>
      </c>
      <c r="S139" t="s">
        <v>88</v>
      </c>
      <c r="T139" t="s">
        <v>88</v>
      </c>
      <c r="U139" t="s">
        <v>20</v>
      </c>
    </row>
    <row r="140" spans="1:21" x14ac:dyDescent="0.45">
      <c r="A140" s="20" t="s">
        <v>659</v>
      </c>
      <c r="B140" s="21" t="str">
        <f t="shared" si="4"/>
        <v>4.496.396-5</v>
      </c>
      <c r="C140" s="22" t="str">
        <f>IF(IFERROR(VLOOKUP(A140,$A$9:$I139,1,0),0)=0,"",VLOOKUP(A140,$A$9:$I139,3,0))</f>
        <v>UCI</v>
      </c>
      <c r="D140" s="21" t="str">
        <f>IF(IFERROR(VLOOKUP(A140,$A$9:$I139,1,0),0)=0,"",VLOOKUP(A140,$A$9:$I139,4,0))</f>
        <v>VASQUEZ</v>
      </c>
      <c r="E140" s="21" t="str">
        <f>IF(IFERROR(VLOOKUP(A140,$A$9:$I139,1,0),0)=0,"",VLOOKUP(A140,$A$9:$I139,5,0))</f>
        <v>SALAZAR</v>
      </c>
      <c r="F140" s="21" t="str">
        <f>IF(IFERROR(VLOOKUP(A140,$A$9:$I139,1,0),0)=0,"",VLOOKUP(A140,$A$9:$I139,6,0))</f>
        <v>RAUL</v>
      </c>
      <c r="G140" s="23">
        <f>IF(IFERROR(VLOOKUP(A140,$A$9:$I139,1,0),0)=0,"",VLOOKUP(A140,$A$9:$I139,7,0))</f>
        <v>45336</v>
      </c>
      <c r="H140" s="23">
        <v>45343</v>
      </c>
      <c r="I140" s="21"/>
      <c r="J140" s="21" t="s">
        <v>46</v>
      </c>
      <c r="K140" s="24" t="s">
        <v>47</v>
      </c>
      <c r="L140" s="23">
        <v>45336</v>
      </c>
      <c r="M140" s="23">
        <v>45342</v>
      </c>
      <c r="N140" s="25">
        <f t="shared" si="5"/>
        <v>6</v>
      </c>
      <c r="O140" s="26"/>
      <c r="P140" t="s">
        <v>88</v>
      </c>
      <c r="Q140" t="s">
        <v>88</v>
      </c>
      <c r="R140" t="s">
        <v>88</v>
      </c>
      <c r="S140" t="s">
        <v>88</v>
      </c>
      <c r="T140" t="s">
        <v>88</v>
      </c>
      <c r="U140" t="s">
        <v>20</v>
      </c>
    </row>
    <row r="141" spans="1:21" x14ac:dyDescent="0.45">
      <c r="A141" s="20" t="s">
        <v>659</v>
      </c>
      <c r="B141" s="21" t="str">
        <f t="shared" si="4"/>
        <v>4.496.396-5</v>
      </c>
      <c r="C141" s="22" t="str">
        <f>IF(IFERROR(VLOOKUP(A141,$A$9:$I140,1,0),0)=0,"",VLOOKUP(A141,$A$9:$I140,3,0))</f>
        <v>UCI</v>
      </c>
      <c r="D141" s="21" t="str">
        <f>IF(IFERROR(VLOOKUP(A141,$A$9:$I140,1,0),0)=0,"",VLOOKUP(A141,$A$9:$I140,4,0))</f>
        <v>VASQUEZ</v>
      </c>
      <c r="E141" s="21" t="str">
        <f>IF(IFERROR(VLOOKUP(A141,$A$9:$I140,1,0),0)=0,"",VLOOKUP(A141,$A$9:$I140,5,0))</f>
        <v>SALAZAR</v>
      </c>
      <c r="F141" s="21" t="str">
        <f>IF(IFERROR(VLOOKUP(A141,$A$9:$I140,1,0),0)=0,"",VLOOKUP(A141,$A$9:$I140,6,0))</f>
        <v>RAUL</v>
      </c>
      <c r="G141" s="23">
        <f>IF(IFERROR(VLOOKUP(A141,$A$9:$I140,1,0),0)=0,"",VLOOKUP(A141,$A$9:$I140,7,0))</f>
        <v>45336</v>
      </c>
      <c r="H141" s="23">
        <v>45343</v>
      </c>
      <c r="I141" s="21"/>
      <c r="J141" s="21" t="s">
        <v>46</v>
      </c>
      <c r="K141" s="24" t="s">
        <v>55</v>
      </c>
      <c r="L141" s="23">
        <v>45336</v>
      </c>
      <c r="M141" s="23">
        <v>45341</v>
      </c>
      <c r="N141" s="25">
        <f t="shared" si="5"/>
        <v>5</v>
      </c>
      <c r="O141" s="26"/>
      <c r="P141" t="s">
        <v>88</v>
      </c>
      <c r="Q141" t="s">
        <v>88</v>
      </c>
      <c r="R141" t="s">
        <v>88</v>
      </c>
      <c r="S141" t="s">
        <v>88</v>
      </c>
      <c r="T141" t="s">
        <v>88</v>
      </c>
      <c r="U141" t="s">
        <v>20</v>
      </c>
    </row>
    <row r="142" spans="1:21" x14ac:dyDescent="0.45">
      <c r="A142" s="20">
        <v>91718227</v>
      </c>
      <c r="B142" s="21" t="str">
        <f t="shared" si="4"/>
        <v>9.171.822-7</v>
      </c>
      <c r="C142" s="22" t="s">
        <v>22</v>
      </c>
      <c r="D142" s="21" t="s">
        <v>661</v>
      </c>
      <c r="E142" s="21" t="s">
        <v>662</v>
      </c>
      <c r="F142" s="21" t="s">
        <v>663</v>
      </c>
      <c r="G142" s="23">
        <v>45345</v>
      </c>
      <c r="H142" s="23"/>
      <c r="I142" s="21"/>
      <c r="J142" s="21"/>
      <c r="K142" s="24" t="s">
        <v>43</v>
      </c>
      <c r="L142" s="23">
        <v>45345</v>
      </c>
      <c r="M142" s="23">
        <v>45351</v>
      </c>
      <c r="N142" s="25">
        <f t="shared" si="5"/>
        <v>6</v>
      </c>
      <c r="O142" s="26"/>
      <c r="P142" t="s">
        <v>88</v>
      </c>
      <c r="Q142" t="s">
        <v>88</v>
      </c>
      <c r="R142" t="s">
        <v>88</v>
      </c>
      <c r="S142" t="s">
        <v>88</v>
      </c>
      <c r="T142" t="s">
        <v>88</v>
      </c>
      <c r="U142" t="s">
        <v>20</v>
      </c>
    </row>
    <row r="143" spans="1:21" x14ac:dyDescent="0.45">
      <c r="A143" s="20">
        <v>131040156</v>
      </c>
      <c r="B143" s="21" t="str">
        <f t="shared" si="4"/>
        <v>13.104.015-6</v>
      </c>
      <c r="C143" s="22" t="s">
        <v>22</v>
      </c>
      <c r="D143" s="21" t="s">
        <v>664</v>
      </c>
      <c r="E143" s="21" t="s">
        <v>665</v>
      </c>
      <c r="F143" s="21" t="s">
        <v>636</v>
      </c>
      <c r="G143" s="23">
        <v>45342</v>
      </c>
      <c r="H143" s="23"/>
      <c r="I143" s="21"/>
      <c r="J143" s="21"/>
      <c r="K143" s="24" t="s">
        <v>43</v>
      </c>
      <c r="L143" s="23">
        <v>45342</v>
      </c>
      <c r="M143" s="23">
        <v>45351</v>
      </c>
      <c r="N143" s="25">
        <f t="shared" si="5"/>
        <v>9</v>
      </c>
      <c r="O143" s="26"/>
      <c r="P143" t="s">
        <v>88</v>
      </c>
      <c r="Q143" t="s">
        <v>88</v>
      </c>
      <c r="R143" t="s">
        <v>88</v>
      </c>
      <c r="S143" t="s">
        <v>88</v>
      </c>
      <c r="T143" t="s">
        <v>88</v>
      </c>
      <c r="U143" t="s">
        <v>20</v>
      </c>
    </row>
    <row r="144" spans="1:21" x14ac:dyDescent="0.45">
      <c r="A144" s="20">
        <v>131040156</v>
      </c>
      <c r="B144" s="21" t="str">
        <f t="shared" si="4"/>
        <v>13.104.015-6</v>
      </c>
      <c r="C144" s="22" t="str">
        <f>IF(IFERROR(VLOOKUP(A144,$A$9:$I143,1,0),0)=0,"",VLOOKUP(A144,$A$9:$I143,3,0))</f>
        <v>UCI</v>
      </c>
      <c r="D144" s="21" t="str">
        <f>IF(IFERROR(VLOOKUP(A144,$A$9:$I143,1,0),0)=0,"",VLOOKUP(A144,$A$9:$I143,4,0))</f>
        <v>AQUILES</v>
      </c>
      <c r="E144" s="21" t="str">
        <f>IF(IFERROR(VLOOKUP(A144,$A$9:$I143,1,0),0)=0,"",VLOOKUP(A144,$A$9:$I143,5,0))</f>
        <v>CURIMAN</v>
      </c>
      <c r="F144" s="21" t="str">
        <f>IF(IFERROR(VLOOKUP(A144,$A$9:$I143,1,0),0)=0,"",VLOOKUP(A144,$A$9:$I143,6,0))</f>
        <v>BRAVO</v>
      </c>
      <c r="G144" s="23">
        <f>IF(IFERROR(VLOOKUP(A144,$A$9:$I143,1,0),0)=0,"",VLOOKUP(A144,$A$9:$I143,7,0))</f>
        <v>45342</v>
      </c>
      <c r="H144" s="23"/>
      <c r="I144" s="21"/>
      <c r="J144" s="21"/>
      <c r="K144" s="24" t="s">
        <v>47</v>
      </c>
      <c r="L144" s="23">
        <v>45342</v>
      </c>
      <c r="M144" s="23">
        <v>45351</v>
      </c>
      <c r="N144" s="25">
        <f t="shared" si="5"/>
        <v>9</v>
      </c>
      <c r="O144" s="26"/>
      <c r="P144" t="s">
        <v>88</v>
      </c>
      <c r="Q144" t="s">
        <v>88</v>
      </c>
      <c r="R144" t="s">
        <v>88</v>
      </c>
      <c r="S144" t="s">
        <v>88</v>
      </c>
      <c r="T144" t="s">
        <v>88</v>
      </c>
      <c r="U144" t="s">
        <v>20</v>
      </c>
    </row>
    <row r="145" spans="1:21" x14ac:dyDescent="0.45">
      <c r="A145" s="20">
        <v>131040156</v>
      </c>
      <c r="B145" s="21" t="str">
        <f t="shared" si="4"/>
        <v>13.104.015-6</v>
      </c>
      <c r="C145" s="22" t="str">
        <f>IF(IFERROR(VLOOKUP(A145,$A$9:$I144,1,0),0)=0,"",VLOOKUP(A145,$A$9:$I144,3,0))</f>
        <v>UCI</v>
      </c>
      <c r="D145" s="21" t="str">
        <f>IF(IFERROR(VLOOKUP(A145,$A$9:$I144,1,0),0)=0,"",VLOOKUP(A145,$A$9:$I144,4,0))</f>
        <v>AQUILES</v>
      </c>
      <c r="E145" s="21" t="str">
        <f>IF(IFERROR(VLOOKUP(A145,$A$9:$I144,1,0),0)=0,"",VLOOKUP(A145,$A$9:$I144,5,0))</f>
        <v>CURIMAN</v>
      </c>
      <c r="F145" s="21" t="str">
        <f>IF(IFERROR(VLOOKUP(A145,$A$9:$I144,1,0),0)=0,"",VLOOKUP(A145,$A$9:$I144,6,0))</f>
        <v>BRAVO</v>
      </c>
      <c r="G145" s="23">
        <f>IF(IFERROR(VLOOKUP(A145,$A$9:$I144,1,0),0)=0,"",VLOOKUP(A145,$A$9:$I144,7,0))</f>
        <v>45342</v>
      </c>
      <c r="H145" s="23"/>
      <c r="I145" s="21"/>
      <c r="J145" s="21"/>
      <c r="K145" s="24" t="s">
        <v>55</v>
      </c>
      <c r="L145" s="23">
        <v>45342</v>
      </c>
      <c r="M145" s="23">
        <v>45351</v>
      </c>
      <c r="N145" s="25">
        <f t="shared" si="5"/>
        <v>9</v>
      </c>
      <c r="O145" s="26"/>
      <c r="P145" t="s">
        <v>88</v>
      </c>
      <c r="Q145" t="s">
        <v>88</v>
      </c>
      <c r="R145" t="s">
        <v>88</v>
      </c>
      <c r="S145" t="s">
        <v>88</v>
      </c>
      <c r="T145" t="s">
        <v>88</v>
      </c>
      <c r="U145" t="s">
        <v>20</v>
      </c>
    </row>
    <row r="146" spans="1:21" x14ac:dyDescent="0.45">
      <c r="A146" s="20">
        <v>52512867</v>
      </c>
      <c r="B146" s="21" t="str">
        <f t="shared" si="4"/>
        <v>5.251.286-7</v>
      </c>
      <c r="C146" s="22" t="s">
        <v>22</v>
      </c>
      <c r="D146" s="21" t="s">
        <v>655</v>
      </c>
      <c r="E146" s="21" t="s">
        <v>477</v>
      </c>
      <c r="F146" s="21" t="s">
        <v>565</v>
      </c>
      <c r="G146" s="23">
        <v>45342</v>
      </c>
      <c r="H146" s="23">
        <v>45347</v>
      </c>
      <c r="I146" s="21"/>
      <c r="J146" s="21"/>
      <c r="K146" s="24" t="s">
        <v>43</v>
      </c>
      <c r="L146" s="23">
        <v>45342</v>
      </c>
      <c r="M146" s="23">
        <v>45347</v>
      </c>
      <c r="N146" s="25">
        <f t="shared" si="5"/>
        <v>5</v>
      </c>
      <c r="O146" s="26" t="s">
        <v>531</v>
      </c>
      <c r="P146" t="s">
        <v>88</v>
      </c>
      <c r="Q146" t="s">
        <v>88</v>
      </c>
      <c r="R146" t="s">
        <v>88</v>
      </c>
      <c r="S146" t="s">
        <v>88</v>
      </c>
      <c r="T146" t="s">
        <v>88</v>
      </c>
      <c r="U146" t="s">
        <v>20</v>
      </c>
    </row>
    <row r="147" spans="1:21" x14ac:dyDescent="0.45">
      <c r="A147" s="20">
        <v>52512867</v>
      </c>
      <c r="B147" s="21" t="str">
        <f t="shared" si="4"/>
        <v>5.251.286-7</v>
      </c>
      <c r="C147" s="22" t="str">
        <f>IF(IFERROR(VLOOKUP(A147,$A$9:$I146,1,0),0)=0,"",VLOOKUP(A147,$A$9:$I146,3,0))</f>
        <v>UCI</v>
      </c>
      <c r="D147" s="21" t="str">
        <f>IF(IFERROR(VLOOKUP(A147,$A$9:$I146,1,0),0)=0,"",VLOOKUP(A147,$A$9:$I146,4,0))</f>
        <v>GAJARDO</v>
      </c>
      <c r="E147" s="21" t="str">
        <f>IF(IFERROR(VLOOKUP(A147,$A$9:$I146,1,0),0)=0,"",VLOOKUP(A147,$A$9:$I146,5,0))</f>
        <v>AEDO</v>
      </c>
      <c r="F147" s="21" t="str">
        <f>IF(IFERROR(VLOOKUP(A147,$A$9:$I146,1,0),0)=0,"",VLOOKUP(A147,$A$9:$I146,6,0))</f>
        <v xml:space="preserve">JOSE </v>
      </c>
      <c r="G147" s="23">
        <f>IF(IFERROR(VLOOKUP(A147,$A$9:$I146,1,0),0)=0,"",VLOOKUP(A147,$A$9:$I146,7,0))</f>
        <v>45342</v>
      </c>
      <c r="H147" s="23">
        <v>45347</v>
      </c>
      <c r="I147" s="21"/>
      <c r="J147" s="21"/>
      <c r="K147" s="24" t="s">
        <v>47</v>
      </c>
      <c r="L147" s="23">
        <v>45342</v>
      </c>
      <c r="M147" s="23">
        <v>45347</v>
      </c>
      <c r="N147" s="25">
        <f t="shared" si="5"/>
        <v>5</v>
      </c>
      <c r="O147" s="26" t="s">
        <v>531</v>
      </c>
      <c r="P147" t="s">
        <v>88</v>
      </c>
      <c r="Q147" t="s">
        <v>88</v>
      </c>
      <c r="R147" t="s">
        <v>88</v>
      </c>
      <c r="S147" t="s">
        <v>88</v>
      </c>
      <c r="T147" t="s">
        <v>88</v>
      </c>
      <c r="U147" t="s">
        <v>20</v>
      </c>
    </row>
    <row r="148" spans="1:21" x14ac:dyDescent="0.45">
      <c r="A148" s="20">
        <v>52512867</v>
      </c>
      <c r="B148" s="21" t="str">
        <f t="shared" si="4"/>
        <v>5.251.286-7</v>
      </c>
      <c r="C148" s="22" t="str">
        <f>IF(IFERROR(VLOOKUP(A148,$A$9:$I147,1,0),0)=0,"",VLOOKUP(A148,$A$9:$I147,3,0))</f>
        <v>UCI</v>
      </c>
      <c r="D148" s="21" t="str">
        <f>IF(IFERROR(VLOOKUP(A148,$A$9:$I147,1,0),0)=0,"",VLOOKUP(A148,$A$9:$I147,4,0))</f>
        <v>GAJARDO</v>
      </c>
      <c r="E148" s="21" t="str">
        <f>IF(IFERROR(VLOOKUP(A148,$A$9:$I147,1,0),0)=0,"",VLOOKUP(A148,$A$9:$I147,5,0))</f>
        <v>AEDO</v>
      </c>
      <c r="F148" s="21" t="str">
        <f>IF(IFERROR(VLOOKUP(A148,$A$9:$I147,1,0),0)=0,"",VLOOKUP(A148,$A$9:$I147,6,0))</f>
        <v xml:space="preserve">JOSE </v>
      </c>
      <c r="G148" s="23">
        <f>IF(IFERROR(VLOOKUP(A148,$A$9:$I147,1,0),0)=0,"",VLOOKUP(A148,$A$9:$I147,7,0))</f>
        <v>45342</v>
      </c>
      <c r="H148" s="23">
        <v>45347</v>
      </c>
      <c r="I148" s="21"/>
      <c r="J148" s="21"/>
      <c r="K148" s="24" t="s">
        <v>55</v>
      </c>
      <c r="L148" s="23">
        <v>45342</v>
      </c>
      <c r="M148" s="23">
        <v>45345</v>
      </c>
      <c r="N148" s="25">
        <f t="shared" si="5"/>
        <v>3</v>
      </c>
      <c r="O148" s="26" t="s">
        <v>531</v>
      </c>
      <c r="P148" t="s">
        <v>88</v>
      </c>
      <c r="Q148" t="s">
        <v>88</v>
      </c>
      <c r="R148" t="s">
        <v>88</v>
      </c>
      <c r="S148" t="s">
        <v>88</v>
      </c>
      <c r="T148" t="s">
        <v>88</v>
      </c>
      <c r="U148" t="s">
        <v>20</v>
      </c>
    </row>
    <row r="149" spans="1:21" x14ac:dyDescent="0.45">
      <c r="A149" s="20">
        <v>69383165</v>
      </c>
      <c r="B149" s="21" t="str">
        <f t="shared" si="4"/>
        <v>6.938.316-5</v>
      </c>
      <c r="C149" s="22" t="s">
        <v>22</v>
      </c>
      <c r="D149" s="21" t="s">
        <v>666</v>
      </c>
      <c r="E149" s="21" t="s">
        <v>417</v>
      </c>
      <c r="F149" s="21" t="s">
        <v>475</v>
      </c>
      <c r="G149" s="23">
        <v>45349</v>
      </c>
      <c r="H149" s="23"/>
      <c r="I149" s="21"/>
      <c r="J149" s="21"/>
      <c r="K149" s="24" t="s">
        <v>43</v>
      </c>
      <c r="L149" s="23">
        <v>45349</v>
      </c>
      <c r="M149" s="23">
        <v>45351</v>
      </c>
      <c r="N149" s="25">
        <f t="shared" si="5"/>
        <v>2</v>
      </c>
      <c r="O149" s="26" t="s">
        <v>531</v>
      </c>
      <c r="P149" t="s">
        <v>88</v>
      </c>
      <c r="Q149" t="s">
        <v>88</v>
      </c>
      <c r="R149" t="s">
        <v>88</v>
      </c>
      <c r="S149" t="s">
        <v>88</v>
      </c>
      <c r="T149" t="s">
        <v>88</v>
      </c>
      <c r="U149" t="s">
        <v>20</v>
      </c>
    </row>
    <row r="150" spans="1:21" x14ac:dyDescent="0.45">
      <c r="A150" s="20">
        <v>69383165</v>
      </c>
      <c r="B150" s="21" t="str">
        <f t="shared" si="4"/>
        <v>6.938.316-5</v>
      </c>
      <c r="C150" s="22" t="str">
        <f>IF(IFERROR(VLOOKUP(A150,$A$9:$I149,1,0),0)=0,"",VLOOKUP(A150,$A$9:$I149,3,0))</f>
        <v>UCI</v>
      </c>
      <c r="D150" s="21" t="str">
        <f>IF(IFERROR(VLOOKUP(A150,$A$9:$I149,1,0),0)=0,"",VLOOKUP(A150,$A$9:$I149,4,0))</f>
        <v>MOSCOSO</v>
      </c>
      <c r="E150" s="21" t="str">
        <f>IF(IFERROR(VLOOKUP(A150,$A$9:$I149,1,0),0)=0,"",VLOOKUP(A150,$A$9:$I149,5,0))</f>
        <v>LOPEZ</v>
      </c>
      <c r="F150" s="21" t="str">
        <f>IF(IFERROR(VLOOKUP(A150,$A$9:$I149,1,0),0)=0,"",VLOOKUP(A150,$A$9:$I149,6,0))</f>
        <v>ROSA</v>
      </c>
      <c r="G150" s="23">
        <f>IF(IFERROR(VLOOKUP(A150,$A$9:$I149,1,0),0)=0,"",VLOOKUP(A150,$A$9:$I149,7,0))</f>
        <v>45349</v>
      </c>
      <c r="H150" s="23"/>
      <c r="I150" s="21"/>
      <c r="J150" s="21"/>
      <c r="K150" s="24" t="s">
        <v>47</v>
      </c>
      <c r="L150" s="23">
        <v>45349</v>
      </c>
      <c r="M150" s="23">
        <v>45351</v>
      </c>
      <c r="N150" s="25">
        <f t="shared" si="5"/>
        <v>2</v>
      </c>
      <c r="O150" s="26" t="s">
        <v>531</v>
      </c>
      <c r="P150" t="s">
        <v>88</v>
      </c>
      <c r="Q150" t="s">
        <v>88</v>
      </c>
      <c r="R150" t="s">
        <v>88</v>
      </c>
      <c r="S150" t="s">
        <v>88</v>
      </c>
      <c r="T150" t="s">
        <v>88</v>
      </c>
      <c r="U150" t="s">
        <v>20</v>
      </c>
    </row>
    <row r="151" spans="1:21" x14ac:dyDescent="0.45">
      <c r="A151" s="20">
        <v>69383165</v>
      </c>
      <c r="B151" s="21" t="str">
        <f t="shared" si="4"/>
        <v>6.938.316-5</v>
      </c>
      <c r="C151" s="22" t="str">
        <f>IF(IFERROR(VLOOKUP(A151,$A$9:$I150,1,0),0)=0,"",VLOOKUP(A151,$A$9:$I150,3,0))</f>
        <v>UCI</v>
      </c>
      <c r="D151" s="21" t="str">
        <f>IF(IFERROR(VLOOKUP(A151,$A$9:$I150,1,0),0)=0,"",VLOOKUP(A151,$A$9:$I150,4,0))</f>
        <v>MOSCOSO</v>
      </c>
      <c r="E151" s="21" t="str">
        <f>IF(IFERROR(VLOOKUP(A151,$A$9:$I150,1,0),0)=0,"",VLOOKUP(A151,$A$9:$I150,5,0))</f>
        <v>LOPEZ</v>
      </c>
      <c r="F151" s="21" t="str">
        <f>IF(IFERROR(VLOOKUP(A151,$A$9:$I150,1,0),0)=0,"",VLOOKUP(A151,$A$9:$I150,6,0))</f>
        <v>ROSA</v>
      </c>
      <c r="G151" s="23">
        <f>IF(IFERROR(VLOOKUP(A151,$A$9:$I150,1,0),0)=0,"",VLOOKUP(A151,$A$9:$I150,7,0))</f>
        <v>45349</v>
      </c>
      <c r="H151" s="23"/>
      <c r="I151" s="21"/>
      <c r="J151" s="21"/>
      <c r="K151" s="24" t="s">
        <v>55</v>
      </c>
      <c r="L151" s="23">
        <v>45349</v>
      </c>
      <c r="M151" s="23">
        <v>45351</v>
      </c>
      <c r="N151" s="25">
        <f t="shared" si="5"/>
        <v>2</v>
      </c>
      <c r="O151" s="26" t="s">
        <v>531</v>
      </c>
      <c r="P151" t="s">
        <v>88</v>
      </c>
      <c r="Q151" t="s">
        <v>88</v>
      </c>
      <c r="R151" t="s">
        <v>88</v>
      </c>
      <c r="S151" t="s">
        <v>88</v>
      </c>
      <c r="T151" t="s">
        <v>88</v>
      </c>
      <c r="U151" t="s">
        <v>20</v>
      </c>
    </row>
    <row r="152" spans="1:21" x14ac:dyDescent="0.45">
      <c r="A152" s="20" t="s">
        <v>667</v>
      </c>
      <c r="B152" s="21" t="str">
        <f t="shared" si="4"/>
        <v>11.898.451-K</v>
      </c>
      <c r="C152" s="22" t="s">
        <v>22</v>
      </c>
      <c r="D152" s="21" t="s">
        <v>668</v>
      </c>
      <c r="E152" s="21" t="s">
        <v>546</v>
      </c>
      <c r="F152" s="21" t="s">
        <v>316</v>
      </c>
      <c r="G152" s="23">
        <v>45345</v>
      </c>
      <c r="H152" s="23"/>
      <c r="I152" s="21"/>
      <c r="J152" s="21"/>
      <c r="K152" s="24" t="s">
        <v>43</v>
      </c>
      <c r="L152" s="23">
        <v>45345</v>
      </c>
      <c r="M152" s="23">
        <v>45351</v>
      </c>
      <c r="N152" s="25">
        <f t="shared" si="5"/>
        <v>6</v>
      </c>
      <c r="O152" s="26"/>
      <c r="P152" t="s">
        <v>96</v>
      </c>
      <c r="Q152" t="s">
        <v>88</v>
      </c>
      <c r="R152" t="s">
        <v>88</v>
      </c>
      <c r="S152" t="s">
        <v>88</v>
      </c>
      <c r="T152" t="s">
        <v>88</v>
      </c>
      <c r="U152" t="s">
        <v>14</v>
      </c>
    </row>
    <row r="153" spans="1:21" x14ac:dyDescent="0.45">
      <c r="A153" s="20">
        <v>81542678</v>
      </c>
      <c r="B153" s="21" t="str">
        <f t="shared" si="4"/>
        <v>8.154.267-8</v>
      </c>
      <c r="C153" s="22" t="s">
        <v>22</v>
      </c>
      <c r="D153" s="21" t="s">
        <v>646</v>
      </c>
      <c r="E153" s="21" t="s">
        <v>496</v>
      </c>
      <c r="F153" s="21" t="s">
        <v>669</v>
      </c>
      <c r="G153" s="23">
        <v>45346</v>
      </c>
      <c r="H153" s="23"/>
      <c r="I153" s="21"/>
      <c r="J153" s="21"/>
      <c r="K153" s="24" t="s">
        <v>43</v>
      </c>
      <c r="L153" s="23">
        <v>45349</v>
      </c>
      <c r="M153" s="23">
        <v>45351</v>
      </c>
      <c r="N153" s="25">
        <f t="shared" si="5"/>
        <v>2</v>
      </c>
      <c r="O153" s="26"/>
      <c r="P153" t="s">
        <v>88</v>
      </c>
      <c r="Q153" t="s">
        <v>88</v>
      </c>
      <c r="R153" t="s">
        <v>88</v>
      </c>
      <c r="S153" t="s">
        <v>88</v>
      </c>
      <c r="T153" t="s">
        <v>88</v>
      </c>
      <c r="U153" t="s">
        <v>20</v>
      </c>
    </row>
    <row r="154" spans="1:21" x14ac:dyDescent="0.45">
      <c r="A154" s="20">
        <v>81542678</v>
      </c>
      <c r="B154" s="21" t="str">
        <f t="shared" si="4"/>
        <v>8.154.267-8</v>
      </c>
      <c r="C154" s="22" t="str">
        <f>IF(IFERROR(VLOOKUP(A154,$A$9:$I153,1,0),0)=0,"",VLOOKUP(A154,$A$9:$I153,3,0))</f>
        <v>UCI</v>
      </c>
      <c r="D154" s="21" t="str">
        <f>IF(IFERROR(VLOOKUP(A154,$A$9:$I153,1,0),0)=0,"",VLOOKUP(A154,$A$9:$I153,4,0))</f>
        <v>ARRIAGADA</v>
      </c>
      <c r="E154" s="21" t="str">
        <f>IF(IFERROR(VLOOKUP(A154,$A$9:$I153,1,0),0)=0,"",VLOOKUP(A154,$A$9:$I153,5,0))</f>
        <v>ACUÑA</v>
      </c>
      <c r="F154" s="21" t="str">
        <f>IF(IFERROR(VLOOKUP(A154,$A$9:$I153,1,0),0)=0,"",VLOOKUP(A154,$A$9:$I153,6,0))</f>
        <v>JACQUELINE</v>
      </c>
      <c r="G154" s="23">
        <f>IF(IFERROR(VLOOKUP(A154,$A$9:$I153,1,0),0)=0,"",VLOOKUP(A154,$A$9:$I153,7,0))</f>
        <v>45346</v>
      </c>
      <c r="H154" s="23"/>
      <c r="I154" s="21"/>
      <c r="J154" s="21"/>
      <c r="K154" s="24" t="s">
        <v>47</v>
      </c>
      <c r="L154" s="23">
        <v>45346</v>
      </c>
      <c r="M154" s="23">
        <v>45351</v>
      </c>
      <c r="N154" s="25">
        <f t="shared" si="5"/>
        <v>5</v>
      </c>
      <c r="O154" s="26"/>
      <c r="P154" t="s">
        <v>88</v>
      </c>
      <c r="Q154" t="s">
        <v>88</v>
      </c>
      <c r="R154" t="s">
        <v>88</v>
      </c>
      <c r="S154" t="s">
        <v>88</v>
      </c>
      <c r="T154" t="s">
        <v>88</v>
      </c>
      <c r="U154" t="s">
        <v>20</v>
      </c>
    </row>
    <row r="155" spans="1:21" x14ac:dyDescent="0.45">
      <c r="A155" s="20">
        <v>162839543</v>
      </c>
      <c r="B155" s="21" t="str">
        <f t="shared" si="4"/>
        <v>16.283.954-3</v>
      </c>
      <c r="C155" s="22" t="s">
        <v>22</v>
      </c>
      <c r="D155" s="21" t="s">
        <v>670</v>
      </c>
      <c r="E155" s="21" t="s">
        <v>671</v>
      </c>
      <c r="F155" s="21" t="s">
        <v>672</v>
      </c>
      <c r="G155" s="23">
        <v>45345</v>
      </c>
      <c r="H155" s="23"/>
      <c r="I155" s="21"/>
      <c r="J155" s="21"/>
      <c r="K155" s="24" t="s">
        <v>43</v>
      </c>
      <c r="L155" s="23">
        <v>45345</v>
      </c>
      <c r="M155" s="23">
        <v>45351</v>
      </c>
      <c r="N155" s="25">
        <f t="shared" si="5"/>
        <v>6</v>
      </c>
      <c r="O155" s="26"/>
      <c r="P155" t="s">
        <v>88</v>
      </c>
      <c r="Q155" t="s">
        <v>88</v>
      </c>
      <c r="R155" t="s">
        <v>88</v>
      </c>
      <c r="S155" t="s">
        <v>88</v>
      </c>
      <c r="T155" t="s">
        <v>88</v>
      </c>
      <c r="U155" t="s">
        <v>20</v>
      </c>
    </row>
    <row r="156" spans="1:21" x14ac:dyDescent="0.45">
      <c r="A156" s="20">
        <v>162839543</v>
      </c>
      <c r="B156" s="21" t="str">
        <f t="shared" si="4"/>
        <v>16.283.954-3</v>
      </c>
      <c r="C156" s="22" t="str">
        <f>IF(IFERROR(VLOOKUP(A156,$A$9:$I155,1,0),0)=0,"",VLOOKUP(A156,$A$9:$I155,3,0))</f>
        <v>UCI</v>
      </c>
      <c r="D156" s="21" t="str">
        <f>IF(IFERROR(VLOOKUP(A156,$A$9:$I155,1,0),0)=0,"",VLOOKUP(A156,$A$9:$I155,4,0))</f>
        <v>VALENZUELA</v>
      </c>
      <c r="E156" s="21" t="str">
        <f>IF(IFERROR(VLOOKUP(A156,$A$9:$I155,1,0),0)=0,"",VLOOKUP(A156,$A$9:$I155,5,0))</f>
        <v>GUIÑEZ</v>
      </c>
      <c r="F156" s="21" t="str">
        <f>IF(IFERROR(VLOOKUP(A156,$A$9:$I155,1,0),0)=0,"",VLOOKUP(A156,$A$9:$I155,6,0))</f>
        <v>KAREN</v>
      </c>
      <c r="G156" s="23">
        <f>IF(IFERROR(VLOOKUP(A156,$A$9:$I155,1,0),0)=0,"",VLOOKUP(A156,$A$9:$I155,7,0))</f>
        <v>45345</v>
      </c>
      <c r="H156" s="23"/>
      <c r="I156" s="21"/>
      <c r="J156" s="21"/>
      <c r="K156" s="24" t="s">
        <v>47</v>
      </c>
      <c r="L156" s="23">
        <v>45345</v>
      </c>
      <c r="M156" s="23">
        <v>45351</v>
      </c>
      <c r="N156" s="25">
        <f t="shared" si="5"/>
        <v>6</v>
      </c>
      <c r="O156" s="26"/>
      <c r="P156" t="s">
        <v>88</v>
      </c>
      <c r="Q156" t="s">
        <v>88</v>
      </c>
      <c r="R156" t="s">
        <v>88</v>
      </c>
      <c r="S156" t="s">
        <v>88</v>
      </c>
      <c r="T156" t="s">
        <v>88</v>
      </c>
      <c r="U156" t="s">
        <v>20</v>
      </c>
    </row>
    <row r="157" spans="1:21" x14ac:dyDescent="0.45">
      <c r="A157" s="20">
        <v>162839543</v>
      </c>
      <c r="B157" s="21" t="str">
        <f t="shared" si="4"/>
        <v>16.283.954-3</v>
      </c>
      <c r="C157" s="22" t="str">
        <f>IF(IFERROR(VLOOKUP(A157,$A$9:$I156,1,0),0)=0,"",VLOOKUP(A157,$A$9:$I156,3,0))</f>
        <v>UCI</v>
      </c>
      <c r="D157" s="21" t="str">
        <f>IF(IFERROR(VLOOKUP(A157,$A$9:$I156,1,0),0)=0,"",VLOOKUP(A157,$A$9:$I156,4,0))</f>
        <v>VALENZUELA</v>
      </c>
      <c r="E157" s="21" t="str">
        <f>IF(IFERROR(VLOOKUP(A157,$A$9:$I156,1,0),0)=0,"",VLOOKUP(A157,$A$9:$I156,5,0))</f>
        <v>GUIÑEZ</v>
      </c>
      <c r="F157" s="21" t="str">
        <f>IF(IFERROR(VLOOKUP(A157,$A$9:$I156,1,0),0)=0,"",VLOOKUP(A157,$A$9:$I156,6,0))</f>
        <v>KAREN</v>
      </c>
      <c r="G157" s="23">
        <f>IF(IFERROR(VLOOKUP(A157,$A$9:$I156,1,0),0)=0,"",VLOOKUP(A157,$A$9:$I156,7,0))</f>
        <v>45345</v>
      </c>
      <c r="H157" s="23"/>
      <c r="I157" s="21"/>
      <c r="J157" s="21"/>
      <c r="K157" s="24" t="s">
        <v>55</v>
      </c>
      <c r="L157" s="23">
        <v>45345</v>
      </c>
      <c r="M157" s="23">
        <v>45351</v>
      </c>
      <c r="N157" s="25">
        <f t="shared" si="5"/>
        <v>6</v>
      </c>
      <c r="O157" s="26"/>
      <c r="P157" t="s">
        <v>88</v>
      </c>
      <c r="Q157" t="s">
        <v>88</v>
      </c>
      <c r="R157" t="s">
        <v>88</v>
      </c>
      <c r="S157" t="s">
        <v>88</v>
      </c>
      <c r="T157" t="s">
        <v>88</v>
      </c>
      <c r="U157" t="s">
        <v>20</v>
      </c>
    </row>
    <row r="158" spans="1:21" x14ac:dyDescent="0.45">
      <c r="A158" s="20">
        <v>78756381</v>
      </c>
      <c r="B158" s="21" t="str">
        <f t="shared" si="4"/>
        <v>7.875.638-1</v>
      </c>
      <c r="C158" s="22" t="s">
        <v>22</v>
      </c>
      <c r="D158" s="21" t="s">
        <v>673</v>
      </c>
      <c r="E158" s="21" t="s">
        <v>488</v>
      </c>
      <c r="F158" s="21" t="s">
        <v>638</v>
      </c>
      <c r="G158" s="23">
        <v>45348</v>
      </c>
      <c r="H158" s="23"/>
      <c r="I158" s="21"/>
      <c r="J158" s="21"/>
      <c r="K158" s="24" t="s">
        <v>43</v>
      </c>
      <c r="L158" s="23">
        <v>45348</v>
      </c>
      <c r="M158" s="23">
        <v>45351</v>
      </c>
      <c r="N158" s="25">
        <f t="shared" si="5"/>
        <v>3</v>
      </c>
      <c r="O158" s="26"/>
      <c r="P158" t="s">
        <v>88</v>
      </c>
      <c r="Q158" t="s">
        <v>88</v>
      </c>
      <c r="R158" t="s">
        <v>88</v>
      </c>
      <c r="S158" t="s">
        <v>88</v>
      </c>
      <c r="T158" t="s">
        <v>88</v>
      </c>
      <c r="U158" t="s">
        <v>20</v>
      </c>
    </row>
    <row r="159" spans="1:21" x14ac:dyDescent="0.45">
      <c r="A159" s="20">
        <v>78756381</v>
      </c>
      <c r="B159" s="21" t="str">
        <f t="shared" si="4"/>
        <v>7.875.638-1</v>
      </c>
      <c r="C159" s="22" t="str">
        <f>IF(IFERROR(VLOOKUP(A159,$A$9:$I158,1,0),0)=0,"",VLOOKUP(A159,$A$9:$I158,3,0))</f>
        <v>UCI</v>
      </c>
      <c r="D159" s="21" t="str">
        <f>IF(IFERROR(VLOOKUP(A159,$A$9:$I158,1,0),0)=0,"",VLOOKUP(A159,$A$9:$I158,4,0))</f>
        <v>NOVA</v>
      </c>
      <c r="E159" s="21" t="str">
        <f>IF(IFERROR(VLOOKUP(A159,$A$9:$I158,1,0),0)=0,"",VLOOKUP(A159,$A$9:$I158,5,0))</f>
        <v>PARRA</v>
      </c>
      <c r="F159" s="21" t="str">
        <f>IF(IFERROR(VLOOKUP(A159,$A$9:$I158,1,0),0)=0,"",VLOOKUP(A159,$A$9:$I158,6,0))</f>
        <v>CARLOS</v>
      </c>
      <c r="G159" s="23">
        <f>IF(IFERROR(VLOOKUP(A159,$A$9:$I158,1,0),0)=0,"",VLOOKUP(A159,$A$9:$I158,7,0))</f>
        <v>45348</v>
      </c>
      <c r="H159" s="23"/>
      <c r="I159" s="21"/>
      <c r="J159" s="21"/>
      <c r="K159" s="24" t="s">
        <v>47</v>
      </c>
      <c r="L159" s="23">
        <v>45348</v>
      </c>
      <c r="M159" s="23">
        <v>45351</v>
      </c>
      <c r="N159" s="25">
        <f t="shared" si="5"/>
        <v>3</v>
      </c>
      <c r="O159" s="26"/>
      <c r="P159" t="s">
        <v>88</v>
      </c>
      <c r="Q159" t="s">
        <v>88</v>
      </c>
      <c r="R159" t="s">
        <v>88</v>
      </c>
      <c r="S159" t="s">
        <v>88</v>
      </c>
      <c r="T159" t="s">
        <v>88</v>
      </c>
      <c r="U159" t="s">
        <v>20</v>
      </c>
    </row>
    <row r="160" spans="1:21" x14ac:dyDescent="0.45">
      <c r="A160" s="20">
        <v>78756381</v>
      </c>
      <c r="B160" s="21" t="str">
        <f t="shared" si="4"/>
        <v>7.875.638-1</v>
      </c>
      <c r="C160" s="22" t="str">
        <f>IF(IFERROR(VLOOKUP(A160,$A$9:$I159,1,0),0)=0,"",VLOOKUP(A160,$A$9:$I159,3,0))</f>
        <v>UCI</v>
      </c>
      <c r="D160" s="21" t="str">
        <f>IF(IFERROR(VLOOKUP(A160,$A$9:$I159,1,0),0)=0,"",VLOOKUP(A160,$A$9:$I159,4,0))</f>
        <v>NOVA</v>
      </c>
      <c r="E160" s="21" t="str">
        <f>IF(IFERROR(VLOOKUP(A160,$A$9:$I159,1,0),0)=0,"",VLOOKUP(A160,$A$9:$I159,5,0))</f>
        <v>PARRA</v>
      </c>
      <c r="F160" s="21" t="str">
        <f>IF(IFERROR(VLOOKUP(A160,$A$9:$I159,1,0),0)=0,"",VLOOKUP(A160,$A$9:$I159,6,0))</f>
        <v>CARLOS</v>
      </c>
      <c r="G160" s="23">
        <f>IF(IFERROR(VLOOKUP(A160,$A$9:$I159,1,0),0)=0,"",VLOOKUP(A160,$A$9:$I159,7,0))</f>
        <v>45348</v>
      </c>
      <c r="H160" s="23"/>
      <c r="I160" s="21"/>
      <c r="J160" s="21"/>
      <c r="K160" s="24" t="s">
        <v>55</v>
      </c>
      <c r="L160" s="23">
        <v>45348</v>
      </c>
      <c r="M160" s="23">
        <v>45351</v>
      </c>
      <c r="N160" s="25">
        <f t="shared" si="5"/>
        <v>3</v>
      </c>
      <c r="O160" s="26"/>
      <c r="P160" t="s">
        <v>88</v>
      </c>
      <c r="Q160" t="s">
        <v>88</v>
      </c>
      <c r="R160" t="s">
        <v>88</v>
      </c>
      <c r="S160" t="s">
        <v>88</v>
      </c>
      <c r="T160" t="s">
        <v>88</v>
      </c>
      <c r="U160" t="s">
        <v>20</v>
      </c>
    </row>
    <row r="161" spans="1:21" x14ac:dyDescent="0.45">
      <c r="A161" s="20" t="s">
        <v>674</v>
      </c>
      <c r="B161" s="21" t="str">
        <f t="shared" si="4"/>
        <v>9.288.127-K</v>
      </c>
      <c r="C161" s="22" t="s">
        <v>22</v>
      </c>
      <c r="D161" s="21" t="s">
        <v>501</v>
      </c>
      <c r="E161" s="21" t="s">
        <v>675</v>
      </c>
      <c r="F161" s="21" t="s">
        <v>676</v>
      </c>
      <c r="G161" s="23">
        <v>45349</v>
      </c>
      <c r="H161" s="23"/>
      <c r="I161" s="21"/>
      <c r="J161" s="21"/>
      <c r="K161" s="24" t="s">
        <v>43</v>
      </c>
      <c r="L161" s="23">
        <v>45349</v>
      </c>
      <c r="M161" s="23">
        <v>45351</v>
      </c>
      <c r="N161" s="25">
        <f t="shared" si="5"/>
        <v>2</v>
      </c>
      <c r="O161" s="26"/>
      <c r="P161" t="s">
        <v>88</v>
      </c>
      <c r="Q161" t="s">
        <v>88</v>
      </c>
      <c r="R161" t="s">
        <v>88</v>
      </c>
      <c r="S161" t="s">
        <v>88</v>
      </c>
      <c r="T161" t="s">
        <v>88</v>
      </c>
      <c r="U161" t="s">
        <v>20</v>
      </c>
    </row>
    <row r="162" spans="1:21" x14ac:dyDescent="0.45">
      <c r="A162" s="20" t="s">
        <v>674</v>
      </c>
      <c r="B162" s="21" t="str">
        <f t="shared" si="4"/>
        <v>9.288.127-K</v>
      </c>
      <c r="C162" s="22" t="str">
        <f>IF(IFERROR(VLOOKUP(A162,$A$9:$I161,1,0),0)=0,"",VLOOKUP(A162,$A$9:$I161,3,0))</f>
        <v>UCI</v>
      </c>
      <c r="D162" s="21" t="str">
        <f>IF(IFERROR(VLOOKUP(A162,$A$9:$I161,1,0),0)=0,"",VLOOKUP(A162,$A$9:$I161,4,0))</f>
        <v>REYES</v>
      </c>
      <c r="E162" s="21" t="str">
        <f>IF(IFERROR(VLOOKUP(A162,$A$9:$I161,1,0),0)=0,"",VLOOKUP(A162,$A$9:$I161,5,0))</f>
        <v>SANDOVAL</v>
      </c>
      <c r="F162" s="21" t="str">
        <f>IF(IFERROR(VLOOKUP(A162,$A$9:$I161,1,0),0)=0,"",VLOOKUP(A162,$A$9:$I161,6,0))</f>
        <v>CARMEN</v>
      </c>
      <c r="G162" s="23">
        <f>IF(IFERROR(VLOOKUP(A162,$A$9:$I161,1,0),0)=0,"",VLOOKUP(A162,$A$9:$I161,7,0))</f>
        <v>45349</v>
      </c>
      <c r="H162" s="23"/>
      <c r="I162" s="21"/>
      <c r="J162" s="21"/>
      <c r="K162" s="24" t="s">
        <v>47</v>
      </c>
      <c r="L162" s="23">
        <v>45349</v>
      </c>
      <c r="M162" s="23">
        <v>45351</v>
      </c>
      <c r="N162" s="25">
        <f t="shared" si="5"/>
        <v>2</v>
      </c>
      <c r="O162" s="26"/>
      <c r="P162" t="s">
        <v>88</v>
      </c>
      <c r="Q162" t="s">
        <v>88</v>
      </c>
      <c r="R162" t="s">
        <v>88</v>
      </c>
      <c r="S162" t="s">
        <v>88</v>
      </c>
      <c r="T162" t="s">
        <v>88</v>
      </c>
      <c r="U162" t="s">
        <v>20</v>
      </c>
    </row>
    <row r="163" spans="1:21" x14ac:dyDescent="0.45">
      <c r="A163" s="20" t="s">
        <v>674</v>
      </c>
      <c r="B163" s="21" t="str">
        <f t="shared" si="4"/>
        <v>9.288.127-K</v>
      </c>
      <c r="C163" s="22" t="str">
        <f>IF(IFERROR(VLOOKUP(A163,$A$9:$I162,1,0),0)=0,"",VLOOKUP(A163,$A$9:$I162,3,0))</f>
        <v>UCI</v>
      </c>
      <c r="D163" s="21" t="str">
        <f>IF(IFERROR(VLOOKUP(A163,$A$9:$I162,1,0),0)=0,"",VLOOKUP(A163,$A$9:$I162,4,0))</f>
        <v>REYES</v>
      </c>
      <c r="E163" s="21" t="str">
        <f>IF(IFERROR(VLOOKUP(A163,$A$9:$I162,1,0),0)=0,"",VLOOKUP(A163,$A$9:$I162,5,0))</f>
        <v>SANDOVAL</v>
      </c>
      <c r="F163" s="21" t="str">
        <f>IF(IFERROR(VLOOKUP(A163,$A$9:$I162,1,0),0)=0,"",VLOOKUP(A163,$A$9:$I162,6,0))</f>
        <v>CARMEN</v>
      </c>
      <c r="G163" s="23">
        <f>IF(IFERROR(VLOOKUP(A163,$A$9:$I162,1,0),0)=0,"",VLOOKUP(A163,$A$9:$I162,7,0))</f>
        <v>45349</v>
      </c>
      <c r="H163" s="23"/>
      <c r="I163" s="21"/>
      <c r="J163" s="21"/>
      <c r="K163" s="24" t="s">
        <v>55</v>
      </c>
      <c r="L163" s="23">
        <v>45349</v>
      </c>
      <c r="M163" s="23">
        <v>45351</v>
      </c>
      <c r="N163" s="25">
        <f t="shared" si="5"/>
        <v>2</v>
      </c>
      <c r="O163" s="26"/>
      <c r="P163" t="s">
        <v>88</v>
      </c>
      <c r="Q163" t="s">
        <v>88</v>
      </c>
      <c r="R163" t="s">
        <v>88</v>
      </c>
      <c r="S163" t="s">
        <v>88</v>
      </c>
      <c r="T163" t="s">
        <v>88</v>
      </c>
      <c r="U163" t="s">
        <v>20</v>
      </c>
    </row>
    <row r="164" spans="1:21" x14ac:dyDescent="0.45">
      <c r="A164" s="20">
        <v>88579895</v>
      </c>
      <c r="B164" s="21" t="str">
        <f t="shared" si="4"/>
        <v>8.857.989-5</v>
      </c>
      <c r="C164" s="22" t="s">
        <v>30</v>
      </c>
      <c r="D164" s="21" t="s">
        <v>387</v>
      </c>
      <c r="E164" s="21" t="s">
        <v>677</v>
      </c>
      <c r="F164" s="21" t="s">
        <v>468</v>
      </c>
      <c r="G164" s="23">
        <v>45341</v>
      </c>
      <c r="H164" s="23">
        <v>45345</v>
      </c>
      <c r="I164" s="21"/>
      <c r="J164" s="21" t="s">
        <v>24</v>
      </c>
      <c r="K164" s="24" t="s">
        <v>43</v>
      </c>
      <c r="L164" s="23">
        <v>45341</v>
      </c>
      <c r="M164" s="23">
        <v>45344</v>
      </c>
      <c r="N164" s="25">
        <f t="shared" si="5"/>
        <v>3</v>
      </c>
      <c r="O164" s="26"/>
      <c r="P164" t="s">
        <v>88</v>
      </c>
      <c r="Q164" t="s">
        <v>88</v>
      </c>
      <c r="R164" t="s">
        <v>88</v>
      </c>
      <c r="S164" t="s">
        <v>88</v>
      </c>
      <c r="T164" t="s">
        <v>88</v>
      </c>
      <c r="U164" t="s">
        <v>20</v>
      </c>
    </row>
    <row r="165" spans="1:21" x14ac:dyDescent="0.45">
      <c r="A165" s="20">
        <v>88579895</v>
      </c>
      <c r="B165" s="21" t="str">
        <f t="shared" si="4"/>
        <v>8.857.989-5</v>
      </c>
      <c r="C165" s="22" t="str">
        <f>IF(IFERROR(VLOOKUP(A165,$A$9:$I164,1,0),0)=0,"",VLOOKUP(A165,$A$9:$I164,3,0))</f>
        <v>UCO</v>
      </c>
      <c r="D165" s="21" t="str">
        <f>IF(IFERROR(VLOOKUP(A165,$A$9:$I164,1,0),0)=0,"",VLOOKUP(A165,$A$9:$I164,4,0))</f>
        <v>SANHUEZA</v>
      </c>
      <c r="E165" s="21" t="str">
        <f>IF(IFERROR(VLOOKUP(A165,$A$9:$I164,1,0),0)=0,"",VLOOKUP(A165,$A$9:$I164,5,0))</f>
        <v>MARDONES</v>
      </c>
      <c r="F165" s="21" t="str">
        <f>IF(IFERROR(VLOOKUP(A165,$A$9:$I164,1,0),0)=0,"",VLOOKUP(A165,$A$9:$I164,6,0))</f>
        <v>ALEJANDRO</v>
      </c>
      <c r="G165" s="23">
        <f>IF(IFERROR(VLOOKUP(A165,$A$9:$I164,1,0),0)=0,"",VLOOKUP(A165,$A$9:$I164,7,0))</f>
        <v>45341</v>
      </c>
      <c r="H165" s="23">
        <v>45346</v>
      </c>
      <c r="I165" s="21"/>
      <c r="J165" s="21" t="s">
        <v>24</v>
      </c>
      <c r="K165" s="24" t="s">
        <v>47</v>
      </c>
      <c r="L165" s="23">
        <v>45341</v>
      </c>
      <c r="M165" s="23">
        <v>45343</v>
      </c>
      <c r="N165" s="25">
        <f t="shared" si="5"/>
        <v>2</v>
      </c>
      <c r="O165" s="26"/>
      <c r="P165" t="s">
        <v>88</v>
      </c>
      <c r="Q165" t="s">
        <v>88</v>
      </c>
      <c r="R165" t="s">
        <v>88</v>
      </c>
      <c r="S165" t="s">
        <v>88</v>
      </c>
      <c r="T165" t="s">
        <v>88</v>
      </c>
      <c r="U165" t="s">
        <v>20</v>
      </c>
    </row>
    <row r="166" spans="1:21" x14ac:dyDescent="0.45">
      <c r="A166" s="20" t="s">
        <v>678</v>
      </c>
      <c r="B166" s="21" t="str">
        <f t="shared" si="4"/>
        <v>7.353.836-K</v>
      </c>
      <c r="C166" s="22" t="s">
        <v>30</v>
      </c>
      <c r="D166" s="21" t="s">
        <v>679</v>
      </c>
      <c r="E166" s="21" t="s">
        <v>677</v>
      </c>
      <c r="F166" s="21" t="s">
        <v>548</v>
      </c>
      <c r="G166" s="23">
        <v>45339</v>
      </c>
      <c r="H166" s="23">
        <v>45345</v>
      </c>
      <c r="I166" s="21"/>
      <c r="J166" s="21"/>
      <c r="K166" s="24" t="s">
        <v>43</v>
      </c>
      <c r="L166" s="23">
        <v>45339</v>
      </c>
      <c r="M166" s="23">
        <v>45345</v>
      </c>
      <c r="N166" s="25">
        <f t="shared" si="5"/>
        <v>6</v>
      </c>
      <c r="O166" s="26"/>
      <c r="P166" t="s">
        <v>88</v>
      </c>
      <c r="Q166" t="s">
        <v>88</v>
      </c>
      <c r="R166" t="s">
        <v>88</v>
      </c>
      <c r="S166" t="s">
        <v>88</v>
      </c>
      <c r="T166" t="s">
        <v>88</v>
      </c>
      <c r="U166" t="s">
        <v>20</v>
      </c>
    </row>
    <row r="167" spans="1:21" x14ac:dyDescent="0.45">
      <c r="A167" s="20">
        <v>65729083</v>
      </c>
      <c r="B167" s="21" t="str">
        <f t="shared" si="4"/>
        <v>6.572.908-3</v>
      </c>
      <c r="C167" s="22" t="s">
        <v>30</v>
      </c>
      <c r="D167" s="21" t="s">
        <v>680</v>
      </c>
      <c r="E167" s="21" t="s">
        <v>310</v>
      </c>
      <c r="F167" s="21" t="s">
        <v>246</v>
      </c>
      <c r="G167" s="23">
        <v>45336</v>
      </c>
      <c r="H167" s="23">
        <v>45343</v>
      </c>
      <c r="I167" s="21"/>
      <c r="J167" s="21"/>
      <c r="K167" s="24" t="s">
        <v>43</v>
      </c>
      <c r="L167" s="23">
        <v>45336</v>
      </c>
      <c r="M167" s="23">
        <v>45343</v>
      </c>
      <c r="N167" s="25">
        <f t="shared" si="5"/>
        <v>7</v>
      </c>
      <c r="O167" s="26"/>
      <c r="P167" t="s">
        <v>88</v>
      </c>
      <c r="Q167" t="s">
        <v>88</v>
      </c>
      <c r="R167" t="s">
        <v>88</v>
      </c>
      <c r="S167" t="s">
        <v>88</v>
      </c>
      <c r="T167" t="s">
        <v>88</v>
      </c>
      <c r="U167" t="s">
        <v>20</v>
      </c>
    </row>
    <row r="168" spans="1:21" x14ac:dyDescent="0.45">
      <c r="A168" s="20">
        <v>65729083</v>
      </c>
      <c r="B168" s="21" t="str">
        <f t="shared" si="4"/>
        <v>6.572.908-3</v>
      </c>
      <c r="C168" s="22" t="str">
        <f>IF(IFERROR(VLOOKUP(A168,$A$9:$I167,1,0),0)=0,"",VLOOKUP(A168,$A$9:$I167,3,0))</f>
        <v>UCO</v>
      </c>
      <c r="D168" s="21" t="str">
        <f>IF(IFERROR(VLOOKUP(A168,$A$9:$I167,1,0),0)=0,"",VLOOKUP(A168,$A$9:$I167,4,0))</f>
        <v>INOSTROZA</v>
      </c>
      <c r="E168" s="21" t="str">
        <f>IF(IFERROR(VLOOKUP(A168,$A$9:$I167,1,0),0)=0,"",VLOOKUP(A168,$A$9:$I167,5,0))</f>
        <v>MORALES</v>
      </c>
      <c r="F168" s="21" t="str">
        <f>IF(IFERROR(VLOOKUP(A168,$A$9:$I167,1,0),0)=0,"",VLOOKUP(A168,$A$9:$I167,6,0))</f>
        <v>GLADYS</v>
      </c>
      <c r="G168" s="23">
        <f>IF(IFERROR(VLOOKUP(A168,$A$9:$I167,1,0),0)=0,"",VLOOKUP(A168,$A$9:$I167,7,0))</f>
        <v>45336</v>
      </c>
      <c r="H168" s="23">
        <v>45344</v>
      </c>
      <c r="I168" s="21"/>
      <c r="J168" s="21"/>
      <c r="K168" s="24" t="s">
        <v>47</v>
      </c>
      <c r="L168" s="23">
        <v>45336</v>
      </c>
      <c r="M168" s="23">
        <v>45343</v>
      </c>
      <c r="N168" s="25">
        <f t="shared" si="5"/>
        <v>7</v>
      </c>
      <c r="O168" s="26"/>
      <c r="P168" t="s">
        <v>88</v>
      </c>
      <c r="Q168" t="s">
        <v>88</v>
      </c>
      <c r="R168" t="s">
        <v>88</v>
      </c>
      <c r="S168" t="s">
        <v>88</v>
      </c>
      <c r="T168" t="s">
        <v>88</v>
      </c>
      <c r="U168" t="s">
        <v>20</v>
      </c>
    </row>
    <row r="169" spans="1:21" x14ac:dyDescent="0.45">
      <c r="A169" s="20">
        <v>102513959</v>
      </c>
      <c r="B169" s="21" t="str">
        <f t="shared" si="4"/>
        <v>10.251.395-9</v>
      </c>
      <c r="C169" s="22" t="s">
        <v>30</v>
      </c>
      <c r="D169" s="21" t="s">
        <v>681</v>
      </c>
      <c r="E169" s="21" t="s">
        <v>312</v>
      </c>
      <c r="F169" s="21" t="s">
        <v>682</v>
      </c>
      <c r="G169" s="23">
        <v>45336</v>
      </c>
      <c r="H169" s="23">
        <v>45343</v>
      </c>
      <c r="I169" s="21"/>
      <c r="J169" s="21"/>
      <c r="K169" s="24" t="s">
        <v>43</v>
      </c>
      <c r="L169" s="23">
        <v>45336</v>
      </c>
      <c r="M169" s="23">
        <v>45343</v>
      </c>
      <c r="N169" s="25">
        <f t="shared" si="5"/>
        <v>7</v>
      </c>
      <c r="O169" s="26"/>
      <c r="P169" t="s">
        <v>88</v>
      </c>
      <c r="Q169" t="s">
        <v>88</v>
      </c>
      <c r="R169" t="s">
        <v>88</v>
      </c>
      <c r="S169" t="s">
        <v>88</v>
      </c>
      <c r="T169" t="s">
        <v>88</v>
      </c>
      <c r="U169" t="s">
        <v>20</v>
      </c>
    </row>
    <row r="170" spans="1:21" x14ac:dyDescent="0.45">
      <c r="A170" s="20">
        <v>102513959</v>
      </c>
      <c r="B170" s="21" t="str">
        <f t="shared" si="4"/>
        <v>10.251.395-9</v>
      </c>
      <c r="C170" s="22" t="str">
        <f>IF(IFERROR(VLOOKUP(A170,$A$9:$I169,1,0),0)=0,"",VLOOKUP(A170,$A$9:$I169,3,0))</f>
        <v>UCO</v>
      </c>
      <c r="D170" s="21" t="str">
        <f>IF(IFERROR(VLOOKUP(A170,$A$9:$I169,1,0),0)=0,"",VLOOKUP(A170,$A$9:$I169,4,0))</f>
        <v>ERICES</v>
      </c>
      <c r="E170" s="21" t="str">
        <f>IF(IFERROR(VLOOKUP(A170,$A$9:$I169,1,0),0)=0,"",VLOOKUP(A170,$A$9:$I169,5,0))</f>
        <v>BUSTOS</v>
      </c>
      <c r="F170" s="21" t="str">
        <f>IF(IFERROR(VLOOKUP(A170,$A$9:$I169,1,0),0)=0,"",VLOOKUP(A170,$A$9:$I169,6,0))</f>
        <v>LUZ</v>
      </c>
      <c r="G170" s="23">
        <f>IF(IFERROR(VLOOKUP(A170,$A$9:$I169,1,0),0)=0,"",VLOOKUP(A170,$A$9:$I169,7,0))</f>
        <v>45336</v>
      </c>
      <c r="H170" s="23">
        <v>45343</v>
      </c>
      <c r="I170" s="21"/>
      <c r="J170" s="21"/>
      <c r="K170" s="24" t="s">
        <v>47</v>
      </c>
      <c r="L170" s="23">
        <v>45336</v>
      </c>
      <c r="M170" s="23">
        <v>45343</v>
      </c>
      <c r="N170" s="25">
        <f t="shared" si="5"/>
        <v>7</v>
      </c>
      <c r="O170" s="26"/>
      <c r="P170" t="s">
        <v>88</v>
      </c>
      <c r="Q170" t="s">
        <v>88</v>
      </c>
      <c r="R170" t="s">
        <v>88</v>
      </c>
      <c r="S170" t="s">
        <v>88</v>
      </c>
      <c r="T170" t="s">
        <v>88</v>
      </c>
      <c r="U170" t="s">
        <v>20</v>
      </c>
    </row>
    <row r="171" spans="1:21" x14ac:dyDescent="0.45">
      <c r="A171" s="20">
        <v>107872418</v>
      </c>
      <c r="B171" s="21" t="str">
        <f t="shared" si="4"/>
        <v>10.787.241-8</v>
      </c>
      <c r="C171" s="22" t="s">
        <v>30</v>
      </c>
      <c r="D171" s="21" t="s">
        <v>683</v>
      </c>
      <c r="E171" s="21" t="s">
        <v>523</v>
      </c>
      <c r="F171" s="21" t="s">
        <v>287</v>
      </c>
      <c r="G171" s="23">
        <v>45341</v>
      </c>
      <c r="H171" s="23">
        <v>45343</v>
      </c>
      <c r="I171" s="21"/>
      <c r="J171" s="21"/>
      <c r="K171" s="24" t="s">
        <v>43</v>
      </c>
      <c r="L171" s="23">
        <v>45341</v>
      </c>
      <c r="M171" s="23">
        <v>45343</v>
      </c>
      <c r="N171" s="25">
        <f t="shared" si="5"/>
        <v>2</v>
      </c>
      <c r="O171" s="26"/>
      <c r="P171" t="s">
        <v>88</v>
      </c>
      <c r="Q171" t="s">
        <v>88</v>
      </c>
      <c r="R171" t="s">
        <v>88</v>
      </c>
      <c r="S171" t="s">
        <v>88</v>
      </c>
      <c r="T171" t="s">
        <v>88</v>
      </c>
      <c r="U171" t="s">
        <v>20</v>
      </c>
    </row>
    <row r="172" spans="1:21" x14ac:dyDescent="0.45">
      <c r="A172" s="20">
        <v>107872418</v>
      </c>
      <c r="B172" s="21" t="str">
        <f t="shared" si="4"/>
        <v>10.787.241-8</v>
      </c>
      <c r="C172" s="22" t="str">
        <f>IF(IFERROR(VLOOKUP(A172,$A$9:$I171,1,0),0)=0,"",VLOOKUP(A172,$A$9:$I171,3,0))</f>
        <v>UCO</v>
      </c>
      <c r="D172" s="21" t="str">
        <f>IF(IFERROR(VLOOKUP(A172,$A$9:$I171,1,0),0)=0,"",VLOOKUP(A172,$A$9:$I171,4,0))</f>
        <v xml:space="preserve">MELLA </v>
      </c>
      <c r="E172" s="21" t="str">
        <f>IF(IFERROR(VLOOKUP(A172,$A$9:$I171,1,0),0)=0,"",VLOOKUP(A172,$A$9:$I171,5,0))</f>
        <v>MATAMALA</v>
      </c>
      <c r="F172" s="21" t="str">
        <f>IF(IFERROR(VLOOKUP(A172,$A$9:$I171,1,0),0)=0,"",VLOOKUP(A172,$A$9:$I171,6,0))</f>
        <v>RAMON</v>
      </c>
      <c r="G172" s="23">
        <f>IF(IFERROR(VLOOKUP(A172,$A$9:$I171,1,0),0)=0,"",VLOOKUP(A172,$A$9:$I171,7,0))</f>
        <v>45341</v>
      </c>
      <c r="H172" s="23">
        <v>45343</v>
      </c>
      <c r="I172" s="21"/>
      <c r="J172" s="21"/>
      <c r="K172" s="24" t="s">
        <v>47</v>
      </c>
      <c r="L172" s="23">
        <v>45341</v>
      </c>
      <c r="M172" s="23">
        <v>45343</v>
      </c>
      <c r="N172" s="25">
        <f t="shared" si="5"/>
        <v>2</v>
      </c>
      <c r="O172" s="26"/>
      <c r="P172" t="s">
        <v>88</v>
      </c>
      <c r="Q172" t="s">
        <v>88</v>
      </c>
      <c r="R172" t="s">
        <v>88</v>
      </c>
      <c r="S172" t="s">
        <v>88</v>
      </c>
      <c r="T172" t="s">
        <v>88</v>
      </c>
      <c r="U172" t="s">
        <v>20</v>
      </c>
    </row>
    <row r="173" spans="1:21" x14ac:dyDescent="0.45">
      <c r="A173" s="20">
        <v>52837588</v>
      </c>
      <c r="B173" s="21" t="str">
        <f t="shared" si="4"/>
        <v>5.283.758-8</v>
      </c>
      <c r="C173" s="22" t="s">
        <v>30</v>
      </c>
      <c r="D173" s="21" t="s">
        <v>439</v>
      </c>
      <c r="E173" s="21" t="s">
        <v>559</v>
      </c>
      <c r="F173" s="21" t="s">
        <v>538</v>
      </c>
      <c r="G173" s="23">
        <v>45348</v>
      </c>
      <c r="H173" s="23">
        <v>45351</v>
      </c>
      <c r="I173" s="21"/>
      <c r="J173" s="21"/>
      <c r="K173" s="24" t="s">
        <v>43</v>
      </c>
      <c r="L173" s="23">
        <v>45348</v>
      </c>
      <c r="M173" s="23">
        <v>45351</v>
      </c>
      <c r="N173" s="25">
        <f t="shared" si="5"/>
        <v>3</v>
      </c>
      <c r="O173" s="26"/>
      <c r="P173" t="s">
        <v>88</v>
      </c>
      <c r="Q173" t="s">
        <v>88</v>
      </c>
      <c r="R173" t="s">
        <v>88</v>
      </c>
      <c r="S173" t="s">
        <v>88</v>
      </c>
      <c r="T173" t="s">
        <v>88</v>
      </c>
      <c r="U173" t="s">
        <v>20</v>
      </c>
    </row>
    <row r="174" spans="1:21" x14ac:dyDescent="0.45">
      <c r="A174" s="20">
        <v>52837588</v>
      </c>
      <c r="B174" s="21" t="str">
        <f t="shared" si="4"/>
        <v>5.283.758-8</v>
      </c>
      <c r="C174" s="22" t="str">
        <f>IF(IFERROR(VLOOKUP(A174,$A$9:$I173,1,0),0)=0,"",VLOOKUP(A174,$A$9:$I173,3,0))</f>
        <v>UCO</v>
      </c>
      <c r="D174" s="21" t="str">
        <f>IF(IFERROR(VLOOKUP(A174,$A$9:$I173,1,0),0)=0,"",VLOOKUP(A174,$A$9:$I173,4,0))</f>
        <v>GONZALEZ</v>
      </c>
      <c r="E174" s="21" t="str">
        <f>IF(IFERROR(VLOOKUP(A174,$A$9:$I173,1,0),0)=0,"",VLOOKUP(A174,$A$9:$I173,5,0))</f>
        <v>SEPULVEDA</v>
      </c>
      <c r="F174" s="21" t="str">
        <f>IF(IFERROR(VLOOKUP(A174,$A$9:$I173,1,0),0)=0,"",VLOOKUP(A174,$A$9:$I173,6,0))</f>
        <v>ELBA</v>
      </c>
      <c r="G174" s="23">
        <f>IF(IFERROR(VLOOKUP(A174,$A$9:$I173,1,0),0)=0,"",VLOOKUP(A174,$A$9:$I173,7,0))</f>
        <v>45348</v>
      </c>
      <c r="H174" s="23">
        <v>45351</v>
      </c>
      <c r="I174" s="21"/>
      <c r="J174" s="21"/>
      <c r="K174" s="24" t="s">
        <v>47</v>
      </c>
      <c r="L174" s="23">
        <v>45348</v>
      </c>
      <c r="M174" s="23">
        <v>45350</v>
      </c>
      <c r="N174" s="25">
        <f t="shared" si="5"/>
        <v>2</v>
      </c>
      <c r="O174" s="26"/>
      <c r="P174" t="s">
        <v>88</v>
      </c>
      <c r="Q174" t="s">
        <v>88</v>
      </c>
      <c r="R174" t="s">
        <v>88</v>
      </c>
      <c r="S174" t="s">
        <v>88</v>
      </c>
      <c r="T174" t="s">
        <v>88</v>
      </c>
      <c r="U174" t="s">
        <v>20</v>
      </c>
    </row>
    <row r="175" spans="1:21" x14ac:dyDescent="0.45">
      <c r="A175" s="20">
        <v>103608155</v>
      </c>
      <c r="B175" s="21" t="str">
        <f t="shared" si="4"/>
        <v>10.360.815-5</v>
      </c>
      <c r="C175" s="22" t="s">
        <v>30</v>
      </c>
      <c r="D175" s="21" t="s">
        <v>631</v>
      </c>
      <c r="E175" s="21" t="s">
        <v>684</v>
      </c>
      <c r="F175" s="21" t="s">
        <v>685</v>
      </c>
      <c r="G175" s="23">
        <v>45343</v>
      </c>
      <c r="H175" s="23">
        <v>45350</v>
      </c>
      <c r="I175" s="21"/>
      <c r="J175" s="21"/>
      <c r="K175" s="24" t="s">
        <v>43</v>
      </c>
      <c r="L175" s="23">
        <v>45343</v>
      </c>
      <c r="M175" s="23">
        <v>45350</v>
      </c>
      <c r="N175" s="25">
        <f t="shared" si="5"/>
        <v>7</v>
      </c>
      <c r="O175" s="26"/>
      <c r="P175" t="s">
        <v>88</v>
      </c>
      <c r="Q175" t="s">
        <v>88</v>
      </c>
      <c r="R175" t="s">
        <v>88</v>
      </c>
      <c r="S175" t="s">
        <v>88</v>
      </c>
      <c r="T175" t="s">
        <v>88</v>
      </c>
      <c r="U175" t="s">
        <v>20</v>
      </c>
    </row>
    <row r="176" spans="1:21" x14ac:dyDescent="0.45">
      <c r="A176" s="20">
        <v>69973094</v>
      </c>
      <c r="B176" s="21" t="str">
        <f t="shared" si="4"/>
        <v>6.997.309-4</v>
      </c>
      <c r="C176" s="22" t="s">
        <v>30</v>
      </c>
      <c r="D176" s="21" t="s">
        <v>686</v>
      </c>
      <c r="E176" s="21" t="s">
        <v>325</v>
      </c>
      <c r="F176" s="21" t="s">
        <v>565</v>
      </c>
      <c r="G176" s="23">
        <v>45345</v>
      </c>
      <c r="H176" s="23"/>
      <c r="I176" s="21"/>
      <c r="J176" s="21"/>
      <c r="K176" s="24" t="s">
        <v>43</v>
      </c>
      <c r="L176" s="23">
        <v>45345</v>
      </c>
      <c r="M176" s="23">
        <v>45351</v>
      </c>
      <c r="N176" s="25">
        <f t="shared" si="5"/>
        <v>6</v>
      </c>
      <c r="O176" s="26"/>
      <c r="P176" t="s">
        <v>88</v>
      </c>
      <c r="Q176" t="s">
        <v>88</v>
      </c>
      <c r="R176" t="s">
        <v>88</v>
      </c>
      <c r="S176" t="s">
        <v>88</v>
      </c>
      <c r="T176" t="s">
        <v>88</v>
      </c>
      <c r="U176" t="s">
        <v>20</v>
      </c>
    </row>
    <row r="177" spans="1:21" x14ac:dyDescent="0.45">
      <c r="A177" s="20">
        <v>95998542</v>
      </c>
      <c r="B177" s="21" t="str">
        <f t="shared" si="4"/>
        <v>9.599.854-2</v>
      </c>
      <c r="C177" s="22" t="s">
        <v>30</v>
      </c>
      <c r="D177" s="21" t="s">
        <v>687</v>
      </c>
      <c r="E177" s="21" t="s">
        <v>241</v>
      </c>
      <c r="F177" s="21" t="s">
        <v>271</v>
      </c>
      <c r="G177" s="23">
        <v>45348</v>
      </c>
      <c r="H177" s="23">
        <v>45351</v>
      </c>
      <c r="I177" s="21"/>
      <c r="J177" s="21"/>
      <c r="K177" s="24" t="s">
        <v>43</v>
      </c>
      <c r="L177" s="23">
        <v>45348</v>
      </c>
      <c r="M177" s="23">
        <v>45351</v>
      </c>
      <c r="N177" s="25">
        <f t="shared" si="5"/>
        <v>3</v>
      </c>
      <c r="O177" s="26"/>
      <c r="P177" t="s">
        <v>88</v>
      </c>
      <c r="Q177" t="s">
        <v>88</v>
      </c>
      <c r="R177" t="s">
        <v>88</v>
      </c>
      <c r="S177" t="s">
        <v>88</v>
      </c>
      <c r="T177" t="s">
        <v>88</v>
      </c>
      <c r="U177" t="s">
        <v>20</v>
      </c>
    </row>
    <row r="178" spans="1:21" x14ac:dyDescent="0.45">
      <c r="A178" s="20">
        <v>95998542</v>
      </c>
      <c r="B178" s="21" t="str">
        <f t="shared" si="4"/>
        <v>9.599.854-2</v>
      </c>
      <c r="C178" s="22" t="str">
        <f>IF(IFERROR(VLOOKUP(A178,$A$9:$I177,1,0),0)=0,"",VLOOKUP(A178,$A$9:$I177,3,0))</f>
        <v>UCO</v>
      </c>
      <c r="D178" s="21" t="str">
        <f>IF(IFERROR(VLOOKUP(A178,$A$9:$I177,1,0),0)=0,"",VLOOKUP(A178,$A$9:$I177,4,0))</f>
        <v>BAEZ</v>
      </c>
      <c r="E178" s="21" t="str">
        <f>IF(IFERROR(VLOOKUP(A178,$A$9:$I177,1,0),0)=0,"",VLOOKUP(A178,$A$9:$I177,5,0))</f>
        <v>FUENTES</v>
      </c>
      <c r="F178" s="21" t="str">
        <f>IF(IFERROR(VLOOKUP(A178,$A$9:$I177,1,0),0)=0,"",VLOOKUP(A178,$A$9:$I177,6,0))</f>
        <v>MANUEL</v>
      </c>
      <c r="G178" s="23">
        <f>IF(IFERROR(VLOOKUP(A178,$A$9:$I177,1,0),0)=0,"",VLOOKUP(A178,$A$9:$I177,7,0))</f>
        <v>45348</v>
      </c>
      <c r="H178" s="23">
        <v>45351</v>
      </c>
      <c r="I178" s="21"/>
      <c r="J178" s="21"/>
      <c r="K178" s="24" t="s">
        <v>47</v>
      </c>
      <c r="L178" s="23">
        <v>45348</v>
      </c>
      <c r="M178" s="23">
        <v>45350</v>
      </c>
      <c r="N178" s="25">
        <f t="shared" si="5"/>
        <v>2</v>
      </c>
      <c r="O178" s="26"/>
      <c r="P178" t="s">
        <v>88</v>
      </c>
      <c r="Q178" t="s">
        <v>88</v>
      </c>
      <c r="R178" t="s">
        <v>88</v>
      </c>
      <c r="S178" t="s">
        <v>88</v>
      </c>
      <c r="T178" t="s">
        <v>88</v>
      </c>
      <c r="U178" t="s">
        <v>20</v>
      </c>
    </row>
    <row r="179" spans="1:21" x14ac:dyDescent="0.45">
      <c r="A179" s="20">
        <v>283600823</v>
      </c>
      <c r="B179" s="21" t="str">
        <f t="shared" si="4"/>
        <v>28.360.082-3</v>
      </c>
      <c r="C179" s="22" t="s">
        <v>16</v>
      </c>
      <c r="D179" s="21" t="s">
        <v>688</v>
      </c>
      <c r="E179" s="21" t="s">
        <v>677</v>
      </c>
      <c r="F179" s="21" t="s">
        <v>689</v>
      </c>
      <c r="G179" s="23">
        <v>45340</v>
      </c>
      <c r="H179" s="23"/>
      <c r="I179" s="21"/>
      <c r="J179" s="21"/>
      <c r="K179" s="24" t="s">
        <v>18</v>
      </c>
      <c r="L179" s="23">
        <v>45345</v>
      </c>
      <c r="M179" s="23">
        <v>45351</v>
      </c>
      <c r="N179" s="25">
        <f t="shared" si="5"/>
        <v>6</v>
      </c>
      <c r="O179" s="26"/>
      <c r="P179" t="s">
        <v>88</v>
      </c>
      <c r="Q179" t="s">
        <v>88</v>
      </c>
      <c r="R179" t="s">
        <v>88</v>
      </c>
      <c r="S179" t="s">
        <v>88</v>
      </c>
      <c r="T179" t="s">
        <v>88</v>
      </c>
      <c r="U179" t="s">
        <v>20</v>
      </c>
    </row>
    <row r="180" spans="1:21" x14ac:dyDescent="0.45">
      <c r="A180" s="20">
        <v>283622487</v>
      </c>
      <c r="B180" s="21" t="str">
        <f t="shared" si="4"/>
        <v>28.362.248-7</v>
      </c>
      <c r="C180" s="22" t="s">
        <v>16</v>
      </c>
      <c r="D180" s="21" t="s">
        <v>378</v>
      </c>
      <c r="E180" s="21" t="s">
        <v>690</v>
      </c>
      <c r="F180" s="21" t="s">
        <v>691</v>
      </c>
      <c r="G180" s="23">
        <v>45342</v>
      </c>
      <c r="H180" s="23"/>
      <c r="I180" s="21"/>
      <c r="J180" s="21"/>
      <c r="K180" s="24" t="s">
        <v>18</v>
      </c>
      <c r="L180" s="23">
        <v>45345</v>
      </c>
      <c r="M180" s="23">
        <v>45351</v>
      </c>
      <c r="N180" s="25">
        <f t="shared" si="5"/>
        <v>6</v>
      </c>
      <c r="O180" s="26"/>
      <c r="P180" t="s">
        <v>88</v>
      </c>
      <c r="Q180" t="s">
        <v>88</v>
      </c>
      <c r="R180" t="s">
        <v>88</v>
      </c>
      <c r="S180" t="s">
        <v>88</v>
      </c>
      <c r="T180" t="s">
        <v>88</v>
      </c>
      <c r="U180" t="s">
        <v>20</v>
      </c>
    </row>
    <row r="181" spans="1:21" x14ac:dyDescent="0.45">
      <c r="A181" s="20">
        <v>283600823</v>
      </c>
      <c r="B181" s="21" t="str">
        <f t="shared" si="4"/>
        <v>28.360.082-3</v>
      </c>
      <c r="C181" s="22" t="str">
        <f>IF(IFERROR(VLOOKUP(A181,$A$9:$I180,1,0),0)=0,"",VLOOKUP(A181,$A$9:$I180,3,0))</f>
        <v>UCI neonatal</v>
      </c>
      <c r="D181" s="21" t="str">
        <f>IF(IFERROR(VLOOKUP(A181,$A$9:$I180,1,0),0)=0,"",VLOOKUP(A181,$A$9:$I180,4,0))</f>
        <v>HUICHALAF</v>
      </c>
      <c r="E181" s="21" t="str">
        <f>IF(IFERROR(VLOOKUP(A181,$A$9:$I180,1,0),0)=0,"",VLOOKUP(A181,$A$9:$I180,5,0))</f>
        <v>MARDONES</v>
      </c>
      <c r="F181" s="21" t="str">
        <f>IF(IFERROR(VLOOKUP(A181,$A$9:$I180,1,0),0)=0,"",VLOOKUP(A181,$A$9:$I180,6,0))</f>
        <v>LIAN</v>
      </c>
      <c r="G181" s="23">
        <f>IF(IFERROR(VLOOKUP(A181,$A$9:$I180,1,0),0)=0,"",VLOOKUP(A181,$A$9:$I180,7,0))</f>
        <v>45340</v>
      </c>
      <c r="H181" s="23"/>
      <c r="I181" s="21"/>
      <c r="J181" s="21"/>
      <c r="K181" s="24" t="s">
        <v>39</v>
      </c>
      <c r="L181" s="23">
        <v>45340</v>
      </c>
      <c r="M181" s="23">
        <v>45342</v>
      </c>
      <c r="N181" s="25">
        <f t="shared" si="5"/>
        <v>2</v>
      </c>
      <c r="O181" s="26"/>
      <c r="P181" t="s">
        <v>88</v>
      </c>
      <c r="Q181" t="s">
        <v>88</v>
      </c>
      <c r="R181" t="s">
        <v>88</v>
      </c>
      <c r="S181" t="s">
        <v>88</v>
      </c>
      <c r="T181" t="s">
        <v>88</v>
      </c>
      <c r="U181" t="s">
        <v>20</v>
      </c>
    </row>
    <row r="182" spans="1:21" x14ac:dyDescent="0.45">
      <c r="A182" s="20">
        <v>283539490</v>
      </c>
      <c r="B182" s="21" t="str">
        <f t="shared" si="4"/>
        <v>28.353.949-0</v>
      </c>
      <c r="C182" s="22" t="s">
        <v>16</v>
      </c>
      <c r="D182" s="21" t="s">
        <v>692</v>
      </c>
      <c r="E182" s="21" t="s">
        <v>318</v>
      </c>
      <c r="F182" s="21" t="s">
        <v>693</v>
      </c>
      <c r="G182" s="23">
        <v>45331</v>
      </c>
      <c r="H182" s="23"/>
      <c r="I182" s="21"/>
      <c r="J182" s="21"/>
      <c r="K182" s="24" t="s">
        <v>18</v>
      </c>
      <c r="L182" s="23">
        <v>45339</v>
      </c>
      <c r="M182" s="23">
        <v>45351</v>
      </c>
      <c r="N182" s="25">
        <f t="shared" si="5"/>
        <v>12</v>
      </c>
      <c r="O182" s="26"/>
      <c r="P182" t="s">
        <v>88</v>
      </c>
      <c r="Q182" t="s">
        <v>88</v>
      </c>
      <c r="R182" t="s">
        <v>88</v>
      </c>
      <c r="S182" t="s">
        <v>88</v>
      </c>
      <c r="T182" t="s">
        <v>88</v>
      </c>
      <c r="U182" t="s">
        <v>20</v>
      </c>
    </row>
    <row r="183" spans="1:21" x14ac:dyDescent="0.45">
      <c r="A183" s="20">
        <v>67868046</v>
      </c>
      <c r="B183" s="21" t="str">
        <f t="shared" si="4"/>
        <v>6.786.804-6</v>
      </c>
      <c r="C183" s="22" t="s">
        <v>46</v>
      </c>
      <c r="D183" s="21" t="s">
        <v>241</v>
      </c>
      <c r="E183" s="21" t="s">
        <v>313</v>
      </c>
      <c r="F183" s="21" t="s">
        <v>634</v>
      </c>
      <c r="G183" s="23">
        <v>45335</v>
      </c>
      <c r="H183" s="23">
        <v>45343</v>
      </c>
      <c r="I183" s="21" t="s">
        <v>22</v>
      </c>
      <c r="J183" s="21" t="s">
        <v>56</v>
      </c>
      <c r="K183" s="24" t="s">
        <v>43</v>
      </c>
      <c r="L183" s="23">
        <v>45335</v>
      </c>
      <c r="M183" s="23">
        <v>45343</v>
      </c>
      <c r="N183" s="25">
        <f t="shared" si="5"/>
        <v>8</v>
      </c>
      <c r="O183" s="26" t="s">
        <v>531</v>
      </c>
      <c r="P183" t="s">
        <v>88</v>
      </c>
      <c r="Q183" t="s">
        <v>88</v>
      </c>
      <c r="R183" t="s">
        <v>88</v>
      </c>
      <c r="S183" t="s">
        <v>88</v>
      </c>
      <c r="T183" t="s">
        <v>88</v>
      </c>
      <c r="U183" t="s">
        <v>20</v>
      </c>
    </row>
    <row r="184" spans="1:21" x14ac:dyDescent="0.45">
      <c r="A184" s="20">
        <v>105626576</v>
      </c>
      <c r="B184" s="21" t="str">
        <f t="shared" si="4"/>
        <v>10.562.657-6</v>
      </c>
      <c r="C184" s="22" t="s">
        <v>46</v>
      </c>
      <c r="D184" s="21" t="s">
        <v>285</v>
      </c>
      <c r="E184" s="21" t="s">
        <v>285</v>
      </c>
      <c r="F184" s="21" t="s">
        <v>475</v>
      </c>
      <c r="G184" s="23">
        <v>45329</v>
      </c>
      <c r="H184" s="23"/>
      <c r="I184" s="21"/>
      <c r="J184" s="21"/>
      <c r="K184" s="24" t="s">
        <v>43</v>
      </c>
      <c r="L184" s="23">
        <v>45336</v>
      </c>
      <c r="M184" s="23">
        <v>45348</v>
      </c>
      <c r="N184" s="25">
        <f t="shared" si="5"/>
        <v>12</v>
      </c>
      <c r="O184" s="26"/>
      <c r="P184" t="s">
        <v>96</v>
      </c>
      <c r="Q184" t="s">
        <v>88</v>
      </c>
      <c r="R184" t="s">
        <v>88</v>
      </c>
      <c r="S184" t="s">
        <v>88</v>
      </c>
      <c r="T184" t="s">
        <v>88</v>
      </c>
      <c r="U184" t="s">
        <v>14</v>
      </c>
    </row>
    <row r="185" spans="1:21" x14ac:dyDescent="0.45">
      <c r="A185" s="20">
        <v>105626576</v>
      </c>
      <c r="B185" s="21" t="str">
        <f t="shared" si="4"/>
        <v>10.562.657-6</v>
      </c>
      <c r="C185" s="22" t="str">
        <f>IF(IFERROR(VLOOKUP(A185,$A$9:$I184,1,0),0)=0,"",VLOOKUP(A185,$A$9:$I184,3,0))</f>
        <v>Pensionado</v>
      </c>
      <c r="D185" s="21" t="str">
        <f>IF(IFERROR(VLOOKUP(A185,$A$9:$I184,1,0),0)=0,"",VLOOKUP(A185,$A$9:$I184,4,0))</f>
        <v>JARA</v>
      </c>
      <c r="E185" s="21" t="str">
        <f>IF(IFERROR(VLOOKUP(A185,$A$9:$I184,1,0),0)=0,"",VLOOKUP(A185,$A$9:$I184,5,0))</f>
        <v>JARA</v>
      </c>
      <c r="F185" s="21" t="str">
        <f>IF(IFERROR(VLOOKUP(A185,$A$9:$I184,1,0),0)=0,"",VLOOKUP(A185,$A$9:$I184,6,0))</f>
        <v>ROSA</v>
      </c>
      <c r="G185" s="23">
        <f>IF(IFERROR(VLOOKUP(A185,$A$9:$I184,1,0),0)=0,"",VLOOKUP(A185,$A$9:$I184,7,0))</f>
        <v>45329</v>
      </c>
      <c r="H185" s="23"/>
      <c r="I185" s="21"/>
      <c r="J185" s="21"/>
      <c r="K185" s="24" t="s">
        <v>43</v>
      </c>
      <c r="L185" s="23">
        <v>45348</v>
      </c>
      <c r="M185" s="23">
        <v>45351</v>
      </c>
      <c r="N185" s="25">
        <f t="shared" si="5"/>
        <v>3</v>
      </c>
      <c r="O185" s="26"/>
      <c r="P185" t="s">
        <v>88</v>
      </c>
      <c r="Q185" t="s">
        <v>88</v>
      </c>
      <c r="R185" t="s">
        <v>88</v>
      </c>
      <c r="S185" t="s">
        <v>88</v>
      </c>
      <c r="T185" t="s">
        <v>88</v>
      </c>
      <c r="U185" t="s">
        <v>20</v>
      </c>
    </row>
    <row r="186" spans="1:21" x14ac:dyDescent="0.45">
      <c r="A186" s="20">
        <v>62665858</v>
      </c>
      <c r="B186" s="21" t="str">
        <f t="shared" si="4"/>
        <v>6.266.585-8</v>
      </c>
      <c r="C186" s="22" t="s">
        <v>46</v>
      </c>
      <c r="D186" s="21" t="s">
        <v>694</v>
      </c>
      <c r="E186" s="21" t="s">
        <v>695</v>
      </c>
      <c r="F186" s="21" t="s">
        <v>271</v>
      </c>
      <c r="G186" s="23">
        <v>45339</v>
      </c>
      <c r="H186" s="23"/>
      <c r="I186" s="21"/>
      <c r="J186" s="21"/>
      <c r="K186" s="24" t="s">
        <v>43</v>
      </c>
      <c r="L186" s="23">
        <v>45339</v>
      </c>
      <c r="M186" s="23">
        <v>45351</v>
      </c>
      <c r="N186" s="25">
        <f t="shared" si="5"/>
        <v>12</v>
      </c>
      <c r="O186" s="26"/>
      <c r="P186" t="s">
        <v>88</v>
      </c>
      <c r="Q186" t="s">
        <v>88</v>
      </c>
      <c r="R186" t="s">
        <v>88</v>
      </c>
      <c r="S186" t="s">
        <v>88</v>
      </c>
      <c r="T186" t="s">
        <v>88</v>
      </c>
      <c r="U186" t="s">
        <v>20</v>
      </c>
    </row>
    <row r="187" spans="1:21" x14ac:dyDescent="0.45">
      <c r="A187" s="20">
        <v>116822458</v>
      </c>
      <c r="B187" s="21" t="str">
        <f t="shared" si="4"/>
        <v>11.682.245-8</v>
      </c>
      <c r="C187" s="22" t="s">
        <v>46</v>
      </c>
      <c r="D187" s="21" t="s">
        <v>273</v>
      </c>
      <c r="E187" s="21" t="s">
        <v>274</v>
      </c>
      <c r="F187" s="21" t="s">
        <v>275</v>
      </c>
      <c r="G187" s="23">
        <v>45343</v>
      </c>
      <c r="H187" s="23"/>
      <c r="I187" s="21"/>
      <c r="J187" s="21"/>
      <c r="K187" s="24" t="s">
        <v>43</v>
      </c>
      <c r="L187" s="23">
        <v>45343</v>
      </c>
      <c r="M187" s="23">
        <v>45349</v>
      </c>
      <c r="N187" s="25">
        <f t="shared" si="5"/>
        <v>6</v>
      </c>
      <c r="O187" s="26"/>
      <c r="P187" t="s">
        <v>88</v>
      </c>
      <c r="Q187" t="s">
        <v>88</v>
      </c>
      <c r="R187" t="s">
        <v>88</v>
      </c>
      <c r="S187" t="s">
        <v>88</v>
      </c>
      <c r="T187" t="s">
        <v>88</v>
      </c>
      <c r="U187" t="s">
        <v>20</v>
      </c>
    </row>
    <row r="188" spans="1:21" x14ac:dyDescent="0.45">
      <c r="A188" s="20">
        <v>66572250</v>
      </c>
      <c r="B188" s="21" t="str">
        <f t="shared" si="4"/>
        <v>6.657.225-0</v>
      </c>
      <c r="C188" s="22" t="s">
        <v>46</v>
      </c>
      <c r="D188" s="21" t="s">
        <v>393</v>
      </c>
      <c r="E188" s="21" t="s">
        <v>558</v>
      </c>
      <c r="F188" s="21" t="s">
        <v>468</v>
      </c>
      <c r="G188" s="23">
        <v>45349</v>
      </c>
      <c r="H188" s="23"/>
      <c r="I188" s="21"/>
      <c r="J188" s="21"/>
      <c r="K188" s="24" t="s">
        <v>47</v>
      </c>
      <c r="L188" s="23">
        <v>45349</v>
      </c>
      <c r="M188" s="23">
        <v>45351</v>
      </c>
      <c r="N188" s="25">
        <f t="shared" si="5"/>
        <v>2</v>
      </c>
      <c r="O188" s="26"/>
      <c r="P188" t="s">
        <v>88</v>
      </c>
      <c r="Q188" t="s">
        <v>88</v>
      </c>
      <c r="R188" t="s">
        <v>88</v>
      </c>
      <c r="S188" t="s">
        <v>88</v>
      </c>
      <c r="T188" t="s">
        <v>88</v>
      </c>
      <c r="U188" t="s">
        <v>20</v>
      </c>
    </row>
    <row r="189" spans="1:21" x14ac:dyDescent="0.45">
      <c r="A189" s="20">
        <v>51006771</v>
      </c>
      <c r="B189" s="21" t="str">
        <f t="shared" si="4"/>
        <v>5.100.677-1</v>
      </c>
      <c r="C189" s="22" t="s">
        <v>46</v>
      </c>
      <c r="D189" s="21" t="s">
        <v>403</v>
      </c>
      <c r="E189" s="21" t="s">
        <v>696</v>
      </c>
      <c r="F189" s="21" t="s">
        <v>362</v>
      </c>
      <c r="G189" s="23">
        <v>45348</v>
      </c>
      <c r="H189" s="23"/>
      <c r="I189" s="21"/>
      <c r="J189" s="21"/>
      <c r="K189" s="24" t="s">
        <v>43</v>
      </c>
      <c r="L189" s="23">
        <v>45348</v>
      </c>
      <c r="M189" s="23">
        <v>45351</v>
      </c>
      <c r="N189" s="25">
        <f t="shared" si="5"/>
        <v>3</v>
      </c>
      <c r="O189" s="26"/>
      <c r="P189" t="s">
        <v>88</v>
      </c>
      <c r="Q189" t="s">
        <v>88</v>
      </c>
      <c r="R189" t="s">
        <v>88</v>
      </c>
      <c r="S189" t="s">
        <v>88</v>
      </c>
      <c r="T189" t="s">
        <v>88</v>
      </c>
      <c r="U189" t="s">
        <v>20</v>
      </c>
    </row>
    <row r="190" spans="1:21" x14ac:dyDescent="0.45">
      <c r="A190" s="20">
        <v>44963965</v>
      </c>
      <c r="B190" s="21" t="str">
        <f t="shared" si="4"/>
        <v>4.496.396-5</v>
      </c>
      <c r="C190" s="22" t="s">
        <v>46</v>
      </c>
      <c r="D190" s="21" t="s">
        <v>471</v>
      </c>
      <c r="E190" s="21" t="s">
        <v>660</v>
      </c>
      <c r="F190" s="21" t="s">
        <v>390</v>
      </c>
      <c r="G190" s="23">
        <v>45343</v>
      </c>
      <c r="H190" s="23"/>
      <c r="I190" s="21"/>
      <c r="J190" s="21"/>
      <c r="K190" s="24" t="s">
        <v>43</v>
      </c>
      <c r="L190" s="23">
        <v>45343</v>
      </c>
      <c r="M190" s="23">
        <v>45345</v>
      </c>
      <c r="N190" s="25">
        <f t="shared" si="5"/>
        <v>2</v>
      </c>
      <c r="O190" s="26"/>
      <c r="P190" t="s">
        <v>88</v>
      </c>
      <c r="Q190" t="s">
        <v>88</v>
      </c>
      <c r="R190" t="s">
        <v>88</v>
      </c>
      <c r="S190" t="s">
        <v>88</v>
      </c>
      <c r="T190" t="s">
        <v>88</v>
      </c>
      <c r="U190" t="s">
        <v>20</v>
      </c>
    </row>
    <row r="191" spans="1:21" x14ac:dyDescent="0.45">
      <c r="A191" s="20">
        <v>86886243</v>
      </c>
      <c r="B191" s="21" t="str">
        <f t="shared" si="4"/>
        <v>8.688.624-3</v>
      </c>
      <c r="C191" s="22" t="s">
        <v>46</v>
      </c>
      <c r="D191" s="21" t="s">
        <v>697</v>
      </c>
      <c r="E191" s="21" t="s">
        <v>471</v>
      </c>
      <c r="F191" s="21" t="s">
        <v>489</v>
      </c>
      <c r="G191" s="23">
        <v>45342</v>
      </c>
      <c r="H191" s="23">
        <v>45348</v>
      </c>
      <c r="I191" s="21"/>
      <c r="J191" s="21"/>
      <c r="K191" s="24" t="s">
        <v>47</v>
      </c>
      <c r="L191" s="23">
        <v>45342</v>
      </c>
      <c r="M191" s="23">
        <v>45348</v>
      </c>
      <c r="N191" s="25">
        <f t="shared" si="5"/>
        <v>6</v>
      </c>
      <c r="O191" s="26"/>
      <c r="P191" t="s">
        <v>96</v>
      </c>
      <c r="Q191" t="s">
        <v>88</v>
      </c>
      <c r="R191" t="s">
        <v>88</v>
      </c>
      <c r="S191" t="s">
        <v>88</v>
      </c>
      <c r="T191" t="s">
        <v>88</v>
      </c>
      <c r="U191" t="s">
        <v>20</v>
      </c>
    </row>
    <row r="192" spans="1:21" x14ac:dyDescent="0.45">
      <c r="A192" s="20">
        <v>63154245</v>
      </c>
      <c r="B192" s="21" t="str">
        <f t="shared" si="4"/>
        <v>6.315.424-5</v>
      </c>
      <c r="C192" s="22" t="s">
        <v>38</v>
      </c>
      <c r="D192" s="21" t="s">
        <v>698</v>
      </c>
      <c r="E192" s="21" t="s">
        <v>249</v>
      </c>
      <c r="F192" s="21" t="s">
        <v>449</v>
      </c>
      <c r="G192" s="23">
        <v>45343</v>
      </c>
      <c r="H192" s="23">
        <v>45350</v>
      </c>
      <c r="I192" s="21"/>
      <c r="J192" s="21" t="s">
        <v>24</v>
      </c>
      <c r="K192" s="24" t="s">
        <v>43</v>
      </c>
      <c r="L192" s="23">
        <v>45343</v>
      </c>
      <c r="M192" s="23">
        <v>45350</v>
      </c>
      <c r="N192" s="25">
        <f t="shared" si="5"/>
        <v>7</v>
      </c>
      <c r="O192" s="26"/>
      <c r="P192" t="s">
        <v>88</v>
      </c>
      <c r="Q192" t="s">
        <v>88</v>
      </c>
      <c r="R192" t="s">
        <v>88</v>
      </c>
      <c r="S192" t="s">
        <v>88</v>
      </c>
      <c r="T192" t="s">
        <v>88</v>
      </c>
      <c r="U192" t="s">
        <v>20</v>
      </c>
    </row>
    <row r="193" spans="1:21" x14ac:dyDescent="0.45">
      <c r="A193" s="20">
        <v>137957175</v>
      </c>
      <c r="B193" s="21" t="str">
        <f t="shared" si="4"/>
        <v>13.795.717-5</v>
      </c>
      <c r="C193" s="22" t="s">
        <v>38</v>
      </c>
      <c r="D193" s="21" t="s">
        <v>699</v>
      </c>
      <c r="E193" s="21" t="s">
        <v>313</v>
      </c>
      <c r="F193" s="21" t="s">
        <v>700</v>
      </c>
      <c r="G193" s="23">
        <v>45341</v>
      </c>
      <c r="H193" s="23">
        <v>45344</v>
      </c>
      <c r="I193" s="21"/>
      <c r="J193" s="21"/>
      <c r="K193" s="24" t="s">
        <v>43</v>
      </c>
      <c r="L193" s="23">
        <v>45341</v>
      </c>
      <c r="M193" s="23">
        <v>45344</v>
      </c>
      <c r="N193" s="25">
        <f t="shared" si="5"/>
        <v>3</v>
      </c>
      <c r="O193" s="26"/>
      <c r="P193" t="s">
        <v>96</v>
      </c>
      <c r="Q193" t="s">
        <v>88</v>
      </c>
      <c r="R193" t="s">
        <v>88</v>
      </c>
      <c r="S193" t="s">
        <v>88</v>
      </c>
      <c r="T193" t="s">
        <v>88</v>
      </c>
      <c r="U193" t="s">
        <v>14</v>
      </c>
    </row>
    <row r="194" spans="1:21" x14ac:dyDescent="0.45">
      <c r="A194" s="20">
        <v>151869238</v>
      </c>
      <c r="B194" s="21" t="str">
        <f t="shared" si="4"/>
        <v>15.186.923-8</v>
      </c>
      <c r="C194" s="22" t="str">
        <f>IF(IFERROR(VLOOKUP(A194,$A$9:$I193,1,0),0)=0,"",VLOOKUP(A194,$A$9:$I193,3,0))</f>
        <v xml:space="preserve">Sala de cuidados intermedios </v>
      </c>
      <c r="D194" s="21" t="str">
        <f>IF(IFERROR(VLOOKUP(A194,$A$9:$I193,1,0),0)=0,"",VLOOKUP(A194,$A$9:$I193,4,0))</f>
        <v>BELLO</v>
      </c>
      <c r="E194" s="21" t="str">
        <f>IF(IFERROR(VLOOKUP(A194,$A$9:$I193,1,0),0)=0,"",VLOOKUP(A194,$A$9:$I193,5,0))</f>
        <v>OVIEDO</v>
      </c>
      <c r="F194" s="21" t="str">
        <f>IF(IFERROR(VLOOKUP(A194,$A$9:$I193,1,0),0)=0,"",VLOOKUP(A194,$A$9:$I193,6,0))</f>
        <v>RUTH</v>
      </c>
      <c r="G194" s="23">
        <v>45328</v>
      </c>
      <c r="H194" s="23">
        <v>45344</v>
      </c>
      <c r="I194" s="21"/>
      <c r="J194" s="21"/>
      <c r="K194" s="24" t="s">
        <v>43</v>
      </c>
      <c r="L194" s="23">
        <v>45327</v>
      </c>
      <c r="M194" s="23">
        <v>45344</v>
      </c>
      <c r="N194" s="25">
        <f t="shared" si="5"/>
        <v>17</v>
      </c>
      <c r="O194" s="26" t="s">
        <v>531</v>
      </c>
      <c r="P194" t="s">
        <v>88</v>
      </c>
      <c r="Q194" t="s">
        <v>88</v>
      </c>
      <c r="R194" t="s">
        <v>88</v>
      </c>
      <c r="S194" t="s">
        <v>88</v>
      </c>
      <c r="T194" t="s">
        <v>88</v>
      </c>
      <c r="U194" t="s">
        <v>20</v>
      </c>
    </row>
    <row r="195" spans="1:21" x14ac:dyDescent="0.45">
      <c r="A195" s="20">
        <v>67003985</v>
      </c>
      <c r="B195" s="21" t="str">
        <f t="shared" si="4"/>
        <v>6.700.398-5</v>
      </c>
      <c r="C195" s="22" t="s">
        <v>38</v>
      </c>
      <c r="D195" s="21" t="s">
        <v>699</v>
      </c>
      <c r="E195" s="21" t="s">
        <v>299</v>
      </c>
      <c r="F195" s="21" t="s">
        <v>654</v>
      </c>
      <c r="G195" s="23">
        <v>45342</v>
      </c>
      <c r="H195" s="23">
        <v>45344</v>
      </c>
      <c r="I195" s="21"/>
      <c r="J195" s="21"/>
      <c r="K195" s="24" t="s">
        <v>43</v>
      </c>
      <c r="L195" s="23">
        <v>45342</v>
      </c>
      <c r="M195" s="23">
        <v>45344</v>
      </c>
      <c r="N195" s="25">
        <f t="shared" si="5"/>
        <v>2</v>
      </c>
      <c r="O195" s="26"/>
      <c r="P195" t="s">
        <v>88</v>
      </c>
      <c r="Q195" t="s">
        <v>88</v>
      </c>
      <c r="R195" t="s">
        <v>88</v>
      </c>
      <c r="S195" t="s">
        <v>88</v>
      </c>
      <c r="T195" t="s">
        <v>88</v>
      </c>
      <c r="U195" t="s">
        <v>20</v>
      </c>
    </row>
    <row r="196" spans="1:21" x14ac:dyDescent="0.45">
      <c r="A196" s="20">
        <v>182263591</v>
      </c>
      <c r="B196" s="21" t="str">
        <f t="shared" si="4"/>
        <v>18.226.359-1</v>
      </c>
      <c r="C196" s="22" t="str">
        <f>IF(IFERROR(VLOOKUP(A196,$A$9:$I195,1,0),0)=0,"",VLOOKUP(A196,$A$9:$I195,3,0))</f>
        <v>UCI</v>
      </c>
      <c r="D196" s="21" t="str">
        <f>IF(IFERROR(VLOOKUP(A196,$A$9:$I195,1,0),0)=0,"",VLOOKUP(A196,$A$9:$I195,4,0))</f>
        <v xml:space="preserve">BADILLA </v>
      </c>
      <c r="E196" s="21" t="str">
        <f>IF(IFERROR(VLOOKUP(A196,$A$9:$I195,1,0),0)=0,"",VLOOKUP(A196,$A$9:$I195,5,0))</f>
        <v>LARRAIN</v>
      </c>
      <c r="F196" s="21" t="str">
        <f>IF(IFERROR(VLOOKUP(A196,$A$9:$I195,1,0),0)=0,"",VLOOKUP(A196,$A$9:$I195,6,0))</f>
        <v>CATALINA</v>
      </c>
      <c r="G196" s="23">
        <v>45335</v>
      </c>
      <c r="H196" s="23">
        <v>45345</v>
      </c>
      <c r="I196" s="21"/>
      <c r="J196" s="21"/>
      <c r="K196" s="24" t="s">
        <v>43</v>
      </c>
      <c r="L196" s="23">
        <v>45335</v>
      </c>
      <c r="M196" s="23">
        <v>45344</v>
      </c>
      <c r="N196" s="25">
        <f t="shared" si="5"/>
        <v>9</v>
      </c>
      <c r="O196" s="26"/>
      <c r="P196" t="s">
        <v>88</v>
      </c>
      <c r="Q196" t="s">
        <v>88</v>
      </c>
      <c r="R196" t="s">
        <v>88</v>
      </c>
      <c r="S196" t="s">
        <v>88</v>
      </c>
      <c r="T196" t="s">
        <v>88</v>
      </c>
      <c r="U196" t="s">
        <v>20</v>
      </c>
    </row>
    <row r="197" spans="1:21" x14ac:dyDescent="0.45">
      <c r="A197" s="20">
        <v>182263591</v>
      </c>
      <c r="B197" s="21" t="str">
        <f t="shared" si="4"/>
        <v>18.226.359-1</v>
      </c>
      <c r="C197" s="22" t="str">
        <f>IF(IFERROR(VLOOKUP(A197,$A$9:$I196,1,0),0)=0,"",VLOOKUP(A197,$A$9:$I196,3,0))</f>
        <v>UCI</v>
      </c>
      <c r="D197" s="21" t="str">
        <f>IF(IFERROR(VLOOKUP(A197,$A$9:$I196,1,0),0)=0,"",VLOOKUP(A197,$A$9:$I196,4,0))</f>
        <v xml:space="preserve">BADILLA </v>
      </c>
      <c r="E197" s="21" t="str">
        <f>IF(IFERROR(VLOOKUP(A197,$A$9:$I196,1,0),0)=0,"",VLOOKUP(A197,$A$9:$I196,5,0))</f>
        <v>LARRAIN</v>
      </c>
      <c r="F197" s="21" t="str">
        <f>IF(IFERROR(VLOOKUP(A197,$A$9:$I196,1,0),0)=0,"",VLOOKUP(A197,$A$9:$I196,6,0))</f>
        <v>CATALINA</v>
      </c>
      <c r="G197" s="23">
        <v>45335</v>
      </c>
      <c r="H197" s="23">
        <v>45345</v>
      </c>
      <c r="I197" s="21"/>
      <c r="J197" s="21"/>
      <c r="K197" s="24" t="s">
        <v>47</v>
      </c>
      <c r="L197" s="23">
        <v>45335</v>
      </c>
      <c r="M197" s="23">
        <v>45344</v>
      </c>
      <c r="N197" s="25">
        <f t="shared" si="5"/>
        <v>9</v>
      </c>
      <c r="O197" s="26"/>
      <c r="P197" t="s">
        <v>88</v>
      </c>
      <c r="Q197" t="s">
        <v>88</v>
      </c>
      <c r="R197" t="s">
        <v>88</v>
      </c>
      <c r="S197" t="s">
        <v>88</v>
      </c>
      <c r="T197" t="s">
        <v>88</v>
      </c>
      <c r="U197" t="s">
        <v>20</v>
      </c>
    </row>
    <row r="198" spans="1:21" x14ac:dyDescent="0.45">
      <c r="A198" s="20">
        <v>112382275</v>
      </c>
      <c r="B198" s="21" t="str">
        <f t="shared" si="4"/>
        <v>11.238.227-5</v>
      </c>
      <c r="C198" s="22" t="s">
        <v>22</v>
      </c>
      <c r="D198" s="21" t="str">
        <f>IF(IFERROR(VLOOKUP(A198,$A$9:$I197,1,0),0)=0,"",VLOOKUP(A198,$A$9:$I197,4,0))</f>
        <v>CARIAGA</v>
      </c>
      <c r="E198" s="21" t="str">
        <f>IF(IFERROR(VLOOKUP(A198,$A$9:$I197,1,0),0)=0,"",VLOOKUP(A198,$A$9:$I197,5,0))</f>
        <v>OVIEDO</v>
      </c>
      <c r="F198" s="21" t="str">
        <f>IF(IFERROR(VLOOKUP(A198,$A$9:$I197,1,0),0)=0,"",VLOOKUP(A198,$A$9:$I197,6,0))</f>
        <v xml:space="preserve">RICARDO </v>
      </c>
      <c r="G198" s="23">
        <v>45341</v>
      </c>
      <c r="H198" s="23">
        <v>45343</v>
      </c>
      <c r="I198" s="21" t="s">
        <v>22</v>
      </c>
      <c r="J198" s="21" t="s">
        <v>46</v>
      </c>
      <c r="K198" s="24" t="s">
        <v>43</v>
      </c>
      <c r="L198" s="23">
        <v>45341</v>
      </c>
      <c r="M198" s="23">
        <v>45342</v>
      </c>
      <c r="N198" s="25">
        <f t="shared" si="5"/>
        <v>1</v>
      </c>
      <c r="O198" s="26"/>
      <c r="P198" t="s">
        <v>106</v>
      </c>
      <c r="Q198" t="s">
        <v>88</v>
      </c>
      <c r="R198" t="s">
        <v>88</v>
      </c>
      <c r="S198" t="s">
        <v>88</v>
      </c>
      <c r="T198" t="s">
        <v>88</v>
      </c>
      <c r="U198" t="s">
        <v>14</v>
      </c>
    </row>
    <row r="199" spans="1:21" x14ac:dyDescent="0.45">
      <c r="A199" s="20">
        <v>112382275</v>
      </c>
      <c r="B199" s="21" t="str">
        <f t="shared" si="4"/>
        <v>11.238.227-5</v>
      </c>
      <c r="C199" s="22" t="s">
        <v>22</v>
      </c>
      <c r="D199" s="21" t="str">
        <f>IF(IFERROR(VLOOKUP(A199,$A$9:$I198,1,0),0)=0,"",VLOOKUP(A199,$A$9:$I198,4,0))</f>
        <v>CARIAGA</v>
      </c>
      <c r="E199" s="21" t="str">
        <f>IF(IFERROR(VLOOKUP(A199,$A$9:$I198,1,0),0)=0,"",VLOOKUP(A199,$A$9:$I198,5,0))</f>
        <v>OVIEDO</v>
      </c>
      <c r="F199" s="21" t="str">
        <f>IF(IFERROR(VLOOKUP(A199,$A$9:$I198,1,0),0)=0,"",VLOOKUP(A199,$A$9:$I198,6,0))</f>
        <v xml:space="preserve">RICARDO </v>
      </c>
      <c r="G199" s="23">
        <v>45341</v>
      </c>
      <c r="H199" s="23">
        <v>45343</v>
      </c>
      <c r="I199" s="21"/>
      <c r="J199" s="21"/>
      <c r="K199" s="24" t="s">
        <v>47</v>
      </c>
      <c r="L199" s="23">
        <v>45341</v>
      </c>
      <c r="M199" s="23">
        <v>45342</v>
      </c>
      <c r="N199" s="25">
        <f t="shared" si="5"/>
        <v>1</v>
      </c>
      <c r="O199" s="26"/>
      <c r="P199" t="s">
        <v>88</v>
      </c>
      <c r="Q199" t="s">
        <v>88</v>
      </c>
      <c r="R199" t="s">
        <v>88</v>
      </c>
      <c r="S199" t="s">
        <v>88</v>
      </c>
      <c r="T199" t="s">
        <v>88</v>
      </c>
      <c r="U199" t="s">
        <v>20</v>
      </c>
    </row>
    <row r="200" spans="1:21" x14ac:dyDescent="0.45">
      <c r="A200" s="20">
        <v>64077015</v>
      </c>
      <c r="B200" s="21" t="str">
        <f t="shared" ref="B200:B227" si="6">IF(LEN(A200)=8,MID(A200,1,1)&amp;"."&amp;MID(A200,2,3)&amp;"."&amp;MID(A200,5,3)&amp;"-"&amp;RIGHT(A200,1),IF(LEFT(RIGHT(A200,2),1)="-",MID(A200,1,1)&amp;"."&amp;MID(A200,2,3)&amp;"."&amp;MID(A200,5,3)&amp;"-"&amp;RIGHT(A200,1),MID(A200,1,2)&amp;"."&amp;MID(A200,3,3)&amp;"."&amp;MID(A200,6,3)&amp;"-"&amp;MID(A200,9,1)))</f>
        <v>6.407.701-5</v>
      </c>
      <c r="C200" s="22" t="s">
        <v>22</v>
      </c>
      <c r="D200" s="21" t="s">
        <v>378</v>
      </c>
      <c r="E200" s="21" t="s">
        <v>701</v>
      </c>
      <c r="F200" s="21" t="s">
        <v>702</v>
      </c>
      <c r="G200" s="23">
        <v>45338</v>
      </c>
      <c r="H200" s="23">
        <v>45342</v>
      </c>
      <c r="I200" s="21" t="s">
        <v>22</v>
      </c>
      <c r="J200" s="21"/>
      <c r="K200" s="24" t="s">
        <v>43</v>
      </c>
      <c r="L200" s="23">
        <v>45338</v>
      </c>
      <c r="M200" s="23">
        <v>45342</v>
      </c>
      <c r="N200" s="25">
        <f t="shared" ref="N200:N227" si="7">+M200-L200</f>
        <v>4</v>
      </c>
      <c r="O200" s="26"/>
      <c r="P200" t="s">
        <v>88</v>
      </c>
      <c r="Q200" t="s">
        <v>88</v>
      </c>
      <c r="R200" t="s">
        <v>88</v>
      </c>
      <c r="S200" t="s">
        <v>88</v>
      </c>
      <c r="T200" t="s">
        <v>88</v>
      </c>
      <c r="U200" t="s">
        <v>20</v>
      </c>
    </row>
    <row r="201" spans="1:21" x14ac:dyDescent="0.45">
      <c r="A201" s="20">
        <v>64077015</v>
      </c>
      <c r="B201" s="21" t="str">
        <f t="shared" si="6"/>
        <v>6.407.701-5</v>
      </c>
      <c r="C201" s="22" t="str">
        <f>IF(IFERROR(VLOOKUP(A201,$A$9:$I200,1,0),0)=0,"",VLOOKUP(A201,$A$9:$I200,3,0))</f>
        <v>UCI</v>
      </c>
      <c r="D201" s="21" t="str">
        <f>IF(IFERROR(VLOOKUP(A201,$A$9:$I200,1,0),0)=0,"",VLOOKUP(A201,$A$9:$I200,4,0))</f>
        <v>QUEZADA</v>
      </c>
      <c r="E201" s="21" t="str">
        <f>IF(IFERROR(VLOOKUP(A201,$A$9:$I200,1,0),0)=0,"",VLOOKUP(A201,$A$9:$I200,5,0))</f>
        <v xml:space="preserve">MORA </v>
      </c>
      <c r="F201" s="21" t="str">
        <f>IF(IFERROR(VLOOKUP(A201,$A$9:$I200,1,0),0)=0,"",VLOOKUP(A201,$A$9:$I200,6,0))</f>
        <v>TITO</v>
      </c>
      <c r="G201" s="23">
        <f>IF(IFERROR(VLOOKUP(A201,$A$9:$I200,1,0),0)=0,"",VLOOKUP(A201,$A$9:$I200,7,0))</f>
        <v>45338</v>
      </c>
      <c r="H201" s="23">
        <v>45342</v>
      </c>
      <c r="I201" s="21" t="s">
        <v>22</v>
      </c>
      <c r="J201" s="21"/>
      <c r="K201" s="24" t="s">
        <v>47</v>
      </c>
      <c r="L201" s="23">
        <v>45338</v>
      </c>
      <c r="M201" s="23">
        <v>45342</v>
      </c>
      <c r="N201" s="25">
        <f t="shared" si="7"/>
        <v>4</v>
      </c>
      <c r="O201" s="26"/>
      <c r="P201" t="s">
        <v>88</v>
      </c>
      <c r="Q201" t="s">
        <v>88</v>
      </c>
      <c r="R201" t="s">
        <v>88</v>
      </c>
      <c r="S201" t="s">
        <v>88</v>
      </c>
      <c r="T201" t="s">
        <v>88</v>
      </c>
      <c r="U201" t="s">
        <v>20</v>
      </c>
    </row>
    <row r="202" spans="1:21" x14ac:dyDescent="0.45">
      <c r="A202" s="20">
        <v>80978766</v>
      </c>
      <c r="B202" s="21" t="str">
        <f t="shared" si="6"/>
        <v>8.097.876-6</v>
      </c>
      <c r="C202" s="22" t="s">
        <v>22</v>
      </c>
      <c r="D202" s="21" t="str">
        <f>IF(IFERROR(VLOOKUP(A202,$A$9:$I201,1,0),0)=0,"",VLOOKUP(A202,$A$9:$I201,4,0))</f>
        <v>MONSALVE</v>
      </c>
      <c r="E202" s="21" t="str">
        <f>IF(IFERROR(VLOOKUP(A202,$A$9:$I201,1,0),0)=0,"",VLOOKUP(A202,$A$9:$I201,5,0))</f>
        <v xml:space="preserve">FLORES </v>
      </c>
      <c r="F202" s="21" t="str">
        <f>IF(IFERROR(VLOOKUP(A202,$A$9:$I201,1,0),0)=0,"",VLOOKUP(A202,$A$9:$I201,6,0))</f>
        <v>NARCISA</v>
      </c>
      <c r="G202" s="23">
        <v>45335</v>
      </c>
      <c r="H202" s="23">
        <v>45343</v>
      </c>
      <c r="I202" s="21" t="s">
        <v>22</v>
      </c>
      <c r="J202" s="21" t="s">
        <v>26</v>
      </c>
      <c r="K202" s="24" t="s">
        <v>43</v>
      </c>
      <c r="L202" s="23">
        <v>45335</v>
      </c>
      <c r="M202" s="23">
        <v>45343</v>
      </c>
      <c r="N202" s="25">
        <f t="shared" si="7"/>
        <v>8</v>
      </c>
      <c r="O202" s="26"/>
      <c r="P202" t="s">
        <v>88</v>
      </c>
      <c r="Q202" t="s">
        <v>88</v>
      </c>
      <c r="R202" t="s">
        <v>88</v>
      </c>
      <c r="S202" t="s">
        <v>88</v>
      </c>
      <c r="T202" t="s">
        <v>88</v>
      </c>
      <c r="U202" t="s">
        <v>20</v>
      </c>
    </row>
    <row r="203" spans="1:21" x14ac:dyDescent="0.45">
      <c r="A203" s="20">
        <v>80978766</v>
      </c>
      <c r="B203" s="21" t="str">
        <f t="shared" si="6"/>
        <v>8.097.876-6</v>
      </c>
      <c r="C203" s="22" t="s">
        <v>22</v>
      </c>
      <c r="D203" s="21" t="str">
        <f>IF(IFERROR(VLOOKUP(A203,$A$9:$I202,1,0),0)=0,"",VLOOKUP(A203,$A$9:$I202,4,0))</f>
        <v>MONSALVE</v>
      </c>
      <c r="E203" s="21" t="str">
        <f>IF(IFERROR(VLOOKUP(A203,$A$9:$I202,1,0),0)=0,"",VLOOKUP(A203,$A$9:$I202,5,0))</f>
        <v xml:space="preserve">FLORES </v>
      </c>
      <c r="F203" s="21" t="str">
        <f>IF(IFERROR(VLOOKUP(A203,$A$9:$I202,1,0),0)=0,"",VLOOKUP(A203,$A$9:$I202,6,0))</f>
        <v>NARCISA</v>
      </c>
      <c r="G203" s="23">
        <v>45335</v>
      </c>
      <c r="H203" s="23">
        <v>45343</v>
      </c>
      <c r="I203" s="21" t="s">
        <v>22</v>
      </c>
      <c r="J203" s="21" t="s">
        <v>26</v>
      </c>
      <c r="K203" s="24" t="s">
        <v>47</v>
      </c>
      <c r="L203" s="23">
        <v>45335</v>
      </c>
      <c r="M203" s="23">
        <v>45343</v>
      </c>
      <c r="N203" s="25">
        <f t="shared" si="7"/>
        <v>8</v>
      </c>
      <c r="O203" s="26"/>
      <c r="P203" t="s">
        <v>88</v>
      </c>
      <c r="Q203" t="s">
        <v>88</v>
      </c>
      <c r="R203" t="s">
        <v>88</v>
      </c>
      <c r="S203" t="s">
        <v>88</v>
      </c>
      <c r="T203" t="s">
        <v>88</v>
      </c>
      <c r="U203" t="s">
        <v>20</v>
      </c>
    </row>
    <row r="204" spans="1:21" x14ac:dyDescent="0.45">
      <c r="A204" s="20">
        <v>211610581</v>
      </c>
      <c r="B204" s="21" t="str">
        <f t="shared" si="6"/>
        <v>21.161.058-1</v>
      </c>
      <c r="C204" s="22" t="s">
        <v>22</v>
      </c>
      <c r="D204" s="21" t="s">
        <v>631</v>
      </c>
      <c r="E204" s="21" t="s">
        <v>439</v>
      </c>
      <c r="F204" s="21" t="s">
        <v>703</v>
      </c>
      <c r="G204" s="23">
        <v>45335</v>
      </c>
      <c r="H204" s="23">
        <v>45342</v>
      </c>
      <c r="I204" s="21" t="s">
        <v>22</v>
      </c>
      <c r="J204" s="21"/>
      <c r="K204" s="24" t="s">
        <v>43</v>
      </c>
      <c r="L204" s="23">
        <v>45335</v>
      </c>
      <c r="M204" s="23">
        <v>45342</v>
      </c>
      <c r="N204" s="25">
        <f t="shared" si="7"/>
        <v>7</v>
      </c>
      <c r="O204" s="26"/>
      <c r="P204" t="s">
        <v>88</v>
      </c>
      <c r="Q204" t="s">
        <v>88</v>
      </c>
      <c r="R204" t="s">
        <v>88</v>
      </c>
      <c r="S204" t="s">
        <v>88</v>
      </c>
      <c r="T204" t="s">
        <v>88</v>
      </c>
      <c r="U204" t="s">
        <v>20</v>
      </c>
    </row>
    <row r="205" spans="1:21" x14ac:dyDescent="0.45">
      <c r="A205" s="20">
        <v>50905160</v>
      </c>
      <c r="B205" s="21" t="str">
        <f t="shared" si="6"/>
        <v>5.090.516-0</v>
      </c>
      <c r="C205" s="22" t="s">
        <v>22</v>
      </c>
      <c r="D205" s="21" t="s">
        <v>704</v>
      </c>
      <c r="E205" s="21" t="s">
        <v>705</v>
      </c>
      <c r="F205" s="21" t="s">
        <v>368</v>
      </c>
      <c r="G205" s="23">
        <v>45339</v>
      </c>
      <c r="H205" s="23">
        <v>45343</v>
      </c>
      <c r="I205" s="21" t="s">
        <v>22</v>
      </c>
      <c r="J205" s="21"/>
      <c r="K205" s="24" t="s">
        <v>43</v>
      </c>
      <c r="L205" s="23">
        <v>45339</v>
      </c>
      <c r="M205" s="23">
        <v>45343</v>
      </c>
      <c r="N205" s="25">
        <f t="shared" si="7"/>
        <v>4</v>
      </c>
      <c r="O205" s="26"/>
      <c r="P205" t="s">
        <v>88</v>
      </c>
      <c r="Q205" t="s">
        <v>88</v>
      </c>
      <c r="R205" t="s">
        <v>88</v>
      </c>
      <c r="S205" t="s">
        <v>88</v>
      </c>
      <c r="T205" t="s">
        <v>88</v>
      </c>
      <c r="U205" t="s">
        <v>20</v>
      </c>
    </row>
    <row r="206" spans="1:21" x14ac:dyDescent="0.45">
      <c r="A206" s="20">
        <v>100770822</v>
      </c>
      <c r="B206" s="21" t="str">
        <f t="shared" si="6"/>
        <v>10.077.082-2</v>
      </c>
      <c r="C206" s="22" t="s">
        <v>22</v>
      </c>
      <c r="D206" s="21" t="str">
        <f>IF(IFERROR(VLOOKUP(A206,$A$9:$I205,1,0),0)=0,"",VLOOKUP(A206,$A$9:$I205,4,0))</f>
        <v>HERRERA</v>
      </c>
      <c r="E206" s="21" t="str">
        <f>IF(IFERROR(VLOOKUP(A206,$A$9:$I205,1,0),0)=0,"",VLOOKUP(A206,$A$9:$I205,5,0))</f>
        <v>QUINTEROS</v>
      </c>
      <c r="F206" s="21" t="str">
        <f>IF(IFERROR(VLOOKUP(A206,$A$9:$I205,1,0),0)=0,"",VLOOKUP(A206,$A$9:$I205,6,0))</f>
        <v>CRISTIAN</v>
      </c>
      <c r="G206" s="23">
        <v>45339</v>
      </c>
      <c r="H206" s="23">
        <v>45343</v>
      </c>
      <c r="I206" s="21" t="s">
        <v>22</v>
      </c>
      <c r="J206" s="21" t="s">
        <v>13</v>
      </c>
      <c r="K206" s="24" t="s">
        <v>43</v>
      </c>
      <c r="L206" s="23">
        <v>45339</v>
      </c>
      <c r="M206" s="23">
        <v>45342</v>
      </c>
      <c r="N206" s="25">
        <f t="shared" si="7"/>
        <v>3</v>
      </c>
      <c r="O206" s="26" t="s">
        <v>531</v>
      </c>
      <c r="P206" t="s">
        <v>88</v>
      </c>
      <c r="Q206" t="s">
        <v>88</v>
      </c>
      <c r="R206" t="s">
        <v>88</v>
      </c>
      <c r="S206" t="s">
        <v>88</v>
      </c>
      <c r="T206" t="s">
        <v>88</v>
      </c>
      <c r="U206" t="s">
        <v>20</v>
      </c>
    </row>
    <row r="207" spans="1:21" x14ac:dyDescent="0.45">
      <c r="A207" s="20">
        <v>64791087</v>
      </c>
      <c r="B207" s="21" t="str">
        <f t="shared" si="6"/>
        <v>6.479.108-7</v>
      </c>
      <c r="C207" s="22" t="str">
        <f>IF(IFERROR(VLOOKUP(A207,$A$9:$I206,1,0),0)=0,"",VLOOKUP(A207,$A$9:$I206,3,0))</f>
        <v>UCI</v>
      </c>
      <c r="D207" s="21" t="str">
        <f>IF(IFERROR(VLOOKUP(A207,$A$9:$I206,1,0),0)=0,"",VLOOKUP(A207,$A$9:$I206,4,0))</f>
        <v xml:space="preserve">RIQUELME </v>
      </c>
      <c r="E207" s="21" t="str">
        <f>IF(IFERROR(VLOOKUP(A207,$A$9:$I206,1,0),0)=0,"",VLOOKUP(A207,$A$9:$I206,5,0))</f>
        <v>MUÑOZ</v>
      </c>
      <c r="F207" s="21" t="str">
        <f>IF(IFERROR(VLOOKUP(A207,$A$9:$I206,1,0),0)=0,"",VLOOKUP(A207,$A$9:$I206,6,0))</f>
        <v>CARLOS</v>
      </c>
      <c r="G207" s="23">
        <v>45341</v>
      </c>
      <c r="H207" s="23"/>
      <c r="I207" s="21" t="s">
        <v>22</v>
      </c>
      <c r="J207" s="21"/>
      <c r="K207" s="24" t="s">
        <v>18</v>
      </c>
      <c r="L207" s="23">
        <v>45341</v>
      </c>
      <c r="M207" s="23">
        <v>45351</v>
      </c>
      <c r="N207" s="25">
        <f t="shared" si="7"/>
        <v>10</v>
      </c>
      <c r="O207" s="26" t="s">
        <v>355</v>
      </c>
      <c r="P207" t="s">
        <v>88</v>
      </c>
      <c r="Q207" t="s">
        <v>88</v>
      </c>
      <c r="R207" t="s">
        <v>88</v>
      </c>
      <c r="S207" t="s">
        <v>88</v>
      </c>
      <c r="T207" t="s">
        <v>88</v>
      </c>
      <c r="U207" t="s">
        <v>20</v>
      </c>
    </row>
    <row r="208" spans="1:21" x14ac:dyDescent="0.45">
      <c r="A208" s="20">
        <v>64791087</v>
      </c>
      <c r="B208" s="21" t="str">
        <f t="shared" si="6"/>
        <v>6.479.108-7</v>
      </c>
      <c r="C208" s="22" t="str">
        <f>IF(IFERROR(VLOOKUP(A208,$A$9:$I207,1,0),0)=0,"",VLOOKUP(A208,$A$9:$I207,3,0))</f>
        <v>UCI</v>
      </c>
      <c r="D208" s="21" t="str">
        <f>IF(IFERROR(VLOOKUP(A208,$A$9:$I207,1,0),0)=0,"",VLOOKUP(A208,$A$9:$I207,4,0))</f>
        <v xml:space="preserve">RIQUELME </v>
      </c>
      <c r="E208" s="21" t="str">
        <f>IF(IFERROR(VLOOKUP(A208,$A$9:$I207,1,0),0)=0,"",VLOOKUP(A208,$A$9:$I207,5,0))</f>
        <v>MUÑOZ</v>
      </c>
      <c r="F208" s="21" t="str">
        <f>IF(IFERROR(VLOOKUP(A208,$A$9:$I207,1,0),0)=0,"",VLOOKUP(A208,$A$9:$I207,6,0))</f>
        <v>CARLOS</v>
      </c>
      <c r="G208" s="23">
        <v>45341</v>
      </c>
      <c r="H208" s="23"/>
      <c r="I208" s="21" t="s">
        <v>22</v>
      </c>
      <c r="J208" s="21"/>
      <c r="K208" s="24" t="s">
        <v>47</v>
      </c>
      <c r="L208" s="23">
        <v>45341</v>
      </c>
      <c r="M208" s="23">
        <v>45351</v>
      </c>
      <c r="N208" s="25">
        <f t="shared" si="7"/>
        <v>10</v>
      </c>
      <c r="O208" s="26" t="s">
        <v>355</v>
      </c>
      <c r="P208" t="s">
        <v>88</v>
      </c>
      <c r="Q208" t="s">
        <v>88</v>
      </c>
      <c r="R208" t="s">
        <v>88</v>
      </c>
      <c r="S208" t="s">
        <v>88</v>
      </c>
      <c r="T208" t="s">
        <v>88</v>
      </c>
      <c r="U208" t="s">
        <v>20</v>
      </c>
    </row>
    <row r="209" spans="1:21" x14ac:dyDescent="0.45">
      <c r="A209" s="20">
        <v>215041107</v>
      </c>
      <c r="B209" s="21" t="str">
        <f t="shared" si="6"/>
        <v>21.504.110-7</v>
      </c>
      <c r="C209" s="22" t="s">
        <v>22</v>
      </c>
      <c r="D209" s="21" t="s">
        <v>314</v>
      </c>
      <c r="E209" s="21" t="s">
        <v>706</v>
      </c>
      <c r="F209" s="21" t="s">
        <v>707</v>
      </c>
      <c r="G209" s="23">
        <v>45336</v>
      </c>
      <c r="H209" s="23">
        <v>45337</v>
      </c>
      <c r="I209" s="21" t="s">
        <v>22</v>
      </c>
      <c r="J209" s="21" t="s">
        <v>26</v>
      </c>
      <c r="K209" s="24" t="s">
        <v>43</v>
      </c>
      <c r="L209" s="23">
        <v>45336</v>
      </c>
      <c r="M209" s="23">
        <v>45337</v>
      </c>
      <c r="N209" s="25">
        <f t="shared" si="7"/>
        <v>1</v>
      </c>
      <c r="O209" s="26"/>
      <c r="P209" t="s">
        <v>88</v>
      </c>
      <c r="Q209" t="s">
        <v>88</v>
      </c>
      <c r="R209" t="s">
        <v>88</v>
      </c>
      <c r="S209" t="s">
        <v>88</v>
      </c>
      <c r="T209" t="s">
        <v>88</v>
      </c>
      <c r="U209" t="s">
        <v>20</v>
      </c>
    </row>
    <row r="210" spans="1:21" x14ac:dyDescent="0.45">
      <c r="A210" s="20">
        <v>54454147</v>
      </c>
      <c r="B210" s="21" t="str">
        <f t="shared" si="6"/>
        <v>5.445.414-7</v>
      </c>
      <c r="C210" s="22" t="s">
        <v>22</v>
      </c>
      <c r="D210" s="21" t="s">
        <v>339</v>
      </c>
      <c r="E210" s="21" t="s">
        <v>358</v>
      </c>
      <c r="F210" s="21" t="s">
        <v>359</v>
      </c>
      <c r="G210" s="23">
        <v>45335</v>
      </c>
      <c r="H210" s="23">
        <v>45337</v>
      </c>
      <c r="I210" s="21"/>
      <c r="J210" s="21"/>
      <c r="K210" s="24" t="s">
        <v>43</v>
      </c>
      <c r="L210" s="23">
        <v>45335</v>
      </c>
      <c r="M210" s="23">
        <v>45337</v>
      </c>
      <c r="N210" s="25">
        <f t="shared" si="7"/>
        <v>2</v>
      </c>
      <c r="O210" s="26" t="s">
        <v>531</v>
      </c>
      <c r="P210" t="s">
        <v>88</v>
      </c>
      <c r="Q210" t="s">
        <v>88</v>
      </c>
      <c r="R210" t="s">
        <v>88</v>
      </c>
      <c r="S210" t="s">
        <v>88</v>
      </c>
      <c r="T210" t="s">
        <v>88</v>
      </c>
      <c r="U210" t="s">
        <v>20</v>
      </c>
    </row>
    <row r="211" spans="1:21" x14ac:dyDescent="0.45">
      <c r="A211" s="20">
        <v>54454147</v>
      </c>
      <c r="B211" s="21" t="str">
        <f t="shared" si="6"/>
        <v>5.445.414-7</v>
      </c>
      <c r="C211" s="22" t="str">
        <f>IF(IFERROR(VLOOKUP(A211,$A$9:$I210,1,0),0)=0,"",VLOOKUP(A211,$A$9:$I210,3,0))</f>
        <v>UCI</v>
      </c>
      <c r="D211" s="21" t="str">
        <f>IF(IFERROR(VLOOKUP(A211,$A$9:$I210,1,0),0)=0,"",VLOOKUP(A211,$A$9:$I210,4,0))</f>
        <v>ESPINOZA</v>
      </c>
      <c r="E211" s="21" t="str">
        <f>IF(IFERROR(VLOOKUP(A211,$A$9:$I210,1,0),0)=0,"",VLOOKUP(A211,$A$9:$I210,5,0))</f>
        <v>CAMAÑO</v>
      </c>
      <c r="F211" s="21" t="str">
        <f>IF(IFERROR(VLOOKUP(A211,$A$9:$I210,1,0),0)=0,"",VLOOKUP(A211,$A$9:$I210,6,0))</f>
        <v>ESTELA</v>
      </c>
      <c r="G211" s="23">
        <v>45335</v>
      </c>
      <c r="H211" s="23">
        <v>45337</v>
      </c>
      <c r="I211" s="21"/>
      <c r="J211" s="21"/>
      <c r="K211" s="24" t="s">
        <v>47</v>
      </c>
      <c r="L211" s="23">
        <v>45335</v>
      </c>
      <c r="M211" s="23">
        <v>45337</v>
      </c>
      <c r="N211" s="25">
        <f t="shared" si="7"/>
        <v>2</v>
      </c>
      <c r="O211" s="26" t="s">
        <v>531</v>
      </c>
      <c r="P211" t="s">
        <v>88</v>
      </c>
      <c r="Q211" t="s">
        <v>88</v>
      </c>
      <c r="R211" t="s">
        <v>88</v>
      </c>
      <c r="S211" t="s">
        <v>88</v>
      </c>
      <c r="T211" t="s">
        <v>88</v>
      </c>
      <c r="U211" t="s">
        <v>20</v>
      </c>
    </row>
    <row r="212" spans="1:21" x14ac:dyDescent="0.45">
      <c r="A212" s="20">
        <v>168952031</v>
      </c>
      <c r="B212" s="21" t="str">
        <f t="shared" si="6"/>
        <v>16.895.203-1</v>
      </c>
      <c r="C212" s="22" t="s">
        <v>22</v>
      </c>
      <c r="D212" s="21" t="s">
        <v>708</v>
      </c>
      <c r="E212" s="21" t="s">
        <v>646</v>
      </c>
      <c r="F212" s="21" t="s">
        <v>709</v>
      </c>
      <c r="G212" s="23">
        <v>45337</v>
      </c>
      <c r="H212" s="23">
        <v>45340</v>
      </c>
      <c r="I212" s="21" t="s">
        <v>22</v>
      </c>
      <c r="J212" s="21"/>
      <c r="K212" s="24" t="s">
        <v>43</v>
      </c>
      <c r="L212" s="23">
        <v>45337</v>
      </c>
      <c r="M212" s="23">
        <v>45340</v>
      </c>
      <c r="N212" s="25">
        <f t="shared" si="7"/>
        <v>3</v>
      </c>
      <c r="O212" s="26" t="s">
        <v>531</v>
      </c>
      <c r="P212" t="s">
        <v>88</v>
      </c>
      <c r="Q212" t="s">
        <v>88</v>
      </c>
      <c r="R212" t="s">
        <v>88</v>
      </c>
      <c r="S212" t="s">
        <v>88</v>
      </c>
      <c r="T212" t="s">
        <v>88</v>
      </c>
      <c r="U212" t="s">
        <v>20</v>
      </c>
    </row>
    <row r="213" spans="1:21" x14ac:dyDescent="0.45">
      <c r="A213" s="20">
        <v>168952031</v>
      </c>
      <c r="B213" s="21" t="str">
        <f t="shared" si="6"/>
        <v>16.895.203-1</v>
      </c>
      <c r="C213" s="22" t="str">
        <f>IF(IFERROR(VLOOKUP(A213,$A$9:$I212,1,0),0)=0,"",VLOOKUP(A213,$A$9:$I212,3,0))</f>
        <v>UCI</v>
      </c>
      <c r="D213" s="21" t="str">
        <f>IF(IFERROR(VLOOKUP(A213,$A$9:$I212,1,0),0)=0,"",VLOOKUP(A213,$A$9:$I212,4,0))</f>
        <v>TORO</v>
      </c>
      <c r="E213" s="21" t="str">
        <f>IF(IFERROR(VLOOKUP(A213,$A$9:$I212,1,0),0)=0,"",VLOOKUP(A213,$A$9:$I212,5,0))</f>
        <v>ARRIAGADA</v>
      </c>
      <c r="F213" s="21" t="str">
        <f>IF(IFERROR(VLOOKUP(A213,$A$9:$I212,1,0),0)=0,"",VLOOKUP(A213,$A$9:$I212,6,0))</f>
        <v>YASMIN</v>
      </c>
      <c r="G213" s="23">
        <f>IF(IFERROR(VLOOKUP(A213,$A$9:$I212,1,0),0)=0,"",VLOOKUP(A213,$A$9:$I212,7,0))</f>
        <v>45337</v>
      </c>
      <c r="H213" s="23">
        <v>45340</v>
      </c>
      <c r="I213" s="21" t="s">
        <v>22</v>
      </c>
      <c r="J213" s="21"/>
      <c r="K213" s="24" t="s">
        <v>47</v>
      </c>
      <c r="L213" s="23">
        <v>45337</v>
      </c>
      <c r="M213" s="23">
        <v>45340</v>
      </c>
      <c r="N213" s="25">
        <f t="shared" si="7"/>
        <v>3</v>
      </c>
      <c r="O213" s="26" t="s">
        <v>531</v>
      </c>
      <c r="P213" t="s">
        <v>88</v>
      </c>
      <c r="Q213" t="s">
        <v>88</v>
      </c>
      <c r="R213" t="s">
        <v>88</v>
      </c>
      <c r="S213" t="s">
        <v>88</v>
      </c>
      <c r="T213" t="s">
        <v>88</v>
      </c>
      <c r="U213" t="s">
        <v>20</v>
      </c>
    </row>
    <row r="214" spans="1:21" x14ac:dyDescent="0.45">
      <c r="A214" s="20">
        <v>100399784</v>
      </c>
      <c r="B214" s="21" t="str">
        <f t="shared" si="6"/>
        <v>10.039.978-4</v>
      </c>
      <c r="C214" s="22" t="s">
        <v>22</v>
      </c>
      <c r="D214" s="21" t="s">
        <v>710</v>
      </c>
      <c r="E214" s="21" t="s">
        <v>711</v>
      </c>
      <c r="F214" s="21" t="s">
        <v>682</v>
      </c>
      <c r="G214" s="23">
        <v>45343</v>
      </c>
      <c r="H214" s="23">
        <v>45345</v>
      </c>
      <c r="I214" s="21"/>
      <c r="J214" s="21"/>
      <c r="K214" s="24" t="s">
        <v>43</v>
      </c>
      <c r="L214" s="23">
        <v>45343</v>
      </c>
      <c r="M214" s="23">
        <v>45345</v>
      </c>
      <c r="N214" s="25">
        <f t="shared" si="7"/>
        <v>2</v>
      </c>
      <c r="O214" s="26"/>
      <c r="P214" t="s">
        <v>88</v>
      </c>
      <c r="Q214" t="s">
        <v>88</v>
      </c>
      <c r="R214" t="s">
        <v>88</v>
      </c>
      <c r="S214" t="s">
        <v>88</v>
      </c>
      <c r="T214" t="s">
        <v>88</v>
      </c>
      <c r="U214" t="s">
        <v>20</v>
      </c>
    </row>
    <row r="215" spans="1:21" x14ac:dyDescent="0.45">
      <c r="A215" s="20">
        <v>100399784</v>
      </c>
      <c r="B215" s="21" t="str">
        <f t="shared" si="6"/>
        <v>10.039.978-4</v>
      </c>
      <c r="C215" s="22" t="str">
        <f>IF(IFERROR(VLOOKUP(A215,$A$9:$I214,1,0),0)=0,"",VLOOKUP(A215,$A$9:$I214,3,0))</f>
        <v>UCI</v>
      </c>
      <c r="D215" s="21" t="str">
        <f>IF(IFERROR(VLOOKUP(A215,$A$9:$I214,1,0),0)=0,"",VLOOKUP(A215,$A$9:$I214,4,0))</f>
        <v>PAZ</v>
      </c>
      <c r="E215" s="21" t="str">
        <f>IF(IFERROR(VLOOKUP(A215,$A$9:$I214,1,0),0)=0,"",VLOOKUP(A215,$A$9:$I214,5,0))</f>
        <v>VILLASECA</v>
      </c>
      <c r="F215" s="21" t="str">
        <f>IF(IFERROR(VLOOKUP(A215,$A$9:$I214,1,0),0)=0,"",VLOOKUP(A215,$A$9:$I214,6,0))</f>
        <v>LUZ</v>
      </c>
      <c r="G215" s="23">
        <f>IF(IFERROR(VLOOKUP(A215,$A$9:$I214,1,0),0)=0,"",VLOOKUP(A215,$A$9:$I214,7,0))</f>
        <v>45343</v>
      </c>
      <c r="H215" s="23">
        <v>45345</v>
      </c>
      <c r="I215" s="21"/>
      <c r="J215" s="21"/>
      <c r="K215" s="24" t="s">
        <v>47</v>
      </c>
      <c r="L215" s="23">
        <v>45343</v>
      </c>
      <c r="M215" s="23">
        <v>45345</v>
      </c>
      <c r="N215" s="25">
        <f t="shared" si="7"/>
        <v>2</v>
      </c>
      <c r="O215" s="26"/>
      <c r="P215" t="s">
        <v>88</v>
      </c>
      <c r="Q215" t="s">
        <v>88</v>
      </c>
      <c r="R215" t="s">
        <v>88</v>
      </c>
      <c r="S215" t="s">
        <v>88</v>
      </c>
      <c r="T215" t="s">
        <v>88</v>
      </c>
      <c r="U215" t="s">
        <v>20</v>
      </c>
    </row>
    <row r="216" spans="1:21" x14ac:dyDescent="0.45">
      <c r="A216" s="20">
        <v>78648104</v>
      </c>
      <c r="B216" s="21" t="str">
        <f t="shared" si="6"/>
        <v>7.864.810-4</v>
      </c>
      <c r="C216" s="22" t="s">
        <v>22</v>
      </c>
      <c r="D216" s="21" t="s">
        <v>257</v>
      </c>
      <c r="E216" s="21" t="s">
        <v>496</v>
      </c>
      <c r="F216" s="21" t="s">
        <v>238</v>
      </c>
      <c r="G216" s="23">
        <v>45344</v>
      </c>
      <c r="H216" s="23">
        <v>45351</v>
      </c>
      <c r="I216" s="21" t="s">
        <v>22</v>
      </c>
      <c r="J216" s="21" t="s">
        <v>56</v>
      </c>
      <c r="K216" s="24" t="s">
        <v>43</v>
      </c>
      <c r="L216" s="23">
        <v>45344</v>
      </c>
      <c r="M216" s="23">
        <v>45351</v>
      </c>
      <c r="N216" s="25">
        <f t="shared" si="7"/>
        <v>7</v>
      </c>
      <c r="O216" s="26" t="s">
        <v>531</v>
      </c>
      <c r="P216" t="s">
        <v>88</v>
      </c>
      <c r="Q216" t="s">
        <v>88</v>
      </c>
      <c r="R216" t="s">
        <v>88</v>
      </c>
      <c r="S216" t="s">
        <v>88</v>
      </c>
      <c r="T216" t="s">
        <v>88</v>
      </c>
      <c r="U216" t="s">
        <v>20</v>
      </c>
    </row>
    <row r="217" spans="1:21" x14ac:dyDescent="0.45">
      <c r="A217" s="20">
        <v>78648104</v>
      </c>
      <c r="B217" s="21" t="str">
        <f t="shared" si="6"/>
        <v>7.864.810-4</v>
      </c>
      <c r="C217" s="22" t="str">
        <f>IF(IFERROR(VLOOKUP(A217,$A$9:$I216,1,0),0)=0,"",VLOOKUP(A217,$A$9:$I216,3,0))</f>
        <v>UCI</v>
      </c>
      <c r="D217" s="21" t="str">
        <f>IF(IFERROR(VLOOKUP(A217,$A$9:$I216,1,0),0)=0,"",VLOOKUP(A217,$A$9:$I216,4,0))</f>
        <v>CHAVEZ</v>
      </c>
      <c r="E217" s="21" t="str">
        <f>IF(IFERROR(VLOOKUP(A217,$A$9:$I216,1,0),0)=0,"",VLOOKUP(A217,$A$9:$I216,5,0))</f>
        <v>ACUÑA</v>
      </c>
      <c r="F217" s="21" t="str">
        <f>IF(IFERROR(VLOOKUP(A217,$A$9:$I216,1,0),0)=0,"",VLOOKUP(A217,$A$9:$I216,6,0))</f>
        <v>LUIS</v>
      </c>
      <c r="G217" s="23">
        <f>IF(IFERROR(VLOOKUP(A217,$A$9:$I216,1,0),0)=0,"",VLOOKUP(A217,$A$9:$I216,7,0))</f>
        <v>45344</v>
      </c>
      <c r="H217" s="23">
        <v>45351</v>
      </c>
      <c r="I217" s="21" t="s">
        <v>22</v>
      </c>
      <c r="J217" s="21" t="s">
        <v>56</v>
      </c>
      <c r="K217" s="24" t="s">
        <v>47</v>
      </c>
      <c r="L217" s="23">
        <v>45344</v>
      </c>
      <c r="M217" s="23">
        <v>45351</v>
      </c>
      <c r="N217" s="25">
        <f t="shared" si="7"/>
        <v>7</v>
      </c>
      <c r="O217" s="26" t="s">
        <v>531</v>
      </c>
      <c r="P217" t="s">
        <v>88</v>
      </c>
      <c r="Q217" t="s">
        <v>88</v>
      </c>
      <c r="R217" t="s">
        <v>88</v>
      </c>
      <c r="S217" t="s">
        <v>88</v>
      </c>
      <c r="T217" t="s">
        <v>88</v>
      </c>
      <c r="U217" t="s">
        <v>20</v>
      </c>
    </row>
    <row r="218" spans="1:21" x14ac:dyDescent="0.45">
      <c r="A218" s="20">
        <v>195332916</v>
      </c>
      <c r="B218" s="21" t="str">
        <f t="shared" si="6"/>
        <v>19.533.291-6</v>
      </c>
      <c r="C218" s="22" t="s">
        <v>22</v>
      </c>
      <c r="D218" s="21" t="s">
        <v>512</v>
      </c>
      <c r="E218" s="21" t="s">
        <v>252</v>
      </c>
      <c r="F218" s="21" t="s">
        <v>513</v>
      </c>
      <c r="G218" s="23">
        <v>45343</v>
      </c>
      <c r="H218" s="23">
        <v>45345</v>
      </c>
      <c r="I218" s="21" t="s">
        <v>22</v>
      </c>
      <c r="J218" s="21" t="s">
        <v>56</v>
      </c>
      <c r="K218" s="24" t="s">
        <v>43</v>
      </c>
      <c r="L218" s="23">
        <v>45343</v>
      </c>
      <c r="M218" s="23">
        <v>45345</v>
      </c>
      <c r="N218" s="25">
        <f t="shared" si="7"/>
        <v>2</v>
      </c>
      <c r="O218" s="26"/>
      <c r="P218" t="s">
        <v>88</v>
      </c>
      <c r="Q218" t="s">
        <v>88</v>
      </c>
      <c r="R218" t="s">
        <v>88</v>
      </c>
      <c r="S218" t="s">
        <v>88</v>
      </c>
      <c r="T218" t="s">
        <v>88</v>
      </c>
      <c r="U218" t="s">
        <v>20</v>
      </c>
    </row>
    <row r="219" spans="1:21" x14ac:dyDescent="0.45">
      <c r="A219" s="20">
        <v>195332916</v>
      </c>
      <c r="B219" s="21" t="str">
        <f t="shared" si="6"/>
        <v>19.533.291-6</v>
      </c>
      <c r="C219" s="22" t="str">
        <f>IF(IFERROR(VLOOKUP(A219,$A$9:$I218,1,0),0)=0,"",VLOOKUP(A219,$A$9:$I218,3,0))</f>
        <v>UCI</v>
      </c>
      <c r="D219" s="21" t="str">
        <f>IF(IFERROR(VLOOKUP(A219,$A$9:$I218,1,0),0)=0,"",VLOOKUP(A219,$A$9:$I218,4,0))</f>
        <v>CACERES</v>
      </c>
      <c r="E219" s="21" t="str">
        <f>IF(IFERROR(VLOOKUP(A219,$A$9:$I218,1,0),0)=0,"",VLOOKUP(A219,$A$9:$I218,5,0))</f>
        <v>SILVA</v>
      </c>
      <c r="F219" s="21" t="str">
        <f>IF(IFERROR(VLOOKUP(A219,$A$9:$I218,1,0),0)=0,"",VLOOKUP(A219,$A$9:$I218,6,0))</f>
        <v>MEDALIN</v>
      </c>
      <c r="G219" s="23">
        <f>IF(IFERROR(VLOOKUP(A219,$A$9:$I218,1,0),0)=0,"",VLOOKUP(A219,$A$9:$I218,7,0))</f>
        <v>45343</v>
      </c>
      <c r="H219" s="23">
        <v>45345</v>
      </c>
      <c r="I219" s="21" t="s">
        <v>22</v>
      </c>
      <c r="J219" s="21" t="s">
        <v>56</v>
      </c>
      <c r="K219" s="24" t="s">
        <v>47</v>
      </c>
      <c r="L219" s="23">
        <v>45343</v>
      </c>
      <c r="M219" s="23">
        <v>45345</v>
      </c>
      <c r="N219" s="25">
        <f t="shared" si="7"/>
        <v>2</v>
      </c>
      <c r="O219" s="26"/>
      <c r="P219" t="s">
        <v>88</v>
      </c>
      <c r="Q219" t="s">
        <v>88</v>
      </c>
      <c r="R219" t="s">
        <v>88</v>
      </c>
      <c r="S219" t="s">
        <v>88</v>
      </c>
      <c r="T219" t="s">
        <v>88</v>
      </c>
      <c r="U219" t="s">
        <v>20</v>
      </c>
    </row>
    <row r="220" spans="1:21" x14ac:dyDescent="0.45">
      <c r="A220" s="20">
        <v>60788197</v>
      </c>
      <c r="B220" s="21" t="str">
        <f t="shared" si="6"/>
        <v>6.078.819-7</v>
      </c>
      <c r="C220" s="22" t="s">
        <v>22</v>
      </c>
      <c r="D220" s="21" t="s">
        <v>388</v>
      </c>
      <c r="E220" s="21" t="s">
        <v>352</v>
      </c>
      <c r="F220" s="21" t="s">
        <v>238</v>
      </c>
      <c r="G220" s="23">
        <v>45340</v>
      </c>
      <c r="H220" s="23">
        <v>45345</v>
      </c>
      <c r="I220" s="21"/>
      <c r="J220" s="21"/>
      <c r="K220" s="24" t="s">
        <v>43</v>
      </c>
      <c r="L220" s="23">
        <v>45340</v>
      </c>
      <c r="M220" s="23">
        <v>45345</v>
      </c>
      <c r="N220" s="25">
        <f t="shared" si="7"/>
        <v>5</v>
      </c>
      <c r="O220" s="26" t="s">
        <v>531</v>
      </c>
      <c r="P220" t="s">
        <v>88</v>
      </c>
      <c r="Q220" t="s">
        <v>88</v>
      </c>
      <c r="R220" t="s">
        <v>88</v>
      </c>
      <c r="S220" t="s">
        <v>88</v>
      </c>
      <c r="T220" t="s">
        <v>88</v>
      </c>
      <c r="U220" t="s">
        <v>20</v>
      </c>
    </row>
    <row r="221" spans="1:21" x14ac:dyDescent="0.45">
      <c r="A221" s="20">
        <v>60788197</v>
      </c>
      <c r="B221" s="21" t="str">
        <f t="shared" si="6"/>
        <v>6.078.819-7</v>
      </c>
      <c r="C221" s="22" t="str">
        <f>IF(IFERROR(VLOOKUP(A221,$A$9:$I220,1,0),0)=0,"",VLOOKUP(A221,$A$9:$I220,3,0))</f>
        <v>UCI</v>
      </c>
      <c r="D221" s="21" t="str">
        <f>IF(IFERROR(VLOOKUP(A221,$A$9:$I220,1,0),0)=0,"",VLOOKUP(A221,$A$9:$I220,4,0))</f>
        <v>CORTES</v>
      </c>
      <c r="E221" s="21" t="str">
        <f>IF(IFERROR(VLOOKUP(A221,$A$9:$I220,1,0),0)=0,"",VLOOKUP(A221,$A$9:$I220,5,0))</f>
        <v>CONTRERAS</v>
      </c>
      <c r="F221" s="21" t="str">
        <f>IF(IFERROR(VLOOKUP(A221,$A$9:$I220,1,0),0)=0,"",VLOOKUP(A221,$A$9:$I220,6,0))</f>
        <v>LUIS</v>
      </c>
      <c r="G221" s="23">
        <f>IF(IFERROR(VLOOKUP(A221,$A$9:$I220,1,0),0)=0,"",VLOOKUP(A221,$A$9:$I220,7,0))</f>
        <v>45340</v>
      </c>
      <c r="H221" s="23">
        <v>45345</v>
      </c>
      <c r="I221" s="21" t="s">
        <v>22</v>
      </c>
      <c r="J221" s="21" t="s">
        <v>22</v>
      </c>
      <c r="K221" s="24" t="s">
        <v>47</v>
      </c>
      <c r="L221" s="23">
        <v>45340</v>
      </c>
      <c r="M221" s="23">
        <v>45345</v>
      </c>
      <c r="N221" s="25">
        <f t="shared" si="7"/>
        <v>5</v>
      </c>
      <c r="O221" s="26" t="s">
        <v>531</v>
      </c>
      <c r="P221" t="s">
        <v>88</v>
      </c>
      <c r="Q221" t="s">
        <v>88</v>
      </c>
      <c r="R221" t="s">
        <v>88</v>
      </c>
      <c r="S221" t="s">
        <v>88</v>
      </c>
      <c r="T221" t="s">
        <v>88</v>
      </c>
      <c r="U221" t="s">
        <v>20</v>
      </c>
    </row>
    <row r="222" spans="1:21" x14ac:dyDescent="0.45">
      <c r="A222" s="20">
        <v>59432397</v>
      </c>
      <c r="B222" s="21" t="str">
        <f t="shared" si="6"/>
        <v>5.943.239-7</v>
      </c>
      <c r="C222" s="22" t="s">
        <v>22</v>
      </c>
      <c r="D222" s="21" t="str">
        <f>IF(IFERROR(VLOOKUP(A222,$A$9:$I221,1,0),0)=0,"",VLOOKUP(A222,$A$9:$I221,4,0))</f>
        <v>SOTO</v>
      </c>
      <c r="E222" s="21" t="str">
        <f>IF(IFERROR(VLOOKUP(A222,$A$9:$I221,1,0),0)=0,"",VLOOKUP(A222,$A$9:$I221,5,0))</f>
        <v>MEZA</v>
      </c>
      <c r="F222" s="21" t="str">
        <f>IF(IFERROR(VLOOKUP(A222,$A$9:$I221,1,0),0)=0,"",VLOOKUP(A222,$A$9:$I221,6,0))</f>
        <v>MARIA</v>
      </c>
      <c r="G222" s="23">
        <v>45345</v>
      </c>
      <c r="H222" s="23">
        <v>45380</v>
      </c>
      <c r="I222" s="21"/>
      <c r="J222" s="21"/>
      <c r="K222" s="24" t="s">
        <v>43</v>
      </c>
      <c r="L222" s="23">
        <v>45345</v>
      </c>
      <c r="M222" s="23">
        <v>45351</v>
      </c>
      <c r="N222" s="25">
        <f t="shared" si="7"/>
        <v>6</v>
      </c>
      <c r="O222" s="26"/>
      <c r="P222" t="s">
        <v>88</v>
      </c>
      <c r="Q222" t="s">
        <v>88</v>
      </c>
      <c r="R222" t="s">
        <v>88</v>
      </c>
      <c r="S222" t="s">
        <v>88</v>
      </c>
      <c r="T222" t="s">
        <v>88</v>
      </c>
      <c r="U222" t="s">
        <v>20</v>
      </c>
    </row>
    <row r="223" spans="1:21" x14ac:dyDescent="0.45">
      <c r="A223" s="20">
        <v>59432397</v>
      </c>
      <c r="B223" s="21" t="str">
        <f t="shared" si="6"/>
        <v>5.943.239-7</v>
      </c>
      <c r="C223" s="22" t="s">
        <v>22</v>
      </c>
      <c r="D223" s="21" t="str">
        <f>IF(IFERROR(VLOOKUP(A223,$A$9:$I222,1,0),0)=0,"",VLOOKUP(A223,$A$9:$I222,4,0))</f>
        <v>SOTO</v>
      </c>
      <c r="E223" s="21" t="str">
        <f>IF(IFERROR(VLOOKUP(A223,$A$9:$I222,1,0),0)=0,"",VLOOKUP(A223,$A$9:$I222,5,0))</f>
        <v>MEZA</v>
      </c>
      <c r="F223" s="21" t="str">
        <f>IF(IFERROR(VLOOKUP(A223,$A$9:$I222,1,0),0)=0,"",VLOOKUP(A223,$A$9:$I222,6,0))</f>
        <v>MARIA</v>
      </c>
      <c r="G223" s="23">
        <v>45345</v>
      </c>
      <c r="H223" s="23">
        <v>45380</v>
      </c>
      <c r="I223" s="21"/>
      <c r="J223" s="21"/>
      <c r="K223" s="24" t="s">
        <v>47</v>
      </c>
      <c r="L223" s="23">
        <v>45345</v>
      </c>
      <c r="M223" s="23">
        <v>45350</v>
      </c>
      <c r="N223" s="25">
        <f t="shared" si="7"/>
        <v>5</v>
      </c>
      <c r="O223" s="26"/>
      <c r="P223" t="s">
        <v>88</v>
      </c>
      <c r="Q223" t="s">
        <v>88</v>
      </c>
      <c r="R223" t="s">
        <v>88</v>
      </c>
      <c r="S223" t="s">
        <v>88</v>
      </c>
      <c r="T223" t="s">
        <v>88</v>
      </c>
      <c r="U223" t="s">
        <v>20</v>
      </c>
    </row>
    <row r="224" spans="1:21" x14ac:dyDescent="0.45">
      <c r="A224" s="20">
        <v>34804044</v>
      </c>
      <c r="B224" s="21" t="str">
        <f t="shared" si="6"/>
        <v>3.480.404-4</v>
      </c>
      <c r="C224" s="22" t="s">
        <v>38</v>
      </c>
      <c r="D224" s="21" t="s">
        <v>497</v>
      </c>
      <c r="E224" s="21" t="s">
        <v>652</v>
      </c>
      <c r="F224" s="21" t="s">
        <v>712</v>
      </c>
      <c r="G224" s="23">
        <v>45339</v>
      </c>
      <c r="H224" s="23"/>
      <c r="I224" s="21"/>
      <c r="J224" s="21"/>
      <c r="K224" s="24" t="s">
        <v>43</v>
      </c>
      <c r="L224" s="23">
        <v>45346</v>
      </c>
      <c r="M224" s="23">
        <v>45351</v>
      </c>
      <c r="N224" s="25">
        <f t="shared" si="7"/>
        <v>5</v>
      </c>
      <c r="O224" s="26"/>
      <c r="P224" t="s">
        <v>88</v>
      </c>
      <c r="Q224" t="s">
        <v>88</v>
      </c>
      <c r="R224" t="s">
        <v>88</v>
      </c>
      <c r="S224" t="s">
        <v>88</v>
      </c>
      <c r="T224" t="s">
        <v>88</v>
      </c>
      <c r="U224" t="s">
        <v>20</v>
      </c>
    </row>
    <row r="225" spans="1:21" x14ac:dyDescent="0.45">
      <c r="A225" s="20">
        <v>34804044</v>
      </c>
      <c r="B225" s="21" t="str">
        <f t="shared" si="6"/>
        <v>3.480.404-4</v>
      </c>
      <c r="C225" s="22" t="str">
        <f>IF(IFERROR(VLOOKUP(A225,$A$9:$I224,1,0),0)=0,"",VLOOKUP(A225,$A$9:$I224,3,0))</f>
        <v xml:space="preserve">Sala de cuidados intermedios </v>
      </c>
      <c r="D225" s="21" t="str">
        <f>IF(IFERROR(VLOOKUP(A225,$A$9:$I224,1,0),0)=0,"",VLOOKUP(A225,$A$9:$I224,4,0))</f>
        <v>OLATE</v>
      </c>
      <c r="E225" s="21" t="str">
        <f>IF(IFERROR(VLOOKUP(A225,$A$9:$I224,1,0),0)=0,"",VLOOKUP(A225,$A$9:$I224,5,0))</f>
        <v>AGUAYO</v>
      </c>
      <c r="F225" s="21" t="str">
        <f>IF(IFERROR(VLOOKUP(A225,$A$9:$I224,1,0),0)=0,"",VLOOKUP(A225,$A$9:$I224,6,0))</f>
        <v>RAMONA</v>
      </c>
      <c r="G225" s="23">
        <f>IF(IFERROR(VLOOKUP(A225,$A$9:$I224,1,0),0)=0,"",VLOOKUP(A225,$A$9:$I224,7,0))</f>
        <v>45339</v>
      </c>
      <c r="H225" s="23"/>
      <c r="I225" s="21"/>
      <c r="J225" s="21"/>
      <c r="K225" s="24" t="s">
        <v>47</v>
      </c>
      <c r="L225" s="23">
        <v>45348</v>
      </c>
      <c r="M225" s="23">
        <v>45351</v>
      </c>
      <c r="N225" s="25">
        <f t="shared" si="7"/>
        <v>3</v>
      </c>
      <c r="O225" s="26"/>
      <c r="P225" t="s">
        <v>88</v>
      </c>
      <c r="Q225" t="s">
        <v>88</v>
      </c>
      <c r="R225" t="s">
        <v>88</v>
      </c>
      <c r="S225" t="s">
        <v>88</v>
      </c>
      <c r="T225" t="s">
        <v>88</v>
      </c>
      <c r="U225" t="s">
        <v>20</v>
      </c>
    </row>
    <row r="226" spans="1:21" x14ac:dyDescent="0.45">
      <c r="A226" s="20">
        <v>121877007</v>
      </c>
      <c r="B226" s="21" t="str">
        <f t="shared" si="6"/>
        <v>12.187.700-7</v>
      </c>
      <c r="C226" s="22" t="s">
        <v>38</v>
      </c>
      <c r="D226" s="21" t="s">
        <v>501</v>
      </c>
      <c r="E226" s="21" t="s">
        <v>713</v>
      </c>
      <c r="F226" s="21" t="s">
        <v>714</v>
      </c>
      <c r="G226" s="23">
        <v>45348</v>
      </c>
      <c r="H226" s="23"/>
      <c r="I226" s="21"/>
      <c r="J226" s="21"/>
      <c r="K226" s="24" t="s">
        <v>43</v>
      </c>
      <c r="L226" s="23">
        <v>45348</v>
      </c>
      <c r="M226" s="23">
        <v>45351</v>
      </c>
      <c r="N226" s="25">
        <f t="shared" si="7"/>
        <v>3</v>
      </c>
      <c r="O226" s="26"/>
      <c r="P226" t="s">
        <v>88</v>
      </c>
      <c r="Q226" t="s">
        <v>88</v>
      </c>
      <c r="R226" t="s">
        <v>88</v>
      </c>
      <c r="S226" t="s">
        <v>88</v>
      </c>
      <c r="T226" t="s">
        <v>88</v>
      </c>
      <c r="U226" t="s">
        <v>20</v>
      </c>
    </row>
    <row r="227" spans="1:21" x14ac:dyDescent="0.45">
      <c r="A227" s="20">
        <v>121877007</v>
      </c>
      <c r="B227" s="21" t="str">
        <f t="shared" si="6"/>
        <v>12.187.700-7</v>
      </c>
      <c r="C227" s="22" t="str">
        <f>IF(IFERROR(VLOOKUP(A227,$A$9:$I226,1,0),0)=0,"",VLOOKUP(A227,$A$9:$I226,3,0))</f>
        <v xml:space="preserve">Sala de cuidados intermedios </v>
      </c>
      <c r="D227" s="21" t="str">
        <f>IF(IFERROR(VLOOKUP(A227,$A$9:$I226,1,0),0)=0,"",VLOOKUP(A227,$A$9:$I226,4,0))</f>
        <v>REYES</v>
      </c>
      <c r="E227" s="21" t="str">
        <f>IF(IFERROR(VLOOKUP(A227,$A$9:$I226,1,0),0)=0,"",VLOOKUP(A227,$A$9:$I226,5,0))</f>
        <v>CAMARENA</v>
      </c>
      <c r="F227" s="21" t="str">
        <f>IF(IFERROR(VLOOKUP(A227,$A$9:$I226,1,0),0)=0,"",VLOOKUP(A227,$A$9:$I226,6,0))</f>
        <v>MAGADALENA</v>
      </c>
      <c r="G227" s="23">
        <f>IF(IFERROR(VLOOKUP(A227,$A$9:$I226,1,0),0)=0,"",VLOOKUP(A227,$A$9:$I226,7,0))</f>
        <v>45348</v>
      </c>
      <c r="H227" s="23"/>
      <c r="I227" s="21"/>
      <c r="J227" s="21"/>
      <c r="K227" s="24" t="s">
        <v>47</v>
      </c>
      <c r="L227" s="23">
        <v>45348</v>
      </c>
      <c r="M227" s="23">
        <v>45351</v>
      </c>
      <c r="N227" s="25">
        <f t="shared" si="7"/>
        <v>3</v>
      </c>
      <c r="O227" s="26"/>
      <c r="P227" t="s">
        <v>88</v>
      </c>
      <c r="Q227" t="s">
        <v>88</v>
      </c>
      <c r="R227" t="s">
        <v>88</v>
      </c>
      <c r="S227" t="s">
        <v>88</v>
      </c>
      <c r="T227" t="s">
        <v>88</v>
      </c>
      <c r="U227" t="s">
        <v>20</v>
      </c>
    </row>
    <row r="228" spans="1:21" x14ac:dyDescent="0.45">
      <c r="U228">
        <f>COUNTIF(U8:U227,"si")</f>
        <v>13</v>
      </c>
    </row>
  </sheetData>
  <dataValidations xWindow="1065" yWindow="494" count="5">
    <dataValidation type="date" operator="greaterThanOrEqual" allowBlank="1" showInputMessage="1" showErrorMessage="1" errorTitle="Error de formato de fecha" error="Favor escribir fecha en formato indicado en mensaje." promptTitle="Inserte fecha" prompt="Utilice el formato_x000a_DD-MM-AAAA" sqref="G8:H23 G24:G227 H27:H85 H88:H227 L8:L227 M32:M36 M83:M85 M119:M120 M167:M172 M177 M200:M203 M209:M221" xr:uid="{00000000-0002-0000-0300-000000000000}">
      <formula1>42583</formula1>
    </dataValidation>
    <dataValidation type="date" operator="greaterThanOrEqual" allowBlank="1" showInputMessage="1" showErrorMessage="1" errorTitle="Error de formato de fecha" error="Favor escribir fecha en formato indicado en mensaje." promptTitle="Inserte fecha" prompt="Utilice el formato DD-MM-AAAA._x000a_Si al terminar la quincena, el paciente hospitalizado mantiene el elemento invasivo instalado, favor colocar la fecha de término de la quincena. Luego, especificar en observaciones." sqref="M8:M31 M37:M82 M88:M118 M121:M166 M173:M176 M178:M199 M204:M208 M222:M227" xr:uid="{00000000-0002-0000-0300-000001000000}">
      <formula1>42583</formula1>
    </dataValidation>
    <dataValidation type="textLength" allowBlank="1" showInputMessage="1" showErrorMessage="1" errorTitle="Error de formato" error="Ingrese un rut válido, sin utilizar puntos ni guión." promptTitle="Ingrese Rut" prompt="No utilice puntos ni guión. Si necesita agregar nuevos tipos de invasivos para un mismo paciente, ingrese nuevamente el rut en la siguiente fila." sqref="A8:A227" xr:uid="{00000000-0002-0000-0300-000002000000}">
      <formula1>8</formula1>
      <formula2>9</formula2>
    </dataValidation>
    <dataValidation allowBlank="1" sqref="N1:N1047068" xr:uid="{00000000-0002-0000-0300-000003000000}"/>
    <dataValidation allowBlank="1" showInputMessage="1" sqref="O1:O1047391" xr:uid="{00000000-0002-0000-0300-000004000000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30"/>
  <sheetViews>
    <sheetView topLeftCell="A92" zoomScale="70" zoomScaleNormal="70" workbookViewId="0">
      <pane xSplit="2" topLeftCell="C1" activePane="topRight" state="frozen"/>
      <selection pane="topRight" activeCell="U65" sqref="U65"/>
    </sheetView>
  </sheetViews>
  <sheetFormatPr baseColWidth="10" defaultRowHeight="14.25" x14ac:dyDescent="0.45"/>
  <cols>
    <col min="11" max="11" width="21" style="64" customWidth="1"/>
  </cols>
  <sheetData>
    <row r="1" spans="1:21" x14ac:dyDescent="0.45">
      <c r="A1" s="1" t="s">
        <v>215</v>
      </c>
      <c r="B1" s="1"/>
      <c r="C1" s="1"/>
      <c r="D1" s="1"/>
      <c r="E1" s="1"/>
      <c r="F1" s="1"/>
      <c r="G1" s="1"/>
      <c r="H1" s="1"/>
      <c r="I1" s="1"/>
      <c r="J1" s="1"/>
      <c r="K1" s="58"/>
      <c r="L1" s="1"/>
      <c r="M1" s="1"/>
      <c r="N1" s="1"/>
      <c r="O1" s="1"/>
    </row>
    <row r="2" spans="1:21" x14ac:dyDescent="0.45">
      <c r="A2" s="3"/>
      <c r="B2" s="3"/>
      <c r="C2" s="3"/>
      <c r="D2" s="3"/>
      <c r="E2" s="3"/>
      <c r="F2" s="3"/>
      <c r="G2" s="3"/>
      <c r="H2" s="3"/>
      <c r="I2" s="3"/>
      <c r="J2" s="3"/>
      <c r="K2" s="59"/>
      <c r="L2" s="3"/>
      <c r="M2" s="3"/>
      <c r="N2" s="3"/>
      <c r="O2" s="3"/>
    </row>
    <row r="3" spans="1:21" x14ac:dyDescent="0.45">
      <c r="A3" s="5" t="s">
        <v>216</v>
      </c>
      <c r="B3" s="6"/>
      <c r="C3" s="7" t="s">
        <v>22</v>
      </c>
      <c r="D3" s="6" t="s">
        <v>217</v>
      </c>
      <c r="E3" s="7" t="s">
        <v>21</v>
      </c>
      <c r="F3" s="6" t="s">
        <v>218</v>
      </c>
      <c r="G3" s="7"/>
      <c r="H3" s="6" t="s">
        <v>219</v>
      </c>
      <c r="I3" s="7">
        <v>2024</v>
      </c>
      <c r="J3" s="6"/>
      <c r="K3" s="60"/>
      <c r="L3" s="6"/>
      <c r="M3" s="6"/>
      <c r="N3" s="6"/>
      <c r="O3" s="6"/>
    </row>
    <row r="4" spans="1:21" x14ac:dyDescent="0.45">
      <c r="A4" s="3"/>
      <c r="B4" s="3"/>
      <c r="C4" s="3"/>
      <c r="D4" s="3"/>
      <c r="E4" s="3"/>
      <c r="F4" s="3"/>
      <c r="G4" s="3"/>
      <c r="H4" s="3"/>
      <c r="I4" s="3"/>
      <c r="J4" s="3"/>
      <c r="K4" s="61"/>
      <c r="L4" s="3"/>
      <c r="M4" s="3"/>
      <c r="N4" s="3"/>
      <c r="O4" s="3"/>
    </row>
    <row r="5" spans="1:21" x14ac:dyDescent="0.45">
      <c r="A5" s="3"/>
      <c r="B5" s="3"/>
      <c r="C5" s="3"/>
      <c r="D5" s="3"/>
      <c r="E5" s="3"/>
      <c r="F5" s="3"/>
      <c r="G5" s="3"/>
      <c r="H5" s="3"/>
      <c r="I5" s="3"/>
      <c r="J5" s="3"/>
      <c r="K5" s="61"/>
      <c r="L5" s="3"/>
      <c r="M5" s="3"/>
      <c r="N5" s="3"/>
      <c r="O5" s="3"/>
    </row>
    <row r="6" spans="1:21" ht="14.65" customHeight="1" thickBot="1" x14ac:dyDescent="0.5">
      <c r="A6" s="3"/>
      <c r="B6" s="3"/>
      <c r="C6" s="3"/>
      <c r="D6" s="3"/>
      <c r="E6" s="3"/>
      <c r="F6" s="3"/>
      <c r="G6" s="3"/>
      <c r="H6" s="3"/>
      <c r="I6" s="3"/>
      <c r="J6" s="3"/>
      <c r="K6" s="61"/>
      <c r="L6" s="3"/>
      <c r="M6" s="3"/>
      <c r="N6" s="3"/>
      <c r="O6" s="3"/>
    </row>
    <row r="7" spans="1:21" ht="30.75" customHeight="1" x14ac:dyDescent="0.45">
      <c r="A7" s="10" t="s">
        <v>220</v>
      </c>
      <c r="B7" s="11" t="s">
        <v>221</v>
      </c>
      <c r="C7" s="11" t="s">
        <v>222</v>
      </c>
      <c r="D7" s="12" t="s">
        <v>223</v>
      </c>
      <c r="E7" s="12" t="s">
        <v>224</v>
      </c>
      <c r="F7" s="11" t="s">
        <v>225</v>
      </c>
      <c r="G7" s="12" t="s">
        <v>226</v>
      </c>
      <c r="H7" s="12" t="s">
        <v>227</v>
      </c>
      <c r="I7" s="11" t="s">
        <v>4</v>
      </c>
      <c r="J7" s="11" t="s">
        <v>5</v>
      </c>
      <c r="K7" s="62" t="s">
        <v>3</v>
      </c>
      <c r="L7" s="12" t="s">
        <v>228</v>
      </c>
      <c r="M7" s="12" t="s">
        <v>229</v>
      </c>
      <c r="N7" s="14" t="s">
        <v>230</v>
      </c>
      <c r="O7" s="16" t="s">
        <v>7</v>
      </c>
      <c r="P7" s="127" t="s">
        <v>231</v>
      </c>
      <c r="Q7" s="127" t="s">
        <v>232</v>
      </c>
      <c r="R7" s="127" t="s">
        <v>233</v>
      </c>
      <c r="S7" s="127" t="s">
        <v>234</v>
      </c>
      <c r="T7" s="127" t="s">
        <v>235</v>
      </c>
      <c r="U7" s="127" t="s">
        <v>8</v>
      </c>
    </row>
    <row r="8" spans="1:21" x14ac:dyDescent="0.45">
      <c r="A8" s="20">
        <v>29283559</v>
      </c>
      <c r="B8" s="21" t="str">
        <f t="shared" ref="B8:B25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2.928.355-9</v>
      </c>
      <c r="C8" s="22" t="s">
        <v>22</v>
      </c>
      <c r="D8" s="21" t="s">
        <v>393</v>
      </c>
      <c r="E8" s="21" t="s">
        <v>393</v>
      </c>
      <c r="F8" s="21" t="s">
        <v>238</v>
      </c>
      <c r="G8" s="23">
        <v>45341</v>
      </c>
      <c r="H8" s="23">
        <v>45368</v>
      </c>
      <c r="I8" s="21" t="s">
        <v>22</v>
      </c>
      <c r="J8" s="21" t="s">
        <v>22</v>
      </c>
      <c r="K8" s="24" t="s">
        <v>43</v>
      </c>
      <c r="L8" s="23">
        <v>45352</v>
      </c>
      <c r="M8" s="23">
        <v>45368</v>
      </c>
      <c r="N8" s="25">
        <f t="shared" ref="N8:N39" si="1">+M8-L8</f>
        <v>16</v>
      </c>
      <c r="O8" s="26"/>
      <c r="P8" t="s">
        <v>88</v>
      </c>
      <c r="Q8" t="s">
        <v>88</v>
      </c>
      <c r="R8" t="s">
        <v>88</v>
      </c>
      <c r="S8" t="s">
        <v>88</v>
      </c>
      <c r="T8" t="s">
        <v>88</v>
      </c>
      <c r="U8" t="s">
        <v>20</v>
      </c>
    </row>
    <row r="9" spans="1:21" x14ac:dyDescent="0.45">
      <c r="A9" s="20">
        <v>29283559</v>
      </c>
      <c r="B9" s="21" t="str">
        <f t="shared" si="0"/>
        <v>2.928.355-9</v>
      </c>
      <c r="C9" s="22" t="str">
        <f>IF(IFERROR(VLOOKUP(A9,$A8:$I$9,1,0),0)=0,"",VLOOKUP(A9,$A8:$I$9,3,0))</f>
        <v>UCI</v>
      </c>
      <c r="D9" s="21" t="str">
        <f>IF(IFERROR(VLOOKUP(A9,$A8:$I$9,1,0),0)=0,"",VLOOKUP(A9,$A8:$I$9,4,0))</f>
        <v>FERNANDEZ</v>
      </c>
      <c r="E9" s="21" t="str">
        <f>IF(IFERROR(VLOOKUP(A9,$A8:$I$9,1,0),0)=0,"",VLOOKUP(A9,$A8:$I$9,5,0))</f>
        <v>FERNANDEZ</v>
      </c>
      <c r="F9" s="21" t="str">
        <f>IF(IFERROR(VLOOKUP(A9,$A8:$I$9,1,0),0)=0,"",VLOOKUP(A9,$A8:$I$9,6,0))</f>
        <v>LUIS</v>
      </c>
      <c r="G9" s="23">
        <f>IF(IFERROR(VLOOKUP(A9,$A8:$I$9,1,0),0)=0,"",VLOOKUP(A9,$A8:$I$9,7,0))</f>
        <v>45341</v>
      </c>
      <c r="H9" s="23">
        <v>45368</v>
      </c>
      <c r="I9" s="21" t="s">
        <v>22</v>
      </c>
      <c r="J9" s="21" t="s">
        <v>22</v>
      </c>
      <c r="K9" s="24" t="s">
        <v>47</v>
      </c>
      <c r="L9" s="23">
        <v>45352</v>
      </c>
      <c r="M9" s="23">
        <v>45368</v>
      </c>
      <c r="N9" s="25">
        <f t="shared" si="1"/>
        <v>16</v>
      </c>
      <c r="O9" s="26"/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20</v>
      </c>
    </row>
    <row r="10" spans="1:21" x14ac:dyDescent="0.45">
      <c r="A10" s="20">
        <v>29283559</v>
      </c>
      <c r="B10" s="21" t="str">
        <f t="shared" si="0"/>
        <v>2.928.355-9</v>
      </c>
      <c r="C10" s="22" t="str">
        <f>IF(IFERROR(VLOOKUP(A10,$A9:$I$9,1,0),0)=0,"",VLOOKUP(A10,$A9:$I$9,3,0))</f>
        <v>UCI</v>
      </c>
      <c r="D10" s="21" t="str">
        <f>IF(IFERROR(VLOOKUP(A10,$A9:$I$9,1,0),0)=0,"",VLOOKUP(A10,$A9:$I$9,4,0))</f>
        <v>FERNANDEZ</v>
      </c>
      <c r="E10" s="21" t="str">
        <f>IF(IFERROR(VLOOKUP(A10,$A9:$I$9,1,0),0)=0,"",VLOOKUP(A10,$A9:$I$9,5,0))</f>
        <v>FERNANDEZ</v>
      </c>
      <c r="F10" s="21" t="str">
        <f>IF(IFERROR(VLOOKUP(A10,$A9:$I$9,1,0),0)=0,"",VLOOKUP(A10,$A9:$I$9,6,0))</f>
        <v>LUIS</v>
      </c>
      <c r="G10" s="23">
        <f>IF(IFERROR(VLOOKUP(A10,$A9:$I$9,1,0),0)=0,"",VLOOKUP(A10,$A9:$I$9,7,0))</f>
        <v>45341</v>
      </c>
      <c r="H10" s="23">
        <v>45368</v>
      </c>
      <c r="I10" s="21" t="s">
        <v>22</v>
      </c>
      <c r="J10" s="21" t="s">
        <v>22</v>
      </c>
      <c r="K10" s="24" t="s">
        <v>55</v>
      </c>
      <c r="L10" s="23">
        <v>45352</v>
      </c>
      <c r="M10" s="23">
        <v>45368</v>
      </c>
      <c r="N10" s="25">
        <f t="shared" si="1"/>
        <v>16</v>
      </c>
      <c r="O10" s="26"/>
      <c r="P10" t="s">
        <v>88</v>
      </c>
      <c r="Q10" t="s">
        <v>88</v>
      </c>
      <c r="R10" t="s">
        <v>88</v>
      </c>
      <c r="S10" t="s">
        <v>88</v>
      </c>
      <c r="T10" t="s">
        <v>88</v>
      </c>
      <c r="U10" t="s">
        <v>20</v>
      </c>
    </row>
    <row r="11" spans="1:21" x14ac:dyDescent="0.45">
      <c r="A11" s="20">
        <v>95368123</v>
      </c>
      <c r="B11" s="21" t="str">
        <f t="shared" si="0"/>
        <v>9.536.812-3</v>
      </c>
      <c r="C11" s="22" t="s">
        <v>22</v>
      </c>
      <c r="D11" s="21" t="s">
        <v>652</v>
      </c>
      <c r="E11" s="21" t="s">
        <v>653</v>
      </c>
      <c r="F11" s="21" t="s">
        <v>654</v>
      </c>
      <c r="G11" s="23">
        <v>45340</v>
      </c>
      <c r="H11" s="23">
        <v>45363</v>
      </c>
      <c r="I11" s="21" t="s">
        <v>22</v>
      </c>
      <c r="J11" s="21" t="s">
        <v>26</v>
      </c>
      <c r="K11" s="24" t="s">
        <v>43</v>
      </c>
      <c r="L11" s="23">
        <v>45352</v>
      </c>
      <c r="M11" s="23">
        <v>45356</v>
      </c>
      <c r="N11" s="25">
        <f t="shared" si="1"/>
        <v>4</v>
      </c>
      <c r="O11" s="26"/>
      <c r="P11" t="s">
        <v>88</v>
      </c>
      <c r="Q11" t="s">
        <v>88</v>
      </c>
      <c r="R11" t="s">
        <v>88</v>
      </c>
      <c r="S11" t="s">
        <v>88</v>
      </c>
      <c r="T11" t="s">
        <v>88</v>
      </c>
      <c r="U11" t="s">
        <v>20</v>
      </c>
    </row>
    <row r="12" spans="1:21" x14ac:dyDescent="0.45">
      <c r="A12" s="20">
        <v>95368123</v>
      </c>
      <c r="B12" s="21" t="str">
        <f t="shared" si="0"/>
        <v>9.536.812-3</v>
      </c>
      <c r="C12" s="22" t="str">
        <f>IF(IFERROR(VLOOKUP(A12,$A$9:$I11,1,0),0)=0,"",VLOOKUP(A12,$A$9:$I11,3,0))</f>
        <v>UCI</v>
      </c>
      <c r="D12" s="21" t="s">
        <v>652</v>
      </c>
      <c r="E12" s="21" t="str">
        <f>IF(IFERROR(VLOOKUP(A12,$A$9:$I11,1,0),0)=0,"",VLOOKUP(A12,$A$9:$I11,5,0))</f>
        <v>DIOCARES</v>
      </c>
      <c r="F12" s="21" t="str">
        <f>IF(IFERROR(VLOOKUP(A12,$A$9:$I11,1,0),0)=0,"",VLOOKUP(A12,$A$9:$I11,6,0))</f>
        <v>SERGIO</v>
      </c>
      <c r="G12" s="23">
        <f>IF(IFERROR(VLOOKUP(A12,$A$9:$I11,1,0),0)=0,"",VLOOKUP(A12,$A$9:$I11,7,0))</f>
        <v>45340</v>
      </c>
      <c r="H12" s="23">
        <v>45363</v>
      </c>
      <c r="I12" s="21" t="s">
        <v>22</v>
      </c>
      <c r="J12" s="21" t="s">
        <v>26</v>
      </c>
      <c r="K12" s="24" t="s">
        <v>55</v>
      </c>
      <c r="L12" s="23">
        <v>45352</v>
      </c>
      <c r="M12" s="23">
        <v>45356</v>
      </c>
      <c r="N12" s="25">
        <f t="shared" si="1"/>
        <v>4</v>
      </c>
      <c r="O12" s="26"/>
      <c r="P12" t="s">
        <v>88</v>
      </c>
      <c r="Q12" t="s">
        <v>88</v>
      </c>
      <c r="R12" t="s">
        <v>88</v>
      </c>
      <c r="S12" t="s">
        <v>88</v>
      </c>
      <c r="T12" t="s">
        <v>88</v>
      </c>
      <c r="U12" t="s">
        <v>20</v>
      </c>
    </row>
    <row r="13" spans="1:21" x14ac:dyDescent="0.45">
      <c r="A13" s="20">
        <v>91736217</v>
      </c>
      <c r="B13" s="21" t="str">
        <f t="shared" si="0"/>
        <v>9.173.621-7</v>
      </c>
      <c r="C13" s="22" t="s">
        <v>22</v>
      </c>
      <c r="D13" s="21" t="s">
        <v>384</v>
      </c>
      <c r="E13" s="21" t="s">
        <v>715</v>
      </c>
      <c r="F13" s="21" t="s">
        <v>348</v>
      </c>
      <c r="G13" s="23">
        <v>45351</v>
      </c>
      <c r="H13" s="23">
        <v>45357</v>
      </c>
      <c r="I13" s="21" t="s">
        <v>22</v>
      </c>
      <c r="J13" s="21" t="s">
        <v>19</v>
      </c>
      <c r="K13" s="24" t="s">
        <v>43</v>
      </c>
      <c r="L13" s="23">
        <v>45352</v>
      </c>
      <c r="M13" s="23">
        <v>45357</v>
      </c>
      <c r="N13" s="25">
        <f t="shared" si="1"/>
        <v>5</v>
      </c>
      <c r="O13" s="26"/>
      <c r="P13" t="s">
        <v>88</v>
      </c>
      <c r="Q13" t="s">
        <v>88</v>
      </c>
      <c r="R13" t="s">
        <v>88</v>
      </c>
      <c r="S13" t="s">
        <v>88</v>
      </c>
      <c r="T13" t="s">
        <v>88</v>
      </c>
      <c r="U13" t="s">
        <v>20</v>
      </c>
    </row>
    <row r="14" spans="1:21" x14ac:dyDescent="0.45">
      <c r="A14" s="20">
        <v>91736217</v>
      </c>
      <c r="B14" s="21" t="str">
        <f t="shared" si="0"/>
        <v>9.173.621-7</v>
      </c>
      <c r="C14" s="22" t="str">
        <f>IF(IFERROR(VLOOKUP(A14,$A$9:$I13,1,0),0)=0,"",VLOOKUP(A14,$A$9:$I13,3,0))</f>
        <v>UCI</v>
      </c>
      <c r="D14" s="21" t="str">
        <f>IF(IFERROR(VLOOKUP(A14,$A$9:$I13,1,0),0)=0,"",VLOOKUP(A14,$A$9:$I13,4,0))</f>
        <v>MUÑOZ</v>
      </c>
      <c r="E14" s="21" t="str">
        <f>IF(IFERROR(VLOOKUP(A14,$A$9:$I13,1,0),0)=0,"",VLOOKUP(A14,$A$9:$I13,5,0))</f>
        <v>ARCHA</v>
      </c>
      <c r="F14" s="21" t="str">
        <f>IF(IFERROR(VLOOKUP(A14,$A$9:$I13,1,0),0)=0,"",VLOOKUP(A14,$A$9:$I13,6,0))</f>
        <v>MARIA</v>
      </c>
      <c r="G14" s="23">
        <f>IF(IFERROR(VLOOKUP(A14,$A$9:$I13,1,0),0)=0,"",VLOOKUP(A14,$A$9:$I13,7,0))</f>
        <v>45351</v>
      </c>
      <c r="H14" s="23">
        <v>45357</v>
      </c>
      <c r="I14" s="21" t="s">
        <v>22</v>
      </c>
      <c r="J14" s="21" t="s">
        <v>19</v>
      </c>
      <c r="K14" s="24" t="s">
        <v>47</v>
      </c>
      <c r="L14" s="23">
        <v>45352</v>
      </c>
      <c r="M14" s="23">
        <v>45357</v>
      </c>
      <c r="N14" s="25">
        <f t="shared" si="1"/>
        <v>5</v>
      </c>
      <c r="O14" s="26"/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20</v>
      </c>
    </row>
    <row r="15" spans="1:21" x14ac:dyDescent="0.45">
      <c r="A15" s="20">
        <v>91736217</v>
      </c>
      <c r="B15" s="21" t="str">
        <f t="shared" si="0"/>
        <v>9.173.621-7</v>
      </c>
      <c r="C15" s="22" t="str">
        <f>IF(IFERROR(VLOOKUP(A15,$A$9:$I14,1,0),0)=0,"",VLOOKUP(A15,$A$9:$I14,3,0))</f>
        <v>UCI</v>
      </c>
      <c r="D15" s="21" t="str">
        <f>IF(IFERROR(VLOOKUP(A15,$A$9:$I14,1,0),0)=0,"",VLOOKUP(A15,$A$9:$I14,4,0))</f>
        <v>MUÑOZ</v>
      </c>
      <c r="E15" s="21" t="str">
        <f>IF(IFERROR(VLOOKUP(A15,$A$9:$I14,1,0),0)=0,"",VLOOKUP(A15,$A$9:$I14,5,0))</f>
        <v>ARCHA</v>
      </c>
      <c r="F15" s="21" t="str">
        <f>IF(IFERROR(VLOOKUP(A15,$A$9:$I14,1,0),0)=0,"",VLOOKUP(A15,$A$9:$I14,6,0))</f>
        <v>MARIA</v>
      </c>
      <c r="G15" s="23">
        <f>IF(IFERROR(VLOOKUP(A15,$A$9:$I14,1,0),0)=0,"",VLOOKUP(A15,$A$9:$I14,7,0))</f>
        <v>45351</v>
      </c>
      <c r="H15" s="23">
        <v>45357</v>
      </c>
      <c r="I15" s="21" t="s">
        <v>22</v>
      </c>
      <c r="J15" s="21" t="s">
        <v>19</v>
      </c>
      <c r="K15" s="24" t="s">
        <v>55</v>
      </c>
      <c r="L15" s="23">
        <v>45352</v>
      </c>
      <c r="M15" s="23">
        <v>45357</v>
      </c>
      <c r="N15" s="25">
        <f t="shared" si="1"/>
        <v>5</v>
      </c>
      <c r="O15" s="26"/>
      <c r="P15" t="s">
        <v>88</v>
      </c>
      <c r="Q15" t="s">
        <v>88</v>
      </c>
      <c r="R15" t="s">
        <v>88</v>
      </c>
      <c r="S15" t="s">
        <v>88</v>
      </c>
      <c r="T15" t="s">
        <v>88</v>
      </c>
      <c r="U15" t="s">
        <v>20</v>
      </c>
    </row>
    <row r="16" spans="1:21" x14ac:dyDescent="0.45">
      <c r="A16" s="20" t="s">
        <v>716</v>
      </c>
      <c r="B16" s="21" t="str">
        <f t="shared" si="0"/>
        <v>9.375.000-4</v>
      </c>
      <c r="C16" s="22" t="s">
        <v>22</v>
      </c>
      <c r="D16" s="21" t="s">
        <v>426</v>
      </c>
      <c r="E16" s="21" t="s">
        <v>405</v>
      </c>
      <c r="F16" s="21" t="s">
        <v>717</v>
      </c>
      <c r="G16" s="23">
        <v>45354</v>
      </c>
      <c r="H16" s="23">
        <v>45365</v>
      </c>
      <c r="I16" s="21" t="s">
        <v>22</v>
      </c>
      <c r="J16" s="21" t="s">
        <v>22</v>
      </c>
      <c r="K16" s="24" t="s">
        <v>43</v>
      </c>
      <c r="L16" s="23">
        <v>45354</v>
      </c>
      <c r="M16" s="23">
        <v>45365</v>
      </c>
      <c r="N16" s="25">
        <f t="shared" si="1"/>
        <v>11</v>
      </c>
      <c r="O16" s="26"/>
      <c r="P16" t="s">
        <v>88</v>
      </c>
      <c r="Q16" t="s">
        <v>88</v>
      </c>
      <c r="R16" t="s">
        <v>88</v>
      </c>
      <c r="S16" t="s">
        <v>88</v>
      </c>
      <c r="T16" t="s">
        <v>88</v>
      </c>
      <c r="U16" t="s">
        <v>20</v>
      </c>
    </row>
    <row r="17" spans="1:21" x14ac:dyDescent="0.45">
      <c r="A17" s="20" t="s">
        <v>716</v>
      </c>
      <c r="B17" s="21" t="str">
        <f t="shared" si="0"/>
        <v>9.375.000-4</v>
      </c>
      <c r="C17" s="22" t="str">
        <f>IF(IFERROR(VLOOKUP(A17,$A$9:$I16,1,0),0)=0,"",VLOOKUP(A17,$A$9:$I16,3,0))</f>
        <v>UCI</v>
      </c>
      <c r="D17" s="21" t="str">
        <f>IF(IFERROR(VLOOKUP(A17,$A$9:$I16,1,0),0)=0,"",VLOOKUP(A17,$A$9:$I16,4,0))</f>
        <v>GODOY</v>
      </c>
      <c r="E17" s="21" t="str">
        <f>IF(IFERROR(VLOOKUP(A17,$A$9:$I16,1,0),0)=0,"",VLOOKUP(A17,$A$9:$I16,5,0))</f>
        <v>MONSALVES</v>
      </c>
      <c r="F17" s="21" t="str">
        <f>IF(IFERROR(VLOOKUP(A17,$A$9:$I16,1,0),0)=0,"",VLOOKUP(A17,$A$9:$I16,6,0))</f>
        <v>ELIZABETH</v>
      </c>
      <c r="G17" s="23">
        <f>IF(IFERROR(VLOOKUP(A17,$A$9:$I16,1,0),0)=0,"",VLOOKUP(A17,$A$9:$I16,7,0))</f>
        <v>45354</v>
      </c>
      <c r="H17" s="23">
        <v>45365</v>
      </c>
      <c r="I17" s="21" t="s">
        <v>22</v>
      </c>
      <c r="J17" s="21" t="s">
        <v>22</v>
      </c>
      <c r="K17" s="24" t="s">
        <v>47</v>
      </c>
      <c r="L17" s="23">
        <v>45354</v>
      </c>
      <c r="M17" s="23">
        <v>45365</v>
      </c>
      <c r="N17" s="25">
        <f t="shared" si="1"/>
        <v>11</v>
      </c>
      <c r="O17" s="26"/>
      <c r="P17" t="s">
        <v>88</v>
      </c>
      <c r="Q17" t="s">
        <v>88</v>
      </c>
      <c r="R17" t="s">
        <v>88</v>
      </c>
      <c r="S17" t="s">
        <v>88</v>
      </c>
      <c r="T17" t="s">
        <v>88</v>
      </c>
      <c r="U17" t="s">
        <v>20</v>
      </c>
    </row>
    <row r="18" spans="1:21" x14ac:dyDescent="0.45">
      <c r="A18" s="20" t="s">
        <v>716</v>
      </c>
      <c r="B18" s="21" t="str">
        <f t="shared" si="0"/>
        <v>9.375.000-4</v>
      </c>
      <c r="C18" s="22" t="s">
        <v>22</v>
      </c>
      <c r="D18" s="21" t="str">
        <f>IF(IFERROR(VLOOKUP(A18,$A$9:$I17,1,0),0)=0,"",VLOOKUP(A18,$A$9:$I17,4,0))</f>
        <v>GODOY</v>
      </c>
      <c r="E18" s="21" t="str">
        <f>IF(IFERROR(VLOOKUP(A18,$A$9:$I17,1,0),0)=0,"",VLOOKUP(A18,$A$9:$I17,5,0))</f>
        <v>MONSALVES</v>
      </c>
      <c r="F18" s="21" t="str">
        <f>IF(IFERROR(VLOOKUP(A18,$A$9:$I17,1,0),0)=0,"",VLOOKUP(A18,$A$9:$I17,6,0))</f>
        <v>ELIZABETH</v>
      </c>
      <c r="G18" s="23">
        <v>45365</v>
      </c>
      <c r="H18" s="23">
        <v>45374</v>
      </c>
      <c r="I18" s="21" t="s">
        <v>22</v>
      </c>
      <c r="J18" s="21" t="s">
        <v>22</v>
      </c>
      <c r="K18" s="24" t="s">
        <v>43</v>
      </c>
      <c r="L18" s="23">
        <v>45365</v>
      </c>
      <c r="M18" s="23">
        <v>45374</v>
      </c>
      <c r="N18" s="25">
        <f t="shared" si="1"/>
        <v>9</v>
      </c>
      <c r="O18" s="26"/>
      <c r="P18" t="s">
        <v>88</v>
      </c>
      <c r="Q18" t="s">
        <v>88</v>
      </c>
      <c r="R18" t="s">
        <v>88</v>
      </c>
      <c r="S18" t="s">
        <v>88</v>
      </c>
      <c r="T18" t="s">
        <v>88</v>
      </c>
      <c r="U18" t="s">
        <v>20</v>
      </c>
    </row>
    <row r="19" spans="1:21" x14ac:dyDescent="0.45">
      <c r="A19" s="20" t="s">
        <v>716</v>
      </c>
      <c r="B19" s="21" t="str">
        <f t="shared" si="0"/>
        <v>9.375.000-4</v>
      </c>
      <c r="C19" s="22" t="s">
        <v>22</v>
      </c>
      <c r="D19" s="21" t="str">
        <f>IF(IFERROR(VLOOKUP(A19,$A$9:$I18,1,0),0)=0,"",VLOOKUP(A19,$A$9:$I18,4,0))</f>
        <v>GODOY</v>
      </c>
      <c r="E19" s="21" t="str">
        <f>IF(IFERROR(VLOOKUP(A19,$A$9:$I18,1,0),0)=0,"",VLOOKUP(A19,$A$9:$I18,5,0))</f>
        <v>MONSALVES</v>
      </c>
      <c r="F19" s="21" t="str">
        <f>IF(IFERROR(VLOOKUP(A19,$A$9:$I18,1,0),0)=0,"",VLOOKUP(A19,$A$9:$I18,6,0))</f>
        <v>ELIZABETH</v>
      </c>
      <c r="G19" s="23">
        <v>45365</v>
      </c>
      <c r="H19" s="23">
        <v>45374</v>
      </c>
      <c r="I19" s="21" t="s">
        <v>22</v>
      </c>
      <c r="J19" s="21" t="s">
        <v>22</v>
      </c>
      <c r="K19" s="24" t="s">
        <v>47</v>
      </c>
      <c r="L19" s="23">
        <v>45365</v>
      </c>
      <c r="M19" s="23">
        <v>45374</v>
      </c>
      <c r="N19" s="25">
        <f t="shared" si="1"/>
        <v>9</v>
      </c>
      <c r="O19" s="26"/>
      <c r="P19" t="s">
        <v>88</v>
      </c>
      <c r="Q19" t="s">
        <v>88</v>
      </c>
      <c r="R19" t="s">
        <v>88</v>
      </c>
      <c r="S19" t="s">
        <v>88</v>
      </c>
      <c r="T19" t="s">
        <v>88</v>
      </c>
      <c r="U19" t="s">
        <v>20</v>
      </c>
    </row>
    <row r="20" spans="1:21" x14ac:dyDescent="0.45">
      <c r="A20" s="20">
        <v>69383165</v>
      </c>
      <c r="B20" s="21" t="str">
        <f t="shared" si="0"/>
        <v>6.938.316-5</v>
      </c>
      <c r="C20" s="22" t="s">
        <v>22</v>
      </c>
      <c r="D20" s="21" t="s">
        <v>666</v>
      </c>
      <c r="E20" s="21" t="s">
        <v>417</v>
      </c>
      <c r="F20" s="21" t="s">
        <v>475</v>
      </c>
      <c r="G20" s="23">
        <v>45349</v>
      </c>
      <c r="H20" s="23">
        <v>45382</v>
      </c>
      <c r="I20" s="21" t="s">
        <v>54</v>
      </c>
      <c r="J20" s="21" t="s">
        <v>65</v>
      </c>
      <c r="K20" s="24" t="s">
        <v>43</v>
      </c>
      <c r="L20" s="23">
        <v>45352</v>
      </c>
      <c r="M20" s="23">
        <v>45366</v>
      </c>
      <c r="N20" s="25">
        <f t="shared" si="1"/>
        <v>14</v>
      </c>
      <c r="O20" s="26"/>
      <c r="P20" t="s">
        <v>88</v>
      </c>
      <c r="Q20" t="s">
        <v>88</v>
      </c>
      <c r="R20" t="s">
        <v>88</v>
      </c>
      <c r="S20" t="s">
        <v>88</v>
      </c>
      <c r="T20" t="s">
        <v>88</v>
      </c>
      <c r="U20" t="s">
        <v>20</v>
      </c>
    </row>
    <row r="21" spans="1:21" x14ac:dyDescent="0.45">
      <c r="A21" s="20">
        <v>69383165</v>
      </c>
      <c r="B21" s="21" t="str">
        <f t="shared" si="0"/>
        <v>6.938.316-5</v>
      </c>
      <c r="C21" s="22" t="str">
        <f>IF(IFERROR(VLOOKUP(A21,$A$9:$I20,1,0),0)=0,"",VLOOKUP(A21,$A$9:$I20,3,0))</f>
        <v>UCI</v>
      </c>
      <c r="D21" s="21" t="str">
        <f>IF(IFERROR(VLOOKUP(A21,$A$9:$I20,1,0),0)=0,"",VLOOKUP(A21,$A$9:$I20,4,0))</f>
        <v>MOSCOSO</v>
      </c>
      <c r="E21" s="21" t="str">
        <f>IF(IFERROR(VLOOKUP(A21,$A$9:$I20,1,0),0)=0,"",VLOOKUP(A21,$A$9:$I20,5,0))</f>
        <v>LOPEZ</v>
      </c>
      <c r="F21" s="21" t="str">
        <f>IF(IFERROR(VLOOKUP(A21,$A$9:$I20,1,0),0)=0,"",VLOOKUP(A21,$A$9:$I20,6,0))</f>
        <v>ROSA</v>
      </c>
      <c r="G21" s="23">
        <f>IF(IFERROR(VLOOKUP(A21,$A$9:$I20,1,0),0)=0,"",VLOOKUP(A21,$A$9:$I20,7,0))</f>
        <v>45349</v>
      </c>
      <c r="H21" s="23">
        <v>45382</v>
      </c>
      <c r="I21" s="21" t="s">
        <v>54</v>
      </c>
      <c r="J21" s="21" t="s">
        <v>65</v>
      </c>
      <c r="K21" s="24" t="s">
        <v>47</v>
      </c>
      <c r="L21" s="23">
        <v>45352</v>
      </c>
      <c r="M21" s="23">
        <v>45382</v>
      </c>
      <c r="N21" s="25">
        <f t="shared" si="1"/>
        <v>30</v>
      </c>
      <c r="O21" s="26"/>
      <c r="P21" t="s">
        <v>88</v>
      </c>
      <c r="Q21" t="s">
        <v>88</v>
      </c>
      <c r="R21" t="s">
        <v>88</v>
      </c>
      <c r="S21" t="s">
        <v>88</v>
      </c>
      <c r="T21" t="s">
        <v>88</v>
      </c>
      <c r="U21" t="s">
        <v>20</v>
      </c>
    </row>
    <row r="22" spans="1:21" x14ac:dyDescent="0.45">
      <c r="A22" s="20">
        <v>69383165</v>
      </c>
      <c r="B22" s="21" t="str">
        <f t="shared" si="0"/>
        <v>6.938.316-5</v>
      </c>
      <c r="C22" s="22" t="str">
        <f>IF(IFERROR(VLOOKUP(A22,$A$9:$I21,1,0),0)=0,"",VLOOKUP(A22,$A$9:$I21,3,0))</f>
        <v>UCI</v>
      </c>
      <c r="D22" s="21" t="str">
        <f>IF(IFERROR(VLOOKUP(A22,$A$9:$I21,1,0),0)=0,"",VLOOKUP(A22,$A$9:$I21,4,0))</f>
        <v>MOSCOSO</v>
      </c>
      <c r="E22" s="21" t="str">
        <f>IF(IFERROR(VLOOKUP(A22,$A$9:$I21,1,0),0)=0,"",VLOOKUP(A22,$A$9:$I21,5,0))</f>
        <v>LOPEZ</v>
      </c>
      <c r="F22" s="21" t="str">
        <f>IF(IFERROR(VLOOKUP(A22,$A$9:$I21,1,0),0)=0,"",VLOOKUP(A22,$A$9:$I21,6,0))</f>
        <v>ROSA</v>
      </c>
      <c r="G22" s="23">
        <f>IF(IFERROR(VLOOKUP(A22,$A$9:$I21,1,0),0)=0,"",VLOOKUP(A22,$A$9:$I21,7,0))</f>
        <v>45349</v>
      </c>
      <c r="H22" s="23">
        <v>45382</v>
      </c>
      <c r="I22" s="21" t="s">
        <v>54</v>
      </c>
      <c r="J22" s="21" t="s">
        <v>65</v>
      </c>
      <c r="K22" s="24" t="s">
        <v>55</v>
      </c>
      <c r="L22" s="23">
        <v>45352</v>
      </c>
      <c r="M22" s="23">
        <v>45382</v>
      </c>
      <c r="N22" s="25">
        <f t="shared" si="1"/>
        <v>30</v>
      </c>
      <c r="O22" s="26"/>
      <c r="P22" t="s">
        <v>88</v>
      </c>
      <c r="Q22" t="s">
        <v>88</v>
      </c>
      <c r="R22" t="s">
        <v>88</v>
      </c>
      <c r="S22" t="s">
        <v>88</v>
      </c>
      <c r="T22" t="s">
        <v>88</v>
      </c>
      <c r="U22" t="s">
        <v>20</v>
      </c>
    </row>
    <row r="23" spans="1:21" x14ac:dyDescent="0.45">
      <c r="A23" s="20" t="s">
        <v>718</v>
      </c>
      <c r="B23" s="21" t="str">
        <f t="shared" si="0"/>
        <v>17.222.542-K</v>
      </c>
      <c r="C23" s="22" t="s">
        <v>22</v>
      </c>
      <c r="D23" s="21" t="s">
        <v>322</v>
      </c>
      <c r="E23" s="21" t="s">
        <v>277</v>
      </c>
      <c r="F23" s="21" t="s">
        <v>449</v>
      </c>
      <c r="G23" s="23">
        <v>45351</v>
      </c>
      <c r="H23" s="23">
        <v>45358</v>
      </c>
      <c r="I23" s="21" t="s">
        <v>22</v>
      </c>
      <c r="J23" s="21" t="s">
        <v>13</v>
      </c>
      <c r="K23" s="24" t="s">
        <v>43</v>
      </c>
      <c r="L23" s="23">
        <v>45352</v>
      </c>
      <c r="M23" s="23">
        <v>45358</v>
      </c>
      <c r="N23" s="25">
        <f t="shared" si="1"/>
        <v>6</v>
      </c>
      <c r="O23" s="26"/>
      <c r="P23" t="s">
        <v>88</v>
      </c>
      <c r="Q23" t="s">
        <v>88</v>
      </c>
      <c r="R23" t="s">
        <v>88</v>
      </c>
      <c r="S23" t="s">
        <v>88</v>
      </c>
      <c r="T23" t="s">
        <v>88</v>
      </c>
      <c r="U23" t="s">
        <v>20</v>
      </c>
    </row>
    <row r="24" spans="1:21" x14ac:dyDescent="0.45">
      <c r="A24" s="20" t="s">
        <v>718</v>
      </c>
      <c r="B24" s="21" t="str">
        <f t="shared" si="0"/>
        <v>17.222.542-K</v>
      </c>
      <c r="C24" s="22" t="str">
        <f>IF(IFERROR(VLOOKUP(A24,$A$9:$I23,1,0),0)=0,"",VLOOKUP(A24,$A$9:$I23,3,0))</f>
        <v>UCI</v>
      </c>
      <c r="D24" s="21" t="str">
        <f>IF(IFERROR(VLOOKUP(A24,$A$9:$I23,1,0),0)=0,"",VLOOKUP(A24,$A$9:$I23,4,0))</f>
        <v>VENEGAS</v>
      </c>
      <c r="E24" s="21" t="str">
        <f>IF(IFERROR(VLOOKUP(A24,$A$9:$I23,1,0),0)=0,"",VLOOKUP(A24,$A$9:$I23,5,0))</f>
        <v>MORA</v>
      </c>
      <c r="F24" s="21" t="str">
        <f>IF(IFERROR(VLOOKUP(A24,$A$9:$I23,1,0),0)=0,"",VLOOKUP(A24,$A$9:$I23,6,0))</f>
        <v>GABRIELA</v>
      </c>
      <c r="G24" s="23">
        <f>IF(IFERROR(VLOOKUP(A24,$A$9:$I23,1,0),0)=0,"",VLOOKUP(A24,$A$9:$I23,7,0))</f>
        <v>45351</v>
      </c>
      <c r="H24" s="23">
        <v>45358</v>
      </c>
      <c r="I24" s="21" t="s">
        <v>22</v>
      </c>
      <c r="J24" s="21" t="s">
        <v>13</v>
      </c>
      <c r="K24" s="24" t="s">
        <v>47</v>
      </c>
      <c r="L24" s="23">
        <v>45352</v>
      </c>
      <c r="M24" s="23">
        <v>45358</v>
      </c>
      <c r="N24" s="25">
        <f t="shared" si="1"/>
        <v>6</v>
      </c>
      <c r="O24" s="26"/>
      <c r="P24" t="s">
        <v>88</v>
      </c>
      <c r="Q24" t="s">
        <v>88</v>
      </c>
      <c r="R24" t="s">
        <v>88</v>
      </c>
      <c r="S24" t="s">
        <v>88</v>
      </c>
      <c r="T24" t="s">
        <v>88</v>
      </c>
      <c r="U24" t="s">
        <v>20</v>
      </c>
    </row>
    <row r="25" spans="1:21" x14ac:dyDescent="0.45">
      <c r="A25" s="20" t="s">
        <v>718</v>
      </c>
      <c r="B25" s="21" t="str">
        <f t="shared" si="0"/>
        <v>17.222.542-K</v>
      </c>
      <c r="C25" s="22" t="str">
        <f>IF(IFERROR(VLOOKUP(A25,$A$9:$I24,1,0),0)=0,"",VLOOKUP(A25,$A$9:$I24,3,0))</f>
        <v>UCI</v>
      </c>
      <c r="D25" s="21" t="str">
        <f>IF(IFERROR(VLOOKUP(A25,$A$9:$I24,1,0),0)=0,"",VLOOKUP(A25,$A$9:$I24,4,0))</f>
        <v>VENEGAS</v>
      </c>
      <c r="E25" s="21" t="str">
        <f>IF(IFERROR(VLOOKUP(A25,$A$9:$I24,1,0),0)=0,"",VLOOKUP(A25,$A$9:$I24,5,0))</f>
        <v>MORA</v>
      </c>
      <c r="F25" s="21" t="str">
        <f>IF(IFERROR(VLOOKUP(A25,$A$9:$I24,1,0),0)=0,"",VLOOKUP(A25,$A$9:$I24,6,0))</f>
        <v>GABRIELA</v>
      </c>
      <c r="G25" s="23">
        <f>IF(IFERROR(VLOOKUP(A25,$A$9:$I24,1,0),0)=0,"",VLOOKUP(A25,$A$9:$I24,7,0))</f>
        <v>45351</v>
      </c>
      <c r="H25" s="23">
        <v>45358</v>
      </c>
      <c r="I25" s="21" t="s">
        <v>22</v>
      </c>
      <c r="J25" s="21" t="s">
        <v>13</v>
      </c>
      <c r="K25" s="24" t="s">
        <v>55</v>
      </c>
      <c r="L25" s="23">
        <v>45352</v>
      </c>
      <c r="M25" s="23">
        <v>45356</v>
      </c>
      <c r="N25" s="25">
        <f t="shared" si="1"/>
        <v>4</v>
      </c>
      <c r="O25" s="26"/>
      <c r="P25" t="s">
        <v>88</v>
      </c>
      <c r="Q25" t="s">
        <v>88</v>
      </c>
      <c r="R25" t="s">
        <v>88</v>
      </c>
      <c r="S25" t="s">
        <v>88</v>
      </c>
      <c r="T25" t="s">
        <v>88</v>
      </c>
      <c r="U25" t="s">
        <v>20</v>
      </c>
    </row>
    <row r="26" spans="1:21" x14ac:dyDescent="0.45">
      <c r="A26" s="20">
        <v>162839543</v>
      </c>
      <c r="B26" s="21" t="s">
        <v>719</v>
      </c>
      <c r="C26" s="22" t="s">
        <v>22</v>
      </c>
      <c r="D26" s="21" t="s">
        <v>670</v>
      </c>
      <c r="E26" s="21" t="s">
        <v>671</v>
      </c>
      <c r="F26" s="21" t="s">
        <v>672</v>
      </c>
      <c r="G26" s="23">
        <v>45345</v>
      </c>
      <c r="H26" s="23">
        <v>45364</v>
      </c>
      <c r="I26" s="21"/>
      <c r="J26" s="21" t="s">
        <v>26</v>
      </c>
      <c r="K26" s="24" t="s">
        <v>43</v>
      </c>
      <c r="L26" s="23">
        <v>45352</v>
      </c>
      <c r="M26" s="23">
        <v>45356</v>
      </c>
      <c r="N26" s="25">
        <f t="shared" si="1"/>
        <v>4</v>
      </c>
      <c r="O26" s="26"/>
      <c r="P26" t="s">
        <v>88</v>
      </c>
      <c r="Q26" t="s">
        <v>88</v>
      </c>
      <c r="R26" t="s">
        <v>88</v>
      </c>
      <c r="S26" t="s">
        <v>88</v>
      </c>
      <c r="T26" t="s">
        <v>88</v>
      </c>
      <c r="U26" t="s">
        <v>20</v>
      </c>
    </row>
    <row r="27" spans="1:21" x14ac:dyDescent="0.45">
      <c r="A27" s="20">
        <v>162839543</v>
      </c>
      <c r="B27" s="21" t="str">
        <f t="shared" ref="B27:B58" si="2">IF(LEN(A27)=8,MID(A27,1,1)&amp;"."&amp;MID(A27,2,3)&amp;"."&amp;MID(A27,5,3)&amp;"-"&amp;RIGHT(A27,1),IF(LEFT(RIGHT(A27,2),1)="-",MID(A27,1,1)&amp;"."&amp;MID(A27,2,3)&amp;"."&amp;MID(A27,5,3)&amp;"-"&amp;RIGHT(A27,1),MID(A27,1,2)&amp;"."&amp;MID(A27,3,3)&amp;"."&amp;MID(A27,6,3)&amp;"-"&amp;MID(A27,9,1)))</f>
        <v>16.283.954-3</v>
      </c>
      <c r="C27" s="22" t="str">
        <f>IF(IFERROR(VLOOKUP(A27,$A$9:$I26,1,0),0)=0,"",VLOOKUP(A27,$A$9:$I26,3,0))</f>
        <v>UCI</v>
      </c>
      <c r="D27" s="21" t="str">
        <f>IF(IFERROR(VLOOKUP(A27,$A$9:$I26,1,0),0)=0,"",VLOOKUP(A27,$A$9:$I26,4,0))</f>
        <v>VALENZUELA</v>
      </c>
      <c r="E27" s="21" t="str">
        <f>IF(IFERROR(VLOOKUP(A27,$A$9:$I26,1,0),0)=0,"",VLOOKUP(A27,$A$9:$I26,5,0))</f>
        <v>GUIÑEZ</v>
      </c>
      <c r="F27" s="21" t="str">
        <f>IF(IFERROR(VLOOKUP(A27,$A$9:$I26,1,0),0)=0,"",VLOOKUP(A27,$A$9:$I26,6,0))</f>
        <v>KAREN</v>
      </c>
      <c r="G27" s="23">
        <f>IF(IFERROR(VLOOKUP(A27,$A$9:$I26,1,0),0)=0,"",VLOOKUP(A27,$A$9:$I26,7,0))</f>
        <v>45345</v>
      </c>
      <c r="H27" s="23">
        <v>45364</v>
      </c>
      <c r="I27" s="21" t="s">
        <v>22</v>
      </c>
      <c r="J27" s="21" t="s">
        <v>26</v>
      </c>
      <c r="K27" s="24" t="s">
        <v>47</v>
      </c>
      <c r="L27" s="23">
        <v>45352</v>
      </c>
      <c r="M27" s="23">
        <v>45364</v>
      </c>
      <c r="N27" s="25">
        <f t="shared" si="1"/>
        <v>12</v>
      </c>
      <c r="O27" s="26"/>
      <c r="P27" t="s">
        <v>88</v>
      </c>
      <c r="Q27" t="s">
        <v>88</v>
      </c>
      <c r="R27" t="s">
        <v>88</v>
      </c>
      <c r="S27" t="s">
        <v>88</v>
      </c>
      <c r="T27" t="s">
        <v>88</v>
      </c>
      <c r="U27" t="s">
        <v>20</v>
      </c>
    </row>
    <row r="28" spans="1:21" x14ac:dyDescent="0.45">
      <c r="A28" s="20">
        <v>162839543</v>
      </c>
      <c r="B28" s="21" t="str">
        <f t="shared" si="2"/>
        <v>16.283.954-3</v>
      </c>
      <c r="C28" s="22" t="str">
        <f>IF(IFERROR(VLOOKUP(A28,$A$9:$I27,1,0),0)=0,"",VLOOKUP(A28,$A$9:$I27,3,0))</f>
        <v>UCI</v>
      </c>
      <c r="D28" s="21" t="str">
        <f>IF(IFERROR(VLOOKUP(A28,$A$9:$I27,1,0),0)=0,"",VLOOKUP(A28,$A$9:$I27,4,0))</f>
        <v>VALENZUELA</v>
      </c>
      <c r="E28" s="21" t="str">
        <f>IF(IFERROR(VLOOKUP(A28,$A$9:$I27,1,0),0)=0,"",VLOOKUP(A28,$A$9:$I27,5,0))</f>
        <v>GUIÑEZ</v>
      </c>
      <c r="F28" s="21" t="str">
        <f>IF(IFERROR(VLOOKUP(A28,$A$9:$I27,1,0),0)=0,"",VLOOKUP(A28,$A$9:$I27,6,0))</f>
        <v>KAREN</v>
      </c>
      <c r="G28" s="23">
        <f>IF(IFERROR(VLOOKUP(A28,$A$9:$I27,1,0),0)=0,"",VLOOKUP(A28,$A$9:$I27,7,0))</f>
        <v>45345</v>
      </c>
      <c r="H28" s="23">
        <v>45364</v>
      </c>
      <c r="I28" s="21" t="s">
        <v>22</v>
      </c>
      <c r="J28" s="21" t="s">
        <v>26</v>
      </c>
      <c r="K28" s="24" t="s">
        <v>55</v>
      </c>
      <c r="L28" s="23">
        <v>45352</v>
      </c>
      <c r="M28" s="23">
        <v>45355</v>
      </c>
      <c r="N28" s="25">
        <f t="shared" si="1"/>
        <v>3</v>
      </c>
      <c r="O28" s="26"/>
      <c r="P28" t="s">
        <v>88</v>
      </c>
      <c r="Q28" t="s">
        <v>88</v>
      </c>
      <c r="R28" t="s">
        <v>88</v>
      </c>
      <c r="S28" t="s">
        <v>88</v>
      </c>
      <c r="T28" t="s">
        <v>88</v>
      </c>
      <c r="U28" t="s">
        <v>20</v>
      </c>
    </row>
    <row r="29" spans="1:21" x14ac:dyDescent="0.45">
      <c r="A29" s="20">
        <v>162839543</v>
      </c>
      <c r="B29" s="21" t="str">
        <f t="shared" si="2"/>
        <v>16.283.954-3</v>
      </c>
      <c r="C29" s="22" t="str">
        <f>IF(IFERROR(VLOOKUP(A29,$A$9:$I28,1,0),0)=0,"",VLOOKUP(A29,$A$9:$I28,3,0))</f>
        <v>UCI</v>
      </c>
      <c r="D29" s="21" t="str">
        <f>IF(IFERROR(VLOOKUP(A29,$A$9:$I28,1,0),0)=0,"",VLOOKUP(A29,$A$9:$I28,4,0))</f>
        <v>VALENZUELA</v>
      </c>
      <c r="E29" s="21" t="str">
        <f>IF(IFERROR(VLOOKUP(A29,$A$9:$I28,1,0),0)=0,"",VLOOKUP(A29,$A$9:$I28,5,0))</f>
        <v>GUIÑEZ</v>
      </c>
      <c r="F29" s="21" t="str">
        <f>IF(IFERROR(VLOOKUP(A29,$A$9:$I28,1,0),0)=0,"",VLOOKUP(A29,$A$9:$I28,6,0))</f>
        <v>KAREN</v>
      </c>
      <c r="G29" s="23">
        <f>IF(IFERROR(VLOOKUP(A29,$A$9:$I28,1,0),0)=0,"",VLOOKUP(A29,$A$9:$I28,7,0))</f>
        <v>45345</v>
      </c>
      <c r="H29" s="23">
        <v>45364</v>
      </c>
      <c r="I29" s="21" t="s">
        <v>22</v>
      </c>
      <c r="J29" s="21" t="s">
        <v>26</v>
      </c>
      <c r="K29" s="24" t="s">
        <v>18</v>
      </c>
      <c r="L29" s="23">
        <v>45356</v>
      </c>
      <c r="M29" s="23">
        <v>45364</v>
      </c>
      <c r="N29" s="25">
        <f t="shared" si="1"/>
        <v>8</v>
      </c>
      <c r="O29" s="26"/>
      <c r="P29" t="s">
        <v>88</v>
      </c>
      <c r="Q29" t="s">
        <v>88</v>
      </c>
      <c r="R29" t="s">
        <v>88</v>
      </c>
      <c r="S29" t="s">
        <v>88</v>
      </c>
      <c r="T29" t="s">
        <v>88</v>
      </c>
      <c r="U29" t="s">
        <v>20</v>
      </c>
    </row>
    <row r="30" spans="1:21" x14ac:dyDescent="0.45">
      <c r="A30" s="20">
        <v>93234731</v>
      </c>
      <c r="B30" s="21" t="str">
        <f t="shared" si="2"/>
        <v>9.323.473-1</v>
      </c>
      <c r="C30" s="22" t="s">
        <v>22</v>
      </c>
      <c r="D30" s="21" t="s">
        <v>720</v>
      </c>
      <c r="E30" s="21" t="s">
        <v>417</v>
      </c>
      <c r="F30" s="21" t="s">
        <v>721</v>
      </c>
      <c r="G30" s="23">
        <v>45355</v>
      </c>
      <c r="H30" s="23">
        <v>45357</v>
      </c>
      <c r="I30" s="21" t="s">
        <v>22</v>
      </c>
      <c r="J30" s="21" t="s">
        <v>56</v>
      </c>
      <c r="K30" s="24" t="s">
        <v>43</v>
      </c>
      <c r="L30" s="23">
        <v>45355</v>
      </c>
      <c r="M30" s="23">
        <v>45357</v>
      </c>
      <c r="N30" s="25">
        <f t="shared" si="1"/>
        <v>2</v>
      </c>
      <c r="O30" s="26"/>
      <c r="P30" t="s">
        <v>88</v>
      </c>
      <c r="Q30" t="s">
        <v>88</v>
      </c>
      <c r="R30" t="s">
        <v>88</v>
      </c>
      <c r="S30" t="s">
        <v>88</v>
      </c>
      <c r="T30" t="s">
        <v>88</v>
      </c>
      <c r="U30" t="s">
        <v>20</v>
      </c>
    </row>
    <row r="31" spans="1:21" x14ac:dyDescent="0.45">
      <c r="A31" s="20">
        <v>93234731</v>
      </c>
      <c r="B31" s="21" t="str">
        <f t="shared" si="2"/>
        <v>9.323.473-1</v>
      </c>
      <c r="C31" s="22" t="str">
        <f>IF(IFERROR(VLOOKUP(A31,$A$9:$I30,1,0),0)=0,"",VLOOKUP(A31,$A$9:$I30,3,0))</f>
        <v>UCI</v>
      </c>
      <c r="D31" s="21" t="str">
        <f>IF(IFERROR(VLOOKUP(A31,$A$9:$I30,1,0),0)=0,"",VLOOKUP(A31,$A$9:$I30,4,0))</f>
        <v>MATURANA</v>
      </c>
      <c r="E31" s="21" t="str">
        <f>IF(IFERROR(VLOOKUP(A31,$A$9:$I30,1,0),0)=0,"",VLOOKUP(A31,$A$9:$I30,5,0))</f>
        <v>LOPEZ</v>
      </c>
      <c r="F31" s="21" t="str">
        <f>IF(IFERROR(VLOOKUP(A31,$A$9:$I30,1,0),0)=0,"",VLOOKUP(A31,$A$9:$I30,6,0))</f>
        <v>KLONICIA</v>
      </c>
      <c r="G31" s="23">
        <f>IF(IFERROR(VLOOKUP(A31,$A$9:$I30,1,0),0)=0,"",VLOOKUP(A31,$A$9:$I30,7,0))</f>
        <v>45355</v>
      </c>
      <c r="H31" s="23">
        <v>45357</v>
      </c>
      <c r="I31" s="21" t="s">
        <v>22</v>
      </c>
      <c r="J31" s="21" t="s">
        <v>56</v>
      </c>
      <c r="K31" s="24" t="s">
        <v>47</v>
      </c>
      <c r="L31" s="23">
        <v>45355</v>
      </c>
      <c r="M31" s="23">
        <v>45357</v>
      </c>
      <c r="N31" s="25">
        <f t="shared" si="1"/>
        <v>2</v>
      </c>
      <c r="O31" s="26"/>
      <c r="P31" t="s">
        <v>88</v>
      </c>
      <c r="Q31" t="s">
        <v>88</v>
      </c>
      <c r="R31" t="s">
        <v>88</v>
      </c>
      <c r="S31" t="s">
        <v>88</v>
      </c>
      <c r="T31" t="s">
        <v>88</v>
      </c>
      <c r="U31" t="s">
        <v>20</v>
      </c>
    </row>
    <row r="32" spans="1:21" x14ac:dyDescent="0.45">
      <c r="A32" s="20">
        <v>183865919</v>
      </c>
      <c r="B32" s="21" t="str">
        <f t="shared" si="2"/>
        <v>18.386.591-9</v>
      </c>
      <c r="C32" s="22" t="s">
        <v>22</v>
      </c>
      <c r="D32" s="21" t="s">
        <v>722</v>
      </c>
      <c r="E32" s="21" t="s">
        <v>723</v>
      </c>
      <c r="F32" s="21" t="s">
        <v>724</v>
      </c>
      <c r="G32" s="23">
        <v>45353</v>
      </c>
      <c r="H32" s="23">
        <v>45357</v>
      </c>
      <c r="I32" s="21" t="s">
        <v>22</v>
      </c>
      <c r="J32" s="21" t="s">
        <v>13</v>
      </c>
      <c r="K32" s="24" t="s">
        <v>43</v>
      </c>
      <c r="L32" s="23">
        <v>45353</v>
      </c>
      <c r="M32" s="23">
        <v>45356</v>
      </c>
      <c r="N32" s="25">
        <f t="shared" si="1"/>
        <v>3</v>
      </c>
      <c r="O32" s="26"/>
      <c r="P32" t="s">
        <v>88</v>
      </c>
      <c r="Q32" t="s">
        <v>88</v>
      </c>
      <c r="R32" t="s">
        <v>88</v>
      </c>
      <c r="S32" t="s">
        <v>88</v>
      </c>
      <c r="T32" t="s">
        <v>88</v>
      </c>
      <c r="U32" t="s">
        <v>20</v>
      </c>
    </row>
    <row r="33" spans="1:21" x14ac:dyDescent="0.45">
      <c r="A33" s="20">
        <v>183865919</v>
      </c>
      <c r="B33" s="21" t="str">
        <f t="shared" si="2"/>
        <v>18.386.591-9</v>
      </c>
      <c r="C33" s="22" t="str">
        <f>IF(IFERROR(VLOOKUP(A33,$A$9:$I32,1,0),0)=0,"",VLOOKUP(A33,$A$9:$I32,3,0))</f>
        <v>UCI</v>
      </c>
      <c r="D33" s="21" t="str">
        <f>IF(IFERROR(VLOOKUP(A33,$A$9:$I32,1,0),0)=0,"",VLOOKUP(A33,$A$9:$I32,4,0))</f>
        <v>PROBOSTE</v>
      </c>
      <c r="E33" s="21" t="str">
        <f>IF(IFERROR(VLOOKUP(A33,$A$9:$I32,1,0),0)=0,"",VLOOKUP(A33,$A$9:$I32,5,0))</f>
        <v>PALMA</v>
      </c>
      <c r="F33" s="21" t="str">
        <f>IF(IFERROR(VLOOKUP(A33,$A$9:$I32,1,0),0)=0,"",VLOOKUP(A33,$A$9:$I32,6,0))</f>
        <v>GELBART</v>
      </c>
      <c r="G33" s="23">
        <f>IF(IFERROR(VLOOKUP(A33,$A$9:$I32,1,0),0)=0,"",VLOOKUP(A33,$A$9:$I32,7,0))</f>
        <v>45353</v>
      </c>
      <c r="H33" s="23">
        <v>45357</v>
      </c>
      <c r="I33" s="21" t="s">
        <v>22</v>
      </c>
      <c r="J33" s="21" t="s">
        <v>13</v>
      </c>
      <c r="K33" s="24" t="s">
        <v>47</v>
      </c>
      <c r="L33" s="23">
        <v>45353</v>
      </c>
      <c r="M33" s="23">
        <v>45356</v>
      </c>
      <c r="N33" s="25">
        <f t="shared" si="1"/>
        <v>3</v>
      </c>
      <c r="O33" s="26"/>
      <c r="P33" t="s">
        <v>88</v>
      </c>
      <c r="Q33" t="s">
        <v>88</v>
      </c>
      <c r="R33" t="s">
        <v>88</v>
      </c>
      <c r="S33" t="s">
        <v>88</v>
      </c>
      <c r="T33" t="s">
        <v>88</v>
      </c>
      <c r="U33" t="s">
        <v>20</v>
      </c>
    </row>
    <row r="34" spans="1:21" x14ac:dyDescent="0.45">
      <c r="A34" s="20" t="s">
        <v>674</v>
      </c>
      <c r="B34" s="21" t="str">
        <f t="shared" si="2"/>
        <v>9.288.127-K</v>
      </c>
      <c r="C34" s="22" t="s">
        <v>22</v>
      </c>
      <c r="D34" s="21" t="s">
        <v>501</v>
      </c>
      <c r="E34" s="21" t="s">
        <v>675</v>
      </c>
      <c r="F34" s="21" t="s">
        <v>676</v>
      </c>
      <c r="G34" s="23">
        <v>45349</v>
      </c>
      <c r="H34" s="23">
        <v>45365</v>
      </c>
      <c r="I34" s="21" t="s">
        <v>22</v>
      </c>
      <c r="J34" s="21" t="s">
        <v>13</v>
      </c>
      <c r="K34" s="24" t="s">
        <v>43</v>
      </c>
      <c r="L34" s="23">
        <v>45352</v>
      </c>
      <c r="M34" s="23">
        <v>45365</v>
      </c>
      <c r="N34" s="25">
        <f t="shared" si="1"/>
        <v>13</v>
      </c>
      <c r="O34" s="26"/>
      <c r="P34" t="s">
        <v>88</v>
      </c>
      <c r="Q34" t="s">
        <v>88</v>
      </c>
      <c r="R34" t="s">
        <v>88</v>
      </c>
      <c r="S34" t="s">
        <v>88</v>
      </c>
      <c r="T34" t="s">
        <v>88</v>
      </c>
      <c r="U34" t="s">
        <v>20</v>
      </c>
    </row>
    <row r="35" spans="1:21" x14ac:dyDescent="0.45">
      <c r="A35" s="20" t="s">
        <v>674</v>
      </c>
      <c r="B35" s="21" t="str">
        <f t="shared" si="2"/>
        <v>9.288.127-K</v>
      </c>
      <c r="C35" s="22" t="str">
        <f>IF(IFERROR(VLOOKUP(A35,$A$9:$I34,1,0),0)=0,"",VLOOKUP(A35,$A$9:$I34,3,0))</f>
        <v>UCI</v>
      </c>
      <c r="D35" s="21" t="str">
        <f>IF(IFERROR(VLOOKUP(A35,$A$9:$I34,1,0),0)=0,"",VLOOKUP(A35,$A$9:$I34,4,0))</f>
        <v>REYES</v>
      </c>
      <c r="E35" s="21" t="str">
        <f>IF(IFERROR(VLOOKUP(A35,$A$9:$I34,1,0),0)=0,"",VLOOKUP(A35,$A$9:$I34,5,0))</f>
        <v>SANDOVAL</v>
      </c>
      <c r="F35" s="21" t="str">
        <f>IF(IFERROR(VLOOKUP(A35,$A$9:$I34,1,0),0)=0,"",VLOOKUP(A35,$A$9:$I34,6,0))</f>
        <v>CARMEN</v>
      </c>
      <c r="G35" s="23">
        <f>IF(IFERROR(VLOOKUP(A35,$A$9:$I34,1,0),0)=0,"",VLOOKUP(A35,$A$9:$I34,7,0))</f>
        <v>45349</v>
      </c>
      <c r="H35" s="23">
        <v>45365</v>
      </c>
      <c r="I35" s="21" t="s">
        <v>22</v>
      </c>
      <c r="J35" s="21" t="s">
        <v>13</v>
      </c>
      <c r="K35" s="24" t="s">
        <v>47</v>
      </c>
      <c r="L35" s="23">
        <v>45352</v>
      </c>
      <c r="M35" s="23">
        <v>45365</v>
      </c>
      <c r="N35" s="25">
        <f t="shared" si="1"/>
        <v>13</v>
      </c>
      <c r="O35" s="26"/>
      <c r="P35" t="s">
        <v>88</v>
      </c>
      <c r="Q35" t="s">
        <v>88</v>
      </c>
      <c r="R35" t="s">
        <v>88</v>
      </c>
      <c r="S35" t="s">
        <v>88</v>
      </c>
      <c r="T35" t="s">
        <v>88</v>
      </c>
      <c r="U35" t="s">
        <v>20</v>
      </c>
    </row>
    <row r="36" spans="1:21" x14ac:dyDescent="0.45">
      <c r="A36" s="20">
        <v>78756381</v>
      </c>
      <c r="B36" s="21" t="str">
        <f t="shared" si="2"/>
        <v>7.875.638-1</v>
      </c>
      <c r="C36" s="22" t="s">
        <v>22</v>
      </c>
      <c r="D36" s="21" t="s">
        <v>673</v>
      </c>
      <c r="E36" s="21" t="s">
        <v>488</v>
      </c>
      <c r="F36" s="21" t="s">
        <v>638</v>
      </c>
      <c r="G36" s="23">
        <v>45348</v>
      </c>
      <c r="H36" s="23">
        <v>45374</v>
      </c>
      <c r="I36" s="21" t="s">
        <v>22</v>
      </c>
      <c r="J36" s="21" t="s">
        <v>19</v>
      </c>
      <c r="K36" s="24" t="s">
        <v>43</v>
      </c>
      <c r="L36" s="23">
        <v>45352</v>
      </c>
      <c r="M36" s="23">
        <v>45370</v>
      </c>
      <c r="N36" s="25">
        <f t="shared" si="1"/>
        <v>18</v>
      </c>
      <c r="O36" s="26"/>
      <c r="P36" t="s">
        <v>88</v>
      </c>
      <c r="Q36" t="s">
        <v>88</v>
      </c>
      <c r="R36" t="s">
        <v>88</v>
      </c>
      <c r="S36" t="s">
        <v>88</v>
      </c>
      <c r="T36" t="s">
        <v>88</v>
      </c>
      <c r="U36" t="s">
        <v>20</v>
      </c>
    </row>
    <row r="37" spans="1:21" x14ac:dyDescent="0.45">
      <c r="A37" s="20">
        <v>78756381</v>
      </c>
      <c r="B37" s="21" t="str">
        <f t="shared" si="2"/>
        <v>7.875.638-1</v>
      </c>
      <c r="C37" s="22" t="str">
        <f>IF(IFERROR(VLOOKUP(A37,$A$9:$I36,1,0),0)=0,"",VLOOKUP(A37,$A$9:$I36,3,0))</f>
        <v>UCI</v>
      </c>
      <c r="D37" s="21" t="str">
        <f>IF(IFERROR(VLOOKUP(A37,$A$9:$I36,1,0),0)=0,"",VLOOKUP(A37,$A$9:$I36,4,0))</f>
        <v>NOVA</v>
      </c>
      <c r="E37" s="21" t="str">
        <f>IF(IFERROR(VLOOKUP(A37,$A$9:$I36,1,0),0)=0,"",VLOOKUP(A37,$A$9:$I36,5,0))</f>
        <v>PARRA</v>
      </c>
      <c r="F37" s="21" t="str">
        <f>IF(IFERROR(VLOOKUP(A37,$A$9:$I36,1,0),0)=0,"",VLOOKUP(A37,$A$9:$I36,6,0))</f>
        <v>CARLOS</v>
      </c>
      <c r="G37" s="23">
        <f>IF(IFERROR(VLOOKUP(A37,$A$9:$I36,1,0),0)=0,"",VLOOKUP(A37,$A$9:$I36,7,0))</f>
        <v>45348</v>
      </c>
      <c r="H37" s="23">
        <v>45374</v>
      </c>
      <c r="I37" s="21" t="s">
        <v>22</v>
      </c>
      <c r="J37" s="21" t="s">
        <v>19</v>
      </c>
      <c r="K37" s="24" t="s">
        <v>47</v>
      </c>
      <c r="L37" s="23">
        <v>45352</v>
      </c>
      <c r="M37" s="23">
        <v>45370</v>
      </c>
      <c r="N37" s="25">
        <f t="shared" si="1"/>
        <v>18</v>
      </c>
      <c r="O37" s="26"/>
      <c r="P37" t="s">
        <v>88</v>
      </c>
      <c r="Q37" t="s">
        <v>88</v>
      </c>
      <c r="R37" t="s">
        <v>88</v>
      </c>
      <c r="S37" t="s">
        <v>88</v>
      </c>
      <c r="T37" t="s">
        <v>88</v>
      </c>
      <c r="U37" t="s">
        <v>20</v>
      </c>
    </row>
    <row r="38" spans="1:21" x14ac:dyDescent="0.45">
      <c r="A38" s="20">
        <v>78756381</v>
      </c>
      <c r="B38" s="21" t="str">
        <f t="shared" si="2"/>
        <v>7.875.638-1</v>
      </c>
      <c r="C38" s="22" t="str">
        <f>IF(IFERROR(VLOOKUP(A38,$A$9:$I37,1,0),0)=0,"",VLOOKUP(A38,$A$9:$I37,3,0))</f>
        <v>UCI</v>
      </c>
      <c r="D38" s="21" t="str">
        <f>IF(IFERROR(VLOOKUP(A38,$A$9:$I37,1,0),0)=0,"",VLOOKUP(A38,$A$9:$I37,4,0))</f>
        <v>NOVA</v>
      </c>
      <c r="E38" s="21" t="str">
        <f>IF(IFERROR(VLOOKUP(A38,$A$9:$I37,1,0),0)=0,"",VLOOKUP(A38,$A$9:$I37,5,0))</f>
        <v>PARRA</v>
      </c>
      <c r="F38" s="21" t="str">
        <f>IF(IFERROR(VLOOKUP(A38,$A$9:$I37,1,0),0)=0,"",VLOOKUP(A38,$A$9:$I37,6,0))</f>
        <v>CARLOS</v>
      </c>
      <c r="G38" s="23">
        <f>IF(IFERROR(VLOOKUP(A38,$A$9:$I37,1,0),0)=0,"",VLOOKUP(A38,$A$9:$I37,7,0))</f>
        <v>45348</v>
      </c>
      <c r="H38" s="23">
        <v>45374</v>
      </c>
      <c r="I38" s="21" t="s">
        <v>22</v>
      </c>
      <c r="J38" s="21" t="s">
        <v>19</v>
      </c>
      <c r="K38" s="24" t="s">
        <v>55</v>
      </c>
      <c r="L38" s="23">
        <v>45352</v>
      </c>
      <c r="M38" s="23">
        <v>45367</v>
      </c>
      <c r="N38" s="25">
        <f t="shared" si="1"/>
        <v>15</v>
      </c>
      <c r="O38" s="26"/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20</v>
      </c>
    </row>
    <row r="39" spans="1:21" x14ac:dyDescent="0.45">
      <c r="A39" s="20">
        <v>415380429</v>
      </c>
      <c r="B39" s="21" t="str">
        <f t="shared" si="2"/>
        <v>41.538.042-9</v>
      </c>
      <c r="C39" s="22" t="s">
        <v>22</v>
      </c>
      <c r="D39" s="21" t="s">
        <v>295</v>
      </c>
      <c r="E39" s="21" t="s">
        <v>675</v>
      </c>
      <c r="F39" s="21" t="s">
        <v>725</v>
      </c>
      <c r="G39" s="23">
        <v>45368</v>
      </c>
      <c r="H39" s="23">
        <v>45373</v>
      </c>
      <c r="I39" s="21" t="s">
        <v>36</v>
      </c>
      <c r="J39" s="21" t="s">
        <v>22</v>
      </c>
      <c r="K39" s="24" t="s">
        <v>47</v>
      </c>
      <c r="L39" s="23">
        <v>45369</v>
      </c>
      <c r="M39" s="23">
        <v>45371</v>
      </c>
      <c r="N39" s="25">
        <f t="shared" si="1"/>
        <v>2</v>
      </c>
      <c r="O39" s="26"/>
      <c r="P39" t="s">
        <v>88</v>
      </c>
      <c r="Q39" t="s">
        <v>88</v>
      </c>
      <c r="R39" t="s">
        <v>88</v>
      </c>
      <c r="S39" t="s">
        <v>88</v>
      </c>
      <c r="T39" t="s">
        <v>88</v>
      </c>
      <c r="U39" t="s">
        <v>20</v>
      </c>
    </row>
    <row r="40" spans="1:21" x14ac:dyDescent="0.45">
      <c r="A40" s="20">
        <v>135126438</v>
      </c>
      <c r="B40" s="21" t="str">
        <f t="shared" si="2"/>
        <v>13.512.643-8</v>
      </c>
      <c r="C40" s="22" t="s">
        <v>22</v>
      </c>
      <c r="D40" s="21" t="s">
        <v>427</v>
      </c>
      <c r="E40" s="21" t="s">
        <v>726</v>
      </c>
      <c r="F40" s="21" t="s">
        <v>727</v>
      </c>
      <c r="G40" s="23">
        <v>45369</v>
      </c>
      <c r="H40" s="23">
        <v>45370</v>
      </c>
      <c r="I40" s="21" t="s">
        <v>22</v>
      </c>
      <c r="J40" s="21" t="s">
        <v>13</v>
      </c>
      <c r="K40" s="24" t="s">
        <v>43</v>
      </c>
      <c r="L40" s="23">
        <v>45369</v>
      </c>
      <c r="M40" s="23">
        <v>45370</v>
      </c>
      <c r="N40" s="25">
        <f t="shared" ref="N40:N71" si="3">+M40-L40</f>
        <v>1</v>
      </c>
      <c r="O40" s="26"/>
      <c r="P40" t="s">
        <v>88</v>
      </c>
      <c r="Q40" t="s">
        <v>88</v>
      </c>
      <c r="R40" t="s">
        <v>88</v>
      </c>
      <c r="S40" t="s">
        <v>88</v>
      </c>
      <c r="T40" t="s">
        <v>88</v>
      </c>
      <c r="U40" t="s">
        <v>20</v>
      </c>
    </row>
    <row r="41" spans="1:21" x14ac:dyDescent="0.45">
      <c r="A41" s="20">
        <v>135126438</v>
      </c>
      <c r="B41" s="21" t="str">
        <f t="shared" si="2"/>
        <v>13.512.643-8</v>
      </c>
      <c r="C41" s="22" t="str">
        <f>IF(IFERROR(VLOOKUP(A41,$A$9:$I40,1,0),0)=0,"",VLOOKUP(A41,$A$9:$I40,3,0))</f>
        <v>UCI</v>
      </c>
      <c r="D41" s="21" t="str">
        <f>IF(IFERROR(VLOOKUP(A41,$A$9:$I40,1,0),0)=0,"",VLOOKUP(A41,$A$9:$I40,4,0))</f>
        <v>MOLINA</v>
      </c>
      <c r="E41" s="21" t="str">
        <f>IF(IFERROR(VLOOKUP(A41,$A$9:$I40,1,0),0)=0,"",VLOOKUP(A41,$A$9:$I40,5,0))</f>
        <v>DURÁN</v>
      </c>
      <c r="F41" s="21" t="str">
        <f>IF(IFERROR(VLOOKUP(A41,$A$9:$I40,1,0),0)=0,"",VLOOKUP(A41,$A$9:$I40,6,0))</f>
        <v>ERODIA</v>
      </c>
      <c r="G41" s="23">
        <f>IF(IFERROR(VLOOKUP(A41,$A$9:$I40,1,0),0)=0,"",VLOOKUP(A41,$A$9:$I40,7,0))</f>
        <v>45369</v>
      </c>
      <c r="H41" s="23">
        <v>45370</v>
      </c>
      <c r="I41" s="21" t="s">
        <v>22</v>
      </c>
      <c r="J41" s="21" t="s">
        <v>13</v>
      </c>
      <c r="K41" s="24" t="s">
        <v>47</v>
      </c>
      <c r="L41" s="23">
        <v>45369</v>
      </c>
      <c r="M41" s="23">
        <v>45370</v>
      </c>
      <c r="N41" s="25">
        <f t="shared" si="3"/>
        <v>1</v>
      </c>
      <c r="O41" s="26"/>
      <c r="P41" t="s">
        <v>88</v>
      </c>
      <c r="Q41" t="s">
        <v>88</v>
      </c>
      <c r="R41" t="s">
        <v>88</v>
      </c>
      <c r="S41" t="s">
        <v>88</v>
      </c>
      <c r="T41" t="s">
        <v>88</v>
      </c>
      <c r="U41" t="s">
        <v>20</v>
      </c>
    </row>
    <row r="42" spans="1:21" x14ac:dyDescent="0.45">
      <c r="A42" s="20">
        <v>135126438</v>
      </c>
      <c r="B42" s="21" t="str">
        <f t="shared" si="2"/>
        <v>13.512.643-8</v>
      </c>
      <c r="C42" s="22" t="str">
        <f>IF(IFERROR(VLOOKUP(A42,$A$9:$I41,1,0),0)=0,"",VLOOKUP(A42,$A$9:$I41,3,0))</f>
        <v>UCI</v>
      </c>
      <c r="D42" s="21" t="str">
        <f>IF(IFERROR(VLOOKUP(A42,$A$9:$I41,1,0),0)=0,"",VLOOKUP(A42,$A$9:$I41,4,0))</f>
        <v>MOLINA</v>
      </c>
      <c r="E42" s="21" t="str">
        <f>IF(IFERROR(VLOOKUP(A42,$A$9:$I41,1,0),0)=0,"",VLOOKUP(A42,$A$9:$I41,5,0))</f>
        <v>DURÁN</v>
      </c>
      <c r="F42" s="21" t="str">
        <f>IF(IFERROR(VLOOKUP(A42,$A$9:$I41,1,0),0)=0,"",VLOOKUP(A42,$A$9:$I41,6,0))</f>
        <v>ERODIA</v>
      </c>
      <c r="G42" s="23">
        <f>IF(IFERROR(VLOOKUP(A42,$A$9:$I41,1,0),0)=0,"",VLOOKUP(A42,$A$9:$I41,7,0))</f>
        <v>45369</v>
      </c>
      <c r="H42" s="23">
        <v>45370</v>
      </c>
      <c r="I42" s="21" t="s">
        <v>22</v>
      </c>
      <c r="J42" s="21" t="s">
        <v>13</v>
      </c>
      <c r="K42" s="24" t="s">
        <v>55</v>
      </c>
      <c r="L42" s="23">
        <v>45369</v>
      </c>
      <c r="M42" s="23">
        <v>45370</v>
      </c>
      <c r="N42" s="25">
        <f t="shared" si="3"/>
        <v>1</v>
      </c>
      <c r="O42" s="26"/>
      <c r="P42" t="s">
        <v>88</v>
      </c>
      <c r="Q42" t="s">
        <v>88</v>
      </c>
      <c r="R42" t="s">
        <v>88</v>
      </c>
      <c r="S42" t="s">
        <v>88</v>
      </c>
      <c r="T42" t="s">
        <v>88</v>
      </c>
      <c r="U42" t="s">
        <v>20</v>
      </c>
    </row>
    <row r="43" spans="1:21" x14ac:dyDescent="0.45">
      <c r="A43" s="20" t="s">
        <v>728</v>
      </c>
      <c r="B43" s="21" t="str">
        <f t="shared" si="2"/>
        <v>6.938.316-5</v>
      </c>
      <c r="C43" s="22" t="s">
        <v>22</v>
      </c>
      <c r="D43" s="21" t="s">
        <v>666</v>
      </c>
      <c r="E43" s="21" t="s">
        <v>417</v>
      </c>
      <c r="F43" s="21" t="s">
        <v>475</v>
      </c>
      <c r="G43" s="23">
        <v>45348</v>
      </c>
      <c r="H43" s="23">
        <v>45382</v>
      </c>
      <c r="I43" s="21" t="s">
        <v>54</v>
      </c>
      <c r="J43" s="21" t="s">
        <v>13</v>
      </c>
      <c r="K43" s="24" t="s">
        <v>18</v>
      </c>
      <c r="L43" s="23">
        <v>45366</v>
      </c>
      <c r="M43" s="23">
        <v>45382</v>
      </c>
      <c r="N43" s="25">
        <f t="shared" si="3"/>
        <v>16</v>
      </c>
      <c r="O43" s="26"/>
      <c r="P43" t="s">
        <v>88</v>
      </c>
      <c r="Q43" t="s">
        <v>88</v>
      </c>
      <c r="R43" t="s">
        <v>88</v>
      </c>
      <c r="S43" t="s">
        <v>88</v>
      </c>
      <c r="T43" t="s">
        <v>88</v>
      </c>
      <c r="U43" t="s">
        <v>20</v>
      </c>
    </row>
    <row r="44" spans="1:21" x14ac:dyDescent="0.45">
      <c r="A44" s="20">
        <v>102417356</v>
      </c>
      <c r="B44" s="21" t="str">
        <f t="shared" si="2"/>
        <v>10.241.735-6</v>
      </c>
      <c r="C44" s="22" t="s">
        <v>22</v>
      </c>
      <c r="D44" s="21" t="s">
        <v>471</v>
      </c>
      <c r="E44" s="21" t="s">
        <v>310</v>
      </c>
      <c r="F44" s="21" t="s">
        <v>729</v>
      </c>
      <c r="G44" s="23">
        <v>45365</v>
      </c>
      <c r="H44" s="23">
        <v>45370</v>
      </c>
      <c r="I44" s="21" t="s">
        <v>22</v>
      </c>
      <c r="J44" s="21" t="s">
        <v>56</v>
      </c>
      <c r="K44" s="24" t="s">
        <v>43</v>
      </c>
      <c r="L44" s="23">
        <v>45366</v>
      </c>
      <c r="M44" s="23">
        <v>45370</v>
      </c>
      <c r="N44" s="25">
        <f t="shared" si="3"/>
        <v>4</v>
      </c>
      <c r="O44" s="26"/>
      <c r="P44" t="s">
        <v>88</v>
      </c>
      <c r="Q44" t="s">
        <v>88</v>
      </c>
      <c r="R44" t="s">
        <v>88</v>
      </c>
      <c r="S44" t="s">
        <v>88</v>
      </c>
      <c r="T44" t="s">
        <v>88</v>
      </c>
      <c r="U44" t="s">
        <v>20</v>
      </c>
    </row>
    <row r="45" spans="1:21" x14ac:dyDescent="0.45">
      <c r="A45" s="20" t="s">
        <v>730</v>
      </c>
      <c r="B45" s="21" t="str">
        <f t="shared" si="2"/>
        <v>4.076.686-3</v>
      </c>
      <c r="C45" s="22" t="s">
        <v>22</v>
      </c>
      <c r="D45" s="21" t="s">
        <v>731</v>
      </c>
      <c r="E45" s="21" t="s">
        <v>732</v>
      </c>
      <c r="F45" s="21" t="s">
        <v>733</v>
      </c>
      <c r="G45" s="23">
        <v>45358</v>
      </c>
      <c r="H45" s="23">
        <v>45374</v>
      </c>
      <c r="I45" s="21" t="s">
        <v>22</v>
      </c>
      <c r="J45" s="21" t="s">
        <v>22</v>
      </c>
      <c r="K45" s="24" t="s">
        <v>43</v>
      </c>
      <c r="L45" s="23">
        <v>45358</v>
      </c>
      <c r="M45" s="23">
        <v>45374</v>
      </c>
      <c r="N45" s="25">
        <f t="shared" si="3"/>
        <v>16</v>
      </c>
      <c r="O45" s="26"/>
      <c r="P45" t="s">
        <v>88</v>
      </c>
      <c r="Q45" t="s">
        <v>88</v>
      </c>
      <c r="R45" t="s">
        <v>88</v>
      </c>
      <c r="S45" t="s">
        <v>88</v>
      </c>
      <c r="T45" t="s">
        <v>88</v>
      </c>
      <c r="U45" t="s">
        <v>20</v>
      </c>
    </row>
    <row r="46" spans="1:21" x14ac:dyDescent="0.45">
      <c r="A46" s="20" t="s">
        <v>730</v>
      </c>
      <c r="B46" s="21" t="str">
        <f t="shared" si="2"/>
        <v>4.076.686-3</v>
      </c>
      <c r="C46" s="22" t="str">
        <f>IF(IFERROR(VLOOKUP(A46,$A$9:$I45,1,0),0)=0,"",VLOOKUP(A46,$A$9:$I45,3,0))</f>
        <v>UCI</v>
      </c>
      <c r="D46" s="21" t="str">
        <f>IF(IFERROR(VLOOKUP(A46,$A$9:$I45,1,0),0)=0,"",VLOOKUP(A46,$A$9:$I45,4,0))</f>
        <v>QUEIROLO</v>
      </c>
      <c r="E46" s="21" t="str">
        <f>IF(IFERROR(VLOOKUP(A46,$A$9:$I45,1,0),0)=0,"",VLOOKUP(A46,$A$9:$I45,5,0))</f>
        <v>FONTENA</v>
      </c>
      <c r="F46" s="21" t="str">
        <f>IF(IFERROR(VLOOKUP(A46,$A$9:$I45,1,0),0)=0,"",VLOOKUP(A46,$A$9:$I45,6,0))</f>
        <v>MARTA</v>
      </c>
      <c r="G46" s="23">
        <f>IF(IFERROR(VLOOKUP(A46,$A$9:$I45,1,0),0)=0,"",VLOOKUP(A46,$A$9:$I45,7,0))</f>
        <v>45358</v>
      </c>
      <c r="H46" s="23">
        <v>45374</v>
      </c>
      <c r="I46" s="21" t="s">
        <v>22</v>
      </c>
      <c r="J46" s="21" t="s">
        <v>22</v>
      </c>
      <c r="K46" s="24" t="s">
        <v>47</v>
      </c>
      <c r="L46" s="23">
        <v>45358</v>
      </c>
      <c r="M46" s="23">
        <v>45374</v>
      </c>
      <c r="N46" s="25">
        <f t="shared" si="3"/>
        <v>16</v>
      </c>
      <c r="O46" s="26"/>
      <c r="P46" t="s">
        <v>88</v>
      </c>
      <c r="Q46" t="s">
        <v>88</v>
      </c>
      <c r="R46" t="s">
        <v>88</v>
      </c>
      <c r="S46" t="s">
        <v>88</v>
      </c>
      <c r="T46" t="s">
        <v>88</v>
      </c>
      <c r="U46" t="s">
        <v>20</v>
      </c>
    </row>
    <row r="47" spans="1:21" x14ac:dyDescent="0.45">
      <c r="A47" s="20" t="s">
        <v>730</v>
      </c>
      <c r="B47" s="21" t="str">
        <f t="shared" si="2"/>
        <v>4.076.686-3</v>
      </c>
      <c r="C47" s="22" t="str">
        <f>IF(IFERROR(VLOOKUP(A47,$A$9:$I46,1,0),0)=0,"",VLOOKUP(A47,$A$9:$I46,3,0))</f>
        <v>UCI</v>
      </c>
      <c r="D47" s="21" t="str">
        <f>IF(IFERROR(VLOOKUP(A47,$A$9:$I46,1,0),0)=0,"",VLOOKUP(A47,$A$9:$I46,4,0))</f>
        <v>QUEIROLO</v>
      </c>
      <c r="E47" s="21" t="str">
        <f>IF(IFERROR(VLOOKUP(A47,$A$9:$I46,1,0),0)=0,"",VLOOKUP(A47,$A$9:$I46,5,0))</f>
        <v>FONTENA</v>
      </c>
      <c r="F47" s="21" t="str">
        <f>IF(IFERROR(VLOOKUP(A47,$A$9:$I46,1,0),0)=0,"",VLOOKUP(A47,$A$9:$I46,6,0))</f>
        <v>MARTA</v>
      </c>
      <c r="G47" s="23">
        <f>IF(IFERROR(VLOOKUP(A47,$A$9:$I46,1,0),0)=0,"",VLOOKUP(A47,$A$9:$I46,7,0))</f>
        <v>45358</v>
      </c>
      <c r="H47" s="23">
        <v>45374</v>
      </c>
      <c r="I47" s="21" t="s">
        <v>22</v>
      </c>
      <c r="J47" s="21" t="s">
        <v>22</v>
      </c>
      <c r="K47" s="24" t="s">
        <v>55</v>
      </c>
      <c r="L47" s="23">
        <v>45368</v>
      </c>
      <c r="M47" s="23">
        <v>45374</v>
      </c>
      <c r="N47" s="25">
        <f t="shared" si="3"/>
        <v>6</v>
      </c>
      <c r="O47" s="26"/>
      <c r="P47" t="s">
        <v>88</v>
      </c>
      <c r="Q47" t="s">
        <v>88</v>
      </c>
      <c r="R47" t="s">
        <v>88</v>
      </c>
      <c r="S47" t="s">
        <v>88</v>
      </c>
      <c r="T47" t="s">
        <v>88</v>
      </c>
      <c r="U47" t="s">
        <v>20</v>
      </c>
    </row>
    <row r="48" spans="1:21" x14ac:dyDescent="0.45">
      <c r="A48" s="20" t="s">
        <v>734</v>
      </c>
      <c r="B48" s="21" t="str">
        <f t="shared" si="2"/>
        <v>8.630.792-8</v>
      </c>
      <c r="C48" s="22" t="s">
        <v>22</v>
      </c>
      <c r="D48" s="21" t="s">
        <v>561</v>
      </c>
      <c r="E48" s="21" t="s">
        <v>241</v>
      </c>
      <c r="F48" s="21" t="s">
        <v>250</v>
      </c>
      <c r="G48" s="23">
        <v>45369</v>
      </c>
      <c r="H48" s="23">
        <v>45374</v>
      </c>
      <c r="I48" s="21" t="s">
        <v>22</v>
      </c>
      <c r="J48" s="21" t="s">
        <v>46</v>
      </c>
      <c r="K48" s="24" t="s">
        <v>43</v>
      </c>
      <c r="L48" s="23">
        <v>45369</v>
      </c>
      <c r="M48" s="23">
        <v>45374</v>
      </c>
      <c r="N48" s="25">
        <f t="shared" si="3"/>
        <v>5</v>
      </c>
      <c r="O48" s="26"/>
      <c r="P48" t="s">
        <v>88</v>
      </c>
      <c r="Q48" t="s">
        <v>88</v>
      </c>
      <c r="R48" t="s">
        <v>88</v>
      </c>
      <c r="S48" t="s">
        <v>88</v>
      </c>
      <c r="T48" t="s">
        <v>88</v>
      </c>
      <c r="U48" t="s">
        <v>20</v>
      </c>
    </row>
    <row r="49" spans="1:21" x14ac:dyDescent="0.45">
      <c r="A49" s="20" t="s">
        <v>735</v>
      </c>
      <c r="B49" s="21" t="str">
        <f t="shared" si="2"/>
        <v>5.626.318-7</v>
      </c>
      <c r="C49" s="22" t="s">
        <v>22</v>
      </c>
      <c r="D49" s="21" t="s">
        <v>736</v>
      </c>
      <c r="E49" s="21" t="s">
        <v>635</v>
      </c>
      <c r="F49" s="21" t="s">
        <v>258</v>
      </c>
      <c r="G49" s="23">
        <v>45366</v>
      </c>
      <c r="H49" s="23">
        <v>45371</v>
      </c>
      <c r="I49" s="21" t="s">
        <v>22</v>
      </c>
      <c r="J49" s="21" t="s">
        <v>22</v>
      </c>
      <c r="K49" s="24" t="s">
        <v>43</v>
      </c>
      <c r="L49" s="23">
        <v>45366</v>
      </c>
      <c r="M49" s="23">
        <v>45371</v>
      </c>
      <c r="N49" s="25">
        <f t="shared" si="3"/>
        <v>5</v>
      </c>
      <c r="O49" s="26"/>
      <c r="P49" t="s">
        <v>88</v>
      </c>
      <c r="Q49" t="s">
        <v>88</v>
      </c>
      <c r="R49" t="s">
        <v>88</v>
      </c>
      <c r="S49" t="s">
        <v>88</v>
      </c>
      <c r="T49" t="s">
        <v>88</v>
      </c>
      <c r="U49" t="s">
        <v>20</v>
      </c>
    </row>
    <row r="50" spans="1:21" x14ac:dyDescent="0.45">
      <c r="A50" s="20" t="s">
        <v>735</v>
      </c>
      <c r="B50" s="21" t="str">
        <f t="shared" si="2"/>
        <v>5.626.318-7</v>
      </c>
      <c r="C50" s="22" t="str">
        <f>IF(IFERROR(VLOOKUP(A50,$A$9:$I49,1,0),0)=0,"",VLOOKUP(A50,$A$9:$I49,3,0))</f>
        <v>UCI</v>
      </c>
      <c r="D50" s="21" t="str">
        <f>IF(IFERROR(VLOOKUP(A50,$A$9:$I49,1,0),0)=0,"",VLOOKUP(A50,$A$9:$I49,4,0))</f>
        <v>BURGOS</v>
      </c>
      <c r="E50" s="21" t="str">
        <f>IF(IFERROR(VLOOKUP(A50,$A$9:$I49,1,0),0)=0,"",VLOOKUP(A50,$A$9:$I49,5,0))</f>
        <v>INZUNZA</v>
      </c>
      <c r="F50" s="21" t="str">
        <f>IF(IFERROR(VLOOKUP(A50,$A$9:$I49,1,0),0)=0,"",VLOOKUP(A50,$A$9:$I49,6,0))</f>
        <v>CATALINA</v>
      </c>
      <c r="G50" s="23">
        <f>IF(IFERROR(VLOOKUP(A50,$A$9:$I49,1,0),0)=0,"",VLOOKUP(A50,$A$9:$I49,7,0))</f>
        <v>45366</v>
      </c>
      <c r="H50" s="23">
        <v>45371</v>
      </c>
      <c r="I50" s="21" t="s">
        <v>22</v>
      </c>
      <c r="J50" s="21" t="s">
        <v>22</v>
      </c>
      <c r="K50" s="24" t="s">
        <v>47</v>
      </c>
      <c r="L50" s="23">
        <v>45366</v>
      </c>
      <c r="M50" s="23">
        <v>45371</v>
      </c>
      <c r="N50" s="25">
        <f t="shared" si="3"/>
        <v>5</v>
      </c>
      <c r="O50" s="26" t="s">
        <v>14</v>
      </c>
      <c r="P50" t="s">
        <v>106</v>
      </c>
      <c r="Q50" t="s">
        <v>88</v>
      </c>
      <c r="R50" t="s">
        <v>88</v>
      </c>
      <c r="S50" t="s">
        <v>88</v>
      </c>
      <c r="T50" t="s">
        <v>88</v>
      </c>
      <c r="U50" t="s">
        <v>20</v>
      </c>
    </row>
    <row r="51" spans="1:21" x14ac:dyDescent="0.45">
      <c r="A51" s="20" t="s">
        <v>735</v>
      </c>
      <c r="B51" s="21" t="str">
        <f t="shared" si="2"/>
        <v>5.626.318-7</v>
      </c>
      <c r="C51" s="22" t="s">
        <v>22</v>
      </c>
      <c r="D51" s="21" t="str">
        <f>IF(IFERROR(VLOOKUP(A51,$A$9:$I50,1,0),0)=0,"",VLOOKUP(A51,$A$9:$I50,4,0))</f>
        <v>BURGOS</v>
      </c>
      <c r="E51" s="21" t="str">
        <f>IF(IFERROR(VLOOKUP(A51,$A$9:$I50,1,0),0)=0,"",VLOOKUP(A51,$A$9:$I50,5,0))</f>
        <v>INZUNZA</v>
      </c>
      <c r="F51" s="21" t="str">
        <f>IF(IFERROR(VLOOKUP(A51,$A$9:$I50,1,0),0)=0,"",VLOOKUP(A51,$A$9:$I50,6,0))</f>
        <v>CATALINA</v>
      </c>
      <c r="G51" s="23">
        <v>45371</v>
      </c>
      <c r="H51" s="23">
        <v>45371</v>
      </c>
      <c r="I51" s="21" t="s">
        <v>22</v>
      </c>
      <c r="J51" s="21" t="s">
        <v>65</v>
      </c>
      <c r="K51" s="24" t="s">
        <v>43</v>
      </c>
      <c r="L51" s="23">
        <v>45371</v>
      </c>
      <c r="M51" s="23">
        <v>45382</v>
      </c>
      <c r="N51" s="25">
        <f t="shared" si="3"/>
        <v>11</v>
      </c>
      <c r="O51" s="26"/>
      <c r="P51" t="s">
        <v>88</v>
      </c>
      <c r="Q51" t="s">
        <v>88</v>
      </c>
      <c r="R51" t="s">
        <v>88</v>
      </c>
      <c r="S51" t="s">
        <v>88</v>
      </c>
      <c r="T51" t="s">
        <v>88</v>
      </c>
      <c r="U51" t="s">
        <v>20</v>
      </c>
    </row>
    <row r="52" spans="1:21" x14ac:dyDescent="0.45">
      <c r="A52" s="20" t="s">
        <v>735</v>
      </c>
      <c r="B52" s="21" t="str">
        <f t="shared" si="2"/>
        <v>5.626.318-7</v>
      </c>
      <c r="C52" s="22" t="str">
        <f>IF(IFERROR(VLOOKUP(A52,$A$9:$I51,1,0),0)=0,"",VLOOKUP(A52,$A$9:$I51,3,0))</f>
        <v>UCI</v>
      </c>
      <c r="D52" s="21" t="str">
        <f>IF(IFERROR(VLOOKUP(A52,$A$9:$I51,1,0),0)=0,"",VLOOKUP(A52,$A$9:$I51,4,0))</f>
        <v>BURGOS</v>
      </c>
      <c r="E52" s="21" t="str">
        <f>IF(IFERROR(VLOOKUP(A52,$A$9:$I51,1,0),0)=0,"",VLOOKUP(A52,$A$9:$I51,5,0))</f>
        <v>INZUNZA</v>
      </c>
      <c r="F52" s="21" t="str">
        <f>IF(IFERROR(VLOOKUP(A52,$A$9:$I51,1,0),0)=0,"",VLOOKUP(A52,$A$9:$I51,6,0))</f>
        <v>CATALINA</v>
      </c>
      <c r="G52" s="23">
        <v>45371</v>
      </c>
      <c r="H52" s="23">
        <v>45371</v>
      </c>
      <c r="I52" s="21" t="s">
        <v>22</v>
      </c>
      <c r="J52" s="21" t="s">
        <v>65</v>
      </c>
      <c r="K52" s="24" t="s">
        <v>47</v>
      </c>
      <c r="L52" s="23">
        <v>45371</v>
      </c>
      <c r="M52" s="23">
        <v>45382</v>
      </c>
      <c r="N52" s="25">
        <f t="shared" si="3"/>
        <v>11</v>
      </c>
      <c r="O52" s="26"/>
      <c r="P52" t="s">
        <v>88</v>
      </c>
      <c r="Q52" t="s">
        <v>88</v>
      </c>
      <c r="R52" t="s">
        <v>88</v>
      </c>
      <c r="S52" t="s">
        <v>88</v>
      </c>
      <c r="T52" t="s">
        <v>88</v>
      </c>
      <c r="U52" t="s">
        <v>20</v>
      </c>
    </row>
    <row r="53" spans="1:21" x14ac:dyDescent="0.45">
      <c r="A53" s="20" t="s">
        <v>737</v>
      </c>
      <c r="B53" s="21" t="str">
        <f t="shared" si="2"/>
        <v>9.560.711-k</v>
      </c>
      <c r="C53" s="22" t="s">
        <v>22</v>
      </c>
      <c r="D53" s="21" t="s">
        <v>367</v>
      </c>
      <c r="E53" s="21" t="s">
        <v>417</v>
      </c>
      <c r="F53" s="21" t="s">
        <v>738</v>
      </c>
      <c r="G53" s="23">
        <v>45357</v>
      </c>
      <c r="H53" s="23">
        <v>45364</v>
      </c>
      <c r="I53" s="21" t="s">
        <v>22</v>
      </c>
      <c r="J53" s="21" t="s">
        <v>65</v>
      </c>
      <c r="K53" s="24" t="s">
        <v>43</v>
      </c>
      <c r="L53" s="23">
        <v>45357</v>
      </c>
      <c r="M53" s="23">
        <v>45364</v>
      </c>
      <c r="N53" s="25">
        <f t="shared" si="3"/>
        <v>7</v>
      </c>
      <c r="O53" s="26" t="s">
        <v>14</v>
      </c>
      <c r="P53" t="s">
        <v>88</v>
      </c>
      <c r="Q53" t="s">
        <v>88</v>
      </c>
      <c r="R53" t="s">
        <v>88</v>
      </c>
      <c r="S53" t="s">
        <v>88</v>
      </c>
      <c r="T53" t="s">
        <v>88</v>
      </c>
      <c r="U53" t="s">
        <v>20</v>
      </c>
    </row>
    <row r="54" spans="1:21" x14ac:dyDescent="0.45">
      <c r="A54" s="20" t="s">
        <v>737</v>
      </c>
      <c r="B54" s="21" t="str">
        <f t="shared" si="2"/>
        <v>9.560.711-k</v>
      </c>
      <c r="C54" s="22" t="str">
        <f>IF(IFERROR(VLOOKUP(A54,$A$9:$I53,1,0),0)=0,"",VLOOKUP(A54,$A$9:$I53,3,0))</f>
        <v>UCI</v>
      </c>
      <c r="D54" s="21" t="str">
        <f>IF(IFERROR(VLOOKUP(A54,$A$9:$I53,1,0),0)=0,"",VLOOKUP(A54,$A$9:$I53,4,0))</f>
        <v>HERRERA</v>
      </c>
      <c r="E54" s="21" t="str">
        <f>IF(IFERROR(VLOOKUP(A54,$A$9:$I53,1,0),0)=0,"",VLOOKUP(A54,$A$9:$I53,5,0))</f>
        <v>LOPEZ</v>
      </c>
      <c r="F54" s="21" t="str">
        <f>IF(IFERROR(VLOOKUP(A54,$A$9:$I53,1,0),0)=0,"",VLOOKUP(A54,$A$9:$I53,6,0))</f>
        <v>MARGARITA</v>
      </c>
      <c r="G54" s="23">
        <f>IF(IFERROR(VLOOKUP(A54,$A$9:$I53,1,0),0)=0,"",VLOOKUP(A54,$A$9:$I53,7,0))</f>
        <v>45357</v>
      </c>
      <c r="H54" s="23">
        <v>45364</v>
      </c>
      <c r="I54" s="21" t="s">
        <v>22</v>
      </c>
      <c r="J54" s="21" t="s">
        <v>65</v>
      </c>
      <c r="K54" s="24" t="s">
        <v>47</v>
      </c>
      <c r="L54" s="23">
        <v>45357</v>
      </c>
      <c r="M54" s="23">
        <v>45364</v>
      </c>
      <c r="N54" s="25">
        <f t="shared" si="3"/>
        <v>7</v>
      </c>
      <c r="O54" s="26"/>
      <c r="P54" t="s">
        <v>88</v>
      </c>
      <c r="Q54" t="s">
        <v>88</v>
      </c>
      <c r="R54" t="s">
        <v>88</v>
      </c>
      <c r="S54" t="s">
        <v>88</v>
      </c>
      <c r="T54" t="s">
        <v>88</v>
      </c>
      <c r="U54" t="s">
        <v>20</v>
      </c>
    </row>
    <row r="55" spans="1:21" x14ac:dyDescent="0.45">
      <c r="A55" s="20" t="s">
        <v>739</v>
      </c>
      <c r="B55" s="21" t="str">
        <f t="shared" si="2"/>
        <v>9.648.952-8</v>
      </c>
      <c r="C55" s="22" t="s">
        <v>22</v>
      </c>
      <c r="D55" s="21" t="s">
        <v>711</v>
      </c>
      <c r="E55" s="21" t="s">
        <v>740</v>
      </c>
      <c r="F55" s="21" t="s">
        <v>654</v>
      </c>
      <c r="G55" s="23">
        <v>45358</v>
      </c>
      <c r="H55" s="23">
        <v>45360</v>
      </c>
      <c r="I55" s="21" t="s">
        <v>30</v>
      </c>
      <c r="J55" s="21" t="s">
        <v>13</v>
      </c>
      <c r="K55" s="24" t="s">
        <v>43</v>
      </c>
      <c r="L55" s="23">
        <v>45355</v>
      </c>
      <c r="M55" s="23">
        <v>45360</v>
      </c>
      <c r="N55" s="25">
        <f t="shared" si="3"/>
        <v>5</v>
      </c>
      <c r="O55" s="26"/>
      <c r="P55" t="s">
        <v>88</v>
      </c>
      <c r="Q55" t="s">
        <v>88</v>
      </c>
      <c r="R55" t="s">
        <v>88</v>
      </c>
      <c r="S55" t="s">
        <v>88</v>
      </c>
      <c r="T55" t="s">
        <v>88</v>
      </c>
      <c r="U55" t="s">
        <v>20</v>
      </c>
    </row>
    <row r="56" spans="1:21" x14ac:dyDescent="0.45">
      <c r="A56" s="20" t="s">
        <v>739</v>
      </c>
      <c r="B56" s="21" t="str">
        <f t="shared" si="2"/>
        <v>9.648.952-8</v>
      </c>
      <c r="C56" s="22" t="str">
        <f>IF(IFERROR(VLOOKUP(A56,$A$9:$I55,1,0),0)=0,"",VLOOKUP(A56,$A$9:$I55,3,0))</f>
        <v>UCI</v>
      </c>
      <c r="D56" s="21" t="str">
        <f>IF(IFERROR(VLOOKUP(A56,$A$9:$I55,1,0),0)=0,"",VLOOKUP(A56,$A$9:$I55,4,0))</f>
        <v>VILLASECA</v>
      </c>
      <c r="E56" s="21" t="str">
        <f>IF(IFERROR(VLOOKUP(A56,$A$9:$I55,1,0),0)=0,"",VLOOKUP(A56,$A$9:$I55,5,0))</f>
        <v>DOMÍNGUEZ</v>
      </c>
      <c r="F56" s="21" t="str">
        <f>IF(IFERROR(VLOOKUP(A56,$A$9:$I55,1,0),0)=0,"",VLOOKUP(A56,$A$9:$I55,6,0))</f>
        <v>SERGIO</v>
      </c>
      <c r="G56" s="23">
        <f>IF(IFERROR(VLOOKUP(A56,$A$9:$I55,1,0),0)=0,"",VLOOKUP(A56,$A$9:$I55,7,0))</f>
        <v>45358</v>
      </c>
      <c r="H56" s="23">
        <v>45360</v>
      </c>
      <c r="I56" s="21" t="s">
        <v>30</v>
      </c>
      <c r="J56" s="21" t="s">
        <v>13</v>
      </c>
      <c r="K56" s="24" t="s">
        <v>47</v>
      </c>
      <c r="L56" s="23">
        <v>45355</v>
      </c>
      <c r="M56" s="23">
        <v>45360</v>
      </c>
      <c r="N56" s="25">
        <f t="shared" si="3"/>
        <v>5</v>
      </c>
      <c r="O56" s="26"/>
      <c r="P56" t="s">
        <v>88</v>
      </c>
      <c r="Q56" t="s">
        <v>88</v>
      </c>
      <c r="R56" t="s">
        <v>88</v>
      </c>
      <c r="S56" t="s">
        <v>88</v>
      </c>
      <c r="T56" t="s">
        <v>88</v>
      </c>
      <c r="U56" t="s">
        <v>20</v>
      </c>
    </row>
    <row r="57" spans="1:21" x14ac:dyDescent="0.45">
      <c r="A57" s="20">
        <v>195332916</v>
      </c>
      <c r="B57" s="21" t="str">
        <f t="shared" si="2"/>
        <v>19.533.291-6</v>
      </c>
      <c r="C57" s="22" t="s">
        <v>22</v>
      </c>
      <c r="D57" s="21" t="s">
        <v>741</v>
      </c>
      <c r="E57" s="21" t="s">
        <v>252</v>
      </c>
      <c r="F57" s="21" t="s">
        <v>742</v>
      </c>
      <c r="G57" s="23">
        <v>45356</v>
      </c>
      <c r="H57" s="23">
        <v>45359</v>
      </c>
      <c r="I57" s="21" t="s">
        <v>66</v>
      </c>
      <c r="J57" s="21" t="s">
        <v>22</v>
      </c>
      <c r="K57" s="24" t="s">
        <v>43</v>
      </c>
      <c r="L57" s="23">
        <v>45356</v>
      </c>
      <c r="M57" s="23">
        <v>45359</v>
      </c>
      <c r="N57" s="25">
        <f t="shared" si="3"/>
        <v>3</v>
      </c>
      <c r="O57" s="26"/>
      <c r="P57" t="s">
        <v>88</v>
      </c>
      <c r="Q57" t="s">
        <v>88</v>
      </c>
      <c r="R57" t="s">
        <v>88</v>
      </c>
      <c r="S57" t="s">
        <v>88</v>
      </c>
      <c r="T57" t="s">
        <v>88</v>
      </c>
      <c r="U57" t="s">
        <v>20</v>
      </c>
    </row>
    <row r="58" spans="1:21" x14ac:dyDescent="0.45">
      <c r="A58" s="20">
        <v>195332916</v>
      </c>
      <c r="B58" s="21" t="str">
        <f t="shared" si="2"/>
        <v>19.533.291-6</v>
      </c>
      <c r="C58" s="22" t="str">
        <f>IF(IFERROR(VLOOKUP(A58,$A$9:$I57,1,0),0)=0,"",VLOOKUP(A58,$A$9:$I57,3,0))</f>
        <v>UCI</v>
      </c>
      <c r="D58" s="21" t="str">
        <f>IF(IFERROR(VLOOKUP(A58,$A$9:$I57,1,0),0)=0,"",VLOOKUP(A58,$A$9:$I57,4,0))</f>
        <v>CÁCERES</v>
      </c>
      <c r="E58" s="21" t="str">
        <f>IF(IFERROR(VLOOKUP(A58,$A$9:$I57,1,0),0)=0,"",VLOOKUP(A58,$A$9:$I57,5,0))</f>
        <v>SILVA</v>
      </c>
      <c r="F58" s="21" t="str">
        <f>IF(IFERROR(VLOOKUP(A58,$A$9:$I57,1,0),0)=0,"",VLOOKUP(A58,$A$9:$I57,6,0))</f>
        <v>MEDALÍN</v>
      </c>
      <c r="G58" s="23">
        <f>IF(IFERROR(VLOOKUP(A58,$A$9:$I57,1,0),0)=0,"",VLOOKUP(A58,$A$9:$I57,7,0))</f>
        <v>45356</v>
      </c>
      <c r="H58" s="23">
        <v>45359</v>
      </c>
      <c r="I58" s="21" t="s">
        <v>66</v>
      </c>
      <c r="J58" s="21" t="s">
        <v>22</v>
      </c>
      <c r="K58" s="24" t="s">
        <v>47</v>
      </c>
      <c r="L58" s="23">
        <v>45356</v>
      </c>
      <c r="M58" s="23">
        <v>45359</v>
      </c>
      <c r="N58" s="25">
        <f t="shared" si="3"/>
        <v>3</v>
      </c>
      <c r="O58" s="26"/>
      <c r="P58" t="s">
        <v>88</v>
      </c>
      <c r="Q58" t="s">
        <v>88</v>
      </c>
      <c r="R58" t="s">
        <v>88</v>
      </c>
      <c r="S58" t="s">
        <v>88</v>
      </c>
      <c r="T58" t="s">
        <v>88</v>
      </c>
      <c r="U58" t="s">
        <v>20</v>
      </c>
    </row>
    <row r="59" spans="1:21" x14ac:dyDescent="0.45">
      <c r="A59" s="20">
        <v>283675017</v>
      </c>
      <c r="B59" s="21" t="str">
        <f t="shared" ref="B59:B90" si="4">IF(LEN(A59)=8,MID(A59,1,1)&amp;"."&amp;MID(A59,2,3)&amp;"."&amp;MID(A59,5,3)&amp;"-"&amp;RIGHT(A59,1),IF(LEFT(RIGHT(A59,2),1)="-",MID(A59,1,1)&amp;"."&amp;MID(A59,2,3)&amp;"."&amp;MID(A59,5,3)&amp;"-"&amp;RIGHT(A59,1),MID(A59,1,2)&amp;"."&amp;MID(A59,3,3)&amp;"."&amp;MID(A59,6,3)&amp;"-"&amp;MID(A59,9,1)))</f>
        <v>28.367.501-7</v>
      </c>
      <c r="C59" s="22" t="s">
        <v>22</v>
      </c>
      <c r="D59" s="21" t="s">
        <v>743</v>
      </c>
      <c r="E59" s="21" t="s">
        <v>635</v>
      </c>
      <c r="F59" s="21" t="s">
        <v>744</v>
      </c>
      <c r="G59" s="23">
        <v>45350</v>
      </c>
      <c r="H59" s="23">
        <v>45376</v>
      </c>
      <c r="I59" s="21" t="s">
        <v>84</v>
      </c>
      <c r="J59" s="21" t="s">
        <v>13</v>
      </c>
      <c r="K59" s="24" t="s">
        <v>18</v>
      </c>
      <c r="L59" s="23">
        <v>45352</v>
      </c>
      <c r="M59" s="23">
        <v>45376</v>
      </c>
      <c r="N59" s="25">
        <f t="shared" si="3"/>
        <v>24</v>
      </c>
      <c r="O59" s="26"/>
      <c r="P59" t="s">
        <v>88</v>
      </c>
      <c r="Q59" t="s">
        <v>88</v>
      </c>
      <c r="R59" t="s">
        <v>88</v>
      </c>
      <c r="S59" t="s">
        <v>88</v>
      </c>
      <c r="T59" t="s">
        <v>88</v>
      </c>
      <c r="U59" t="s">
        <v>20</v>
      </c>
    </row>
    <row r="60" spans="1:21" x14ac:dyDescent="0.45">
      <c r="A60" s="20">
        <v>283675017</v>
      </c>
      <c r="B60" s="21" t="str">
        <f t="shared" si="4"/>
        <v>28.367.501-7</v>
      </c>
      <c r="C60" s="22" t="str">
        <f>IF(IFERROR(VLOOKUP(A60,$A$9:$I59,1,0),0)=0,"",VLOOKUP(A60,$A$9:$I59,3,0))</f>
        <v>UCI</v>
      </c>
      <c r="D60" s="21" t="str">
        <f>IF(IFERROR(VLOOKUP(A60,$A$9:$I59,1,0),0)=0,"",VLOOKUP(A60,$A$9:$I59,4,0))</f>
        <v>CHANDIA</v>
      </c>
      <c r="E60" s="21" t="str">
        <f>IF(IFERROR(VLOOKUP(A60,$A$9:$I59,1,0),0)=0,"",VLOOKUP(A60,$A$9:$I59,5,0))</f>
        <v>INZUNZA</v>
      </c>
      <c r="F60" s="21" t="str">
        <f>IF(IFERROR(VLOOKUP(A60,$A$9:$I59,1,0),0)=0,"",VLOOKUP(A60,$A$9:$I59,6,0))</f>
        <v>THOMAS</v>
      </c>
      <c r="G60" s="23">
        <f>IF(IFERROR(VLOOKUP(A60,$A$9:$I59,1,0),0)=0,"",VLOOKUP(A60,$A$9:$I59,7,0))</f>
        <v>45350</v>
      </c>
      <c r="H60" s="23">
        <v>45376</v>
      </c>
      <c r="I60" s="21" t="s">
        <v>84</v>
      </c>
      <c r="J60" s="21" t="s">
        <v>13</v>
      </c>
      <c r="K60" s="24" t="s">
        <v>47</v>
      </c>
      <c r="L60" s="23">
        <v>45352</v>
      </c>
      <c r="M60" s="23">
        <v>45376</v>
      </c>
      <c r="N60" s="25">
        <f t="shared" si="3"/>
        <v>24</v>
      </c>
      <c r="O60" s="26"/>
      <c r="P60" t="s">
        <v>88</v>
      </c>
      <c r="Q60" t="s">
        <v>88</v>
      </c>
      <c r="R60" t="s">
        <v>88</v>
      </c>
      <c r="S60" t="s">
        <v>88</v>
      </c>
      <c r="T60" t="s">
        <v>88</v>
      </c>
      <c r="U60" t="s">
        <v>20</v>
      </c>
    </row>
    <row r="61" spans="1:21" x14ac:dyDescent="0.45">
      <c r="A61" s="20">
        <v>95458157</v>
      </c>
      <c r="B61" s="21" t="str">
        <f t="shared" si="4"/>
        <v>9.545.815-7</v>
      </c>
      <c r="C61" s="22" t="s">
        <v>30</v>
      </c>
      <c r="D61" s="21" t="s">
        <v>745</v>
      </c>
      <c r="E61" s="21" t="s">
        <v>493</v>
      </c>
      <c r="F61" s="21" t="s">
        <v>746</v>
      </c>
      <c r="G61" s="23">
        <v>45355</v>
      </c>
      <c r="H61" s="23">
        <v>45357</v>
      </c>
      <c r="I61" s="21" t="s">
        <v>24</v>
      </c>
      <c r="J61" s="21" t="s">
        <v>24</v>
      </c>
      <c r="K61" s="63" t="s">
        <v>43</v>
      </c>
      <c r="L61" s="23">
        <v>45355</v>
      </c>
      <c r="M61" s="23">
        <v>45357</v>
      </c>
      <c r="N61" s="25">
        <f t="shared" si="3"/>
        <v>2</v>
      </c>
      <c r="O61" s="26"/>
      <c r="P61" t="s">
        <v>88</v>
      </c>
      <c r="Q61" t="s">
        <v>88</v>
      </c>
      <c r="R61" t="s">
        <v>88</v>
      </c>
      <c r="S61" t="s">
        <v>88</v>
      </c>
      <c r="T61" t="s">
        <v>88</v>
      </c>
      <c r="U61" t="s">
        <v>20</v>
      </c>
    </row>
    <row r="62" spans="1:21" x14ac:dyDescent="0.45">
      <c r="A62" s="20">
        <v>140607002</v>
      </c>
      <c r="B62" s="21" t="str">
        <f t="shared" si="4"/>
        <v>14.060.700-2</v>
      </c>
      <c r="C62" s="22" t="s">
        <v>30</v>
      </c>
      <c r="D62" s="21" t="s">
        <v>747</v>
      </c>
      <c r="E62" s="21" t="s">
        <v>632</v>
      </c>
      <c r="F62" s="21" t="s">
        <v>748</v>
      </c>
      <c r="G62" s="23">
        <v>45355</v>
      </c>
      <c r="H62" s="23">
        <v>45357</v>
      </c>
      <c r="I62" s="21" t="s">
        <v>46</v>
      </c>
      <c r="J62" s="21" t="s">
        <v>52</v>
      </c>
      <c r="K62" s="63" t="s">
        <v>43</v>
      </c>
      <c r="L62" s="23">
        <v>45355</v>
      </c>
      <c r="M62" s="23">
        <v>45357</v>
      </c>
      <c r="N62" s="25">
        <f t="shared" si="3"/>
        <v>2</v>
      </c>
      <c r="O62" s="26"/>
      <c r="P62" t="s">
        <v>88</v>
      </c>
      <c r="Q62" t="s">
        <v>88</v>
      </c>
      <c r="R62" t="s">
        <v>88</v>
      </c>
      <c r="S62" t="s">
        <v>88</v>
      </c>
      <c r="T62" t="s">
        <v>88</v>
      </c>
      <c r="U62" t="s">
        <v>20</v>
      </c>
    </row>
    <row r="63" spans="1:21" x14ac:dyDescent="0.45">
      <c r="A63" s="20">
        <v>140267619</v>
      </c>
      <c r="B63" s="21" t="str">
        <f t="shared" si="4"/>
        <v>14.026.761-9</v>
      </c>
      <c r="C63" s="22" t="s">
        <v>30</v>
      </c>
      <c r="D63" s="21" t="s">
        <v>454</v>
      </c>
      <c r="E63" s="21" t="s">
        <v>240</v>
      </c>
      <c r="F63" s="21" t="s">
        <v>489</v>
      </c>
      <c r="G63" s="23">
        <v>45347</v>
      </c>
      <c r="H63" s="23">
        <v>45372</v>
      </c>
      <c r="I63" s="21" t="s">
        <v>22</v>
      </c>
      <c r="J63" s="21" t="s">
        <v>46</v>
      </c>
      <c r="K63" s="63" t="s">
        <v>43</v>
      </c>
      <c r="L63" s="23">
        <v>45352</v>
      </c>
      <c r="M63" s="23">
        <v>45365</v>
      </c>
      <c r="N63" s="25">
        <f t="shared" si="3"/>
        <v>13</v>
      </c>
      <c r="O63" s="26"/>
      <c r="P63" t="s">
        <v>96</v>
      </c>
      <c r="Q63" t="s">
        <v>88</v>
      </c>
      <c r="R63" t="s">
        <v>88</v>
      </c>
      <c r="S63" t="s">
        <v>88</v>
      </c>
      <c r="T63" t="s">
        <v>88</v>
      </c>
      <c r="U63" t="s">
        <v>14</v>
      </c>
    </row>
    <row r="64" spans="1:21" x14ac:dyDescent="0.45">
      <c r="A64" s="20">
        <v>140267619</v>
      </c>
      <c r="B64" s="21" t="str">
        <f t="shared" si="4"/>
        <v>14.026.761-9</v>
      </c>
      <c r="C64" s="22" t="str">
        <f>IF(IFERROR(VLOOKUP(A64,$A$9:$I63,1,0),0)=0,"",VLOOKUP(A64,$A$9:$I63,3,0))</f>
        <v>UCO</v>
      </c>
      <c r="D64" s="21" t="str">
        <f>IF(IFERROR(VLOOKUP(A64,$A$9:$I63,1,0),0)=0,"",VLOOKUP(A64,$A$9:$I63,4,0))</f>
        <v>DE LA FUENTE</v>
      </c>
      <c r="E64" s="21" t="str">
        <f>IF(IFERROR(VLOOKUP(A64,$A$9:$I63,1,0),0)=0,"",VLOOKUP(A64,$A$9:$I63,5,0))</f>
        <v>MARTINEZ</v>
      </c>
      <c r="F64" s="21" t="str">
        <f>IF(IFERROR(VLOOKUP(A64,$A$9:$I63,1,0),0)=0,"",VLOOKUP(A64,$A$9:$I63,6,0))</f>
        <v>HECTOR</v>
      </c>
      <c r="G64" s="23">
        <f>IF(IFERROR(VLOOKUP(A64,$A$9:$I63,1,0),0)=0,"",VLOOKUP(A64,$A$9:$I63,7,0))</f>
        <v>45347</v>
      </c>
      <c r="H64" s="23">
        <v>45372</v>
      </c>
      <c r="I64" s="21" t="s">
        <v>22</v>
      </c>
      <c r="J64" s="21" t="s">
        <v>46</v>
      </c>
      <c r="K64" s="63" t="s">
        <v>47</v>
      </c>
      <c r="L64" s="23">
        <v>45352</v>
      </c>
      <c r="M64" s="23">
        <v>45372</v>
      </c>
      <c r="N64" s="25">
        <f t="shared" si="3"/>
        <v>20</v>
      </c>
      <c r="O64" s="26"/>
      <c r="P64" t="s">
        <v>88</v>
      </c>
      <c r="Q64" t="s">
        <v>88</v>
      </c>
      <c r="R64" t="s">
        <v>88</v>
      </c>
      <c r="S64" t="s">
        <v>88</v>
      </c>
      <c r="T64" t="s">
        <v>88</v>
      </c>
      <c r="U64" t="s">
        <v>20</v>
      </c>
    </row>
    <row r="65" spans="1:21" x14ac:dyDescent="0.45">
      <c r="A65" s="20">
        <v>140267619</v>
      </c>
      <c r="B65" s="21" t="str">
        <f t="shared" si="4"/>
        <v>14.026.761-9</v>
      </c>
      <c r="C65" s="22" t="str">
        <f>IF(IFERROR(VLOOKUP(A65,$A$9:$I64,1,0),0)=0,"",VLOOKUP(A65,$A$9:$I64,3,0))</f>
        <v>UCO</v>
      </c>
      <c r="D65" s="21" t="str">
        <f>IF(IFERROR(VLOOKUP(A65,$A$9:$I64,1,0),0)=0,"",VLOOKUP(A65,$A$9:$I64,4,0))</f>
        <v>DE LA FUENTE</v>
      </c>
      <c r="E65" s="21" t="str">
        <f>IF(IFERROR(VLOOKUP(A65,$A$9:$I64,1,0),0)=0,"",VLOOKUP(A65,$A$9:$I64,5,0))</f>
        <v>MARTINEZ</v>
      </c>
      <c r="F65" s="21" t="str">
        <f>IF(IFERROR(VLOOKUP(A65,$A$9:$I64,1,0),0)=0,"",VLOOKUP(A65,$A$9:$I64,6,0))</f>
        <v>HECTOR</v>
      </c>
      <c r="G65" s="23">
        <f>IF(IFERROR(VLOOKUP(A65,$A$9:$I64,1,0),0)=0,"",VLOOKUP(A65,$A$9:$I64,7,0))</f>
        <v>45347</v>
      </c>
      <c r="H65" s="23">
        <v>45372</v>
      </c>
      <c r="I65" s="21" t="s">
        <v>22</v>
      </c>
      <c r="J65" s="21" t="s">
        <v>46</v>
      </c>
      <c r="K65" s="63" t="s">
        <v>55</v>
      </c>
      <c r="L65" s="23">
        <v>45352</v>
      </c>
      <c r="M65" s="23">
        <v>45364</v>
      </c>
      <c r="N65" s="25">
        <f t="shared" si="3"/>
        <v>12</v>
      </c>
      <c r="O65" s="26"/>
      <c r="P65" t="s">
        <v>124</v>
      </c>
      <c r="Q65" t="s">
        <v>132</v>
      </c>
      <c r="R65" t="s">
        <v>88</v>
      </c>
      <c r="S65" t="s">
        <v>88</v>
      </c>
      <c r="T65" t="s">
        <v>88</v>
      </c>
      <c r="U65" t="s">
        <v>14</v>
      </c>
    </row>
    <row r="66" spans="1:21" x14ac:dyDescent="0.45">
      <c r="A66" s="20">
        <v>140267619</v>
      </c>
      <c r="B66" s="21" t="str">
        <f t="shared" si="4"/>
        <v>14.026.761-9</v>
      </c>
      <c r="C66" s="22" t="str">
        <f>IF(IFERROR(VLOOKUP(A66,$A$9:$I65,1,0),0)=0,"",VLOOKUP(A66,$A$9:$I65,3,0))</f>
        <v>UCO</v>
      </c>
      <c r="D66" s="21" t="str">
        <f>IF(IFERROR(VLOOKUP(A66,$A$9:$I65,1,0),0)=0,"",VLOOKUP(A66,$A$9:$I65,4,0))</f>
        <v>DE LA FUENTE</v>
      </c>
      <c r="E66" s="21" t="str">
        <f>IF(IFERROR(VLOOKUP(A66,$A$9:$I65,1,0),0)=0,"",VLOOKUP(A66,$A$9:$I65,5,0))</f>
        <v>MARTINEZ</v>
      </c>
      <c r="F66" s="21" t="str">
        <f>IF(IFERROR(VLOOKUP(A66,$A$9:$I65,1,0),0)=0,"",VLOOKUP(A66,$A$9:$I65,6,0))</f>
        <v>HECTOR</v>
      </c>
      <c r="G66" s="23">
        <f>IF(IFERROR(VLOOKUP(A66,$A$9:$I65,1,0),0)=0,"",VLOOKUP(A66,$A$9:$I65,7,0))</f>
        <v>45347</v>
      </c>
      <c r="H66" s="23">
        <v>45372</v>
      </c>
      <c r="I66" s="21" t="s">
        <v>22</v>
      </c>
      <c r="J66" s="21" t="s">
        <v>46</v>
      </c>
      <c r="K66" s="63" t="s">
        <v>18</v>
      </c>
      <c r="L66" s="23">
        <v>45352</v>
      </c>
      <c r="M66" s="23">
        <v>45364</v>
      </c>
      <c r="N66" s="25">
        <f t="shared" si="3"/>
        <v>12</v>
      </c>
      <c r="O66" s="26"/>
      <c r="P66" t="s">
        <v>88</v>
      </c>
      <c r="Q66" t="s">
        <v>88</v>
      </c>
      <c r="R66" t="s">
        <v>88</v>
      </c>
      <c r="S66" t="s">
        <v>88</v>
      </c>
      <c r="T66" t="s">
        <v>88</v>
      </c>
      <c r="U66" t="s">
        <v>20</v>
      </c>
    </row>
    <row r="67" spans="1:21" x14ac:dyDescent="0.45">
      <c r="A67" s="20">
        <v>140267619</v>
      </c>
      <c r="B67" s="21" t="str">
        <f t="shared" si="4"/>
        <v>14.026.761-9</v>
      </c>
      <c r="C67" s="22" t="str">
        <f>IF(IFERROR(VLOOKUP(A67,$A$9:$I66,1,0),0)=0,"",VLOOKUP(A67,$A$9:$I66,3,0))</f>
        <v>UCO</v>
      </c>
      <c r="D67" s="21" t="str">
        <f>IF(IFERROR(VLOOKUP(A67,$A$9:$I66,1,0),0)=0,"",VLOOKUP(A67,$A$9:$I66,4,0))</f>
        <v>DE LA FUENTE</v>
      </c>
      <c r="E67" s="21" t="str">
        <f>IF(IFERROR(VLOOKUP(A67,$A$9:$I66,1,0),0)=0,"",VLOOKUP(A67,$A$9:$I66,5,0))</f>
        <v>MARTINEZ</v>
      </c>
      <c r="F67" s="21" t="str">
        <f>IF(IFERROR(VLOOKUP(A67,$A$9:$I66,1,0),0)=0,"",VLOOKUP(A67,$A$9:$I66,6,0))</f>
        <v>HECTOR</v>
      </c>
      <c r="G67" s="23">
        <f>IF(IFERROR(VLOOKUP(A67,$A$9:$I66,1,0),0)=0,"",VLOOKUP(A67,$A$9:$I66,7,0))</f>
        <v>45347</v>
      </c>
      <c r="H67" s="23">
        <v>45372</v>
      </c>
      <c r="I67" s="21" t="s">
        <v>22</v>
      </c>
      <c r="J67" s="21" t="s">
        <v>46</v>
      </c>
      <c r="K67" s="63" t="s">
        <v>43</v>
      </c>
      <c r="L67" s="23">
        <v>45365</v>
      </c>
      <c r="M67" s="23">
        <v>45372</v>
      </c>
      <c r="N67" s="25">
        <f t="shared" si="3"/>
        <v>7</v>
      </c>
      <c r="O67" s="26"/>
      <c r="P67" t="s">
        <v>88</v>
      </c>
      <c r="Q67" t="s">
        <v>88</v>
      </c>
      <c r="R67" t="s">
        <v>88</v>
      </c>
      <c r="S67" t="s">
        <v>88</v>
      </c>
      <c r="T67" t="s">
        <v>88</v>
      </c>
      <c r="U67" t="s">
        <v>20</v>
      </c>
    </row>
    <row r="68" spans="1:21" x14ac:dyDescent="0.45">
      <c r="A68" s="20">
        <v>86957353</v>
      </c>
      <c r="B68" s="21" t="str">
        <f t="shared" si="4"/>
        <v>8.695.735-3</v>
      </c>
      <c r="C68" s="22" t="s">
        <v>30</v>
      </c>
      <c r="D68" s="21" t="s">
        <v>349</v>
      </c>
      <c r="E68" s="21" t="s">
        <v>749</v>
      </c>
      <c r="F68" s="21" t="s">
        <v>601</v>
      </c>
      <c r="G68" s="23">
        <v>45356</v>
      </c>
      <c r="H68" s="23">
        <v>45359</v>
      </c>
      <c r="I68" s="23" t="s">
        <v>30</v>
      </c>
      <c r="J68" s="21" t="s">
        <v>13</v>
      </c>
      <c r="K68" s="57" t="s">
        <v>43</v>
      </c>
      <c r="L68" s="65">
        <v>45356</v>
      </c>
      <c r="M68" s="65">
        <v>45359</v>
      </c>
      <c r="N68" s="25">
        <f t="shared" si="3"/>
        <v>3</v>
      </c>
      <c r="O68" s="26"/>
      <c r="P68" t="s">
        <v>88</v>
      </c>
      <c r="Q68" t="s">
        <v>88</v>
      </c>
      <c r="R68" t="s">
        <v>88</v>
      </c>
      <c r="S68" t="s">
        <v>88</v>
      </c>
      <c r="T68" t="s">
        <v>88</v>
      </c>
      <c r="U68" t="s">
        <v>20</v>
      </c>
    </row>
    <row r="69" spans="1:21" x14ac:dyDescent="0.45">
      <c r="A69" s="20">
        <v>86957353</v>
      </c>
      <c r="B69" s="21" t="str">
        <f t="shared" si="4"/>
        <v>8.695.735-3</v>
      </c>
      <c r="C69" s="22" t="str">
        <f>IF(IFERROR(VLOOKUP(A69,$A$9:$I68,1,0),0)=0,"",VLOOKUP(A69,$A$9:$I68,3,0))</f>
        <v>UCO</v>
      </c>
      <c r="D69" s="21" t="str">
        <f>IF(IFERROR(VLOOKUP(A69,$A$9:$I68,1,0),0)=0,"",VLOOKUP(A69,$A$9:$I68,4,0))</f>
        <v>ZUÑIGA</v>
      </c>
      <c r="E69" s="21" t="str">
        <f>IF(IFERROR(VLOOKUP(A69,$A$9:$I68,1,0),0)=0,"",VLOOKUP(A69,$A$9:$I68,5,0))</f>
        <v>VEJAR</v>
      </c>
      <c r="F69" s="21" t="str">
        <f>IF(IFERROR(VLOOKUP(A69,$A$9:$I68,1,0),0)=0,"",VLOOKUP(A69,$A$9:$I68,6,0))</f>
        <v>FRANCISCO</v>
      </c>
      <c r="G69" s="23">
        <f>IF(IFERROR(VLOOKUP(A69,$A$9:$I68,1,0),0)=0,"",VLOOKUP(A69,$A$9:$I68,7,0))</f>
        <v>45356</v>
      </c>
      <c r="H69" s="23">
        <v>45359</v>
      </c>
      <c r="I69" s="23" t="s">
        <v>30</v>
      </c>
      <c r="J69" s="21" t="s">
        <v>13</v>
      </c>
      <c r="K69" s="57" t="s">
        <v>47</v>
      </c>
      <c r="L69" s="65">
        <v>45356</v>
      </c>
      <c r="M69" s="65">
        <v>45359</v>
      </c>
      <c r="N69" s="25">
        <f t="shared" si="3"/>
        <v>3</v>
      </c>
      <c r="O69" s="26"/>
      <c r="P69" t="s">
        <v>88</v>
      </c>
      <c r="Q69" t="s">
        <v>88</v>
      </c>
      <c r="R69" t="s">
        <v>88</v>
      </c>
      <c r="S69" t="s">
        <v>88</v>
      </c>
      <c r="T69" t="s">
        <v>88</v>
      </c>
      <c r="U69" t="s">
        <v>20</v>
      </c>
    </row>
    <row r="70" spans="1:21" x14ac:dyDescent="0.45">
      <c r="A70" s="20">
        <v>70089955</v>
      </c>
      <c r="B70" s="21" t="str">
        <f t="shared" si="4"/>
        <v>7.008.995-5</v>
      </c>
      <c r="C70" s="22" t="s">
        <v>30</v>
      </c>
      <c r="D70" s="21" t="s">
        <v>750</v>
      </c>
      <c r="E70" s="21" t="s">
        <v>751</v>
      </c>
      <c r="F70" s="21" t="s">
        <v>386</v>
      </c>
      <c r="G70" s="23">
        <v>45352</v>
      </c>
      <c r="H70" s="23">
        <v>45356</v>
      </c>
      <c r="I70" s="21" t="s">
        <v>54</v>
      </c>
      <c r="J70" s="21" t="s">
        <v>65</v>
      </c>
      <c r="K70" s="57" t="s">
        <v>43</v>
      </c>
      <c r="L70" s="65">
        <v>45352</v>
      </c>
      <c r="M70" s="65">
        <v>45356</v>
      </c>
      <c r="N70" s="25">
        <f t="shared" si="3"/>
        <v>4</v>
      </c>
      <c r="O70" s="26"/>
      <c r="P70" t="s">
        <v>88</v>
      </c>
      <c r="Q70" t="s">
        <v>88</v>
      </c>
      <c r="R70" t="s">
        <v>88</v>
      </c>
      <c r="S70" t="s">
        <v>88</v>
      </c>
      <c r="T70" t="s">
        <v>88</v>
      </c>
      <c r="U70" t="s">
        <v>20</v>
      </c>
    </row>
    <row r="71" spans="1:21" x14ac:dyDescent="0.45">
      <c r="A71" s="20">
        <v>70089955</v>
      </c>
      <c r="B71" s="21" t="str">
        <f t="shared" si="4"/>
        <v>7.008.995-5</v>
      </c>
      <c r="C71" s="22" t="str">
        <f>IF(IFERROR(VLOOKUP(A71,$A$9:$I70,1,0),0)=0,"",VLOOKUP(A71,$A$9:$I70,3,0))</f>
        <v>UCO</v>
      </c>
      <c r="D71" s="21" t="str">
        <f>IF(IFERROR(VLOOKUP(A71,$A$9:$I70,1,0),0)=0,"",VLOOKUP(A71,$A$9:$I70,4,0))</f>
        <v>ALE</v>
      </c>
      <c r="E71" s="21" t="str">
        <f>IF(IFERROR(VLOOKUP(A71,$A$9:$I70,1,0),0)=0,"",VLOOKUP(A71,$A$9:$I70,5,0))</f>
        <v>BENITEZ</v>
      </c>
      <c r="F71" s="21" t="str">
        <f>IF(IFERROR(VLOOKUP(A71,$A$9:$I70,1,0),0)=0,"",VLOOKUP(A71,$A$9:$I70,6,0))</f>
        <v>OLGA</v>
      </c>
      <c r="G71" s="23">
        <f>IF(IFERROR(VLOOKUP(A71,$A$9:$I70,1,0),0)=0,"",VLOOKUP(A71,$A$9:$I70,7,0))</f>
        <v>45352</v>
      </c>
      <c r="H71" s="23">
        <v>45356</v>
      </c>
      <c r="I71" s="21" t="s">
        <v>54</v>
      </c>
      <c r="J71" s="21" t="s">
        <v>65</v>
      </c>
      <c r="K71" s="51" t="s">
        <v>47</v>
      </c>
      <c r="L71" s="65">
        <v>45352</v>
      </c>
      <c r="M71" s="65">
        <v>45354</v>
      </c>
      <c r="N71" s="25">
        <f t="shared" si="3"/>
        <v>2</v>
      </c>
      <c r="O71" s="26"/>
      <c r="P71" t="s">
        <v>88</v>
      </c>
      <c r="Q71" t="s">
        <v>88</v>
      </c>
      <c r="R71" t="s">
        <v>88</v>
      </c>
      <c r="S71" t="s">
        <v>88</v>
      </c>
      <c r="T71" t="s">
        <v>88</v>
      </c>
      <c r="U71" t="s">
        <v>20</v>
      </c>
    </row>
    <row r="72" spans="1:21" x14ac:dyDescent="0.45">
      <c r="A72" s="20" t="s">
        <v>752</v>
      </c>
      <c r="B72" s="21" t="str">
        <f t="shared" si="4"/>
        <v>7.297.204-K</v>
      </c>
      <c r="C72" s="22" t="s">
        <v>30</v>
      </c>
      <c r="D72" s="21" t="s">
        <v>753</v>
      </c>
      <c r="E72" s="21" t="s">
        <v>375</v>
      </c>
      <c r="F72" s="21" t="s">
        <v>754</v>
      </c>
      <c r="G72" s="23">
        <v>45354</v>
      </c>
      <c r="H72" s="23">
        <v>45356</v>
      </c>
      <c r="I72" s="21" t="s">
        <v>54</v>
      </c>
      <c r="J72" s="21" t="s">
        <v>13</v>
      </c>
      <c r="K72" s="57" t="s">
        <v>43</v>
      </c>
      <c r="L72" s="65">
        <v>45354</v>
      </c>
      <c r="M72" s="65">
        <v>45356</v>
      </c>
      <c r="N72" s="25">
        <f t="shared" ref="N72:N103" si="5">+M72-L72</f>
        <v>2</v>
      </c>
      <c r="O72" s="26"/>
      <c r="P72" t="s">
        <v>88</v>
      </c>
      <c r="Q72" t="s">
        <v>88</v>
      </c>
      <c r="R72" t="s">
        <v>88</v>
      </c>
      <c r="S72" t="s">
        <v>88</v>
      </c>
      <c r="T72" t="s">
        <v>88</v>
      </c>
      <c r="U72" t="s">
        <v>20</v>
      </c>
    </row>
    <row r="73" spans="1:21" x14ac:dyDescent="0.45">
      <c r="A73" s="20" t="s">
        <v>752</v>
      </c>
      <c r="B73" s="21" t="str">
        <f t="shared" si="4"/>
        <v>7.297.204-K</v>
      </c>
      <c r="C73" s="22" t="str">
        <f>IF(IFERROR(VLOOKUP(A73,$A$9:$I72,1,0),0)=0,"",VLOOKUP(A73,$A$9:$I72,3,0))</f>
        <v>UCO</v>
      </c>
      <c r="D73" s="21" t="str">
        <f>IF(IFERROR(VLOOKUP(A73,$A$9:$I72,1,0),0)=0,"",VLOOKUP(A73,$A$9:$I72,4,0))</f>
        <v>VIELMA</v>
      </c>
      <c r="E73" s="21" t="str">
        <f>IF(IFERROR(VLOOKUP(A73,$A$9:$I72,1,0),0)=0,"",VLOOKUP(A73,$A$9:$I72,5,0))</f>
        <v>CASTILLO</v>
      </c>
      <c r="F73" s="21" t="str">
        <f>IF(IFERROR(VLOOKUP(A73,$A$9:$I72,1,0),0)=0,"",VLOOKUP(A73,$A$9:$I72,6,0))</f>
        <v>HERALDO</v>
      </c>
      <c r="G73" s="23">
        <f>IF(IFERROR(VLOOKUP(A73,$A$9:$I72,1,0),0)=0,"",VLOOKUP(A73,$A$9:$I72,7,0))</f>
        <v>45354</v>
      </c>
      <c r="H73" s="23">
        <v>45356</v>
      </c>
      <c r="I73" s="21" t="s">
        <v>54</v>
      </c>
      <c r="J73" s="21" t="s">
        <v>13</v>
      </c>
      <c r="K73" s="57" t="s">
        <v>47</v>
      </c>
      <c r="L73" s="65">
        <v>45354</v>
      </c>
      <c r="M73" s="65">
        <v>45356</v>
      </c>
      <c r="N73" s="25">
        <f t="shared" si="5"/>
        <v>2</v>
      </c>
      <c r="O73" s="26"/>
      <c r="P73" t="s">
        <v>88</v>
      </c>
      <c r="Q73" t="s">
        <v>88</v>
      </c>
      <c r="R73" t="s">
        <v>88</v>
      </c>
      <c r="S73" t="s">
        <v>88</v>
      </c>
      <c r="T73" t="s">
        <v>88</v>
      </c>
      <c r="U73" t="s">
        <v>20</v>
      </c>
    </row>
    <row r="74" spans="1:21" x14ac:dyDescent="0.45">
      <c r="A74" s="20">
        <v>77885501</v>
      </c>
      <c r="B74" s="21" t="str">
        <f t="shared" si="4"/>
        <v>7.788.550-1</v>
      </c>
      <c r="C74" s="22" t="s">
        <v>22</v>
      </c>
      <c r="D74" s="21" t="s">
        <v>639</v>
      </c>
      <c r="E74" s="21" t="s">
        <v>640</v>
      </c>
      <c r="F74" s="21" t="s">
        <v>271</v>
      </c>
      <c r="G74" s="23">
        <v>45351</v>
      </c>
      <c r="H74" s="23">
        <v>45356</v>
      </c>
      <c r="I74" s="21" t="s">
        <v>54</v>
      </c>
      <c r="J74" s="21" t="s">
        <v>56</v>
      </c>
      <c r="K74" s="63" t="s">
        <v>47</v>
      </c>
      <c r="L74" s="23">
        <v>45352</v>
      </c>
      <c r="M74" s="23">
        <v>45356</v>
      </c>
      <c r="N74" s="25">
        <f t="shared" si="5"/>
        <v>4</v>
      </c>
      <c r="O74" s="26"/>
      <c r="P74" t="s">
        <v>88</v>
      </c>
      <c r="Q74" t="s">
        <v>88</v>
      </c>
      <c r="R74" t="s">
        <v>88</v>
      </c>
      <c r="S74" t="s">
        <v>88</v>
      </c>
      <c r="T74" t="s">
        <v>88</v>
      </c>
      <c r="U74" t="s">
        <v>20</v>
      </c>
    </row>
    <row r="75" spans="1:21" x14ac:dyDescent="0.45">
      <c r="A75" s="20">
        <v>53618081</v>
      </c>
      <c r="B75" s="21" t="str">
        <f t="shared" si="4"/>
        <v>5.361.808-1</v>
      </c>
      <c r="C75" s="22" t="s">
        <v>22</v>
      </c>
      <c r="D75" s="21" t="s">
        <v>439</v>
      </c>
      <c r="E75" s="21" t="s">
        <v>755</v>
      </c>
      <c r="F75" s="21" t="s">
        <v>756</v>
      </c>
      <c r="G75" s="23">
        <v>45352</v>
      </c>
      <c r="H75" s="23">
        <v>45358</v>
      </c>
      <c r="I75" s="21" t="s">
        <v>54</v>
      </c>
      <c r="J75" s="21" t="s">
        <v>13</v>
      </c>
      <c r="K75" s="63" t="s">
        <v>43</v>
      </c>
      <c r="L75" s="23">
        <v>45352</v>
      </c>
      <c r="M75" s="23">
        <v>45358</v>
      </c>
      <c r="N75" s="25">
        <f t="shared" si="5"/>
        <v>6</v>
      </c>
      <c r="O75" s="26"/>
      <c r="P75" t="s">
        <v>88</v>
      </c>
      <c r="Q75" t="s">
        <v>88</v>
      </c>
      <c r="R75" t="s">
        <v>88</v>
      </c>
      <c r="S75" t="s">
        <v>88</v>
      </c>
      <c r="T75" t="s">
        <v>88</v>
      </c>
      <c r="U75" t="s">
        <v>20</v>
      </c>
    </row>
    <row r="76" spans="1:21" x14ac:dyDescent="0.45">
      <c r="A76" s="20">
        <v>53618081</v>
      </c>
      <c r="B76" s="21" t="str">
        <f t="shared" si="4"/>
        <v>5.361.808-1</v>
      </c>
      <c r="C76" s="22" t="str">
        <f>IF(IFERROR(VLOOKUP(A76,$A$9:$I75,1,0),0)=0,"",VLOOKUP(A76,$A$9:$I75,3,0))</f>
        <v>UCI</v>
      </c>
      <c r="D76" s="21" t="str">
        <f>IF(IFERROR(VLOOKUP(A76,$A$9:$I75,1,0),0)=0,"",VLOOKUP(A76,$A$9:$I75,4,0))</f>
        <v>GONZALEZ</v>
      </c>
      <c r="E76" s="21" t="str">
        <f>IF(IFERROR(VLOOKUP(A76,$A$9:$I75,1,0),0)=0,"",VLOOKUP(A76,$A$9:$I75,5,0))</f>
        <v>ALBORNOZ</v>
      </c>
      <c r="F76" s="21" t="str">
        <f>IF(IFERROR(VLOOKUP(A76,$A$9:$I75,1,0),0)=0,"",VLOOKUP(A76,$A$9:$I75,6,0))</f>
        <v>ISRAELA</v>
      </c>
      <c r="G76" s="23">
        <f>IF(IFERROR(VLOOKUP(A76,$A$9:$I75,1,0),0)=0,"",VLOOKUP(A76,$A$9:$I75,7,0))</f>
        <v>45352</v>
      </c>
      <c r="H76" s="23">
        <v>45358</v>
      </c>
      <c r="I76" s="21" t="s">
        <v>54</v>
      </c>
      <c r="J76" s="21" t="s">
        <v>13</v>
      </c>
      <c r="K76" s="63" t="s">
        <v>47</v>
      </c>
      <c r="L76" s="23">
        <v>45352</v>
      </c>
      <c r="M76" s="23">
        <v>45356</v>
      </c>
      <c r="N76" s="25">
        <f t="shared" si="5"/>
        <v>4</v>
      </c>
      <c r="O76" s="26"/>
      <c r="P76" t="s">
        <v>88</v>
      </c>
      <c r="Q76" t="s">
        <v>88</v>
      </c>
      <c r="R76" t="s">
        <v>88</v>
      </c>
      <c r="S76" t="s">
        <v>88</v>
      </c>
      <c r="T76" t="s">
        <v>88</v>
      </c>
      <c r="U76" t="s">
        <v>20</v>
      </c>
    </row>
    <row r="77" spans="1:21" x14ac:dyDescent="0.45">
      <c r="A77" s="20" t="s">
        <v>667</v>
      </c>
      <c r="B77" s="21" t="str">
        <f t="shared" si="4"/>
        <v>11.898.451-K</v>
      </c>
      <c r="C77" s="22" t="s">
        <v>22</v>
      </c>
      <c r="D77" s="21" t="s">
        <v>668</v>
      </c>
      <c r="E77" s="21" t="s">
        <v>546</v>
      </c>
      <c r="F77" s="21" t="s">
        <v>316</v>
      </c>
      <c r="G77" s="23">
        <v>45352</v>
      </c>
      <c r="H77" s="23">
        <v>45357</v>
      </c>
      <c r="I77" s="21" t="s">
        <v>54</v>
      </c>
      <c r="J77" s="21" t="s">
        <v>19</v>
      </c>
      <c r="K77" s="63" t="s">
        <v>43</v>
      </c>
      <c r="L77" s="23">
        <v>45352</v>
      </c>
      <c r="M77" s="23">
        <v>45357</v>
      </c>
      <c r="N77" s="25">
        <f t="shared" si="5"/>
        <v>5</v>
      </c>
      <c r="O77" s="26"/>
      <c r="P77" t="s">
        <v>88</v>
      </c>
      <c r="Q77" t="s">
        <v>88</v>
      </c>
      <c r="R77" t="s">
        <v>88</v>
      </c>
      <c r="S77" t="s">
        <v>88</v>
      </c>
      <c r="T77" t="s">
        <v>88</v>
      </c>
      <c r="U77" t="s">
        <v>20</v>
      </c>
    </row>
    <row r="78" spans="1:21" x14ac:dyDescent="0.45">
      <c r="A78" s="20">
        <v>73923514</v>
      </c>
      <c r="B78" s="21" t="str">
        <f t="shared" si="4"/>
        <v>7.392.351-4</v>
      </c>
      <c r="C78" s="22" t="s">
        <v>22</v>
      </c>
      <c r="D78" s="21" t="s">
        <v>558</v>
      </c>
      <c r="E78" s="21" t="s">
        <v>559</v>
      </c>
      <c r="F78" s="21" t="s">
        <v>560</v>
      </c>
      <c r="G78" s="23">
        <v>45350</v>
      </c>
      <c r="H78" s="23">
        <v>45373</v>
      </c>
      <c r="I78" s="21" t="s">
        <v>54</v>
      </c>
      <c r="J78" s="21" t="s">
        <v>19</v>
      </c>
      <c r="K78" s="63" t="s">
        <v>43</v>
      </c>
      <c r="L78" s="23">
        <v>45352</v>
      </c>
      <c r="M78" s="23">
        <v>45373</v>
      </c>
      <c r="N78" s="25">
        <f t="shared" si="5"/>
        <v>21</v>
      </c>
      <c r="O78" s="26"/>
      <c r="P78" t="s">
        <v>88</v>
      </c>
      <c r="Q78" t="s">
        <v>88</v>
      </c>
      <c r="R78" t="s">
        <v>88</v>
      </c>
      <c r="S78" t="s">
        <v>88</v>
      </c>
      <c r="T78" t="s">
        <v>88</v>
      </c>
      <c r="U78" t="s">
        <v>20</v>
      </c>
    </row>
    <row r="79" spans="1:21" x14ac:dyDescent="0.45">
      <c r="A79" s="20">
        <v>165134710</v>
      </c>
      <c r="B79" s="21" t="str">
        <f t="shared" si="4"/>
        <v>16.513.471-0</v>
      </c>
      <c r="C79" s="22" t="s">
        <v>22</v>
      </c>
      <c r="D79" s="21" t="s">
        <v>582</v>
      </c>
      <c r="E79" s="21" t="s">
        <v>757</v>
      </c>
      <c r="F79" s="21" t="s">
        <v>758</v>
      </c>
      <c r="G79" s="23">
        <v>45348</v>
      </c>
      <c r="H79" s="23">
        <v>45366</v>
      </c>
      <c r="I79" s="21" t="s">
        <v>54</v>
      </c>
      <c r="J79" s="21" t="s">
        <v>56</v>
      </c>
      <c r="K79" s="63" t="s">
        <v>47</v>
      </c>
      <c r="L79" s="23">
        <v>45352</v>
      </c>
      <c r="M79" s="23">
        <v>45360</v>
      </c>
      <c r="N79" s="25">
        <f t="shared" si="5"/>
        <v>8</v>
      </c>
      <c r="O79" s="26"/>
      <c r="P79" t="s">
        <v>88</v>
      </c>
      <c r="Q79" t="s">
        <v>88</v>
      </c>
      <c r="R79" t="s">
        <v>88</v>
      </c>
      <c r="S79" t="s">
        <v>88</v>
      </c>
      <c r="T79" t="s">
        <v>88</v>
      </c>
      <c r="U79" t="s">
        <v>20</v>
      </c>
    </row>
    <row r="80" spans="1:21" x14ac:dyDescent="0.45">
      <c r="A80" s="20">
        <v>53485235</v>
      </c>
      <c r="B80" s="21" t="str">
        <f t="shared" si="4"/>
        <v>5.348.523-5</v>
      </c>
      <c r="C80" s="22" t="s">
        <v>22</v>
      </c>
      <c r="D80" s="21" t="s">
        <v>575</v>
      </c>
      <c r="E80" s="21" t="s">
        <v>559</v>
      </c>
      <c r="F80" s="21" t="s">
        <v>250</v>
      </c>
      <c r="G80" s="23">
        <v>45345</v>
      </c>
      <c r="H80" s="23">
        <v>45367</v>
      </c>
      <c r="I80" s="21" t="s">
        <v>54</v>
      </c>
      <c r="J80" s="21" t="s">
        <v>19</v>
      </c>
      <c r="K80" s="63" t="s">
        <v>18</v>
      </c>
      <c r="L80" s="23">
        <v>45355</v>
      </c>
      <c r="M80" s="23">
        <v>45367</v>
      </c>
      <c r="N80" s="25">
        <f t="shared" si="5"/>
        <v>12</v>
      </c>
      <c r="O80" s="26"/>
      <c r="P80" t="s">
        <v>88</v>
      </c>
      <c r="Q80" t="s">
        <v>88</v>
      </c>
      <c r="R80" t="s">
        <v>88</v>
      </c>
      <c r="S80" t="s">
        <v>88</v>
      </c>
      <c r="T80" t="s">
        <v>88</v>
      </c>
      <c r="U80" t="s">
        <v>20</v>
      </c>
    </row>
    <row r="81" spans="1:21" x14ac:dyDescent="0.45">
      <c r="A81" s="20">
        <v>53485235</v>
      </c>
      <c r="B81" s="21" t="str">
        <f t="shared" si="4"/>
        <v>5.348.523-5</v>
      </c>
      <c r="C81" s="22" t="str">
        <f>IF(IFERROR(VLOOKUP(A81,$A$9:$I80,1,0),0)=0,"",VLOOKUP(A81,$A$9:$I80,3,0))</f>
        <v>UCI</v>
      </c>
      <c r="D81" s="21" t="str">
        <f>IF(IFERROR(VLOOKUP(A81,$A$9:$I80,1,0),0)=0,"",VLOOKUP(A81,$A$9:$I80,4,0))</f>
        <v>PINEDA</v>
      </c>
      <c r="E81" s="21" t="str">
        <f>IF(IFERROR(VLOOKUP(A81,$A$9:$I80,1,0),0)=0,"",VLOOKUP(A81,$A$9:$I80,5,0))</f>
        <v>SEPULVEDA</v>
      </c>
      <c r="F81" s="21" t="str">
        <f>IF(IFERROR(VLOOKUP(A81,$A$9:$I80,1,0),0)=0,"",VLOOKUP(A81,$A$9:$I80,6,0))</f>
        <v>JOSE</v>
      </c>
      <c r="G81" s="23">
        <f>IF(IFERROR(VLOOKUP(A81,$A$9:$I80,1,0),0)=0,"",VLOOKUP(A81,$A$9:$I80,7,0))</f>
        <v>45345</v>
      </c>
      <c r="H81" s="23">
        <v>45367</v>
      </c>
      <c r="I81" s="21" t="s">
        <v>54</v>
      </c>
      <c r="J81" s="21" t="s">
        <v>19</v>
      </c>
      <c r="K81" s="63" t="s">
        <v>47</v>
      </c>
      <c r="L81" s="23">
        <v>45352</v>
      </c>
      <c r="M81" s="23">
        <v>45367</v>
      </c>
      <c r="N81" s="25">
        <f t="shared" si="5"/>
        <v>15</v>
      </c>
      <c r="O81" s="26"/>
      <c r="P81" t="s">
        <v>88</v>
      </c>
      <c r="Q81" t="s">
        <v>88</v>
      </c>
      <c r="R81" t="s">
        <v>88</v>
      </c>
      <c r="S81" t="s">
        <v>88</v>
      </c>
      <c r="T81" t="s">
        <v>88</v>
      </c>
      <c r="U81" t="s">
        <v>20</v>
      </c>
    </row>
    <row r="82" spans="1:21" x14ac:dyDescent="0.45">
      <c r="A82" s="20">
        <v>64791087</v>
      </c>
      <c r="B82" s="21" t="str">
        <f t="shared" si="4"/>
        <v>6.479.108-7</v>
      </c>
      <c r="C82" s="22" t="s">
        <v>22</v>
      </c>
      <c r="D82" s="21" t="s">
        <v>536</v>
      </c>
      <c r="E82" s="21" t="s">
        <v>384</v>
      </c>
      <c r="F82" s="21" t="s">
        <v>638</v>
      </c>
      <c r="G82" s="23">
        <v>45341</v>
      </c>
      <c r="H82" s="23">
        <v>45382</v>
      </c>
      <c r="I82" s="21" t="s">
        <v>22</v>
      </c>
      <c r="J82" s="21" t="s">
        <v>65</v>
      </c>
      <c r="K82" s="63" t="s">
        <v>18</v>
      </c>
      <c r="L82" s="23">
        <v>45352</v>
      </c>
      <c r="M82" s="23">
        <v>45382</v>
      </c>
      <c r="N82" s="25">
        <f t="shared" si="5"/>
        <v>30</v>
      </c>
      <c r="O82" s="26"/>
      <c r="P82" t="s">
        <v>88</v>
      </c>
      <c r="Q82" t="s">
        <v>88</v>
      </c>
      <c r="R82" t="s">
        <v>88</v>
      </c>
      <c r="S82" t="s">
        <v>88</v>
      </c>
      <c r="T82" t="s">
        <v>88</v>
      </c>
      <c r="U82" t="s">
        <v>20</v>
      </c>
    </row>
    <row r="83" spans="1:21" x14ac:dyDescent="0.45">
      <c r="A83" s="20">
        <v>64791087</v>
      </c>
      <c r="B83" s="21" t="str">
        <f t="shared" si="4"/>
        <v>6.479.108-7</v>
      </c>
      <c r="C83" s="22" t="str">
        <f>IF(IFERROR(VLOOKUP(A83,$A$9:$I82,1,0),0)=0,"",VLOOKUP(A83,$A$9:$I82,3,0))</f>
        <v>UCI</v>
      </c>
      <c r="D83" s="21" t="str">
        <f>IF(IFERROR(VLOOKUP(A83,$A$9:$I82,1,0),0)=0,"",VLOOKUP(A83,$A$9:$I82,4,0))</f>
        <v>RIQUELME</v>
      </c>
      <c r="E83" s="21" t="str">
        <f>IF(IFERROR(VLOOKUP(A83,$A$9:$I82,1,0),0)=0,"",VLOOKUP(A83,$A$9:$I82,5,0))</f>
        <v>MUÑOZ</v>
      </c>
      <c r="F83" s="21" t="str">
        <f>IF(IFERROR(VLOOKUP(A83,$A$9:$I82,1,0),0)=0,"",VLOOKUP(A83,$A$9:$I82,6,0))</f>
        <v>CARLOS</v>
      </c>
      <c r="G83" s="23">
        <f>IF(IFERROR(VLOOKUP(A83,$A$9:$I82,1,0),0)=0,"",VLOOKUP(A83,$A$9:$I82,7,0))</f>
        <v>45341</v>
      </c>
      <c r="H83" s="23">
        <v>45382</v>
      </c>
      <c r="I83" s="21" t="s">
        <v>22</v>
      </c>
      <c r="J83" s="21" t="s">
        <v>65</v>
      </c>
      <c r="K83" s="63" t="s">
        <v>47</v>
      </c>
      <c r="L83" s="23">
        <v>45355</v>
      </c>
      <c r="M83" s="23">
        <v>45382</v>
      </c>
      <c r="N83" s="25">
        <f t="shared" si="5"/>
        <v>27</v>
      </c>
      <c r="O83" s="26"/>
      <c r="P83" t="s">
        <v>88</v>
      </c>
      <c r="Q83" t="s">
        <v>88</v>
      </c>
      <c r="R83" t="s">
        <v>88</v>
      </c>
      <c r="S83" t="s">
        <v>88</v>
      </c>
      <c r="T83" t="s">
        <v>88</v>
      </c>
      <c r="U83" t="s">
        <v>20</v>
      </c>
    </row>
    <row r="84" spans="1:21" x14ac:dyDescent="0.45">
      <c r="A84" s="20">
        <v>140607002</v>
      </c>
      <c r="B84" s="21" t="str">
        <f t="shared" si="4"/>
        <v>14.060.700-2</v>
      </c>
      <c r="C84" s="22" t="s">
        <v>22</v>
      </c>
      <c r="D84" s="21" t="str">
        <f>IF(IFERROR(VLOOKUP(A84,$A$9:$I83,1,0),0)=0,"",VLOOKUP(A84,$A$9:$I83,4,0))</f>
        <v>SIERRA</v>
      </c>
      <c r="E84" s="21" t="str">
        <f>IF(IFERROR(VLOOKUP(A84,$A$9:$I83,1,0),0)=0,"",VLOOKUP(A84,$A$9:$I83,5,0))</f>
        <v>ROA</v>
      </c>
      <c r="F84" s="21" t="str">
        <f>IF(IFERROR(VLOOKUP(A84,$A$9:$I83,1,0),0)=0,"",VLOOKUP(A84,$A$9:$I83,6,0))</f>
        <v>PABLO</v>
      </c>
      <c r="G84" s="23">
        <v>45357</v>
      </c>
      <c r="H84" s="23">
        <v>45367</v>
      </c>
      <c r="I84" s="21" t="s">
        <v>22</v>
      </c>
      <c r="J84" s="21" t="s">
        <v>52</v>
      </c>
      <c r="K84" s="63" t="s">
        <v>47</v>
      </c>
      <c r="L84" s="23">
        <v>45357</v>
      </c>
      <c r="M84" s="23">
        <v>45363</v>
      </c>
      <c r="N84" s="25">
        <f t="shared" si="5"/>
        <v>6</v>
      </c>
      <c r="O84" s="26"/>
      <c r="P84" t="s">
        <v>88</v>
      </c>
      <c r="Q84" t="s">
        <v>88</v>
      </c>
      <c r="R84" t="s">
        <v>88</v>
      </c>
      <c r="S84" t="s">
        <v>88</v>
      </c>
      <c r="T84" t="s">
        <v>88</v>
      </c>
      <c r="U84" t="s">
        <v>20</v>
      </c>
    </row>
    <row r="85" spans="1:21" x14ac:dyDescent="0.45">
      <c r="A85" s="20" t="s">
        <v>674</v>
      </c>
      <c r="B85" s="21" t="str">
        <f t="shared" si="4"/>
        <v>9.288.127-K</v>
      </c>
      <c r="C85" s="22" t="s">
        <v>22</v>
      </c>
      <c r="D85" s="21" t="str">
        <f>IF(IFERROR(VLOOKUP(A85,$A$9:$I84,1,0),0)=0,"",VLOOKUP(A85,$A$9:$I84,4,0))</f>
        <v>REYES</v>
      </c>
      <c r="E85" s="21" t="str">
        <f>IF(IFERROR(VLOOKUP(A85,$A$9:$I84,1,0),0)=0,"",VLOOKUP(A85,$A$9:$I84,5,0))</f>
        <v>SANDOVAL</v>
      </c>
      <c r="F85" s="21" t="str">
        <f>IF(IFERROR(VLOOKUP(A85,$A$9:$I84,1,0),0)=0,"",VLOOKUP(A85,$A$9:$I84,6,0))</f>
        <v>CARMEN</v>
      </c>
      <c r="G85" s="23">
        <v>45356</v>
      </c>
      <c r="H85" s="23">
        <v>45365</v>
      </c>
      <c r="I85" s="21" t="s">
        <v>22</v>
      </c>
      <c r="J85" s="21" t="s">
        <v>52</v>
      </c>
      <c r="K85" s="63" t="s">
        <v>43</v>
      </c>
      <c r="L85" s="23">
        <v>45356</v>
      </c>
      <c r="M85" s="23">
        <v>45365</v>
      </c>
      <c r="N85" s="25">
        <f t="shared" si="5"/>
        <v>9</v>
      </c>
      <c r="O85" s="26"/>
      <c r="P85" t="s">
        <v>88</v>
      </c>
      <c r="Q85" t="s">
        <v>88</v>
      </c>
      <c r="R85" t="s">
        <v>88</v>
      </c>
      <c r="S85" t="s">
        <v>88</v>
      </c>
      <c r="T85" t="s">
        <v>88</v>
      </c>
      <c r="U85" t="s">
        <v>20</v>
      </c>
    </row>
    <row r="86" spans="1:21" x14ac:dyDescent="0.45">
      <c r="A86" s="20">
        <v>283754103</v>
      </c>
      <c r="B86" s="21" t="str">
        <f t="shared" si="4"/>
        <v>28.375.410-3</v>
      </c>
      <c r="C86" s="22" t="s">
        <v>16</v>
      </c>
      <c r="D86" s="21" t="s">
        <v>759</v>
      </c>
      <c r="E86" s="21" t="s">
        <v>760</v>
      </c>
      <c r="F86" s="21" t="s">
        <v>761</v>
      </c>
      <c r="G86" s="23">
        <v>45361</v>
      </c>
      <c r="H86" s="23">
        <v>45382</v>
      </c>
      <c r="I86" s="21" t="s">
        <v>84</v>
      </c>
      <c r="J86" s="21" t="s">
        <v>65</v>
      </c>
      <c r="K86" s="63" t="s">
        <v>55</v>
      </c>
      <c r="L86" s="23">
        <v>45361</v>
      </c>
      <c r="M86" s="23">
        <v>45382</v>
      </c>
      <c r="N86" s="25">
        <f t="shared" si="5"/>
        <v>21</v>
      </c>
      <c r="O86" s="26"/>
      <c r="P86" t="s">
        <v>88</v>
      </c>
      <c r="Q86" t="s">
        <v>88</v>
      </c>
      <c r="R86" t="s">
        <v>88</v>
      </c>
      <c r="S86" t="s">
        <v>88</v>
      </c>
      <c r="T86" t="s">
        <v>88</v>
      </c>
      <c r="U86" t="s">
        <v>20</v>
      </c>
    </row>
    <row r="87" spans="1:21" x14ac:dyDescent="0.45">
      <c r="A87" s="20">
        <v>283754103</v>
      </c>
      <c r="B87" s="21" t="str">
        <f t="shared" si="4"/>
        <v>28.375.410-3</v>
      </c>
      <c r="C87" s="22" t="str">
        <f>IF(IFERROR(VLOOKUP(A87,$A$9:$I86,1,0),0)=0,"",VLOOKUP(A87,$A$9:$I86,3,0))</f>
        <v>UCI neonatal</v>
      </c>
      <c r="D87" s="21" t="str">
        <f>IF(IFERROR(VLOOKUP(A87,$A$9:$I86,1,0),0)=0,"",VLOOKUP(A87,$A$9:$I86,4,0))</f>
        <v>YUEN</v>
      </c>
      <c r="E87" s="21" t="str">
        <f>IF(IFERROR(VLOOKUP(A87,$A$9:$I86,1,0),0)=0,"",VLOOKUP(A87,$A$9:$I86,5,0))</f>
        <v>MERA</v>
      </c>
      <c r="F87" s="21" t="str">
        <f>IF(IFERROR(VLOOKUP(A87,$A$9:$I86,1,0),0)=0,"",VLOOKUP(A87,$A$9:$I86,6,0))</f>
        <v>SANTINO</v>
      </c>
      <c r="G87" s="23">
        <f>IF(IFERROR(VLOOKUP(A87,$A$9:$I86,1,0),0)=0,"",VLOOKUP(A87,$A$9:$I86,7,0))</f>
        <v>45361</v>
      </c>
      <c r="H87" s="23">
        <v>45382</v>
      </c>
      <c r="I87" s="21" t="s">
        <v>84</v>
      </c>
      <c r="J87" s="21" t="s">
        <v>65</v>
      </c>
      <c r="K87" s="63" t="s">
        <v>39</v>
      </c>
      <c r="L87" s="23">
        <v>45361</v>
      </c>
      <c r="M87" s="23">
        <v>45382</v>
      </c>
      <c r="N87" s="25">
        <f t="shared" si="5"/>
        <v>21</v>
      </c>
      <c r="O87" s="26"/>
      <c r="P87" t="s">
        <v>88</v>
      </c>
      <c r="Q87" t="s">
        <v>88</v>
      </c>
      <c r="R87" t="s">
        <v>88</v>
      </c>
      <c r="S87" t="s">
        <v>88</v>
      </c>
      <c r="T87" t="s">
        <v>88</v>
      </c>
      <c r="U87" t="s">
        <v>20</v>
      </c>
    </row>
    <row r="88" spans="1:21" x14ac:dyDescent="0.45">
      <c r="A88" s="20">
        <v>283785696</v>
      </c>
      <c r="B88" s="21" t="str">
        <f t="shared" si="4"/>
        <v>28.378.569-6</v>
      </c>
      <c r="C88" s="22" t="s">
        <v>16</v>
      </c>
      <c r="D88" s="21" t="s">
        <v>536</v>
      </c>
      <c r="E88" s="21" t="s">
        <v>476</v>
      </c>
      <c r="F88" s="21" t="s">
        <v>762</v>
      </c>
      <c r="G88" s="23">
        <v>45360</v>
      </c>
      <c r="H88" s="23">
        <v>45382</v>
      </c>
      <c r="I88" s="21" t="s">
        <v>16</v>
      </c>
      <c r="J88" s="21" t="s">
        <v>65</v>
      </c>
      <c r="K88" s="63" t="s">
        <v>55</v>
      </c>
      <c r="L88" s="23">
        <v>45361</v>
      </c>
      <c r="M88" s="23">
        <v>45382</v>
      </c>
      <c r="N88" s="25">
        <f t="shared" si="5"/>
        <v>21</v>
      </c>
      <c r="O88" s="26"/>
      <c r="P88" t="s">
        <v>88</v>
      </c>
      <c r="Q88" t="s">
        <v>88</v>
      </c>
      <c r="R88" t="s">
        <v>88</v>
      </c>
      <c r="S88" t="s">
        <v>88</v>
      </c>
      <c r="T88" t="s">
        <v>88</v>
      </c>
      <c r="U88" t="s">
        <v>20</v>
      </c>
    </row>
    <row r="89" spans="1:21" x14ac:dyDescent="0.45">
      <c r="A89" s="20">
        <v>283785696</v>
      </c>
      <c r="B89" s="21" t="str">
        <f t="shared" si="4"/>
        <v>28.378.569-6</v>
      </c>
      <c r="C89" s="22" t="str">
        <f>IF(IFERROR(VLOOKUP(A89,$A$9:$I88,1,0),0)=0,"",VLOOKUP(A89,$A$9:$I88,3,0))</f>
        <v>UCI neonatal</v>
      </c>
      <c r="D89" s="21" t="str">
        <f>IF(IFERROR(VLOOKUP(A89,$A$9:$I88,1,0),0)=0,"",VLOOKUP(A89,$A$9:$I88,4,0))</f>
        <v>RIQUELME</v>
      </c>
      <c r="E89" s="21" t="str">
        <f>IF(IFERROR(VLOOKUP(A89,$A$9:$I88,1,0),0)=0,"",VLOOKUP(A89,$A$9:$I88,5,0))</f>
        <v>MERINO</v>
      </c>
      <c r="F89" s="21" t="str">
        <f>IF(IFERROR(VLOOKUP(A89,$A$9:$I88,1,0),0)=0,"",VLOOKUP(A89,$A$9:$I88,6,0))</f>
        <v>MASSIMO</v>
      </c>
      <c r="G89" s="23">
        <f>IF(IFERROR(VLOOKUP(A89,$A$9:$I88,1,0),0)=0,"",VLOOKUP(A89,$A$9:$I88,7,0))</f>
        <v>45360</v>
      </c>
      <c r="H89" s="23">
        <v>45382</v>
      </c>
      <c r="I89" s="21" t="s">
        <v>16</v>
      </c>
      <c r="J89" s="21" t="s">
        <v>65</v>
      </c>
      <c r="K89" s="63" t="s">
        <v>35</v>
      </c>
      <c r="L89" s="23">
        <v>45360</v>
      </c>
      <c r="M89" s="23">
        <v>45382</v>
      </c>
      <c r="N89" s="25">
        <f t="shared" si="5"/>
        <v>22</v>
      </c>
      <c r="O89" s="26"/>
      <c r="P89" t="s">
        <v>88</v>
      </c>
      <c r="Q89" t="s">
        <v>88</v>
      </c>
      <c r="R89" t="s">
        <v>88</v>
      </c>
      <c r="S89" t="s">
        <v>88</v>
      </c>
      <c r="T89" t="s">
        <v>88</v>
      </c>
      <c r="U89" t="s">
        <v>20</v>
      </c>
    </row>
    <row r="90" spans="1:21" x14ac:dyDescent="0.45">
      <c r="A90" s="20">
        <v>283785696</v>
      </c>
      <c r="B90" s="21" t="str">
        <f t="shared" si="4"/>
        <v>28.378.569-6</v>
      </c>
      <c r="C90" s="22" t="str">
        <f>IF(IFERROR(VLOOKUP(A90,$A$9:$I89,1,0),0)=0,"",VLOOKUP(A90,$A$9:$I89,3,0))</f>
        <v>UCI neonatal</v>
      </c>
      <c r="D90" s="21" t="str">
        <f>IF(IFERROR(VLOOKUP(A90,$A$9:$I89,1,0),0)=0,"",VLOOKUP(A90,$A$9:$I89,4,0))</f>
        <v>RIQUELME</v>
      </c>
      <c r="E90" s="21" t="str">
        <f>IF(IFERROR(VLOOKUP(A90,$A$9:$I89,1,0),0)=0,"",VLOOKUP(A90,$A$9:$I89,5,0))</f>
        <v>MERINO</v>
      </c>
      <c r="F90" s="21" t="str">
        <f>IF(IFERROR(VLOOKUP(A90,$A$9:$I89,1,0),0)=0,"",VLOOKUP(A90,$A$9:$I89,6,0))</f>
        <v>MASSIMO</v>
      </c>
      <c r="G90" s="23">
        <f>IF(IFERROR(VLOOKUP(A90,$A$9:$I89,1,0),0)=0,"",VLOOKUP(A90,$A$9:$I89,7,0))</f>
        <v>45360</v>
      </c>
      <c r="H90" s="23">
        <v>45382</v>
      </c>
      <c r="I90" s="21" t="s">
        <v>16</v>
      </c>
      <c r="J90" s="21" t="s">
        <v>65</v>
      </c>
      <c r="K90" s="63" t="s">
        <v>18</v>
      </c>
      <c r="L90" s="23">
        <v>45360</v>
      </c>
      <c r="M90" s="23">
        <v>45382</v>
      </c>
      <c r="N90" s="25">
        <f t="shared" si="5"/>
        <v>22</v>
      </c>
      <c r="O90" s="26"/>
      <c r="P90" t="s">
        <v>88</v>
      </c>
      <c r="Q90" t="s">
        <v>88</v>
      </c>
      <c r="R90" t="s">
        <v>88</v>
      </c>
      <c r="S90" t="s">
        <v>88</v>
      </c>
      <c r="T90" t="s">
        <v>88</v>
      </c>
      <c r="U90" t="s">
        <v>20</v>
      </c>
    </row>
    <row r="91" spans="1:21" x14ac:dyDescent="0.45">
      <c r="A91" s="20">
        <v>120784706</v>
      </c>
      <c r="B91" s="21" t="str">
        <f t="shared" ref="B91:B107" si="6">IF(LEN(A91)=8,MID(A91,1,1)&amp;"."&amp;MID(A91,2,3)&amp;"."&amp;MID(A91,5,3)&amp;"-"&amp;RIGHT(A91,1),IF(LEFT(RIGHT(A91,2),1)="-",MID(A91,1,1)&amp;"."&amp;MID(A91,2,3)&amp;"."&amp;MID(A91,5,3)&amp;"-"&amp;RIGHT(A91,1),MID(A91,1,2)&amp;"."&amp;MID(A91,3,3)&amp;"."&amp;MID(A91,6,3)&amp;"-"&amp;MID(A91,9,1)))</f>
        <v>12.078.470-6</v>
      </c>
      <c r="C91" s="22" t="s">
        <v>22</v>
      </c>
      <c r="D91" s="21" t="s">
        <v>439</v>
      </c>
      <c r="E91" s="21" t="s">
        <v>427</v>
      </c>
      <c r="F91" s="21" t="s">
        <v>763</v>
      </c>
      <c r="G91" s="23">
        <v>45347</v>
      </c>
      <c r="H91" s="23">
        <v>45382</v>
      </c>
      <c r="I91" s="21" t="s">
        <v>22</v>
      </c>
      <c r="J91" s="21" t="s">
        <v>65</v>
      </c>
      <c r="K91" s="63" t="s">
        <v>43</v>
      </c>
      <c r="L91" s="23">
        <v>45377</v>
      </c>
      <c r="M91" s="23">
        <v>45382</v>
      </c>
      <c r="N91" s="25">
        <f t="shared" si="5"/>
        <v>5</v>
      </c>
      <c r="O91" s="26"/>
      <c r="P91" t="s">
        <v>88</v>
      </c>
      <c r="Q91" t="s">
        <v>88</v>
      </c>
      <c r="R91" t="s">
        <v>88</v>
      </c>
      <c r="S91" t="s">
        <v>88</v>
      </c>
      <c r="T91" t="s">
        <v>88</v>
      </c>
      <c r="U91" t="s">
        <v>20</v>
      </c>
    </row>
    <row r="92" spans="1:21" x14ac:dyDescent="0.45">
      <c r="A92" s="20">
        <v>120784706</v>
      </c>
      <c r="B92" s="21" t="str">
        <f t="shared" si="6"/>
        <v>12.078.470-6</v>
      </c>
      <c r="C92" s="22" t="s">
        <v>22</v>
      </c>
      <c r="D92" s="21" t="s">
        <v>439</v>
      </c>
      <c r="E92" s="21" t="s">
        <v>427</v>
      </c>
      <c r="F92" s="21" t="s">
        <v>763</v>
      </c>
      <c r="G92" s="23">
        <f>IF(IFERROR(VLOOKUP(A92,$A$9:$I91,1,0),0)=0,"",VLOOKUP(A92,$A$9:$I91,7,0))</f>
        <v>45347</v>
      </c>
      <c r="H92" s="23">
        <v>45382</v>
      </c>
      <c r="I92" s="21" t="s">
        <v>22</v>
      </c>
      <c r="J92" s="21" t="s">
        <v>65</v>
      </c>
      <c r="K92" s="63" t="s">
        <v>47</v>
      </c>
      <c r="L92" s="23">
        <v>45348</v>
      </c>
      <c r="M92" s="23">
        <v>45382</v>
      </c>
      <c r="N92" s="25">
        <f t="shared" si="5"/>
        <v>34</v>
      </c>
      <c r="O92" s="26"/>
      <c r="P92" t="s">
        <v>88</v>
      </c>
      <c r="Q92" t="s">
        <v>88</v>
      </c>
      <c r="R92" t="s">
        <v>88</v>
      </c>
      <c r="S92" t="s">
        <v>88</v>
      </c>
      <c r="T92" t="s">
        <v>88</v>
      </c>
      <c r="U92" t="s">
        <v>20</v>
      </c>
    </row>
    <row r="93" spans="1:21" x14ac:dyDescent="0.45">
      <c r="A93" s="20">
        <v>216906349</v>
      </c>
      <c r="B93" s="21" t="str">
        <f t="shared" si="6"/>
        <v>21.690.634-9</v>
      </c>
      <c r="C93" s="22" t="s">
        <v>22</v>
      </c>
      <c r="D93" s="21" t="s">
        <v>366</v>
      </c>
      <c r="E93" s="21" t="s">
        <v>617</v>
      </c>
      <c r="F93" s="21" t="s">
        <v>764</v>
      </c>
      <c r="G93" s="23">
        <v>45378</v>
      </c>
      <c r="H93" s="23">
        <v>45382</v>
      </c>
      <c r="I93" s="21" t="s">
        <v>60</v>
      </c>
      <c r="J93" s="21" t="s">
        <v>65</v>
      </c>
      <c r="K93" s="63" t="s">
        <v>47</v>
      </c>
      <c r="L93" s="23">
        <v>45378</v>
      </c>
      <c r="M93" s="23">
        <v>45382</v>
      </c>
      <c r="N93" s="25">
        <f t="shared" si="5"/>
        <v>4</v>
      </c>
      <c r="O93" s="26"/>
      <c r="P93" t="s">
        <v>88</v>
      </c>
      <c r="Q93" t="s">
        <v>88</v>
      </c>
      <c r="R93" t="s">
        <v>88</v>
      </c>
      <c r="S93" t="s">
        <v>88</v>
      </c>
      <c r="T93" t="s">
        <v>88</v>
      </c>
      <c r="U93" t="s">
        <v>20</v>
      </c>
    </row>
    <row r="94" spans="1:21" x14ac:dyDescent="0.45">
      <c r="A94" s="20">
        <v>82249338</v>
      </c>
      <c r="B94" s="21" t="str">
        <f t="shared" si="6"/>
        <v>8.224.933-8</v>
      </c>
      <c r="C94" s="22" t="s">
        <v>22</v>
      </c>
      <c r="D94" s="21" t="s">
        <v>765</v>
      </c>
      <c r="E94" s="21" t="s">
        <v>749</v>
      </c>
      <c r="F94" s="21" t="s">
        <v>766</v>
      </c>
      <c r="G94" s="23">
        <v>45371</v>
      </c>
      <c r="H94" s="23">
        <v>45382</v>
      </c>
      <c r="I94" s="21" t="s">
        <v>56</v>
      </c>
      <c r="J94" s="21" t="s">
        <v>65</v>
      </c>
      <c r="K94" s="63" t="s">
        <v>47</v>
      </c>
      <c r="L94" s="23">
        <v>45377</v>
      </c>
      <c r="M94" s="23">
        <v>45382</v>
      </c>
      <c r="N94" s="25">
        <f t="shared" si="5"/>
        <v>5</v>
      </c>
      <c r="O94" s="26"/>
      <c r="P94" t="s">
        <v>88</v>
      </c>
      <c r="Q94" t="s">
        <v>88</v>
      </c>
      <c r="R94" t="s">
        <v>88</v>
      </c>
      <c r="S94" t="s">
        <v>88</v>
      </c>
      <c r="T94" t="s">
        <v>88</v>
      </c>
      <c r="U94" t="s">
        <v>20</v>
      </c>
    </row>
    <row r="95" spans="1:21" x14ac:dyDescent="0.45">
      <c r="A95" s="20">
        <v>82249338</v>
      </c>
      <c r="B95" s="21" t="str">
        <f t="shared" si="6"/>
        <v>8.224.933-8</v>
      </c>
      <c r="C95" s="22" t="s">
        <v>22</v>
      </c>
      <c r="D95" s="21" t="s">
        <v>765</v>
      </c>
      <c r="E95" s="21" t="s">
        <v>749</v>
      </c>
      <c r="F95" s="21" t="s">
        <v>766</v>
      </c>
      <c r="G95" s="23">
        <v>45371</v>
      </c>
      <c r="H95" s="23">
        <v>45382</v>
      </c>
      <c r="I95" s="21" t="s">
        <v>56</v>
      </c>
      <c r="J95" s="21" t="s">
        <v>65</v>
      </c>
      <c r="K95" s="63" t="s">
        <v>43</v>
      </c>
      <c r="L95" s="23">
        <v>45377</v>
      </c>
      <c r="M95" s="23">
        <v>45382</v>
      </c>
      <c r="N95" s="25">
        <f t="shared" si="5"/>
        <v>5</v>
      </c>
      <c r="O95" s="26"/>
      <c r="P95" t="s">
        <v>88</v>
      </c>
      <c r="Q95" t="s">
        <v>88</v>
      </c>
      <c r="R95" t="s">
        <v>88</v>
      </c>
      <c r="S95" t="s">
        <v>88</v>
      </c>
      <c r="T95" t="s">
        <v>88</v>
      </c>
      <c r="U95" t="s">
        <v>20</v>
      </c>
    </row>
    <row r="96" spans="1:21" x14ac:dyDescent="0.45">
      <c r="A96" s="20">
        <v>82249338</v>
      </c>
      <c r="B96" s="21" t="str">
        <f t="shared" si="6"/>
        <v>8.224.933-8</v>
      </c>
      <c r="C96" s="22" t="s">
        <v>22</v>
      </c>
      <c r="D96" s="21" t="s">
        <v>765</v>
      </c>
      <c r="E96" s="21" t="s">
        <v>749</v>
      </c>
      <c r="F96" s="21" t="s">
        <v>766</v>
      </c>
      <c r="G96" s="23">
        <v>45371</v>
      </c>
      <c r="H96" s="23">
        <v>45382</v>
      </c>
      <c r="I96" s="21" t="s">
        <v>56</v>
      </c>
      <c r="J96" s="21" t="s">
        <v>65</v>
      </c>
      <c r="K96" s="63" t="s">
        <v>55</v>
      </c>
      <c r="L96" s="23">
        <v>45377</v>
      </c>
      <c r="M96" s="23">
        <v>45382</v>
      </c>
      <c r="N96" s="25">
        <f t="shared" si="5"/>
        <v>5</v>
      </c>
      <c r="O96" s="26"/>
      <c r="P96" t="s">
        <v>88</v>
      </c>
      <c r="Q96" t="s">
        <v>88</v>
      </c>
      <c r="R96" t="s">
        <v>88</v>
      </c>
      <c r="S96" t="s">
        <v>88</v>
      </c>
      <c r="T96" t="s">
        <v>88</v>
      </c>
      <c r="U96" t="s">
        <v>20</v>
      </c>
    </row>
    <row r="97" spans="1:21" x14ac:dyDescent="0.45">
      <c r="A97" s="20">
        <v>38135597</v>
      </c>
      <c r="B97" s="21" t="str">
        <f t="shared" si="6"/>
        <v>3.813.559-7</v>
      </c>
      <c r="C97" s="22" t="s">
        <v>22</v>
      </c>
      <c r="D97" s="21" t="s">
        <v>767</v>
      </c>
      <c r="E97" s="21" t="s">
        <v>384</v>
      </c>
      <c r="F97" s="21" t="s">
        <v>351</v>
      </c>
      <c r="G97" s="23">
        <v>45369</v>
      </c>
      <c r="H97" s="23">
        <v>45382</v>
      </c>
      <c r="I97" s="21" t="s">
        <v>56</v>
      </c>
      <c r="J97" s="21" t="s">
        <v>65</v>
      </c>
      <c r="K97" s="63" t="s">
        <v>43</v>
      </c>
      <c r="L97" s="23">
        <v>45371</v>
      </c>
      <c r="M97" s="23">
        <v>45382</v>
      </c>
      <c r="N97" s="25">
        <f t="shared" si="5"/>
        <v>11</v>
      </c>
      <c r="O97" s="26"/>
      <c r="P97" t="s">
        <v>88</v>
      </c>
      <c r="Q97" t="s">
        <v>88</v>
      </c>
      <c r="R97" t="s">
        <v>88</v>
      </c>
      <c r="S97" t="s">
        <v>88</v>
      </c>
      <c r="T97" t="s">
        <v>88</v>
      </c>
      <c r="U97" t="s">
        <v>20</v>
      </c>
    </row>
    <row r="98" spans="1:21" x14ac:dyDescent="0.45">
      <c r="A98" s="20">
        <v>38135597</v>
      </c>
      <c r="B98" s="21" t="str">
        <f t="shared" si="6"/>
        <v>3.813.559-7</v>
      </c>
      <c r="C98" s="22" t="s">
        <v>22</v>
      </c>
      <c r="D98" s="21" t="s">
        <v>767</v>
      </c>
      <c r="E98" s="21" t="s">
        <v>384</v>
      </c>
      <c r="F98" s="21" t="s">
        <v>351</v>
      </c>
      <c r="G98" s="23">
        <v>45369</v>
      </c>
      <c r="H98" s="23">
        <v>45382</v>
      </c>
      <c r="I98" s="21" t="s">
        <v>56</v>
      </c>
      <c r="J98" s="21" t="s">
        <v>65</v>
      </c>
      <c r="K98" s="63" t="s">
        <v>47</v>
      </c>
      <c r="L98" s="23">
        <v>45373</v>
      </c>
      <c r="M98" s="23">
        <v>45382</v>
      </c>
      <c r="N98" s="25">
        <f t="shared" si="5"/>
        <v>9</v>
      </c>
      <c r="O98" s="26"/>
      <c r="P98" t="s">
        <v>88</v>
      </c>
      <c r="Q98" t="s">
        <v>88</v>
      </c>
      <c r="R98" t="s">
        <v>88</v>
      </c>
      <c r="S98" t="s">
        <v>88</v>
      </c>
      <c r="T98" t="s">
        <v>88</v>
      </c>
      <c r="U98" t="s">
        <v>20</v>
      </c>
    </row>
    <row r="99" spans="1:21" x14ac:dyDescent="0.45">
      <c r="A99" s="20">
        <v>38135597</v>
      </c>
      <c r="B99" s="21" t="str">
        <f t="shared" si="6"/>
        <v>3.813.559-7</v>
      </c>
      <c r="C99" s="22" t="s">
        <v>22</v>
      </c>
      <c r="D99" s="21" t="s">
        <v>767</v>
      </c>
      <c r="E99" s="21" t="s">
        <v>384</v>
      </c>
      <c r="F99" s="21" t="s">
        <v>351</v>
      </c>
      <c r="G99" s="23">
        <v>45369</v>
      </c>
      <c r="H99" s="23">
        <v>45382</v>
      </c>
      <c r="I99" s="21" t="s">
        <v>56</v>
      </c>
      <c r="J99" s="21" t="s">
        <v>65</v>
      </c>
      <c r="K99" s="63" t="s">
        <v>43</v>
      </c>
      <c r="L99" s="23">
        <v>45371</v>
      </c>
      <c r="M99" s="23">
        <v>45382</v>
      </c>
      <c r="N99" s="25">
        <f t="shared" si="5"/>
        <v>11</v>
      </c>
      <c r="O99" s="26"/>
      <c r="P99" t="s">
        <v>88</v>
      </c>
      <c r="Q99" t="s">
        <v>88</v>
      </c>
      <c r="R99" t="s">
        <v>88</v>
      </c>
      <c r="S99" t="s">
        <v>88</v>
      </c>
      <c r="T99" t="s">
        <v>88</v>
      </c>
      <c r="U99" t="s">
        <v>20</v>
      </c>
    </row>
    <row r="100" spans="1:21" x14ac:dyDescent="0.45">
      <c r="A100" s="20">
        <v>50520692</v>
      </c>
      <c r="B100" s="21" t="str">
        <f t="shared" si="6"/>
        <v>5.052.069-2</v>
      </c>
      <c r="C100" s="22" t="s">
        <v>22</v>
      </c>
      <c r="D100" s="21" t="s">
        <v>768</v>
      </c>
      <c r="E100" s="21" t="s">
        <v>507</v>
      </c>
      <c r="F100" s="21" t="s">
        <v>449</v>
      </c>
      <c r="G100" s="23">
        <v>45367</v>
      </c>
      <c r="H100" s="23">
        <v>45382</v>
      </c>
      <c r="I100" s="21" t="s">
        <v>54</v>
      </c>
      <c r="J100" s="21" t="s">
        <v>65</v>
      </c>
      <c r="K100" s="63" t="s">
        <v>43</v>
      </c>
      <c r="L100" s="23">
        <v>45371</v>
      </c>
      <c r="M100" s="23">
        <v>45382</v>
      </c>
      <c r="N100" s="25">
        <f t="shared" si="5"/>
        <v>11</v>
      </c>
      <c r="O100" s="26"/>
      <c r="P100" t="s">
        <v>88</v>
      </c>
      <c r="Q100" t="s">
        <v>88</v>
      </c>
      <c r="R100" t="s">
        <v>88</v>
      </c>
      <c r="S100" t="s">
        <v>88</v>
      </c>
      <c r="T100" t="s">
        <v>88</v>
      </c>
      <c r="U100" t="s">
        <v>20</v>
      </c>
    </row>
    <row r="101" spans="1:21" x14ac:dyDescent="0.45">
      <c r="A101" s="20">
        <v>50520692</v>
      </c>
      <c r="B101" s="21" t="str">
        <f t="shared" si="6"/>
        <v>5.052.069-2</v>
      </c>
      <c r="C101" s="22" t="s">
        <v>22</v>
      </c>
      <c r="D101" s="21" t="s">
        <v>768</v>
      </c>
      <c r="E101" s="21" t="s">
        <v>507</v>
      </c>
      <c r="F101" s="21" t="s">
        <v>449</v>
      </c>
      <c r="G101" s="23">
        <v>45367</v>
      </c>
      <c r="H101" s="23">
        <v>45382</v>
      </c>
      <c r="I101" s="21" t="s">
        <v>54</v>
      </c>
      <c r="J101" s="21" t="s">
        <v>65</v>
      </c>
      <c r="K101" s="63" t="s">
        <v>47</v>
      </c>
      <c r="L101" s="23">
        <v>45371</v>
      </c>
      <c r="M101" s="23">
        <v>45382</v>
      </c>
      <c r="N101" s="25">
        <f t="shared" si="5"/>
        <v>11</v>
      </c>
      <c r="O101" s="26"/>
      <c r="P101" t="s">
        <v>88</v>
      </c>
      <c r="Q101" t="s">
        <v>88</v>
      </c>
      <c r="R101" t="s">
        <v>88</v>
      </c>
      <c r="S101" t="s">
        <v>88</v>
      </c>
      <c r="T101" t="s">
        <v>88</v>
      </c>
      <c r="U101" t="s">
        <v>20</v>
      </c>
    </row>
    <row r="102" spans="1:21" x14ac:dyDescent="0.45">
      <c r="A102" s="20">
        <v>50520692</v>
      </c>
      <c r="B102" s="21" t="str">
        <f t="shared" si="6"/>
        <v>5.052.069-2</v>
      </c>
      <c r="C102" s="22" t="s">
        <v>22</v>
      </c>
      <c r="D102" s="21" t="s">
        <v>768</v>
      </c>
      <c r="E102" s="21" t="s">
        <v>507</v>
      </c>
      <c r="F102" s="21" t="s">
        <v>449</v>
      </c>
      <c r="G102" s="23">
        <v>45367</v>
      </c>
      <c r="H102" s="23">
        <v>45382</v>
      </c>
      <c r="I102" s="21" t="s">
        <v>54</v>
      </c>
      <c r="J102" s="21" t="s">
        <v>65</v>
      </c>
      <c r="K102" s="63" t="s">
        <v>55</v>
      </c>
      <c r="L102" s="23">
        <v>45371</v>
      </c>
      <c r="M102" s="23">
        <v>45382</v>
      </c>
      <c r="N102" s="25">
        <f t="shared" si="5"/>
        <v>11</v>
      </c>
      <c r="O102" s="26"/>
      <c r="P102" t="s">
        <v>88</v>
      </c>
      <c r="Q102" t="s">
        <v>88</v>
      </c>
      <c r="R102" t="s">
        <v>88</v>
      </c>
      <c r="S102" t="s">
        <v>88</v>
      </c>
      <c r="T102" t="s">
        <v>88</v>
      </c>
      <c r="U102" t="s">
        <v>20</v>
      </c>
    </row>
    <row r="103" spans="1:21" x14ac:dyDescent="0.45">
      <c r="A103" s="20">
        <v>58845183</v>
      </c>
      <c r="B103" s="21" t="str">
        <f t="shared" si="6"/>
        <v>5.884.518-3</v>
      </c>
      <c r="C103" s="22" t="s">
        <v>22</v>
      </c>
      <c r="D103" s="21" t="s">
        <v>240</v>
      </c>
      <c r="E103" s="21" t="s">
        <v>736</v>
      </c>
      <c r="F103" s="21" t="s">
        <v>769</v>
      </c>
      <c r="G103" s="23">
        <v>45371</v>
      </c>
      <c r="H103" s="23">
        <v>45382</v>
      </c>
      <c r="I103" s="21" t="s">
        <v>24</v>
      </c>
      <c r="J103" s="21" t="s">
        <v>65</v>
      </c>
      <c r="K103" s="63" t="s">
        <v>43</v>
      </c>
      <c r="L103" s="23">
        <v>45377</v>
      </c>
      <c r="M103" s="23">
        <v>45382</v>
      </c>
      <c r="N103" s="25">
        <f t="shared" si="5"/>
        <v>5</v>
      </c>
      <c r="O103" s="26"/>
      <c r="P103" t="s">
        <v>88</v>
      </c>
      <c r="Q103" t="s">
        <v>88</v>
      </c>
      <c r="R103" t="s">
        <v>88</v>
      </c>
      <c r="S103" t="s">
        <v>88</v>
      </c>
      <c r="T103" t="s">
        <v>88</v>
      </c>
      <c r="U103" t="s">
        <v>20</v>
      </c>
    </row>
    <row r="104" spans="1:21" x14ac:dyDescent="0.45">
      <c r="A104" s="20">
        <v>58845183</v>
      </c>
      <c r="B104" s="21" t="str">
        <f t="shared" si="6"/>
        <v>5.884.518-3</v>
      </c>
      <c r="C104" s="22" t="s">
        <v>22</v>
      </c>
      <c r="D104" s="21" t="s">
        <v>240</v>
      </c>
      <c r="E104" s="21" t="s">
        <v>736</v>
      </c>
      <c r="F104" s="21" t="s">
        <v>769</v>
      </c>
      <c r="G104" s="23">
        <f>IF(IFERROR(VLOOKUP(A104,$A$9:$I103,1,0),0)=0,"",VLOOKUP(A104,$A$9:$I103,7,0))</f>
        <v>45371</v>
      </c>
      <c r="H104" s="23">
        <v>45382</v>
      </c>
      <c r="I104" s="21" t="s">
        <v>24</v>
      </c>
      <c r="J104" s="21" t="s">
        <v>65</v>
      </c>
      <c r="K104" s="63" t="s">
        <v>47</v>
      </c>
      <c r="L104" s="23">
        <v>45374</v>
      </c>
      <c r="M104" s="23">
        <v>45382</v>
      </c>
      <c r="N104" s="25">
        <f t="shared" ref="N104:N129" si="7">+M104-L104</f>
        <v>8</v>
      </c>
      <c r="O104" s="26"/>
      <c r="P104" t="s">
        <v>88</v>
      </c>
      <c r="Q104" t="s">
        <v>88</v>
      </c>
      <c r="R104" t="s">
        <v>88</v>
      </c>
      <c r="S104" t="s">
        <v>88</v>
      </c>
      <c r="T104" t="s">
        <v>88</v>
      </c>
      <c r="U104" t="s">
        <v>20</v>
      </c>
    </row>
    <row r="105" spans="1:21" x14ac:dyDescent="0.45">
      <c r="A105" s="20">
        <v>58845183</v>
      </c>
      <c r="B105" s="21" t="str">
        <f t="shared" si="6"/>
        <v>5.884.518-3</v>
      </c>
      <c r="C105" s="22" t="s">
        <v>22</v>
      </c>
      <c r="D105" s="21" t="s">
        <v>240</v>
      </c>
      <c r="E105" s="21" t="s">
        <v>736</v>
      </c>
      <c r="F105" s="21" t="s">
        <v>769</v>
      </c>
      <c r="G105" s="23">
        <f>IF(IFERROR(VLOOKUP(A105,$A$9:$I104,1,0),0)=0,"",VLOOKUP(A105,$A$9:$I104,7,0))</f>
        <v>45371</v>
      </c>
      <c r="H105" s="23">
        <v>45382</v>
      </c>
      <c r="I105" s="21" t="s">
        <v>24</v>
      </c>
      <c r="J105" s="21" t="s">
        <v>65</v>
      </c>
      <c r="K105" s="63" t="s">
        <v>55</v>
      </c>
      <c r="L105" s="23">
        <v>45378</v>
      </c>
      <c r="M105" s="23">
        <v>45382</v>
      </c>
      <c r="N105" s="25">
        <f t="shared" si="7"/>
        <v>4</v>
      </c>
      <c r="O105" s="26"/>
      <c r="P105" t="s">
        <v>88</v>
      </c>
      <c r="Q105" t="s">
        <v>88</v>
      </c>
      <c r="R105" t="s">
        <v>88</v>
      </c>
      <c r="S105" t="s">
        <v>88</v>
      </c>
      <c r="T105" t="s">
        <v>88</v>
      </c>
      <c r="U105" t="s">
        <v>20</v>
      </c>
    </row>
    <row r="106" spans="1:21" x14ac:dyDescent="0.45">
      <c r="A106" s="20">
        <v>115369539</v>
      </c>
      <c r="B106" s="21" t="str">
        <f t="shared" si="6"/>
        <v>11.536.953-9</v>
      </c>
      <c r="C106" s="22" t="s">
        <v>22</v>
      </c>
      <c r="D106" s="21" t="s">
        <v>547</v>
      </c>
      <c r="E106" s="21" t="s">
        <v>387</v>
      </c>
      <c r="F106" s="21" t="s">
        <v>770</v>
      </c>
      <c r="G106" s="23">
        <v>45378</v>
      </c>
      <c r="H106" s="23">
        <v>45382</v>
      </c>
      <c r="I106" s="21" t="s">
        <v>54</v>
      </c>
      <c r="J106" s="21" t="s">
        <v>65</v>
      </c>
      <c r="K106" s="63" t="s">
        <v>43</v>
      </c>
      <c r="L106" s="23">
        <v>45378</v>
      </c>
      <c r="M106" s="23">
        <v>45382</v>
      </c>
      <c r="N106" s="25">
        <f t="shared" si="7"/>
        <v>4</v>
      </c>
      <c r="O106" s="26"/>
      <c r="P106" t="s">
        <v>88</v>
      </c>
      <c r="Q106" t="s">
        <v>88</v>
      </c>
      <c r="R106" t="s">
        <v>88</v>
      </c>
      <c r="S106" t="s">
        <v>88</v>
      </c>
      <c r="T106" t="s">
        <v>88</v>
      </c>
      <c r="U106" t="s">
        <v>20</v>
      </c>
    </row>
    <row r="107" spans="1:21" x14ac:dyDescent="0.45">
      <c r="A107" s="20">
        <v>115369539</v>
      </c>
      <c r="B107" s="21" t="str">
        <f t="shared" si="6"/>
        <v>11.536.953-9</v>
      </c>
      <c r="C107" s="22" t="s">
        <v>22</v>
      </c>
      <c r="D107" s="21" t="s">
        <v>547</v>
      </c>
      <c r="E107" s="21" t="s">
        <v>387</v>
      </c>
      <c r="F107" s="21" t="s">
        <v>770</v>
      </c>
      <c r="G107" s="23">
        <v>45378</v>
      </c>
      <c r="H107" s="23">
        <v>45382</v>
      </c>
      <c r="I107" s="21" t="s">
        <v>54</v>
      </c>
      <c r="J107" s="21" t="s">
        <v>65</v>
      </c>
      <c r="K107" s="63" t="s">
        <v>47</v>
      </c>
      <c r="L107" s="23">
        <v>45378</v>
      </c>
      <c r="M107" s="23">
        <v>45382</v>
      </c>
      <c r="N107" s="25">
        <f t="shared" si="7"/>
        <v>4</v>
      </c>
      <c r="O107" s="26"/>
      <c r="P107" t="s">
        <v>88</v>
      </c>
      <c r="Q107" t="s">
        <v>88</v>
      </c>
      <c r="R107" t="s">
        <v>88</v>
      </c>
      <c r="S107" t="s">
        <v>88</v>
      </c>
      <c r="T107" t="s">
        <v>88</v>
      </c>
      <c r="U107" t="s">
        <v>20</v>
      </c>
    </row>
    <row r="108" spans="1:21" x14ac:dyDescent="0.45">
      <c r="A108" s="71">
        <v>115369539</v>
      </c>
      <c r="B108" s="72" t="str">
        <f>IF(LEN(A107)=8,MID(A107,1,1)&amp;"."&amp;MID(A107,2,3)&amp;"."&amp;MID(A107,5,3)&amp;"-"&amp;RIGHT(A107,1),IF(LEFT(RIGHT(A107,2),1)="-",MID(A107,1,1)&amp;"."&amp;MID(A107,2,3)&amp;"."&amp;MID(A107,5,3)&amp;"-"&amp;RIGHT(A107,1),MID(A107,1,2)&amp;"."&amp;MID(A107,3,3)&amp;"."&amp;MID(A107,6,3)&amp;"-"&amp;MID(A107,9,1)))</f>
        <v>11.536.953-9</v>
      </c>
      <c r="C108" s="73" t="s">
        <v>22</v>
      </c>
      <c r="D108" s="72" t="s">
        <v>547</v>
      </c>
      <c r="E108" s="72" t="s">
        <v>387</v>
      </c>
      <c r="F108" s="72" t="s">
        <v>770</v>
      </c>
      <c r="G108" s="74">
        <v>45378</v>
      </c>
      <c r="H108" s="74">
        <v>45382</v>
      </c>
      <c r="I108" s="72" t="s">
        <v>54</v>
      </c>
      <c r="J108" s="72" t="s">
        <v>65</v>
      </c>
      <c r="K108" s="75" t="s">
        <v>55</v>
      </c>
      <c r="L108" s="74">
        <v>45363</v>
      </c>
      <c r="M108" s="74">
        <v>45382</v>
      </c>
      <c r="N108" s="76">
        <f t="shared" si="7"/>
        <v>19</v>
      </c>
      <c r="O108" s="77"/>
      <c r="P108" t="s">
        <v>88</v>
      </c>
      <c r="Q108" t="s">
        <v>88</v>
      </c>
      <c r="R108" t="s">
        <v>88</v>
      </c>
      <c r="S108" t="s">
        <v>88</v>
      </c>
      <c r="T108" t="s">
        <v>88</v>
      </c>
      <c r="U108" t="s">
        <v>20</v>
      </c>
    </row>
    <row r="109" spans="1:21" x14ac:dyDescent="0.45">
      <c r="A109" s="29" t="s">
        <v>771</v>
      </c>
      <c r="B109" s="21" t="str">
        <f t="shared" ref="B109:B129" si="8">IF(LEN(A109)=8,MID(A109,1,1)&amp;"."&amp;MID(A109,2,3)&amp;"."&amp;MID(A109,5,3)&amp;"-"&amp;RIGHT(A109,1),IF(LEFT(RIGHT(A109,2),1)="-",MID(A109,1,1)&amp;"."&amp;MID(A109,2,3)&amp;"."&amp;MID(A109,5,3)&amp;"-"&amp;RIGHT(A109,1),MID(A109,1,2)&amp;"."&amp;MID(A109,3,3)&amp;"."&amp;MID(A109,6,3)&amp;"-"&amp;MID(A109,9,1)))</f>
        <v>7.034.033-k</v>
      </c>
      <c r="C109" s="29" t="s">
        <v>38</v>
      </c>
      <c r="D109" s="29" t="s">
        <v>772</v>
      </c>
      <c r="E109" s="29" t="s">
        <v>773</v>
      </c>
      <c r="F109" s="29" t="s">
        <v>774</v>
      </c>
      <c r="G109" s="49">
        <v>45362</v>
      </c>
      <c r="H109" s="49">
        <v>45370</v>
      </c>
      <c r="I109" s="29" t="s">
        <v>24</v>
      </c>
      <c r="J109" s="29" t="s">
        <v>65</v>
      </c>
      <c r="K109" s="29" t="s">
        <v>43</v>
      </c>
      <c r="L109" s="49">
        <v>45362</v>
      </c>
      <c r="M109" s="49">
        <v>45370</v>
      </c>
      <c r="N109" s="29">
        <f t="shared" si="7"/>
        <v>8</v>
      </c>
      <c r="O109" s="29"/>
      <c r="P109" t="s">
        <v>88</v>
      </c>
      <c r="Q109" t="s">
        <v>88</v>
      </c>
      <c r="R109" t="s">
        <v>88</v>
      </c>
      <c r="S109" t="s">
        <v>88</v>
      </c>
      <c r="T109" t="s">
        <v>88</v>
      </c>
      <c r="U109" t="s">
        <v>20</v>
      </c>
    </row>
    <row r="110" spans="1:21" x14ac:dyDescent="0.45">
      <c r="A110" s="29" t="s">
        <v>771</v>
      </c>
      <c r="B110" s="21" t="str">
        <f t="shared" si="8"/>
        <v>7.034.033-k</v>
      </c>
      <c r="C110" s="29" t="s">
        <v>38</v>
      </c>
      <c r="D110" s="29" t="s">
        <v>772</v>
      </c>
      <c r="E110" s="29" t="s">
        <v>773</v>
      </c>
      <c r="F110" s="29" t="s">
        <v>774</v>
      </c>
      <c r="G110" s="49">
        <v>45362</v>
      </c>
      <c r="H110" s="49">
        <v>45370</v>
      </c>
      <c r="I110" s="29" t="s">
        <v>24</v>
      </c>
      <c r="J110" s="29" t="s">
        <v>65</v>
      </c>
      <c r="K110" s="29" t="s">
        <v>23</v>
      </c>
      <c r="L110" s="49">
        <v>45363</v>
      </c>
      <c r="M110" s="49">
        <v>45370</v>
      </c>
      <c r="N110" s="29">
        <f t="shared" si="7"/>
        <v>7</v>
      </c>
      <c r="O110" s="29"/>
      <c r="P110" t="s">
        <v>88</v>
      </c>
      <c r="Q110" t="s">
        <v>88</v>
      </c>
      <c r="R110" t="s">
        <v>88</v>
      </c>
      <c r="S110" t="s">
        <v>88</v>
      </c>
      <c r="T110" t="s">
        <v>88</v>
      </c>
      <c r="U110" t="s">
        <v>20</v>
      </c>
    </row>
    <row r="111" spans="1:21" x14ac:dyDescent="0.45">
      <c r="A111" s="29">
        <v>104501796</v>
      </c>
      <c r="B111" s="21" t="str">
        <f t="shared" si="8"/>
        <v>10.450.179-6</v>
      </c>
      <c r="C111" s="29" t="s">
        <v>38</v>
      </c>
      <c r="D111" s="29" t="s">
        <v>775</v>
      </c>
      <c r="E111" s="29" t="s">
        <v>776</v>
      </c>
      <c r="F111" s="29" t="s">
        <v>763</v>
      </c>
      <c r="G111" s="49">
        <v>45363</v>
      </c>
      <c r="H111" s="49">
        <v>45382</v>
      </c>
      <c r="I111" s="29" t="s">
        <v>61</v>
      </c>
      <c r="J111" s="29" t="s">
        <v>65</v>
      </c>
      <c r="K111" s="29" t="s">
        <v>43</v>
      </c>
      <c r="L111" s="49">
        <v>45363</v>
      </c>
      <c r="M111" s="49">
        <v>45382</v>
      </c>
      <c r="N111" s="78">
        <f t="shared" si="7"/>
        <v>19</v>
      </c>
      <c r="O111" s="29"/>
      <c r="P111" t="s">
        <v>88</v>
      </c>
      <c r="Q111" t="s">
        <v>88</v>
      </c>
      <c r="R111" t="s">
        <v>88</v>
      </c>
      <c r="S111" t="s">
        <v>88</v>
      </c>
      <c r="T111" t="s">
        <v>88</v>
      </c>
      <c r="U111" t="s">
        <v>20</v>
      </c>
    </row>
    <row r="112" spans="1:21" x14ac:dyDescent="0.45">
      <c r="A112" s="29">
        <v>104501796</v>
      </c>
      <c r="B112" s="21" t="str">
        <f t="shared" si="8"/>
        <v>10.450.179-6</v>
      </c>
      <c r="C112" s="29" t="s">
        <v>38</v>
      </c>
      <c r="D112" s="29" t="s">
        <v>775</v>
      </c>
      <c r="E112" s="29" t="s">
        <v>776</v>
      </c>
      <c r="F112" s="29" t="s">
        <v>763</v>
      </c>
      <c r="G112" s="49">
        <v>45363</v>
      </c>
      <c r="H112" s="49">
        <v>45382</v>
      </c>
      <c r="I112" s="29" t="s">
        <v>61</v>
      </c>
      <c r="J112" s="29" t="s">
        <v>65</v>
      </c>
      <c r="K112" s="29" t="s">
        <v>47</v>
      </c>
      <c r="L112" s="49">
        <v>45363</v>
      </c>
      <c r="M112" s="49">
        <v>45382</v>
      </c>
      <c r="N112" s="78">
        <f t="shared" si="7"/>
        <v>19</v>
      </c>
      <c r="O112" s="29"/>
      <c r="P112" t="s">
        <v>88</v>
      </c>
      <c r="Q112" t="s">
        <v>88</v>
      </c>
      <c r="R112" t="s">
        <v>88</v>
      </c>
      <c r="S112" t="s">
        <v>88</v>
      </c>
      <c r="T112" t="s">
        <v>88</v>
      </c>
      <c r="U112" t="s">
        <v>20</v>
      </c>
    </row>
    <row r="113" spans="1:21" x14ac:dyDescent="0.45">
      <c r="A113" s="29">
        <v>53780776</v>
      </c>
      <c r="B113" s="72" t="str">
        <f t="shared" si="8"/>
        <v>5.378.077-6</v>
      </c>
      <c r="C113" s="29" t="s">
        <v>38</v>
      </c>
      <c r="D113" s="29" t="s">
        <v>439</v>
      </c>
      <c r="E113" s="29" t="s">
        <v>313</v>
      </c>
      <c r="F113" s="29" t="s">
        <v>502</v>
      </c>
      <c r="G113" s="49">
        <v>45357</v>
      </c>
      <c r="H113" s="49">
        <v>45376</v>
      </c>
      <c r="I113" s="29" t="s">
        <v>24</v>
      </c>
      <c r="J113" s="29" t="s">
        <v>13</v>
      </c>
      <c r="K113" s="29" t="s">
        <v>43</v>
      </c>
      <c r="L113" s="49">
        <v>45359</v>
      </c>
      <c r="M113" s="49">
        <v>45376</v>
      </c>
      <c r="N113" s="78">
        <f t="shared" si="7"/>
        <v>17</v>
      </c>
      <c r="O113" s="29"/>
      <c r="P113" t="s">
        <v>88</v>
      </c>
      <c r="Q113" t="s">
        <v>88</v>
      </c>
      <c r="R113" t="s">
        <v>88</v>
      </c>
      <c r="S113" t="s">
        <v>88</v>
      </c>
      <c r="T113" t="s">
        <v>88</v>
      </c>
      <c r="U113" t="s">
        <v>20</v>
      </c>
    </row>
    <row r="114" spans="1:21" x14ac:dyDescent="0.45">
      <c r="A114" s="29">
        <v>53780776</v>
      </c>
      <c r="B114" s="72" t="str">
        <f t="shared" si="8"/>
        <v>5.378.077-6</v>
      </c>
      <c r="C114" s="29" t="s">
        <v>38</v>
      </c>
      <c r="D114" s="29" t="s">
        <v>439</v>
      </c>
      <c r="E114" s="29" t="s">
        <v>313</v>
      </c>
      <c r="F114" s="29" t="s">
        <v>502</v>
      </c>
      <c r="G114" s="49">
        <v>45357</v>
      </c>
      <c r="H114" s="49">
        <v>45376</v>
      </c>
      <c r="I114" s="29" t="s">
        <v>24</v>
      </c>
      <c r="J114" s="29" t="s">
        <v>13</v>
      </c>
      <c r="K114" s="29" t="s">
        <v>47</v>
      </c>
      <c r="L114" s="49">
        <v>45359</v>
      </c>
      <c r="M114" s="49">
        <v>45376</v>
      </c>
      <c r="N114" s="78">
        <f t="shared" si="7"/>
        <v>17</v>
      </c>
      <c r="O114" s="29"/>
      <c r="P114" t="s">
        <v>88</v>
      </c>
      <c r="Q114" t="s">
        <v>88</v>
      </c>
      <c r="R114" t="s">
        <v>88</v>
      </c>
      <c r="S114" t="s">
        <v>88</v>
      </c>
      <c r="T114" t="s">
        <v>88</v>
      </c>
      <c r="U114" t="s">
        <v>20</v>
      </c>
    </row>
    <row r="115" spans="1:21" x14ac:dyDescent="0.45">
      <c r="A115" s="29">
        <v>102091442</v>
      </c>
      <c r="B115" s="72" t="str">
        <f t="shared" si="8"/>
        <v>10.209.144-2</v>
      </c>
      <c r="C115" s="29" t="s">
        <v>38</v>
      </c>
      <c r="D115" s="29" t="s">
        <v>777</v>
      </c>
      <c r="E115" s="29" t="s">
        <v>639</v>
      </c>
      <c r="F115" s="29" t="s">
        <v>778</v>
      </c>
      <c r="G115" s="49">
        <v>45356</v>
      </c>
      <c r="H115" s="49">
        <v>45385</v>
      </c>
      <c r="I115" s="29" t="s">
        <v>56</v>
      </c>
      <c r="J115" s="29" t="s">
        <v>13</v>
      </c>
      <c r="K115" s="29" t="s">
        <v>43</v>
      </c>
      <c r="L115" s="49">
        <v>45371</v>
      </c>
      <c r="M115" s="49">
        <v>45385</v>
      </c>
      <c r="N115" s="78">
        <f t="shared" si="7"/>
        <v>14</v>
      </c>
      <c r="O115" s="29"/>
      <c r="P115" t="s">
        <v>88</v>
      </c>
      <c r="Q115" t="s">
        <v>88</v>
      </c>
      <c r="R115" t="s">
        <v>88</v>
      </c>
      <c r="S115" t="s">
        <v>88</v>
      </c>
      <c r="T115" t="s">
        <v>88</v>
      </c>
      <c r="U115" t="s">
        <v>20</v>
      </c>
    </row>
    <row r="116" spans="1:21" x14ac:dyDescent="0.45">
      <c r="A116" s="29">
        <v>62082321</v>
      </c>
      <c r="B116" s="72" t="str">
        <f t="shared" si="8"/>
        <v>6.208.232-1</v>
      </c>
      <c r="C116" s="29" t="s">
        <v>38</v>
      </c>
      <c r="D116" s="29" t="s">
        <v>779</v>
      </c>
      <c r="E116" s="29" t="s">
        <v>780</v>
      </c>
      <c r="F116" s="29" t="s">
        <v>279</v>
      </c>
      <c r="G116" s="49">
        <v>45369</v>
      </c>
      <c r="H116" s="49">
        <v>45377</v>
      </c>
      <c r="I116" s="29" t="s">
        <v>24</v>
      </c>
      <c r="J116" s="29" t="s">
        <v>13</v>
      </c>
      <c r="K116" s="29" t="s">
        <v>43</v>
      </c>
      <c r="L116" s="49">
        <v>45370</v>
      </c>
      <c r="M116" s="49">
        <v>45377</v>
      </c>
      <c r="N116" s="78">
        <f t="shared" si="7"/>
        <v>7</v>
      </c>
      <c r="O116" s="29"/>
      <c r="P116" t="s">
        <v>88</v>
      </c>
      <c r="Q116" t="s">
        <v>88</v>
      </c>
      <c r="R116" t="s">
        <v>88</v>
      </c>
      <c r="S116" t="s">
        <v>88</v>
      </c>
      <c r="T116" t="s">
        <v>88</v>
      </c>
      <c r="U116" t="s">
        <v>20</v>
      </c>
    </row>
    <row r="117" spans="1:21" x14ac:dyDescent="0.45">
      <c r="A117" s="29">
        <v>62082321</v>
      </c>
      <c r="B117" s="72" t="str">
        <f t="shared" si="8"/>
        <v>6.208.232-1</v>
      </c>
      <c r="C117" s="29" t="s">
        <v>38</v>
      </c>
      <c r="D117" s="29" t="s">
        <v>779</v>
      </c>
      <c r="E117" s="29" t="s">
        <v>780</v>
      </c>
      <c r="F117" s="29" t="s">
        <v>279</v>
      </c>
      <c r="G117" s="49">
        <v>45369</v>
      </c>
      <c r="H117" s="49">
        <v>45377</v>
      </c>
      <c r="I117" s="29" t="s">
        <v>24</v>
      </c>
      <c r="J117" s="29" t="s">
        <v>13</v>
      </c>
      <c r="K117" s="29" t="s">
        <v>47</v>
      </c>
      <c r="L117" s="49">
        <v>45370</v>
      </c>
      <c r="M117" s="49">
        <v>45377</v>
      </c>
      <c r="N117" s="78">
        <f t="shared" si="7"/>
        <v>7</v>
      </c>
      <c r="O117" s="29"/>
      <c r="P117" t="s">
        <v>88</v>
      </c>
      <c r="Q117" t="s">
        <v>88</v>
      </c>
      <c r="R117" t="s">
        <v>88</v>
      </c>
      <c r="S117" t="s">
        <v>88</v>
      </c>
      <c r="T117" t="s">
        <v>88</v>
      </c>
      <c r="U117" t="s">
        <v>20</v>
      </c>
    </row>
    <row r="118" spans="1:21" x14ac:dyDescent="0.45">
      <c r="A118" s="29">
        <v>111585733</v>
      </c>
      <c r="B118" s="72" t="str">
        <f t="shared" si="8"/>
        <v>11.158.573-3</v>
      </c>
      <c r="C118" s="29" t="s">
        <v>38</v>
      </c>
      <c r="D118" s="29" t="s">
        <v>781</v>
      </c>
      <c r="E118" s="29" t="s">
        <v>375</v>
      </c>
      <c r="F118" s="29" t="s">
        <v>782</v>
      </c>
      <c r="G118" s="49">
        <v>45371</v>
      </c>
      <c r="H118" s="49">
        <v>45374</v>
      </c>
      <c r="I118" s="29" t="s">
        <v>66</v>
      </c>
      <c r="J118" s="29" t="s">
        <v>13</v>
      </c>
      <c r="K118" s="29" t="s">
        <v>43</v>
      </c>
      <c r="L118" s="49">
        <v>45371</v>
      </c>
      <c r="M118" s="49">
        <v>45374</v>
      </c>
      <c r="N118" s="78">
        <f t="shared" si="7"/>
        <v>3</v>
      </c>
      <c r="O118" s="29"/>
      <c r="P118" t="s">
        <v>88</v>
      </c>
      <c r="Q118" t="s">
        <v>88</v>
      </c>
      <c r="R118" t="s">
        <v>88</v>
      </c>
      <c r="S118" t="s">
        <v>88</v>
      </c>
      <c r="T118" t="s">
        <v>88</v>
      </c>
      <c r="U118" t="s">
        <v>20</v>
      </c>
    </row>
    <row r="119" spans="1:21" x14ac:dyDescent="0.45">
      <c r="A119" s="20">
        <v>268707212</v>
      </c>
      <c r="B119" s="72" t="str">
        <f t="shared" si="8"/>
        <v>26.870.721-2</v>
      </c>
      <c r="C119" s="22" t="s">
        <v>38</v>
      </c>
      <c r="D119" s="21" t="s">
        <v>783</v>
      </c>
      <c r="E119" s="21" t="s">
        <v>784</v>
      </c>
      <c r="F119" s="21" t="s">
        <v>785</v>
      </c>
      <c r="G119" s="23">
        <v>45349</v>
      </c>
      <c r="H119" s="23">
        <v>45359</v>
      </c>
      <c r="I119" s="21" t="s">
        <v>24</v>
      </c>
      <c r="J119" s="21" t="s">
        <v>13</v>
      </c>
      <c r="K119" s="63" t="s">
        <v>43</v>
      </c>
      <c r="L119" s="23">
        <v>45350</v>
      </c>
      <c r="M119" s="23">
        <v>45359</v>
      </c>
      <c r="N119" s="78">
        <f t="shared" si="7"/>
        <v>9</v>
      </c>
      <c r="O119" s="26"/>
      <c r="P119" t="s">
        <v>88</v>
      </c>
      <c r="Q119" t="s">
        <v>88</v>
      </c>
      <c r="R119" t="s">
        <v>88</v>
      </c>
      <c r="S119" t="s">
        <v>88</v>
      </c>
      <c r="T119" t="s">
        <v>88</v>
      </c>
      <c r="U119" t="s">
        <v>20</v>
      </c>
    </row>
    <row r="120" spans="1:21" x14ac:dyDescent="0.45">
      <c r="A120" s="20">
        <v>106996806</v>
      </c>
      <c r="B120" s="21" t="str">
        <f t="shared" si="8"/>
        <v>10.699.680-6</v>
      </c>
      <c r="C120" s="22" t="s">
        <v>38</v>
      </c>
      <c r="D120" s="21" t="s">
        <v>786</v>
      </c>
      <c r="E120" s="21" t="s">
        <v>706</v>
      </c>
      <c r="F120" s="21" t="s">
        <v>787</v>
      </c>
      <c r="G120" s="23">
        <v>45354</v>
      </c>
      <c r="H120" s="23">
        <v>45359</v>
      </c>
      <c r="I120" s="21" t="s">
        <v>24</v>
      </c>
      <c r="J120" s="21" t="s">
        <v>13</v>
      </c>
      <c r="K120" s="63" t="s">
        <v>43</v>
      </c>
      <c r="L120" s="23">
        <v>45355</v>
      </c>
      <c r="M120" s="23">
        <v>45359</v>
      </c>
      <c r="N120" s="78">
        <f t="shared" si="7"/>
        <v>4</v>
      </c>
      <c r="O120" s="26"/>
      <c r="P120" t="s">
        <v>88</v>
      </c>
      <c r="Q120" t="s">
        <v>88</v>
      </c>
      <c r="R120" t="s">
        <v>88</v>
      </c>
      <c r="S120" t="s">
        <v>88</v>
      </c>
      <c r="T120" t="s">
        <v>88</v>
      </c>
      <c r="U120" t="s">
        <v>20</v>
      </c>
    </row>
    <row r="121" spans="1:21" x14ac:dyDescent="0.45">
      <c r="A121" s="20">
        <v>106996806</v>
      </c>
      <c r="B121" s="21" t="str">
        <f t="shared" si="8"/>
        <v>10.699.680-6</v>
      </c>
      <c r="C121" s="22" t="s">
        <v>38</v>
      </c>
      <c r="D121" s="21" t="s">
        <v>786</v>
      </c>
      <c r="E121" s="21" t="s">
        <v>706</v>
      </c>
      <c r="F121" s="21" t="s">
        <v>787</v>
      </c>
      <c r="G121" s="23">
        <v>45354</v>
      </c>
      <c r="H121" s="23">
        <v>45359</v>
      </c>
      <c r="I121" s="21" t="s">
        <v>24</v>
      </c>
      <c r="J121" s="21" t="s">
        <v>13</v>
      </c>
      <c r="K121" s="63" t="s">
        <v>47</v>
      </c>
      <c r="L121" s="23">
        <v>45355</v>
      </c>
      <c r="M121" s="23">
        <v>45359</v>
      </c>
      <c r="N121" s="78">
        <f t="shared" si="7"/>
        <v>4</v>
      </c>
      <c r="O121" s="26"/>
      <c r="P121" t="s">
        <v>88</v>
      </c>
      <c r="Q121" t="s">
        <v>88</v>
      </c>
      <c r="R121" t="s">
        <v>88</v>
      </c>
      <c r="S121" t="s">
        <v>88</v>
      </c>
      <c r="T121" t="s">
        <v>88</v>
      </c>
      <c r="U121" t="s">
        <v>20</v>
      </c>
    </row>
    <row r="122" spans="1:21" x14ac:dyDescent="0.45">
      <c r="A122" s="20">
        <v>185872215</v>
      </c>
      <c r="B122" s="21" t="str">
        <f t="shared" si="8"/>
        <v>18.587.221-5</v>
      </c>
      <c r="C122" s="22" t="s">
        <v>38</v>
      </c>
      <c r="D122" s="21" t="s">
        <v>788</v>
      </c>
      <c r="E122" s="21" t="s">
        <v>384</v>
      </c>
      <c r="F122" s="21" t="s">
        <v>654</v>
      </c>
      <c r="G122" s="23">
        <v>45352</v>
      </c>
      <c r="H122" s="23">
        <v>45366</v>
      </c>
      <c r="I122" s="21" t="s">
        <v>24</v>
      </c>
      <c r="J122" s="21" t="s">
        <v>13</v>
      </c>
      <c r="K122" s="63" t="s">
        <v>43</v>
      </c>
      <c r="L122" s="23">
        <v>45352</v>
      </c>
      <c r="M122" s="23">
        <v>45366</v>
      </c>
      <c r="N122" s="78">
        <f t="shared" si="7"/>
        <v>14</v>
      </c>
      <c r="O122" s="26"/>
      <c r="P122" t="s">
        <v>88</v>
      </c>
      <c r="Q122" t="s">
        <v>88</v>
      </c>
      <c r="R122" t="s">
        <v>88</v>
      </c>
      <c r="S122" t="s">
        <v>88</v>
      </c>
      <c r="T122" t="s">
        <v>88</v>
      </c>
      <c r="U122" t="s">
        <v>20</v>
      </c>
    </row>
    <row r="123" spans="1:21" x14ac:dyDescent="0.45">
      <c r="A123" s="20">
        <v>185872215</v>
      </c>
      <c r="B123" s="21" t="str">
        <f t="shared" si="8"/>
        <v>18.587.221-5</v>
      </c>
      <c r="C123" s="22" t="s">
        <v>38</v>
      </c>
      <c r="D123" s="21" t="s">
        <v>788</v>
      </c>
      <c r="E123" s="21" t="s">
        <v>384</v>
      </c>
      <c r="F123" s="21" t="s">
        <v>654</v>
      </c>
      <c r="G123" s="23">
        <v>45352</v>
      </c>
      <c r="H123" s="23">
        <v>45366</v>
      </c>
      <c r="I123" s="21" t="s">
        <v>24</v>
      </c>
      <c r="J123" s="21" t="s">
        <v>13</v>
      </c>
      <c r="K123" s="63" t="s">
        <v>47</v>
      </c>
      <c r="L123" s="23">
        <v>45351</v>
      </c>
      <c r="M123" s="23">
        <v>45366</v>
      </c>
      <c r="N123" s="78">
        <f t="shared" si="7"/>
        <v>15</v>
      </c>
      <c r="O123" s="26"/>
      <c r="P123" t="s">
        <v>88</v>
      </c>
      <c r="Q123" t="s">
        <v>88</v>
      </c>
      <c r="R123" t="s">
        <v>88</v>
      </c>
      <c r="S123" t="s">
        <v>88</v>
      </c>
      <c r="T123" t="s">
        <v>88</v>
      </c>
      <c r="U123" t="s">
        <v>20</v>
      </c>
    </row>
    <row r="124" spans="1:21" x14ac:dyDescent="0.45">
      <c r="A124" s="20">
        <v>75981627</v>
      </c>
      <c r="B124" s="21" t="str">
        <f t="shared" si="8"/>
        <v>7.598.162-7</v>
      </c>
      <c r="C124" s="22" t="s">
        <v>38</v>
      </c>
      <c r="D124" s="21" t="s">
        <v>789</v>
      </c>
      <c r="E124" s="21" t="s">
        <v>790</v>
      </c>
      <c r="F124" s="21" t="s">
        <v>587</v>
      </c>
      <c r="G124" s="23">
        <v>45356</v>
      </c>
      <c r="H124" s="23">
        <v>45361</v>
      </c>
      <c r="I124" s="21" t="s">
        <v>24</v>
      </c>
      <c r="J124" s="21" t="s">
        <v>13</v>
      </c>
      <c r="K124" s="63" t="s">
        <v>47</v>
      </c>
      <c r="L124" s="23">
        <v>45356</v>
      </c>
      <c r="M124" s="23">
        <v>45361</v>
      </c>
      <c r="N124" s="78">
        <f t="shared" si="7"/>
        <v>5</v>
      </c>
      <c r="O124" s="26"/>
      <c r="P124" t="s">
        <v>88</v>
      </c>
      <c r="Q124" t="s">
        <v>88</v>
      </c>
      <c r="R124" t="s">
        <v>88</v>
      </c>
      <c r="S124" t="s">
        <v>88</v>
      </c>
      <c r="T124" t="s">
        <v>88</v>
      </c>
      <c r="U124" t="s">
        <v>20</v>
      </c>
    </row>
    <row r="125" spans="1:21" x14ac:dyDescent="0.45">
      <c r="A125" s="20">
        <v>65064472</v>
      </c>
      <c r="B125" s="21" t="str">
        <f t="shared" si="8"/>
        <v>6.506.447-2</v>
      </c>
      <c r="C125" s="22" t="s">
        <v>38</v>
      </c>
      <c r="D125" s="21" t="s">
        <v>363</v>
      </c>
      <c r="E125" s="21" t="s">
        <v>277</v>
      </c>
      <c r="F125" s="21" t="s">
        <v>638</v>
      </c>
      <c r="G125" s="23">
        <v>45356</v>
      </c>
      <c r="H125" s="23">
        <v>45362</v>
      </c>
      <c r="I125" s="21" t="s">
        <v>24</v>
      </c>
      <c r="J125" s="21" t="s">
        <v>13</v>
      </c>
      <c r="K125" s="63" t="s">
        <v>47</v>
      </c>
      <c r="L125" s="23">
        <v>45357</v>
      </c>
      <c r="M125" s="23">
        <v>45362</v>
      </c>
      <c r="N125" s="78">
        <f t="shared" si="7"/>
        <v>5</v>
      </c>
      <c r="O125" s="26"/>
      <c r="P125" t="s">
        <v>88</v>
      </c>
      <c r="Q125" t="s">
        <v>88</v>
      </c>
      <c r="R125" t="s">
        <v>88</v>
      </c>
      <c r="S125" t="s">
        <v>88</v>
      </c>
      <c r="T125" t="s">
        <v>88</v>
      </c>
      <c r="U125" t="s">
        <v>20</v>
      </c>
    </row>
    <row r="126" spans="1:21" x14ac:dyDescent="0.45">
      <c r="A126" s="20">
        <v>65064472</v>
      </c>
      <c r="B126" s="21" t="str">
        <f t="shared" si="8"/>
        <v>6.506.447-2</v>
      </c>
      <c r="C126" s="22" t="s">
        <v>38</v>
      </c>
      <c r="D126" s="21" t="s">
        <v>363</v>
      </c>
      <c r="E126" s="21" t="s">
        <v>277</v>
      </c>
      <c r="F126" s="21" t="s">
        <v>638</v>
      </c>
      <c r="G126" s="23">
        <f>IF(IFERROR(VLOOKUP(A126,$A$9:$I125,1,0),0)=0,"",VLOOKUP(A126,$A$9:$I125,7,0))</f>
        <v>45356</v>
      </c>
      <c r="H126" s="23">
        <v>45362</v>
      </c>
      <c r="I126" s="21" t="s">
        <v>24</v>
      </c>
      <c r="J126" s="21" t="s">
        <v>13</v>
      </c>
      <c r="K126" s="63" t="s">
        <v>43</v>
      </c>
      <c r="L126" s="23">
        <v>45357</v>
      </c>
      <c r="M126" s="23">
        <v>45362</v>
      </c>
      <c r="N126" s="78">
        <f t="shared" si="7"/>
        <v>5</v>
      </c>
      <c r="O126" s="26"/>
      <c r="P126" t="s">
        <v>88</v>
      </c>
      <c r="Q126" t="s">
        <v>88</v>
      </c>
      <c r="R126" t="s">
        <v>88</v>
      </c>
      <c r="S126" t="s">
        <v>88</v>
      </c>
      <c r="T126" t="s">
        <v>88</v>
      </c>
      <c r="U126" t="s">
        <v>20</v>
      </c>
    </row>
    <row r="127" spans="1:21" x14ac:dyDescent="0.45">
      <c r="A127" s="20">
        <v>53550118</v>
      </c>
      <c r="B127" s="21" t="str">
        <f t="shared" si="8"/>
        <v>5.355.011-8</v>
      </c>
      <c r="C127" s="22" t="s">
        <v>46</v>
      </c>
      <c r="D127" s="21" t="s">
        <v>791</v>
      </c>
      <c r="E127" s="21" t="s">
        <v>788</v>
      </c>
      <c r="F127" s="21" t="s">
        <v>380</v>
      </c>
      <c r="G127" s="23">
        <v>45377</v>
      </c>
      <c r="H127" s="23">
        <v>45383</v>
      </c>
      <c r="I127" s="21" t="s">
        <v>54</v>
      </c>
      <c r="J127" s="21" t="s">
        <v>13</v>
      </c>
      <c r="K127" s="63" t="s">
        <v>51</v>
      </c>
      <c r="L127" s="23">
        <v>45377</v>
      </c>
      <c r="M127" s="23">
        <v>45383</v>
      </c>
      <c r="N127" s="25">
        <f t="shared" si="7"/>
        <v>6</v>
      </c>
      <c r="O127" s="26"/>
      <c r="P127" t="s">
        <v>88</v>
      </c>
      <c r="Q127" t="s">
        <v>88</v>
      </c>
      <c r="R127" t="s">
        <v>88</v>
      </c>
      <c r="S127" t="s">
        <v>88</v>
      </c>
      <c r="T127" t="s">
        <v>88</v>
      </c>
      <c r="U127" t="s">
        <v>20</v>
      </c>
    </row>
    <row r="128" spans="1:21" x14ac:dyDescent="0.45">
      <c r="A128" s="20">
        <v>64153161</v>
      </c>
      <c r="B128" s="21" t="str">
        <f t="shared" si="8"/>
        <v>6.415.316-1</v>
      </c>
      <c r="C128" s="22" t="s">
        <v>46</v>
      </c>
      <c r="D128" s="21" t="s">
        <v>520</v>
      </c>
      <c r="E128" s="21" t="s">
        <v>792</v>
      </c>
      <c r="F128" s="21" t="s">
        <v>793</v>
      </c>
      <c r="G128" s="23">
        <v>45378</v>
      </c>
      <c r="H128" s="23">
        <v>45383</v>
      </c>
      <c r="I128" s="21" t="s">
        <v>54</v>
      </c>
      <c r="J128" s="21" t="s">
        <v>13</v>
      </c>
      <c r="K128" s="63" t="s">
        <v>51</v>
      </c>
      <c r="L128" s="23">
        <v>45378</v>
      </c>
      <c r="M128" s="23">
        <v>45383</v>
      </c>
      <c r="N128" s="25">
        <f t="shared" si="7"/>
        <v>5</v>
      </c>
      <c r="O128" s="26"/>
      <c r="P128" t="s">
        <v>88</v>
      </c>
      <c r="Q128" t="s">
        <v>88</v>
      </c>
      <c r="R128" t="s">
        <v>88</v>
      </c>
      <c r="S128" t="s">
        <v>88</v>
      </c>
      <c r="T128" t="s">
        <v>88</v>
      </c>
      <c r="U128" t="s">
        <v>20</v>
      </c>
    </row>
    <row r="129" spans="1:21" x14ac:dyDescent="0.45">
      <c r="A129" s="20">
        <v>48364241</v>
      </c>
      <c r="B129" s="21" t="str">
        <f t="shared" si="8"/>
        <v>4.836.424-1</v>
      </c>
      <c r="C129" s="22" t="s">
        <v>46</v>
      </c>
      <c r="D129" s="21" t="s">
        <v>736</v>
      </c>
      <c r="E129" s="21" t="s">
        <v>684</v>
      </c>
      <c r="F129" s="21" t="s">
        <v>794</v>
      </c>
      <c r="G129" s="23">
        <v>45377</v>
      </c>
      <c r="H129" s="23">
        <v>45384</v>
      </c>
      <c r="I129" s="21" t="s">
        <v>54</v>
      </c>
      <c r="J129" s="21" t="s">
        <v>13</v>
      </c>
      <c r="K129" s="63" t="s">
        <v>51</v>
      </c>
      <c r="L129" s="23">
        <v>45376</v>
      </c>
      <c r="M129" s="23">
        <v>45377</v>
      </c>
      <c r="N129" s="25">
        <f t="shared" si="7"/>
        <v>1</v>
      </c>
      <c r="O129" s="26"/>
      <c r="P129" t="s">
        <v>88</v>
      </c>
      <c r="Q129" t="s">
        <v>88</v>
      </c>
      <c r="R129" t="s">
        <v>88</v>
      </c>
      <c r="S129" t="s">
        <v>88</v>
      </c>
      <c r="T129" t="s">
        <v>88</v>
      </c>
      <c r="U129" t="s">
        <v>20</v>
      </c>
    </row>
    <row r="130" spans="1:21" x14ac:dyDescent="0.45">
      <c r="U130">
        <f>COUNTIF(U8:U129,"si")</f>
        <v>2</v>
      </c>
    </row>
  </sheetData>
  <autoFilter ref="A7:O129" xr:uid="{00000000-0009-0000-0000-000004000000}"/>
  <dataValidations xWindow="67" yWindow="594" count="5">
    <dataValidation type="date" operator="greaterThanOrEqual" allowBlank="1" showInputMessage="1" showErrorMessage="1" errorTitle="Error de formato de fecha" error="Favor escribir fecha en formato indicado en mensaje." promptTitle="Inserte fecha" prompt="Utilice el formato DD-MM-AAAA._x000a_Si al terminar la quincena, el paciente hospitalizado mantiene el elemento invasivo instalado, favor colocar la fecha de término de la quincena. Luego, especificar en observaciones." sqref="M8:M15 M18:M29 M32:M33 M36:M48 M51:M52 M55:M56 M59:M61 M63:M85 M93:M129" xr:uid="{00000000-0002-0000-0400-000000000000}">
      <formula1>42583</formula1>
    </dataValidation>
    <dataValidation type="date" operator="greaterThanOrEqual" allowBlank="1" showInputMessage="1" showErrorMessage="1" errorTitle="Error de formato de fecha" error="Favor escribir fecha en formato indicado en mensaje." promptTitle="Inserte fecha" prompt="Utilice el formato_x000a_DD-MM-AAAA" sqref="G8:H129 L8:L52 L53:M54 L55:L61 L62:M62 L63:L129 M16:M17 M30:M31 M34:M35 M49:M50 M57:M58 M86:M92" xr:uid="{00000000-0002-0000-0400-000001000000}">
      <formula1>42583</formula1>
    </dataValidation>
    <dataValidation type="textLength" allowBlank="1" showInputMessage="1" showErrorMessage="1" errorTitle="Error de formato" error="Ingrese un rut válido, sin utilizar puntos ni guión." promptTitle="Ingrese Rut" prompt="No utilice puntos ni guión. Si necesita agregar nuevos tipos de invasivos para un mismo paciente, ingrese nuevamente el rut en la siguiente fila." sqref="A8:A129" xr:uid="{00000000-0002-0000-0400-000002000000}">
      <formula1>8</formula1>
      <formula2>9</formula2>
    </dataValidation>
    <dataValidation allowBlank="1" showInputMessage="1" sqref="O1:O1047087" xr:uid="{00000000-0002-0000-0400-000003000000}"/>
    <dataValidation allowBlank="1" sqref="N1:N1046764" xr:uid="{00000000-0002-0000-0400-000004000000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61"/>
  <sheetViews>
    <sheetView topLeftCell="A230" zoomScale="80" zoomScaleNormal="80" workbookViewId="0">
      <pane xSplit="2" topLeftCell="K1" activePane="topRight" state="frozen"/>
      <selection pane="topRight" activeCell="P265" sqref="P265"/>
    </sheetView>
  </sheetViews>
  <sheetFormatPr baseColWidth="10" defaultRowHeight="14.25" x14ac:dyDescent="0.45"/>
  <cols>
    <col min="11" max="11" width="18.73046875" bestFit="1" customWidth="1"/>
  </cols>
  <sheetData>
    <row r="1" spans="1:21" x14ac:dyDescent="0.45">
      <c r="A1" s="1" t="s">
        <v>215</v>
      </c>
      <c r="B1" s="1"/>
      <c r="C1" s="1"/>
      <c r="D1" s="1"/>
      <c r="E1" s="1"/>
      <c r="F1" s="1"/>
      <c r="G1" s="1"/>
      <c r="H1" s="1"/>
      <c r="I1" s="1"/>
      <c r="J1" s="1"/>
      <c r="K1" s="58"/>
      <c r="L1" s="1"/>
      <c r="M1" s="1"/>
      <c r="N1" s="1"/>
      <c r="O1" s="1"/>
    </row>
    <row r="2" spans="1:21" x14ac:dyDescent="0.45">
      <c r="A2" s="3"/>
      <c r="B2" s="3"/>
      <c r="C2" s="3"/>
      <c r="D2" s="3"/>
      <c r="E2" s="3"/>
      <c r="F2" s="3"/>
      <c r="G2" s="3"/>
      <c r="H2" s="3"/>
      <c r="I2" s="3"/>
      <c r="J2" s="3"/>
      <c r="K2" s="59"/>
      <c r="L2" s="3"/>
      <c r="M2" s="3"/>
      <c r="N2" s="3"/>
      <c r="O2" s="3"/>
    </row>
    <row r="3" spans="1:21" x14ac:dyDescent="0.45">
      <c r="A3" s="5" t="s">
        <v>216</v>
      </c>
      <c r="B3" s="6"/>
      <c r="C3" s="7" t="s">
        <v>22</v>
      </c>
      <c r="D3" s="6" t="s">
        <v>217</v>
      </c>
      <c r="E3" s="7" t="s">
        <v>25</v>
      </c>
      <c r="F3" s="6" t="s">
        <v>218</v>
      </c>
      <c r="G3" s="7"/>
      <c r="H3" s="6" t="s">
        <v>219</v>
      </c>
      <c r="I3" s="7">
        <v>2024</v>
      </c>
      <c r="J3" s="6"/>
      <c r="K3" s="60"/>
      <c r="L3" s="6"/>
      <c r="M3" s="6"/>
      <c r="N3" s="6"/>
      <c r="O3" s="6"/>
    </row>
    <row r="4" spans="1:21" x14ac:dyDescent="0.45">
      <c r="A4" s="3"/>
      <c r="B4" s="3"/>
      <c r="C4" s="3"/>
      <c r="D4" s="3"/>
      <c r="E4" s="3"/>
      <c r="F4" s="3"/>
      <c r="G4" s="3"/>
      <c r="H4" s="3"/>
      <c r="I4" s="3"/>
      <c r="J4" s="3"/>
      <c r="K4" s="61"/>
      <c r="L4" s="3"/>
      <c r="M4" s="3"/>
      <c r="N4" s="3"/>
      <c r="O4" s="3"/>
    </row>
    <row r="5" spans="1:21" x14ac:dyDescent="0.45">
      <c r="A5" s="3"/>
      <c r="B5" s="3"/>
      <c r="C5" s="3"/>
      <c r="D5" s="3"/>
      <c r="E5" s="3"/>
      <c r="F5" s="3"/>
      <c r="G5" s="3"/>
      <c r="H5" s="3"/>
      <c r="I5" s="3"/>
      <c r="J5" s="3"/>
      <c r="K5" s="61"/>
      <c r="L5" s="3"/>
      <c r="M5" s="3"/>
      <c r="N5" s="3"/>
      <c r="O5" s="3"/>
    </row>
    <row r="6" spans="1:21" ht="14.65" customHeight="1" thickBot="1" x14ac:dyDescent="0.5">
      <c r="A6" s="3"/>
      <c r="B6" s="3"/>
      <c r="C6" s="3"/>
      <c r="D6" s="3"/>
      <c r="E6" s="3"/>
      <c r="F6" s="3"/>
      <c r="G6" s="3"/>
      <c r="H6" s="3"/>
      <c r="I6" s="3"/>
      <c r="J6" s="3"/>
      <c r="K6" s="61"/>
      <c r="L6" s="3"/>
      <c r="M6" s="3"/>
      <c r="N6" s="3"/>
      <c r="O6" s="3"/>
    </row>
    <row r="7" spans="1:21" ht="30.75" customHeight="1" x14ac:dyDescent="0.45">
      <c r="A7" s="10" t="s">
        <v>220</v>
      </c>
      <c r="B7" s="11" t="s">
        <v>221</v>
      </c>
      <c r="C7" s="11" t="s">
        <v>222</v>
      </c>
      <c r="D7" s="12" t="s">
        <v>223</v>
      </c>
      <c r="E7" s="12" t="s">
        <v>224</v>
      </c>
      <c r="F7" s="11" t="s">
        <v>225</v>
      </c>
      <c r="G7" s="12" t="s">
        <v>226</v>
      </c>
      <c r="H7" s="12" t="s">
        <v>227</v>
      </c>
      <c r="I7" s="11" t="s">
        <v>4</v>
      </c>
      <c r="J7" s="11" t="s">
        <v>5</v>
      </c>
      <c r="K7" s="62" t="s">
        <v>3</v>
      </c>
      <c r="L7" s="12" t="s">
        <v>228</v>
      </c>
      <c r="M7" s="12" t="s">
        <v>229</v>
      </c>
      <c r="N7" s="14" t="s">
        <v>230</v>
      </c>
      <c r="O7" s="16" t="s">
        <v>7</v>
      </c>
      <c r="P7" s="127" t="s">
        <v>231</v>
      </c>
      <c r="Q7" s="127" t="s">
        <v>232</v>
      </c>
      <c r="R7" s="127" t="s">
        <v>233</v>
      </c>
      <c r="S7" s="127" t="s">
        <v>234</v>
      </c>
      <c r="T7" s="127" t="s">
        <v>235</v>
      </c>
      <c r="U7" s="127" t="s">
        <v>8</v>
      </c>
    </row>
    <row r="8" spans="1:21" x14ac:dyDescent="0.45">
      <c r="A8" s="79">
        <v>64567578</v>
      </c>
      <c r="B8" s="21" t="str">
        <f t="shared" ref="B8:B71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6.456.757-8</v>
      </c>
      <c r="C8" s="22" t="s">
        <v>22</v>
      </c>
      <c r="D8" s="29" t="s">
        <v>795</v>
      </c>
      <c r="E8" s="29" t="s">
        <v>781</v>
      </c>
      <c r="F8" s="29" t="s">
        <v>238</v>
      </c>
      <c r="G8" s="49">
        <v>45338</v>
      </c>
      <c r="H8" s="49">
        <v>45384</v>
      </c>
      <c r="I8" s="21" t="s">
        <v>24</v>
      </c>
      <c r="J8" s="29" t="s">
        <v>22</v>
      </c>
      <c r="K8" s="24" t="s">
        <v>43</v>
      </c>
      <c r="L8" s="23">
        <v>45381</v>
      </c>
      <c r="M8" s="23">
        <v>45384</v>
      </c>
      <c r="N8" s="25">
        <f t="shared" ref="N8:N71" si="1">+M8-L8</f>
        <v>3</v>
      </c>
      <c r="O8" s="70" t="s">
        <v>14</v>
      </c>
      <c r="P8" t="s">
        <v>88</v>
      </c>
      <c r="Q8" t="s">
        <v>88</v>
      </c>
      <c r="R8" t="s">
        <v>88</v>
      </c>
      <c r="S8" t="s">
        <v>88</v>
      </c>
      <c r="T8" t="s">
        <v>88</v>
      </c>
      <c r="U8" t="s">
        <v>20</v>
      </c>
    </row>
    <row r="9" spans="1:21" x14ac:dyDescent="0.45">
      <c r="A9" s="79">
        <v>64567578</v>
      </c>
      <c r="B9" s="21" t="str">
        <f t="shared" si="0"/>
        <v>6.456.757-8</v>
      </c>
      <c r="C9" s="22" t="s">
        <v>22</v>
      </c>
      <c r="D9" s="29" t="s">
        <v>795</v>
      </c>
      <c r="E9" s="29" t="s">
        <v>781</v>
      </c>
      <c r="F9" s="29" t="s">
        <v>238</v>
      </c>
      <c r="G9" s="49">
        <v>45338</v>
      </c>
      <c r="H9" s="49">
        <v>45384</v>
      </c>
      <c r="I9" s="21" t="s">
        <v>24</v>
      </c>
      <c r="J9" s="29" t="s">
        <v>22</v>
      </c>
      <c r="K9" s="24" t="s">
        <v>47</v>
      </c>
      <c r="L9" s="23">
        <v>45380</v>
      </c>
      <c r="M9" s="23">
        <v>45384</v>
      </c>
      <c r="N9" s="25">
        <f t="shared" si="1"/>
        <v>4</v>
      </c>
      <c r="O9" s="29"/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20</v>
      </c>
    </row>
    <row r="10" spans="1:21" x14ac:dyDescent="0.45">
      <c r="A10" s="79">
        <v>72643666</v>
      </c>
      <c r="B10" s="21" t="str">
        <f t="shared" si="0"/>
        <v>7.264.366-6</v>
      </c>
      <c r="C10" s="22" t="s">
        <v>22</v>
      </c>
      <c r="D10" s="29" t="s">
        <v>796</v>
      </c>
      <c r="E10" s="29" t="s">
        <v>375</v>
      </c>
      <c r="F10" s="29" t="s">
        <v>238</v>
      </c>
      <c r="G10" s="49">
        <v>45381</v>
      </c>
      <c r="H10" s="49">
        <v>45391</v>
      </c>
      <c r="I10" s="21" t="s">
        <v>54</v>
      </c>
      <c r="J10" s="29" t="s">
        <v>19</v>
      </c>
      <c r="K10" s="24" t="s">
        <v>43</v>
      </c>
      <c r="L10" s="23">
        <v>45381</v>
      </c>
      <c r="M10" s="23">
        <v>45391</v>
      </c>
      <c r="N10" s="25">
        <f t="shared" si="1"/>
        <v>10</v>
      </c>
      <c r="O10" s="29"/>
      <c r="P10" t="s">
        <v>88</v>
      </c>
      <c r="Q10" t="s">
        <v>88</v>
      </c>
      <c r="R10" t="s">
        <v>88</v>
      </c>
      <c r="S10" t="s">
        <v>88</v>
      </c>
      <c r="T10" t="s">
        <v>88</v>
      </c>
      <c r="U10" t="s">
        <v>20</v>
      </c>
    </row>
    <row r="11" spans="1:21" x14ac:dyDescent="0.45">
      <c r="A11" s="79">
        <v>72643666</v>
      </c>
      <c r="B11" s="21" t="str">
        <f t="shared" si="0"/>
        <v>7.264.366-6</v>
      </c>
      <c r="C11" s="22" t="s">
        <v>22</v>
      </c>
      <c r="D11" s="29" t="s">
        <v>796</v>
      </c>
      <c r="E11" s="29" t="s">
        <v>375</v>
      </c>
      <c r="F11" s="29" t="s">
        <v>238</v>
      </c>
      <c r="G11" s="49">
        <v>45381</v>
      </c>
      <c r="H11" s="49">
        <v>45391</v>
      </c>
      <c r="I11" s="21" t="s">
        <v>54</v>
      </c>
      <c r="J11" s="29" t="s">
        <v>19</v>
      </c>
      <c r="K11" s="24" t="s">
        <v>47</v>
      </c>
      <c r="L11" s="23">
        <v>45381</v>
      </c>
      <c r="M11" s="23">
        <v>45391</v>
      </c>
      <c r="N11" s="25">
        <f t="shared" si="1"/>
        <v>10</v>
      </c>
      <c r="O11" s="29"/>
      <c r="P11" t="s">
        <v>88</v>
      </c>
      <c r="Q11" t="s">
        <v>88</v>
      </c>
      <c r="R11" t="s">
        <v>88</v>
      </c>
      <c r="S11" t="s">
        <v>88</v>
      </c>
      <c r="T11" t="s">
        <v>88</v>
      </c>
      <c r="U11" t="s">
        <v>20</v>
      </c>
    </row>
    <row r="12" spans="1:21" x14ac:dyDescent="0.45">
      <c r="A12" s="79">
        <v>72643666</v>
      </c>
      <c r="B12" s="21" t="str">
        <f t="shared" si="0"/>
        <v>7.264.366-6</v>
      </c>
      <c r="C12" s="22" t="s">
        <v>22</v>
      </c>
      <c r="D12" s="29" t="s">
        <v>796</v>
      </c>
      <c r="E12" s="29" t="s">
        <v>375</v>
      </c>
      <c r="F12" s="29" t="s">
        <v>238</v>
      </c>
      <c r="G12" s="49">
        <v>45381</v>
      </c>
      <c r="H12" s="49">
        <v>45391</v>
      </c>
      <c r="I12" s="21" t="s">
        <v>54</v>
      </c>
      <c r="J12" s="29" t="s">
        <v>19</v>
      </c>
      <c r="K12" s="24" t="s">
        <v>55</v>
      </c>
      <c r="L12" s="23">
        <v>45380</v>
      </c>
      <c r="M12" s="23">
        <v>45391</v>
      </c>
      <c r="N12" s="25">
        <f t="shared" si="1"/>
        <v>11</v>
      </c>
      <c r="O12" s="29"/>
      <c r="P12" t="s">
        <v>88</v>
      </c>
      <c r="Q12" t="s">
        <v>88</v>
      </c>
      <c r="R12" t="s">
        <v>88</v>
      </c>
      <c r="S12" t="s">
        <v>88</v>
      </c>
      <c r="T12" t="s">
        <v>88</v>
      </c>
      <c r="U12" t="s">
        <v>20</v>
      </c>
    </row>
    <row r="13" spans="1:21" x14ac:dyDescent="0.45">
      <c r="A13" s="79">
        <v>135126438</v>
      </c>
      <c r="B13" s="21" t="str">
        <f t="shared" si="0"/>
        <v>13.512.643-8</v>
      </c>
      <c r="C13" s="22" t="s">
        <v>22</v>
      </c>
      <c r="D13" s="29" t="s">
        <v>427</v>
      </c>
      <c r="E13" s="29" t="s">
        <v>520</v>
      </c>
      <c r="F13" s="29" t="s">
        <v>727</v>
      </c>
      <c r="G13" s="49">
        <v>45369</v>
      </c>
      <c r="H13" s="49">
        <v>45386</v>
      </c>
      <c r="I13" s="21" t="s">
        <v>54</v>
      </c>
      <c r="J13" s="29" t="s">
        <v>46</v>
      </c>
      <c r="K13" s="24" t="s">
        <v>43</v>
      </c>
      <c r="L13" s="23">
        <v>45368</v>
      </c>
      <c r="M13" s="49">
        <v>45386</v>
      </c>
      <c r="N13" s="25">
        <f t="shared" si="1"/>
        <v>18</v>
      </c>
      <c r="O13" s="29"/>
      <c r="P13" t="s">
        <v>88</v>
      </c>
      <c r="Q13" t="s">
        <v>88</v>
      </c>
      <c r="R13" t="s">
        <v>88</v>
      </c>
      <c r="S13" t="s">
        <v>88</v>
      </c>
      <c r="T13" t="s">
        <v>88</v>
      </c>
      <c r="U13" t="s">
        <v>20</v>
      </c>
    </row>
    <row r="14" spans="1:21" x14ac:dyDescent="0.45">
      <c r="A14" s="79">
        <v>135126438</v>
      </c>
      <c r="B14" s="21" t="str">
        <f t="shared" si="0"/>
        <v>13.512.643-8</v>
      </c>
      <c r="C14" s="22" t="s">
        <v>22</v>
      </c>
      <c r="D14" s="29" t="s">
        <v>427</v>
      </c>
      <c r="E14" s="29" t="s">
        <v>520</v>
      </c>
      <c r="F14" s="29" t="s">
        <v>727</v>
      </c>
      <c r="G14" s="49">
        <v>45369</v>
      </c>
      <c r="H14" s="49">
        <v>45386</v>
      </c>
      <c r="I14" s="21" t="s">
        <v>54</v>
      </c>
      <c r="J14" s="29" t="s">
        <v>46</v>
      </c>
      <c r="K14" s="24" t="s">
        <v>47</v>
      </c>
      <c r="L14" s="23">
        <v>45370</v>
      </c>
      <c r="M14" s="49">
        <v>45386</v>
      </c>
      <c r="N14" s="25">
        <f t="shared" si="1"/>
        <v>16</v>
      </c>
      <c r="O14" s="29"/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20</v>
      </c>
    </row>
    <row r="15" spans="1:21" x14ac:dyDescent="0.45">
      <c r="A15" s="79">
        <v>135126438</v>
      </c>
      <c r="B15" s="21" t="str">
        <f t="shared" si="0"/>
        <v>13.512.643-8</v>
      </c>
      <c r="C15" s="22" t="s">
        <v>22</v>
      </c>
      <c r="D15" s="29" t="s">
        <v>427</v>
      </c>
      <c r="E15" s="29" t="s">
        <v>520</v>
      </c>
      <c r="F15" s="29" t="s">
        <v>727</v>
      </c>
      <c r="G15" s="49">
        <v>45369</v>
      </c>
      <c r="H15" s="49">
        <v>45386</v>
      </c>
      <c r="I15" s="21" t="s">
        <v>54</v>
      </c>
      <c r="J15" s="29" t="s">
        <v>46</v>
      </c>
      <c r="K15" s="24" t="s">
        <v>55</v>
      </c>
      <c r="L15" s="23">
        <v>45368</v>
      </c>
      <c r="M15" s="49">
        <v>45386</v>
      </c>
      <c r="N15" s="25">
        <f t="shared" si="1"/>
        <v>18</v>
      </c>
      <c r="O15" s="29"/>
      <c r="P15" t="s">
        <v>143</v>
      </c>
      <c r="Q15" t="s">
        <v>88</v>
      </c>
      <c r="R15" t="s">
        <v>88</v>
      </c>
      <c r="S15" t="s">
        <v>88</v>
      </c>
      <c r="T15" t="s">
        <v>88</v>
      </c>
      <c r="U15" t="s">
        <v>20</v>
      </c>
    </row>
    <row r="16" spans="1:21" x14ac:dyDescent="0.45">
      <c r="A16" s="79">
        <v>159281361</v>
      </c>
      <c r="B16" s="21" t="str">
        <f t="shared" si="0"/>
        <v>15.928.136-1</v>
      </c>
      <c r="C16" s="22" t="s">
        <v>22</v>
      </c>
      <c r="D16" s="29" t="s">
        <v>797</v>
      </c>
      <c r="E16" s="29" t="s">
        <v>786</v>
      </c>
      <c r="F16" s="29" t="s">
        <v>798</v>
      </c>
      <c r="G16" s="49">
        <v>45382</v>
      </c>
      <c r="H16" s="49">
        <v>45412</v>
      </c>
      <c r="I16" s="21" t="s">
        <v>54</v>
      </c>
      <c r="J16" s="29" t="s">
        <v>65</v>
      </c>
      <c r="K16" s="24" t="s">
        <v>43</v>
      </c>
      <c r="L16" s="23">
        <v>45382</v>
      </c>
      <c r="M16" s="23">
        <v>45412</v>
      </c>
      <c r="N16" s="25">
        <f t="shared" si="1"/>
        <v>30</v>
      </c>
      <c r="O16" s="29"/>
      <c r="P16" t="s">
        <v>88</v>
      </c>
      <c r="Q16" t="s">
        <v>88</v>
      </c>
      <c r="R16" t="s">
        <v>88</v>
      </c>
      <c r="S16" t="s">
        <v>88</v>
      </c>
      <c r="T16" t="s">
        <v>88</v>
      </c>
      <c r="U16" t="s">
        <v>20</v>
      </c>
    </row>
    <row r="17" spans="1:21" x14ac:dyDescent="0.45">
      <c r="A17" s="79">
        <v>159281361</v>
      </c>
      <c r="B17" s="21" t="str">
        <f t="shared" si="0"/>
        <v>15.928.136-1</v>
      </c>
      <c r="C17" s="22" t="s">
        <v>22</v>
      </c>
      <c r="D17" s="29" t="s">
        <v>797</v>
      </c>
      <c r="E17" s="29" t="s">
        <v>786</v>
      </c>
      <c r="F17" s="29" t="s">
        <v>798</v>
      </c>
      <c r="G17" s="49">
        <v>45382</v>
      </c>
      <c r="H17" s="49">
        <v>45412</v>
      </c>
      <c r="I17" s="21" t="s">
        <v>54</v>
      </c>
      <c r="J17" s="29" t="s">
        <v>65</v>
      </c>
      <c r="K17" s="24" t="s">
        <v>55</v>
      </c>
      <c r="L17" s="23">
        <v>45382</v>
      </c>
      <c r="M17" s="23">
        <v>45412</v>
      </c>
      <c r="N17" s="25">
        <f t="shared" si="1"/>
        <v>30</v>
      </c>
      <c r="O17" s="29"/>
      <c r="P17" t="s">
        <v>88</v>
      </c>
      <c r="Q17" t="s">
        <v>88</v>
      </c>
      <c r="R17" t="s">
        <v>88</v>
      </c>
      <c r="S17" t="s">
        <v>88</v>
      </c>
      <c r="T17" t="s">
        <v>88</v>
      </c>
      <c r="U17" t="s">
        <v>20</v>
      </c>
    </row>
    <row r="18" spans="1:21" x14ac:dyDescent="0.45">
      <c r="A18" s="79">
        <v>159281361</v>
      </c>
      <c r="B18" s="21" t="str">
        <f t="shared" si="0"/>
        <v>15.928.136-1</v>
      </c>
      <c r="C18" s="22" t="s">
        <v>22</v>
      </c>
      <c r="D18" s="29" t="s">
        <v>797</v>
      </c>
      <c r="E18" s="29" t="s">
        <v>786</v>
      </c>
      <c r="F18" s="29" t="s">
        <v>798</v>
      </c>
      <c r="G18" s="49">
        <v>45382</v>
      </c>
      <c r="H18" s="49">
        <v>45412</v>
      </c>
      <c r="I18" s="21" t="s">
        <v>54</v>
      </c>
      <c r="J18" s="29" t="s">
        <v>65</v>
      </c>
      <c r="K18" s="24" t="s">
        <v>23</v>
      </c>
      <c r="L18" s="23">
        <v>45389</v>
      </c>
      <c r="M18" s="23">
        <v>45412</v>
      </c>
      <c r="N18" s="25">
        <f t="shared" si="1"/>
        <v>23</v>
      </c>
      <c r="O18" s="29"/>
      <c r="P18" t="s">
        <v>88</v>
      </c>
      <c r="Q18" t="s">
        <v>88</v>
      </c>
      <c r="R18" t="s">
        <v>88</v>
      </c>
      <c r="S18" t="s">
        <v>88</v>
      </c>
      <c r="T18" t="s">
        <v>88</v>
      </c>
      <c r="U18" t="s">
        <v>20</v>
      </c>
    </row>
    <row r="19" spans="1:21" x14ac:dyDescent="0.45">
      <c r="A19" s="79">
        <v>159281361</v>
      </c>
      <c r="B19" s="21" t="str">
        <f t="shared" si="0"/>
        <v>15.928.136-1</v>
      </c>
      <c r="C19" s="22" t="s">
        <v>22</v>
      </c>
      <c r="D19" s="29" t="s">
        <v>797</v>
      </c>
      <c r="E19" s="29" t="s">
        <v>786</v>
      </c>
      <c r="F19" s="29" t="s">
        <v>798</v>
      </c>
      <c r="G19" s="49">
        <v>45382</v>
      </c>
      <c r="H19" s="49">
        <v>45412</v>
      </c>
      <c r="I19" s="21" t="s">
        <v>54</v>
      </c>
      <c r="J19" s="29" t="s">
        <v>65</v>
      </c>
      <c r="K19" s="24" t="s">
        <v>51</v>
      </c>
      <c r="L19" s="23">
        <v>45382</v>
      </c>
      <c r="M19" s="23">
        <v>45412</v>
      </c>
      <c r="N19" s="25">
        <f t="shared" si="1"/>
        <v>30</v>
      </c>
      <c r="O19" s="29"/>
      <c r="P19" t="s">
        <v>88</v>
      </c>
      <c r="Q19" t="s">
        <v>88</v>
      </c>
      <c r="R19" t="s">
        <v>88</v>
      </c>
      <c r="S19" t="s">
        <v>88</v>
      </c>
      <c r="T19" t="s">
        <v>88</v>
      </c>
      <c r="U19" t="s">
        <v>20</v>
      </c>
    </row>
    <row r="20" spans="1:21" x14ac:dyDescent="0.45">
      <c r="A20" s="79">
        <v>82249338</v>
      </c>
      <c r="B20" s="21" t="str">
        <f t="shared" si="0"/>
        <v>8.224.933-8</v>
      </c>
      <c r="C20" s="22" t="s">
        <v>22</v>
      </c>
      <c r="D20" s="29" t="s">
        <v>765</v>
      </c>
      <c r="E20" s="29" t="s">
        <v>749</v>
      </c>
      <c r="F20" s="29" t="s">
        <v>766</v>
      </c>
      <c r="G20" s="49">
        <v>45371</v>
      </c>
      <c r="H20" s="49">
        <v>45387</v>
      </c>
      <c r="I20" s="21" t="s">
        <v>56</v>
      </c>
      <c r="J20" s="29" t="s">
        <v>19</v>
      </c>
      <c r="K20" s="24" t="s">
        <v>43</v>
      </c>
      <c r="L20" s="23">
        <v>45377</v>
      </c>
      <c r="M20" s="23">
        <v>45387</v>
      </c>
      <c r="N20" s="25">
        <f t="shared" si="1"/>
        <v>10</v>
      </c>
      <c r="O20" s="29"/>
      <c r="P20" t="s">
        <v>88</v>
      </c>
      <c r="Q20" t="s">
        <v>88</v>
      </c>
      <c r="R20" t="s">
        <v>88</v>
      </c>
      <c r="S20" t="s">
        <v>88</v>
      </c>
      <c r="T20" t="s">
        <v>88</v>
      </c>
      <c r="U20" t="s">
        <v>20</v>
      </c>
    </row>
    <row r="21" spans="1:21" x14ac:dyDescent="0.45">
      <c r="A21" s="79">
        <v>82249338</v>
      </c>
      <c r="B21" s="21" t="str">
        <f t="shared" si="0"/>
        <v>8.224.933-8</v>
      </c>
      <c r="C21" s="22" t="s">
        <v>22</v>
      </c>
      <c r="D21" s="29" t="s">
        <v>765</v>
      </c>
      <c r="E21" s="29" t="s">
        <v>749</v>
      </c>
      <c r="F21" s="29" t="s">
        <v>766</v>
      </c>
      <c r="G21" s="49">
        <v>45371</v>
      </c>
      <c r="H21" s="49">
        <v>45387</v>
      </c>
      <c r="I21" s="21" t="s">
        <v>56</v>
      </c>
      <c r="J21" s="29" t="s">
        <v>19</v>
      </c>
      <c r="K21" s="24" t="s">
        <v>47</v>
      </c>
      <c r="L21" s="23">
        <v>45381</v>
      </c>
      <c r="M21" s="23">
        <v>45387</v>
      </c>
      <c r="N21" s="25">
        <f t="shared" si="1"/>
        <v>6</v>
      </c>
      <c r="O21" s="29"/>
      <c r="P21" t="s">
        <v>88</v>
      </c>
      <c r="Q21" t="s">
        <v>88</v>
      </c>
      <c r="R21" t="s">
        <v>88</v>
      </c>
      <c r="S21" t="s">
        <v>88</v>
      </c>
      <c r="T21" t="s">
        <v>88</v>
      </c>
      <c r="U21" t="s">
        <v>20</v>
      </c>
    </row>
    <row r="22" spans="1:21" x14ac:dyDescent="0.45">
      <c r="A22" s="79">
        <v>82249338</v>
      </c>
      <c r="B22" s="21" t="str">
        <f t="shared" si="0"/>
        <v>8.224.933-8</v>
      </c>
      <c r="C22" s="22" t="s">
        <v>22</v>
      </c>
      <c r="D22" s="29" t="s">
        <v>765</v>
      </c>
      <c r="E22" s="29" t="s">
        <v>749</v>
      </c>
      <c r="F22" s="29" t="s">
        <v>766</v>
      </c>
      <c r="G22" s="49">
        <v>45371</v>
      </c>
      <c r="H22" s="49">
        <v>45387</v>
      </c>
      <c r="I22" s="21" t="s">
        <v>56</v>
      </c>
      <c r="J22" s="29" t="s">
        <v>19</v>
      </c>
      <c r="K22" s="24" t="s">
        <v>55</v>
      </c>
      <c r="L22" s="23">
        <v>45377</v>
      </c>
      <c r="M22" s="23">
        <v>45387</v>
      </c>
      <c r="N22" s="25">
        <f t="shared" si="1"/>
        <v>10</v>
      </c>
      <c r="O22" s="29"/>
      <c r="P22" t="s">
        <v>88</v>
      </c>
      <c r="Q22" t="s">
        <v>88</v>
      </c>
      <c r="R22" t="s">
        <v>88</v>
      </c>
      <c r="S22" t="s">
        <v>88</v>
      </c>
      <c r="T22" t="s">
        <v>88</v>
      </c>
      <c r="U22" t="s">
        <v>20</v>
      </c>
    </row>
    <row r="23" spans="1:21" x14ac:dyDescent="0.45">
      <c r="A23" s="79">
        <v>69383165</v>
      </c>
      <c r="B23" s="21" t="str">
        <f t="shared" si="0"/>
        <v>6.938.316-5</v>
      </c>
      <c r="C23" s="22" t="s">
        <v>22</v>
      </c>
      <c r="D23" s="29" t="s">
        <v>666</v>
      </c>
      <c r="E23" s="29" t="s">
        <v>417</v>
      </c>
      <c r="F23" s="29" t="s">
        <v>475</v>
      </c>
      <c r="G23" s="49">
        <v>45347</v>
      </c>
      <c r="H23" s="49">
        <v>45385</v>
      </c>
      <c r="I23" s="21" t="s">
        <v>54</v>
      </c>
      <c r="J23" s="29" t="s">
        <v>19</v>
      </c>
      <c r="K23" s="24" t="s">
        <v>47</v>
      </c>
      <c r="L23" s="23">
        <v>45360</v>
      </c>
      <c r="M23" s="23">
        <v>45385</v>
      </c>
      <c r="N23" s="25">
        <f t="shared" si="1"/>
        <v>25</v>
      </c>
      <c r="O23" s="29"/>
      <c r="P23" t="s">
        <v>88</v>
      </c>
      <c r="Q23" t="s">
        <v>88</v>
      </c>
      <c r="R23" t="s">
        <v>88</v>
      </c>
      <c r="S23" t="s">
        <v>88</v>
      </c>
      <c r="T23" t="s">
        <v>88</v>
      </c>
      <c r="U23" t="s">
        <v>20</v>
      </c>
    </row>
    <row r="24" spans="1:21" x14ac:dyDescent="0.45">
      <c r="A24" s="79">
        <v>69383165</v>
      </c>
      <c r="B24" s="21" t="str">
        <f t="shared" si="0"/>
        <v>6.938.316-5</v>
      </c>
      <c r="C24" s="22" t="s">
        <v>22</v>
      </c>
      <c r="D24" s="29" t="s">
        <v>666</v>
      </c>
      <c r="E24" s="29" t="s">
        <v>417</v>
      </c>
      <c r="F24" s="29" t="s">
        <v>475</v>
      </c>
      <c r="G24" s="49">
        <v>45347</v>
      </c>
      <c r="H24" s="49">
        <v>45385</v>
      </c>
      <c r="I24" s="21" t="s">
        <v>54</v>
      </c>
      <c r="J24" s="29" t="s">
        <v>19</v>
      </c>
      <c r="K24" s="24" t="s">
        <v>55</v>
      </c>
      <c r="L24" s="23">
        <v>45349</v>
      </c>
      <c r="M24" s="23">
        <v>45385</v>
      </c>
      <c r="N24" s="25">
        <f t="shared" si="1"/>
        <v>36</v>
      </c>
      <c r="O24" s="29"/>
      <c r="P24" t="s">
        <v>88</v>
      </c>
      <c r="Q24" t="s">
        <v>88</v>
      </c>
      <c r="R24" t="s">
        <v>88</v>
      </c>
      <c r="S24" t="s">
        <v>88</v>
      </c>
      <c r="T24" t="s">
        <v>88</v>
      </c>
      <c r="U24" t="s">
        <v>20</v>
      </c>
    </row>
    <row r="25" spans="1:21" x14ac:dyDescent="0.45">
      <c r="A25" s="79">
        <v>69383165</v>
      </c>
      <c r="B25" s="21" t="str">
        <f t="shared" si="0"/>
        <v>6.938.316-5</v>
      </c>
      <c r="C25" s="22" t="s">
        <v>22</v>
      </c>
      <c r="D25" s="29" t="s">
        <v>666</v>
      </c>
      <c r="E25" s="29" t="s">
        <v>417</v>
      </c>
      <c r="F25" s="29" t="s">
        <v>475</v>
      </c>
      <c r="G25" s="49">
        <v>45347</v>
      </c>
      <c r="H25" s="49">
        <v>45385</v>
      </c>
      <c r="I25" s="21" t="s">
        <v>54</v>
      </c>
      <c r="J25" s="29" t="s">
        <v>19</v>
      </c>
      <c r="K25" s="24" t="s">
        <v>18</v>
      </c>
      <c r="L25" s="23">
        <v>45366</v>
      </c>
      <c r="M25" s="23">
        <v>45385</v>
      </c>
      <c r="N25" s="25">
        <f t="shared" si="1"/>
        <v>19</v>
      </c>
      <c r="O25" s="29"/>
      <c r="P25" t="s">
        <v>88</v>
      </c>
      <c r="Q25" t="s">
        <v>88</v>
      </c>
      <c r="R25" t="s">
        <v>88</v>
      </c>
      <c r="S25" t="s">
        <v>88</v>
      </c>
      <c r="T25" t="s">
        <v>88</v>
      </c>
      <c r="U25" t="s">
        <v>20</v>
      </c>
    </row>
    <row r="26" spans="1:21" x14ac:dyDescent="0.45">
      <c r="A26" s="79">
        <v>38135597</v>
      </c>
      <c r="B26" s="21" t="str">
        <f t="shared" si="0"/>
        <v>3.813.559-7</v>
      </c>
      <c r="C26" s="22" t="s">
        <v>22</v>
      </c>
      <c r="D26" s="29" t="s">
        <v>767</v>
      </c>
      <c r="E26" s="29" t="s">
        <v>384</v>
      </c>
      <c r="F26" s="29" t="s">
        <v>351</v>
      </c>
      <c r="G26" s="49">
        <v>45369</v>
      </c>
      <c r="H26" s="49">
        <v>45399</v>
      </c>
      <c r="I26" s="21" t="s">
        <v>56</v>
      </c>
      <c r="J26" s="29" t="s">
        <v>22</v>
      </c>
      <c r="K26" s="24" t="s">
        <v>43</v>
      </c>
      <c r="L26" s="23">
        <v>45371</v>
      </c>
      <c r="M26" s="23">
        <v>45399</v>
      </c>
      <c r="N26" s="25">
        <f t="shared" si="1"/>
        <v>28</v>
      </c>
      <c r="O26" s="29"/>
      <c r="P26" t="s">
        <v>88</v>
      </c>
      <c r="Q26" t="s">
        <v>88</v>
      </c>
      <c r="R26" t="s">
        <v>88</v>
      </c>
      <c r="S26" t="s">
        <v>88</v>
      </c>
      <c r="T26" t="s">
        <v>88</v>
      </c>
      <c r="U26" t="s">
        <v>20</v>
      </c>
    </row>
    <row r="27" spans="1:21" x14ac:dyDescent="0.45">
      <c r="A27" s="79">
        <v>56271953</v>
      </c>
      <c r="B27" s="21" t="str">
        <f t="shared" si="0"/>
        <v>5.627.195-3</v>
      </c>
      <c r="C27" s="22" t="s">
        <v>22</v>
      </c>
      <c r="D27" s="29" t="s">
        <v>426</v>
      </c>
      <c r="E27" s="29" t="s">
        <v>623</v>
      </c>
      <c r="F27" s="29" t="s">
        <v>489</v>
      </c>
      <c r="G27" s="49">
        <v>45373</v>
      </c>
      <c r="H27" s="49">
        <v>45386</v>
      </c>
      <c r="I27" s="21" t="s">
        <v>54</v>
      </c>
      <c r="J27" s="29" t="s">
        <v>22</v>
      </c>
      <c r="K27" s="24" t="s">
        <v>43</v>
      </c>
      <c r="L27" s="23">
        <v>45379</v>
      </c>
      <c r="M27" s="23">
        <v>45386</v>
      </c>
      <c r="N27" s="25">
        <f t="shared" si="1"/>
        <v>7</v>
      </c>
      <c r="O27" s="29"/>
      <c r="P27" t="s">
        <v>88</v>
      </c>
      <c r="Q27" t="s">
        <v>88</v>
      </c>
      <c r="R27" t="s">
        <v>88</v>
      </c>
      <c r="S27" t="s">
        <v>88</v>
      </c>
      <c r="T27" t="s">
        <v>88</v>
      </c>
      <c r="U27" t="s">
        <v>20</v>
      </c>
    </row>
    <row r="28" spans="1:21" x14ac:dyDescent="0.45">
      <c r="A28" s="79">
        <v>56271953</v>
      </c>
      <c r="B28" s="21" t="str">
        <f t="shared" si="0"/>
        <v>5.627.195-3</v>
      </c>
      <c r="C28" s="22" t="s">
        <v>22</v>
      </c>
      <c r="D28" s="29" t="s">
        <v>426</v>
      </c>
      <c r="E28" s="29" t="s">
        <v>623</v>
      </c>
      <c r="F28" s="29" t="s">
        <v>489</v>
      </c>
      <c r="G28" s="49">
        <v>45373</v>
      </c>
      <c r="H28" s="49">
        <v>45386</v>
      </c>
      <c r="I28" s="21" t="s">
        <v>54</v>
      </c>
      <c r="J28" s="29" t="s">
        <v>22</v>
      </c>
      <c r="K28" s="24" t="s">
        <v>47</v>
      </c>
      <c r="L28" s="23">
        <v>45379</v>
      </c>
      <c r="M28" s="23">
        <v>45386</v>
      </c>
      <c r="N28" s="25">
        <f t="shared" si="1"/>
        <v>7</v>
      </c>
      <c r="O28" s="70" t="s">
        <v>14</v>
      </c>
      <c r="P28" t="s">
        <v>88</v>
      </c>
      <c r="Q28" t="s">
        <v>88</v>
      </c>
      <c r="R28" t="s">
        <v>88</v>
      </c>
      <c r="S28" t="s">
        <v>88</v>
      </c>
      <c r="T28" t="s">
        <v>88</v>
      </c>
      <c r="U28" t="s">
        <v>20</v>
      </c>
    </row>
    <row r="29" spans="1:21" x14ac:dyDescent="0.45">
      <c r="A29" s="79">
        <v>56271953</v>
      </c>
      <c r="B29" s="21" t="str">
        <f t="shared" si="0"/>
        <v>5.627.195-3</v>
      </c>
      <c r="C29" s="22" t="s">
        <v>22</v>
      </c>
      <c r="D29" s="29" t="s">
        <v>426</v>
      </c>
      <c r="E29" s="29" t="s">
        <v>623</v>
      </c>
      <c r="F29" s="29" t="s">
        <v>489</v>
      </c>
      <c r="G29" s="49">
        <v>45373</v>
      </c>
      <c r="H29" s="49">
        <v>45386</v>
      </c>
      <c r="I29" s="21" t="s">
        <v>54</v>
      </c>
      <c r="J29" s="29" t="s">
        <v>22</v>
      </c>
      <c r="K29" s="24" t="s">
        <v>55</v>
      </c>
      <c r="L29" s="23">
        <v>45379</v>
      </c>
      <c r="M29" s="23">
        <v>45386</v>
      </c>
      <c r="N29" s="25">
        <f t="shared" si="1"/>
        <v>7</v>
      </c>
      <c r="O29" s="29"/>
      <c r="P29" t="s">
        <v>88</v>
      </c>
      <c r="Q29" t="s">
        <v>88</v>
      </c>
      <c r="R29" t="s">
        <v>88</v>
      </c>
      <c r="S29" t="s">
        <v>88</v>
      </c>
      <c r="T29" t="s">
        <v>88</v>
      </c>
      <c r="U29" t="s">
        <v>20</v>
      </c>
    </row>
    <row r="30" spans="1:21" x14ac:dyDescent="0.45">
      <c r="A30" s="79">
        <v>58845183</v>
      </c>
      <c r="B30" s="21" t="str">
        <f t="shared" si="0"/>
        <v>5.884.518-3</v>
      </c>
      <c r="C30" s="22" t="s">
        <v>22</v>
      </c>
      <c r="D30" s="29" t="s">
        <v>240</v>
      </c>
      <c r="E30" s="29" t="s">
        <v>736</v>
      </c>
      <c r="F30" s="29" t="s">
        <v>370</v>
      </c>
      <c r="G30" s="49">
        <v>45371</v>
      </c>
      <c r="H30" s="49">
        <v>45385</v>
      </c>
      <c r="I30" s="21" t="s">
        <v>24</v>
      </c>
      <c r="J30" s="21" t="s">
        <v>24</v>
      </c>
      <c r="K30" s="24" t="s">
        <v>43</v>
      </c>
      <c r="L30" s="23">
        <v>45377</v>
      </c>
      <c r="M30" s="49">
        <v>45385</v>
      </c>
      <c r="N30" s="25">
        <f t="shared" si="1"/>
        <v>8</v>
      </c>
      <c r="O30" s="70" t="s">
        <v>14</v>
      </c>
      <c r="P30" t="s">
        <v>96</v>
      </c>
      <c r="Q30" t="s">
        <v>88</v>
      </c>
      <c r="R30" t="s">
        <v>88</v>
      </c>
      <c r="S30" t="s">
        <v>88</v>
      </c>
      <c r="T30" t="s">
        <v>88</v>
      </c>
      <c r="U30" t="s">
        <v>20</v>
      </c>
    </row>
    <row r="31" spans="1:21" x14ac:dyDescent="0.45">
      <c r="A31" s="79">
        <v>58845183</v>
      </c>
      <c r="B31" s="21" t="str">
        <f t="shared" si="0"/>
        <v>5.884.518-3</v>
      </c>
      <c r="C31" s="22" t="s">
        <v>22</v>
      </c>
      <c r="D31" s="29" t="s">
        <v>240</v>
      </c>
      <c r="E31" s="29" t="s">
        <v>736</v>
      </c>
      <c r="F31" s="29" t="s">
        <v>370</v>
      </c>
      <c r="G31" s="49">
        <v>45371</v>
      </c>
      <c r="H31" s="49">
        <v>45385</v>
      </c>
      <c r="I31" s="21" t="s">
        <v>24</v>
      </c>
      <c r="J31" s="21" t="s">
        <v>24</v>
      </c>
      <c r="K31" s="24" t="s">
        <v>47</v>
      </c>
      <c r="L31" s="23">
        <v>45377</v>
      </c>
      <c r="M31" s="49">
        <v>45385</v>
      </c>
      <c r="N31" s="25">
        <f t="shared" si="1"/>
        <v>8</v>
      </c>
      <c r="O31" s="70"/>
      <c r="P31" t="s">
        <v>88</v>
      </c>
      <c r="Q31" t="s">
        <v>88</v>
      </c>
      <c r="R31" t="s">
        <v>88</v>
      </c>
      <c r="S31" t="s">
        <v>88</v>
      </c>
      <c r="T31" t="s">
        <v>88</v>
      </c>
      <c r="U31" t="s">
        <v>20</v>
      </c>
    </row>
    <row r="32" spans="1:21" x14ac:dyDescent="0.45">
      <c r="A32" s="79">
        <v>191201043</v>
      </c>
      <c r="B32" s="21" t="str">
        <f t="shared" si="0"/>
        <v>19.120.104-3</v>
      </c>
      <c r="C32" s="22" t="s">
        <v>22</v>
      </c>
      <c r="D32" s="29" t="s">
        <v>799</v>
      </c>
      <c r="E32" s="29" t="s">
        <v>585</v>
      </c>
      <c r="F32" s="29" t="s">
        <v>800</v>
      </c>
      <c r="G32" s="49">
        <v>45381</v>
      </c>
      <c r="H32" s="49">
        <v>45393</v>
      </c>
      <c r="I32" s="21" t="s">
        <v>61</v>
      </c>
      <c r="J32" s="29" t="s">
        <v>69</v>
      </c>
      <c r="K32" s="24" t="s">
        <v>43</v>
      </c>
      <c r="L32" s="23">
        <v>45381</v>
      </c>
      <c r="M32" s="49">
        <v>45393</v>
      </c>
      <c r="N32" s="25">
        <f t="shared" si="1"/>
        <v>12</v>
      </c>
      <c r="O32" s="29"/>
      <c r="P32" t="s">
        <v>88</v>
      </c>
      <c r="Q32" t="s">
        <v>88</v>
      </c>
      <c r="R32" t="s">
        <v>88</v>
      </c>
      <c r="S32" t="s">
        <v>88</v>
      </c>
      <c r="T32" t="s">
        <v>88</v>
      </c>
      <c r="U32" t="s">
        <v>20</v>
      </c>
    </row>
    <row r="33" spans="1:21" x14ac:dyDescent="0.45">
      <c r="A33" s="79">
        <v>191201043</v>
      </c>
      <c r="B33" s="21" t="str">
        <f t="shared" si="0"/>
        <v>19.120.104-3</v>
      </c>
      <c r="C33" s="22" t="s">
        <v>22</v>
      </c>
      <c r="D33" s="29" t="s">
        <v>799</v>
      </c>
      <c r="E33" s="29" t="s">
        <v>585</v>
      </c>
      <c r="F33" s="29" t="s">
        <v>800</v>
      </c>
      <c r="G33" s="49">
        <v>45381</v>
      </c>
      <c r="H33" s="49">
        <v>45393</v>
      </c>
      <c r="I33" s="21" t="s">
        <v>61</v>
      </c>
      <c r="J33" s="29" t="s">
        <v>69</v>
      </c>
      <c r="K33" s="24" t="s">
        <v>47</v>
      </c>
      <c r="L33" s="23">
        <v>45381</v>
      </c>
      <c r="M33" s="49">
        <v>45393</v>
      </c>
      <c r="N33" s="25">
        <f t="shared" si="1"/>
        <v>12</v>
      </c>
      <c r="O33" s="29"/>
      <c r="P33" t="s">
        <v>106</v>
      </c>
      <c r="Q33" t="s">
        <v>88</v>
      </c>
      <c r="R33" t="s">
        <v>88</v>
      </c>
      <c r="S33" t="s">
        <v>88</v>
      </c>
      <c r="T33" t="s">
        <v>88</v>
      </c>
      <c r="U33" t="s">
        <v>20</v>
      </c>
    </row>
    <row r="34" spans="1:21" x14ac:dyDescent="0.45">
      <c r="A34" s="79">
        <v>144584821</v>
      </c>
      <c r="B34" s="21" t="str">
        <f t="shared" si="0"/>
        <v>14.458.482-1</v>
      </c>
      <c r="C34" s="22" t="s">
        <v>22</v>
      </c>
      <c r="D34" s="29" t="s">
        <v>801</v>
      </c>
      <c r="E34" s="29" t="s">
        <v>322</v>
      </c>
      <c r="F34" s="29" t="s">
        <v>802</v>
      </c>
      <c r="G34" s="49">
        <v>45370</v>
      </c>
      <c r="H34" s="49">
        <v>45385</v>
      </c>
      <c r="I34" s="21" t="s">
        <v>22</v>
      </c>
      <c r="J34" s="29" t="s">
        <v>26</v>
      </c>
      <c r="K34" s="24" t="s">
        <v>43</v>
      </c>
      <c r="L34" s="23">
        <v>45373</v>
      </c>
      <c r="M34" s="23">
        <v>45385</v>
      </c>
      <c r="N34" s="25">
        <f t="shared" si="1"/>
        <v>12</v>
      </c>
      <c r="O34" s="70" t="s">
        <v>14</v>
      </c>
      <c r="P34" t="s">
        <v>88</v>
      </c>
      <c r="Q34" t="s">
        <v>88</v>
      </c>
      <c r="R34" t="s">
        <v>88</v>
      </c>
      <c r="S34" t="s">
        <v>88</v>
      </c>
      <c r="T34" t="s">
        <v>88</v>
      </c>
      <c r="U34" t="s">
        <v>20</v>
      </c>
    </row>
    <row r="35" spans="1:21" x14ac:dyDescent="0.45">
      <c r="A35" s="79">
        <v>144584821</v>
      </c>
      <c r="B35" s="21" t="str">
        <f t="shared" si="0"/>
        <v>14.458.482-1</v>
      </c>
      <c r="C35" s="22" t="s">
        <v>22</v>
      </c>
      <c r="D35" s="29" t="s">
        <v>801</v>
      </c>
      <c r="E35" s="29" t="s">
        <v>322</v>
      </c>
      <c r="F35" s="29" t="s">
        <v>802</v>
      </c>
      <c r="G35" s="49">
        <v>45370</v>
      </c>
      <c r="H35" s="49">
        <v>45385</v>
      </c>
      <c r="I35" s="21" t="s">
        <v>22</v>
      </c>
      <c r="J35" s="29" t="s">
        <v>26</v>
      </c>
      <c r="K35" s="24" t="s">
        <v>47</v>
      </c>
      <c r="L35" s="23">
        <v>45370</v>
      </c>
      <c r="M35" s="23">
        <v>45385</v>
      </c>
      <c r="N35" s="25">
        <f t="shared" si="1"/>
        <v>15</v>
      </c>
      <c r="O35" s="29"/>
      <c r="P35" t="s">
        <v>88</v>
      </c>
      <c r="Q35" t="s">
        <v>88</v>
      </c>
      <c r="R35" t="s">
        <v>88</v>
      </c>
      <c r="S35" t="s">
        <v>88</v>
      </c>
      <c r="T35" t="s">
        <v>88</v>
      </c>
      <c r="U35" t="s">
        <v>20</v>
      </c>
    </row>
    <row r="36" spans="1:21" x14ac:dyDescent="0.45">
      <c r="A36" s="79">
        <v>216906349</v>
      </c>
      <c r="B36" s="21" t="str">
        <f t="shared" si="0"/>
        <v>21.690.634-9</v>
      </c>
      <c r="C36" s="22" t="s">
        <v>22</v>
      </c>
      <c r="D36" s="29" t="s">
        <v>366</v>
      </c>
      <c r="E36" s="29" t="s">
        <v>617</v>
      </c>
      <c r="F36" s="29" t="s">
        <v>803</v>
      </c>
      <c r="G36" s="49">
        <v>45378</v>
      </c>
      <c r="H36" s="49">
        <v>45387</v>
      </c>
      <c r="I36" s="21" t="s">
        <v>60</v>
      </c>
      <c r="J36" s="29" t="s">
        <v>61</v>
      </c>
      <c r="K36" s="24" t="s">
        <v>47</v>
      </c>
      <c r="L36" s="23">
        <v>45378</v>
      </c>
      <c r="M36" s="23">
        <v>45387</v>
      </c>
      <c r="N36" s="25">
        <f t="shared" si="1"/>
        <v>9</v>
      </c>
      <c r="O36" s="29"/>
      <c r="P36" t="s">
        <v>88</v>
      </c>
      <c r="Q36" t="s">
        <v>88</v>
      </c>
      <c r="R36" t="s">
        <v>88</v>
      </c>
      <c r="S36" t="s">
        <v>88</v>
      </c>
      <c r="T36" t="s">
        <v>88</v>
      </c>
      <c r="U36" t="s">
        <v>20</v>
      </c>
    </row>
    <row r="37" spans="1:21" x14ac:dyDescent="0.45">
      <c r="A37" s="79">
        <v>115369539</v>
      </c>
      <c r="B37" s="21" t="str">
        <f t="shared" si="0"/>
        <v>11.536.953-9</v>
      </c>
      <c r="C37" s="22" t="s">
        <v>22</v>
      </c>
      <c r="D37" s="29" t="s">
        <v>547</v>
      </c>
      <c r="E37" s="29" t="s">
        <v>387</v>
      </c>
      <c r="F37" s="29" t="s">
        <v>770</v>
      </c>
      <c r="G37" s="49">
        <v>45378</v>
      </c>
      <c r="H37" s="49">
        <v>45386</v>
      </c>
      <c r="I37" s="21" t="s">
        <v>22</v>
      </c>
      <c r="J37" s="29" t="s">
        <v>24</v>
      </c>
      <c r="K37" s="24" t="s">
        <v>43</v>
      </c>
      <c r="L37" s="23">
        <v>45378</v>
      </c>
      <c r="M37" s="23">
        <v>45386</v>
      </c>
      <c r="N37" s="25">
        <f t="shared" si="1"/>
        <v>8</v>
      </c>
      <c r="O37" s="29"/>
      <c r="P37" t="s">
        <v>88</v>
      </c>
      <c r="Q37" t="s">
        <v>88</v>
      </c>
      <c r="R37" t="s">
        <v>88</v>
      </c>
      <c r="S37" t="s">
        <v>88</v>
      </c>
      <c r="T37" t="s">
        <v>88</v>
      </c>
      <c r="U37" t="s">
        <v>20</v>
      </c>
    </row>
    <row r="38" spans="1:21" x14ac:dyDescent="0.45">
      <c r="A38" s="79">
        <v>115369539</v>
      </c>
      <c r="B38" s="21" t="str">
        <f t="shared" si="0"/>
        <v>11.536.953-9</v>
      </c>
      <c r="C38" s="22" t="s">
        <v>22</v>
      </c>
      <c r="D38" s="29" t="s">
        <v>547</v>
      </c>
      <c r="E38" s="29" t="s">
        <v>387</v>
      </c>
      <c r="F38" s="29" t="s">
        <v>770</v>
      </c>
      <c r="G38" s="49">
        <v>45378</v>
      </c>
      <c r="H38" s="49">
        <v>45386</v>
      </c>
      <c r="I38" s="21" t="s">
        <v>22</v>
      </c>
      <c r="J38" s="29" t="s">
        <v>24</v>
      </c>
      <c r="K38" s="24" t="s">
        <v>47</v>
      </c>
      <c r="L38" s="23">
        <v>45382</v>
      </c>
      <c r="M38" s="23">
        <v>45386</v>
      </c>
      <c r="N38" s="25">
        <f t="shared" si="1"/>
        <v>4</v>
      </c>
      <c r="O38" s="29"/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20</v>
      </c>
    </row>
    <row r="39" spans="1:21" x14ac:dyDescent="0.45">
      <c r="A39" s="79">
        <v>143724387</v>
      </c>
      <c r="B39" s="21" t="str">
        <f t="shared" si="0"/>
        <v>14.372.438-7</v>
      </c>
      <c r="C39" s="22" t="s">
        <v>22</v>
      </c>
      <c r="D39" s="29" t="s">
        <v>801</v>
      </c>
      <c r="E39" s="29" t="s">
        <v>804</v>
      </c>
      <c r="F39" s="29" t="s">
        <v>805</v>
      </c>
      <c r="G39" s="49">
        <v>45373</v>
      </c>
      <c r="H39" s="49">
        <v>45391</v>
      </c>
      <c r="I39" s="21" t="s">
        <v>56</v>
      </c>
      <c r="J39" s="21" t="s">
        <v>56</v>
      </c>
      <c r="K39" s="24" t="s">
        <v>43</v>
      </c>
      <c r="L39" s="23">
        <v>45378</v>
      </c>
      <c r="M39" s="49">
        <v>45391</v>
      </c>
      <c r="N39" s="25">
        <f t="shared" si="1"/>
        <v>13</v>
      </c>
      <c r="O39" s="29"/>
      <c r="P39" t="s">
        <v>88</v>
      </c>
      <c r="Q39" t="s">
        <v>88</v>
      </c>
      <c r="R39" t="s">
        <v>88</v>
      </c>
      <c r="S39" t="s">
        <v>88</v>
      </c>
      <c r="T39" t="s">
        <v>88</v>
      </c>
      <c r="U39" t="s">
        <v>20</v>
      </c>
    </row>
    <row r="40" spans="1:21" x14ac:dyDescent="0.45">
      <c r="A40" s="79">
        <v>143724387</v>
      </c>
      <c r="B40" s="21" t="str">
        <f t="shared" si="0"/>
        <v>14.372.438-7</v>
      </c>
      <c r="C40" s="22" t="s">
        <v>22</v>
      </c>
      <c r="D40" s="29" t="s">
        <v>801</v>
      </c>
      <c r="E40" s="29" t="s">
        <v>804</v>
      </c>
      <c r="F40" s="29" t="s">
        <v>805</v>
      </c>
      <c r="G40" s="49">
        <v>45373</v>
      </c>
      <c r="H40" s="49">
        <v>45391</v>
      </c>
      <c r="I40" s="21" t="s">
        <v>56</v>
      </c>
      <c r="J40" s="21" t="s">
        <v>56</v>
      </c>
      <c r="K40" s="24" t="s">
        <v>47</v>
      </c>
      <c r="L40" s="23">
        <v>45378</v>
      </c>
      <c r="M40" s="49">
        <v>45391</v>
      </c>
      <c r="N40" s="25">
        <f t="shared" si="1"/>
        <v>13</v>
      </c>
      <c r="O40" s="29"/>
      <c r="P40" t="s">
        <v>88</v>
      </c>
      <c r="Q40" t="s">
        <v>88</v>
      </c>
      <c r="R40" t="s">
        <v>88</v>
      </c>
      <c r="S40" t="s">
        <v>88</v>
      </c>
      <c r="T40" t="s">
        <v>88</v>
      </c>
      <c r="U40" t="s">
        <v>20</v>
      </c>
    </row>
    <row r="41" spans="1:21" x14ac:dyDescent="0.45">
      <c r="A41" s="79" t="s">
        <v>806</v>
      </c>
      <c r="B41" s="21" t="str">
        <f t="shared" si="0"/>
        <v>5.035.119-K</v>
      </c>
      <c r="C41" s="22" t="s">
        <v>22</v>
      </c>
      <c r="D41" s="29" t="s">
        <v>461</v>
      </c>
      <c r="E41" s="29" t="s">
        <v>461</v>
      </c>
      <c r="F41" s="29" t="s">
        <v>682</v>
      </c>
      <c r="G41" s="49">
        <v>45337</v>
      </c>
      <c r="H41" s="49">
        <v>45393</v>
      </c>
      <c r="I41" s="21" t="s">
        <v>56</v>
      </c>
      <c r="J41" s="21" t="s">
        <v>52</v>
      </c>
      <c r="K41" s="24" t="s">
        <v>43</v>
      </c>
      <c r="L41" s="23">
        <v>45362</v>
      </c>
      <c r="M41" s="49">
        <v>45393</v>
      </c>
      <c r="N41" s="25">
        <f t="shared" si="1"/>
        <v>31</v>
      </c>
      <c r="O41" s="29"/>
      <c r="P41" t="s">
        <v>88</v>
      </c>
      <c r="Q41" t="s">
        <v>88</v>
      </c>
      <c r="R41" t="s">
        <v>88</v>
      </c>
      <c r="S41" t="s">
        <v>88</v>
      </c>
      <c r="T41" t="s">
        <v>88</v>
      </c>
      <c r="U41" t="s">
        <v>20</v>
      </c>
    </row>
    <row r="42" spans="1:21" x14ac:dyDescent="0.45">
      <c r="A42" s="79" t="s">
        <v>806</v>
      </c>
      <c r="B42" s="21" t="str">
        <f t="shared" si="0"/>
        <v>5.035.119-K</v>
      </c>
      <c r="C42" s="22" t="s">
        <v>22</v>
      </c>
      <c r="D42" s="29" t="s">
        <v>461</v>
      </c>
      <c r="E42" s="29" t="s">
        <v>461</v>
      </c>
      <c r="F42" s="29" t="s">
        <v>682</v>
      </c>
      <c r="G42" s="49">
        <v>45337</v>
      </c>
      <c r="H42" s="49">
        <v>45393</v>
      </c>
      <c r="I42" s="21" t="s">
        <v>56</v>
      </c>
      <c r="J42" s="21" t="s">
        <v>52</v>
      </c>
      <c r="K42" s="24" t="s">
        <v>47</v>
      </c>
      <c r="L42" s="23">
        <v>45373</v>
      </c>
      <c r="M42" s="49">
        <v>45393</v>
      </c>
      <c r="N42" s="25">
        <f t="shared" si="1"/>
        <v>20</v>
      </c>
      <c r="O42" s="29"/>
      <c r="P42" t="s">
        <v>88</v>
      </c>
      <c r="Q42" t="s">
        <v>88</v>
      </c>
      <c r="R42" t="s">
        <v>88</v>
      </c>
      <c r="S42" t="s">
        <v>88</v>
      </c>
      <c r="T42" t="s">
        <v>88</v>
      </c>
      <c r="U42" t="s">
        <v>20</v>
      </c>
    </row>
    <row r="43" spans="1:21" x14ac:dyDescent="0.45">
      <c r="A43" s="79">
        <v>271848846</v>
      </c>
      <c r="B43" s="21" t="str">
        <f t="shared" si="0"/>
        <v>27.184.884-6</v>
      </c>
      <c r="C43" s="22" t="s">
        <v>22</v>
      </c>
      <c r="D43" s="29" t="s">
        <v>249</v>
      </c>
      <c r="E43" s="29" t="s">
        <v>807</v>
      </c>
      <c r="F43" s="29" t="s">
        <v>362</v>
      </c>
      <c r="G43" s="49">
        <v>45379</v>
      </c>
      <c r="H43" s="49">
        <v>45391</v>
      </c>
      <c r="I43" s="21" t="s">
        <v>54</v>
      </c>
      <c r="J43" s="29" t="s">
        <v>56</v>
      </c>
      <c r="K43" s="24" t="s">
        <v>43</v>
      </c>
      <c r="L43" s="23">
        <v>45379</v>
      </c>
      <c r="M43" s="23">
        <v>45391</v>
      </c>
      <c r="N43" s="25">
        <f t="shared" si="1"/>
        <v>12</v>
      </c>
      <c r="O43" s="29"/>
      <c r="P43" t="s">
        <v>88</v>
      </c>
      <c r="Q43" t="s">
        <v>88</v>
      </c>
      <c r="R43" t="s">
        <v>88</v>
      </c>
      <c r="S43" t="s">
        <v>88</v>
      </c>
      <c r="T43" t="s">
        <v>88</v>
      </c>
      <c r="U43" t="s">
        <v>20</v>
      </c>
    </row>
    <row r="44" spans="1:21" x14ac:dyDescent="0.45">
      <c r="A44" s="79">
        <v>271848846</v>
      </c>
      <c r="B44" s="21" t="str">
        <f t="shared" si="0"/>
        <v>27.184.884-6</v>
      </c>
      <c r="C44" s="22" t="s">
        <v>22</v>
      </c>
      <c r="D44" s="29" t="s">
        <v>249</v>
      </c>
      <c r="E44" s="29" t="s">
        <v>807</v>
      </c>
      <c r="F44" s="29" t="s">
        <v>362</v>
      </c>
      <c r="G44" s="49">
        <v>45379</v>
      </c>
      <c r="H44" s="49">
        <v>45391</v>
      </c>
      <c r="I44" s="21" t="s">
        <v>54</v>
      </c>
      <c r="J44" s="29" t="s">
        <v>56</v>
      </c>
      <c r="K44" s="24" t="s">
        <v>59</v>
      </c>
      <c r="L44" s="23">
        <v>45379</v>
      </c>
      <c r="M44" s="23">
        <v>45391</v>
      </c>
      <c r="N44" s="25">
        <f t="shared" si="1"/>
        <v>12</v>
      </c>
      <c r="O44" s="29"/>
      <c r="P44" t="s">
        <v>88</v>
      </c>
      <c r="Q44" t="s">
        <v>88</v>
      </c>
      <c r="R44" t="s">
        <v>88</v>
      </c>
      <c r="S44" t="s">
        <v>88</v>
      </c>
      <c r="T44" t="s">
        <v>88</v>
      </c>
      <c r="U44" t="s">
        <v>20</v>
      </c>
    </row>
    <row r="45" spans="1:21" x14ac:dyDescent="0.45">
      <c r="A45" s="79">
        <v>64847074</v>
      </c>
      <c r="B45" s="21" t="str">
        <f t="shared" si="0"/>
        <v>6.484.707-4</v>
      </c>
      <c r="C45" s="22" t="s">
        <v>22</v>
      </c>
      <c r="D45" s="29" t="s">
        <v>808</v>
      </c>
      <c r="E45" s="29" t="s">
        <v>266</v>
      </c>
      <c r="F45" s="29" t="s">
        <v>238</v>
      </c>
      <c r="G45" s="49">
        <v>45320</v>
      </c>
      <c r="H45" s="49">
        <v>45357</v>
      </c>
      <c r="I45" s="21" t="s">
        <v>56</v>
      </c>
      <c r="J45" s="29" t="s">
        <v>22</v>
      </c>
      <c r="K45" s="24" t="s">
        <v>47</v>
      </c>
      <c r="L45" s="23">
        <v>45366</v>
      </c>
      <c r="M45" s="23">
        <v>45412</v>
      </c>
      <c r="N45" s="25">
        <f t="shared" si="1"/>
        <v>46</v>
      </c>
      <c r="O45" s="70" t="s">
        <v>14</v>
      </c>
      <c r="P45" t="s">
        <v>88</v>
      </c>
      <c r="Q45" t="s">
        <v>88</v>
      </c>
      <c r="R45" t="s">
        <v>88</v>
      </c>
      <c r="S45" t="s">
        <v>88</v>
      </c>
      <c r="T45" t="s">
        <v>88</v>
      </c>
      <c r="U45" t="s">
        <v>20</v>
      </c>
    </row>
    <row r="46" spans="1:21" x14ac:dyDescent="0.45">
      <c r="A46" s="79">
        <v>64847074</v>
      </c>
      <c r="B46" s="21" t="str">
        <f t="shared" si="0"/>
        <v>6.484.707-4</v>
      </c>
      <c r="C46" s="22" t="s">
        <v>22</v>
      </c>
      <c r="D46" s="29" t="s">
        <v>808</v>
      </c>
      <c r="E46" s="29" t="s">
        <v>266</v>
      </c>
      <c r="F46" s="29" t="s">
        <v>238</v>
      </c>
      <c r="G46" s="49">
        <v>45320</v>
      </c>
      <c r="H46" s="49">
        <v>45357</v>
      </c>
      <c r="I46" s="21" t="s">
        <v>56</v>
      </c>
      <c r="J46" s="29" t="s">
        <v>22</v>
      </c>
      <c r="K46" s="24" t="s">
        <v>18</v>
      </c>
      <c r="L46" s="23">
        <v>45369</v>
      </c>
      <c r="M46" s="23">
        <v>45376</v>
      </c>
      <c r="N46" s="25">
        <f t="shared" si="1"/>
        <v>7</v>
      </c>
      <c r="O46" s="29"/>
      <c r="P46" t="s">
        <v>88</v>
      </c>
      <c r="Q46" t="s">
        <v>88</v>
      </c>
      <c r="R46" t="s">
        <v>88</v>
      </c>
      <c r="S46" t="s">
        <v>88</v>
      </c>
      <c r="T46" t="s">
        <v>88</v>
      </c>
      <c r="U46" t="s">
        <v>20</v>
      </c>
    </row>
    <row r="47" spans="1:21" x14ac:dyDescent="0.45">
      <c r="A47" s="79" t="s">
        <v>809</v>
      </c>
      <c r="B47" s="21" t="str">
        <f t="shared" si="0"/>
        <v>9.558.795-K</v>
      </c>
      <c r="C47" s="22" t="s">
        <v>22</v>
      </c>
      <c r="D47" s="29" t="s">
        <v>442</v>
      </c>
      <c r="E47" s="29" t="s">
        <v>810</v>
      </c>
      <c r="F47" s="29" t="s">
        <v>811</v>
      </c>
      <c r="G47" s="49">
        <v>45380</v>
      </c>
      <c r="H47" s="49">
        <v>45390</v>
      </c>
      <c r="I47" s="21" t="s">
        <v>54</v>
      </c>
      <c r="J47" s="29" t="s">
        <v>56</v>
      </c>
      <c r="K47" s="24" t="s">
        <v>43</v>
      </c>
      <c r="L47" s="23">
        <v>45380</v>
      </c>
      <c r="M47" s="23">
        <v>45391</v>
      </c>
      <c r="N47" s="25">
        <f t="shared" si="1"/>
        <v>11</v>
      </c>
      <c r="O47" s="29"/>
      <c r="P47" t="s">
        <v>88</v>
      </c>
      <c r="Q47" t="s">
        <v>88</v>
      </c>
      <c r="R47" t="s">
        <v>88</v>
      </c>
      <c r="S47" t="s">
        <v>88</v>
      </c>
      <c r="T47" t="s">
        <v>88</v>
      </c>
      <c r="U47" t="s">
        <v>20</v>
      </c>
    </row>
    <row r="48" spans="1:21" x14ac:dyDescent="0.45">
      <c r="A48" s="79" t="s">
        <v>809</v>
      </c>
      <c r="B48" s="21" t="str">
        <f t="shared" si="0"/>
        <v>9.558.795-K</v>
      </c>
      <c r="C48" s="22" t="s">
        <v>22</v>
      </c>
      <c r="D48" s="29" t="s">
        <v>442</v>
      </c>
      <c r="E48" s="29" t="s">
        <v>810</v>
      </c>
      <c r="F48" s="29" t="s">
        <v>811</v>
      </c>
      <c r="G48" s="49">
        <v>45380</v>
      </c>
      <c r="H48" s="49">
        <v>45390</v>
      </c>
      <c r="I48" s="21" t="s">
        <v>54</v>
      </c>
      <c r="J48" s="29" t="s">
        <v>56</v>
      </c>
      <c r="K48" s="24" t="s">
        <v>47</v>
      </c>
      <c r="L48" s="23">
        <v>45379</v>
      </c>
      <c r="M48" s="23">
        <v>45391</v>
      </c>
      <c r="N48" s="25">
        <f t="shared" si="1"/>
        <v>12</v>
      </c>
      <c r="O48" s="29"/>
      <c r="P48" t="s">
        <v>88</v>
      </c>
      <c r="Q48" t="s">
        <v>88</v>
      </c>
      <c r="R48" t="s">
        <v>88</v>
      </c>
      <c r="S48" t="s">
        <v>88</v>
      </c>
      <c r="T48" t="s">
        <v>88</v>
      </c>
      <c r="U48" t="s">
        <v>20</v>
      </c>
    </row>
    <row r="49" spans="1:21" x14ac:dyDescent="0.45">
      <c r="A49" s="79">
        <v>29283559</v>
      </c>
      <c r="B49" s="21" t="str">
        <f t="shared" si="0"/>
        <v>2.928.355-9</v>
      </c>
      <c r="C49" s="22" t="s">
        <v>22</v>
      </c>
      <c r="D49" s="29" t="s">
        <v>393</v>
      </c>
      <c r="E49" s="29" t="s">
        <v>393</v>
      </c>
      <c r="F49" s="29" t="s">
        <v>238</v>
      </c>
      <c r="G49" s="49">
        <v>45341</v>
      </c>
      <c r="H49" s="49">
        <v>45386</v>
      </c>
      <c r="I49" s="21" t="s">
        <v>61</v>
      </c>
      <c r="J49" s="29" t="s">
        <v>26</v>
      </c>
      <c r="K49" s="24" t="s">
        <v>47</v>
      </c>
      <c r="L49" s="23">
        <v>45356</v>
      </c>
      <c r="M49" s="23">
        <v>45386</v>
      </c>
      <c r="N49" s="25">
        <f t="shared" si="1"/>
        <v>30</v>
      </c>
      <c r="O49" s="29"/>
      <c r="P49" t="s">
        <v>88</v>
      </c>
      <c r="Q49" t="s">
        <v>88</v>
      </c>
      <c r="R49" t="s">
        <v>88</v>
      </c>
      <c r="S49" t="s">
        <v>88</v>
      </c>
      <c r="T49" t="s">
        <v>88</v>
      </c>
      <c r="U49" t="s">
        <v>20</v>
      </c>
    </row>
    <row r="50" spans="1:21" x14ac:dyDescent="0.45">
      <c r="A50" s="79">
        <v>29283559</v>
      </c>
      <c r="B50" s="21" t="str">
        <f t="shared" si="0"/>
        <v>2.928.355-9</v>
      </c>
      <c r="C50" s="22" t="s">
        <v>22</v>
      </c>
      <c r="D50" s="29" t="s">
        <v>393</v>
      </c>
      <c r="E50" s="29" t="s">
        <v>393</v>
      </c>
      <c r="F50" s="29" t="s">
        <v>238</v>
      </c>
      <c r="G50" s="49">
        <v>45341</v>
      </c>
      <c r="H50" s="49">
        <v>45386</v>
      </c>
      <c r="I50" s="21" t="s">
        <v>61</v>
      </c>
      <c r="J50" s="29" t="s">
        <v>26</v>
      </c>
      <c r="K50" s="24" t="s">
        <v>18</v>
      </c>
      <c r="L50" s="23">
        <v>45362</v>
      </c>
      <c r="M50" s="23">
        <v>45386</v>
      </c>
      <c r="N50" s="25">
        <f t="shared" si="1"/>
        <v>24</v>
      </c>
      <c r="O50" s="29"/>
      <c r="P50" t="s">
        <v>88</v>
      </c>
      <c r="Q50" t="s">
        <v>88</v>
      </c>
      <c r="R50" t="s">
        <v>88</v>
      </c>
      <c r="S50" t="s">
        <v>88</v>
      </c>
      <c r="T50" t="s">
        <v>88</v>
      </c>
      <c r="U50" t="s">
        <v>20</v>
      </c>
    </row>
    <row r="51" spans="1:21" x14ac:dyDescent="0.45">
      <c r="A51" s="79">
        <v>64791087</v>
      </c>
      <c r="B51" s="21" t="str">
        <f t="shared" si="0"/>
        <v>6.479.108-7</v>
      </c>
      <c r="C51" s="22" t="s">
        <v>22</v>
      </c>
      <c r="D51" s="29" t="s">
        <v>612</v>
      </c>
      <c r="E51" s="29" t="s">
        <v>384</v>
      </c>
      <c r="F51" s="29" t="s">
        <v>638</v>
      </c>
      <c r="G51" s="49">
        <v>45294</v>
      </c>
      <c r="H51" s="49">
        <v>45383</v>
      </c>
      <c r="I51" s="21" t="s">
        <v>54</v>
      </c>
      <c r="J51" s="29" t="s">
        <v>26</v>
      </c>
      <c r="K51" s="24" t="s">
        <v>18</v>
      </c>
      <c r="L51" s="23">
        <v>45375</v>
      </c>
      <c r="M51" s="23">
        <v>45383</v>
      </c>
      <c r="N51" s="25">
        <f t="shared" si="1"/>
        <v>8</v>
      </c>
      <c r="O51" s="70" t="s">
        <v>14</v>
      </c>
      <c r="P51" t="s">
        <v>88</v>
      </c>
      <c r="Q51" t="s">
        <v>88</v>
      </c>
      <c r="R51" t="s">
        <v>88</v>
      </c>
      <c r="S51" t="s">
        <v>88</v>
      </c>
      <c r="T51" t="s">
        <v>88</v>
      </c>
      <c r="U51" t="s">
        <v>20</v>
      </c>
    </row>
    <row r="52" spans="1:21" x14ac:dyDescent="0.45">
      <c r="A52" s="79">
        <v>56085734</v>
      </c>
      <c r="B52" s="21" t="str">
        <f t="shared" si="0"/>
        <v>5.608.573-4</v>
      </c>
      <c r="C52" s="22" t="s">
        <v>30</v>
      </c>
      <c r="D52" s="29" t="s">
        <v>812</v>
      </c>
      <c r="E52" s="29" t="s">
        <v>813</v>
      </c>
      <c r="F52" s="29" t="s">
        <v>348</v>
      </c>
      <c r="G52" s="49">
        <v>45372</v>
      </c>
      <c r="H52" s="49">
        <v>45397</v>
      </c>
      <c r="I52" s="21" t="s">
        <v>54</v>
      </c>
      <c r="J52" s="29" t="s">
        <v>22</v>
      </c>
      <c r="K52" s="24" t="s">
        <v>47</v>
      </c>
      <c r="L52" s="23">
        <v>45372</v>
      </c>
      <c r="M52" s="49">
        <v>45397</v>
      </c>
      <c r="N52" s="25">
        <f t="shared" si="1"/>
        <v>25</v>
      </c>
      <c r="O52" s="29"/>
      <c r="P52" t="s">
        <v>88</v>
      </c>
      <c r="Q52" t="s">
        <v>88</v>
      </c>
      <c r="R52" t="s">
        <v>88</v>
      </c>
      <c r="S52" t="s">
        <v>88</v>
      </c>
      <c r="T52" t="s">
        <v>88</v>
      </c>
      <c r="U52" t="s">
        <v>20</v>
      </c>
    </row>
    <row r="53" spans="1:21" x14ac:dyDescent="0.45">
      <c r="A53" s="79">
        <v>56085734</v>
      </c>
      <c r="B53" s="21" t="str">
        <f t="shared" si="0"/>
        <v>5.608.573-4</v>
      </c>
      <c r="C53" s="22" t="s">
        <v>30</v>
      </c>
      <c r="D53" s="29" t="s">
        <v>812</v>
      </c>
      <c r="E53" s="29" t="s">
        <v>813</v>
      </c>
      <c r="F53" s="29" t="s">
        <v>348</v>
      </c>
      <c r="G53" s="49">
        <v>45372</v>
      </c>
      <c r="H53" s="49">
        <v>45397</v>
      </c>
      <c r="I53" s="21" t="s">
        <v>54</v>
      </c>
      <c r="J53" s="29" t="s">
        <v>22</v>
      </c>
      <c r="K53" s="24" t="s">
        <v>43</v>
      </c>
      <c r="L53" s="23">
        <v>45372</v>
      </c>
      <c r="M53" s="49">
        <v>45397</v>
      </c>
      <c r="N53" s="25">
        <f t="shared" si="1"/>
        <v>25</v>
      </c>
      <c r="O53" s="29"/>
      <c r="P53" t="s">
        <v>88</v>
      </c>
      <c r="Q53" t="s">
        <v>88</v>
      </c>
      <c r="R53" t="s">
        <v>88</v>
      </c>
      <c r="S53" t="s">
        <v>88</v>
      </c>
      <c r="T53" t="s">
        <v>88</v>
      </c>
      <c r="U53" t="s">
        <v>20</v>
      </c>
    </row>
    <row r="54" spans="1:21" x14ac:dyDescent="0.45">
      <c r="A54" s="79">
        <v>83841117</v>
      </c>
      <c r="B54" s="21" t="str">
        <f t="shared" si="0"/>
        <v>8.384.111-7</v>
      </c>
      <c r="C54" s="22" t="s">
        <v>30</v>
      </c>
      <c r="D54" s="29" t="s">
        <v>559</v>
      </c>
      <c r="E54" s="29" t="s">
        <v>371</v>
      </c>
      <c r="F54" s="29" t="s">
        <v>250</v>
      </c>
      <c r="G54" s="49">
        <v>45377</v>
      </c>
      <c r="H54" s="49">
        <v>45384</v>
      </c>
      <c r="I54" s="21" t="s">
        <v>24</v>
      </c>
      <c r="J54" s="29" t="s">
        <v>24</v>
      </c>
      <c r="K54" s="24" t="s">
        <v>43</v>
      </c>
      <c r="L54" s="23">
        <v>45378</v>
      </c>
      <c r="M54" s="23">
        <v>45384</v>
      </c>
      <c r="N54" s="25">
        <f t="shared" si="1"/>
        <v>6</v>
      </c>
      <c r="O54" s="29"/>
      <c r="P54" t="s">
        <v>88</v>
      </c>
      <c r="Q54" t="s">
        <v>88</v>
      </c>
      <c r="R54" t="s">
        <v>88</v>
      </c>
      <c r="S54" t="s">
        <v>88</v>
      </c>
      <c r="T54" t="s">
        <v>88</v>
      </c>
      <c r="U54" t="s">
        <v>20</v>
      </c>
    </row>
    <row r="55" spans="1:21" x14ac:dyDescent="0.45">
      <c r="A55" s="79">
        <v>100591596</v>
      </c>
      <c r="B55" s="21" t="str">
        <f t="shared" si="0"/>
        <v>10.059.159-6</v>
      </c>
      <c r="C55" s="22" t="s">
        <v>30</v>
      </c>
      <c r="D55" s="29" t="s">
        <v>511</v>
      </c>
      <c r="E55" s="29" t="s">
        <v>448</v>
      </c>
      <c r="F55" s="29" t="s">
        <v>515</v>
      </c>
      <c r="G55" s="49">
        <v>45375</v>
      </c>
      <c r="H55" s="49">
        <v>45383</v>
      </c>
      <c r="I55" s="21" t="s">
        <v>24</v>
      </c>
      <c r="J55" s="29" t="s">
        <v>46</v>
      </c>
      <c r="K55" s="24" t="s">
        <v>43</v>
      </c>
      <c r="L55" s="23">
        <v>45382</v>
      </c>
      <c r="M55" s="23">
        <v>45383</v>
      </c>
      <c r="N55" s="25">
        <f t="shared" si="1"/>
        <v>1</v>
      </c>
      <c r="O55" s="29"/>
      <c r="P55" t="s">
        <v>88</v>
      </c>
      <c r="Q55" t="s">
        <v>88</v>
      </c>
      <c r="R55" t="s">
        <v>88</v>
      </c>
      <c r="S55" t="s">
        <v>88</v>
      </c>
      <c r="T55" t="s">
        <v>88</v>
      </c>
      <c r="U55" t="s">
        <v>20</v>
      </c>
    </row>
    <row r="56" spans="1:21" x14ac:dyDescent="0.45">
      <c r="A56" s="79">
        <v>100591596</v>
      </c>
      <c r="B56" s="21" t="str">
        <f t="shared" si="0"/>
        <v>10.059.159-6</v>
      </c>
      <c r="C56" s="22" t="s">
        <v>30</v>
      </c>
      <c r="D56" s="29" t="s">
        <v>511</v>
      </c>
      <c r="E56" s="29" t="s">
        <v>448</v>
      </c>
      <c r="F56" s="29" t="s">
        <v>515</v>
      </c>
      <c r="G56" s="49">
        <v>45375</v>
      </c>
      <c r="H56" s="49">
        <v>45383</v>
      </c>
      <c r="I56" s="21" t="s">
        <v>24</v>
      </c>
      <c r="J56" s="29" t="s">
        <v>46</v>
      </c>
      <c r="K56" s="24" t="s">
        <v>55</v>
      </c>
      <c r="L56" s="23">
        <v>45382</v>
      </c>
      <c r="M56" s="23">
        <v>45383</v>
      </c>
      <c r="N56" s="25">
        <f t="shared" si="1"/>
        <v>1</v>
      </c>
      <c r="O56" s="29"/>
      <c r="P56" t="s">
        <v>88</v>
      </c>
      <c r="Q56" t="s">
        <v>88</v>
      </c>
      <c r="R56" t="s">
        <v>88</v>
      </c>
      <c r="S56" t="s">
        <v>88</v>
      </c>
      <c r="T56" t="s">
        <v>88</v>
      </c>
      <c r="U56" t="s">
        <v>20</v>
      </c>
    </row>
    <row r="57" spans="1:21" x14ac:dyDescent="0.45">
      <c r="A57" s="79">
        <v>50119491</v>
      </c>
      <c r="B57" s="21" t="str">
        <f t="shared" si="0"/>
        <v>5.011.949-1</v>
      </c>
      <c r="C57" s="22" t="s">
        <v>30</v>
      </c>
      <c r="D57" s="29" t="s">
        <v>680</v>
      </c>
      <c r="E57" s="29" t="s">
        <v>670</v>
      </c>
      <c r="F57" s="29" t="s">
        <v>814</v>
      </c>
      <c r="G57" s="49">
        <v>45377</v>
      </c>
      <c r="H57" s="49">
        <v>45385</v>
      </c>
      <c r="I57" s="21" t="s">
        <v>24</v>
      </c>
      <c r="J57" s="29" t="s">
        <v>24</v>
      </c>
      <c r="K57" s="24" t="s">
        <v>43</v>
      </c>
      <c r="L57" s="23">
        <v>45374</v>
      </c>
      <c r="M57" s="23">
        <v>45385</v>
      </c>
      <c r="N57" s="25">
        <f t="shared" si="1"/>
        <v>11</v>
      </c>
      <c r="O57" s="29"/>
      <c r="P57" t="s">
        <v>88</v>
      </c>
      <c r="Q57" t="s">
        <v>88</v>
      </c>
      <c r="R57" t="s">
        <v>88</v>
      </c>
      <c r="S57" t="s">
        <v>88</v>
      </c>
      <c r="T57" t="s">
        <v>88</v>
      </c>
      <c r="U57" t="s">
        <v>20</v>
      </c>
    </row>
    <row r="58" spans="1:21" x14ac:dyDescent="0.45">
      <c r="A58" s="79">
        <v>76363773</v>
      </c>
      <c r="B58" s="21" t="str">
        <f t="shared" si="0"/>
        <v>7.636.377-3</v>
      </c>
      <c r="C58" s="22" t="s">
        <v>30</v>
      </c>
      <c r="D58" s="29" t="s">
        <v>310</v>
      </c>
      <c r="E58" s="29" t="s">
        <v>699</v>
      </c>
      <c r="F58" s="29" t="s">
        <v>815</v>
      </c>
      <c r="G58" s="49">
        <v>45379</v>
      </c>
      <c r="H58" s="49">
        <v>45384</v>
      </c>
      <c r="I58" s="21" t="s">
        <v>46</v>
      </c>
      <c r="J58" s="29" t="s">
        <v>24</v>
      </c>
      <c r="K58" s="24" t="s">
        <v>43</v>
      </c>
      <c r="L58" s="23">
        <v>45381</v>
      </c>
      <c r="M58" s="23">
        <v>45384</v>
      </c>
      <c r="N58" s="25">
        <f t="shared" si="1"/>
        <v>3</v>
      </c>
      <c r="O58" s="29"/>
      <c r="P58" t="s">
        <v>88</v>
      </c>
      <c r="Q58" t="s">
        <v>88</v>
      </c>
      <c r="R58" t="s">
        <v>88</v>
      </c>
      <c r="S58" t="s">
        <v>88</v>
      </c>
      <c r="T58" t="s">
        <v>88</v>
      </c>
      <c r="U58" t="s">
        <v>20</v>
      </c>
    </row>
    <row r="59" spans="1:21" x14ac:dyDescent="0.45">
      <c r="A59" s="79">
        <v>76363773</v>
      </c>
      <c r="B59" s="21" t="str">
        <f t="shared" si="0"/>
        <v>7.636.377-3</v>
      </c>
      <c r="C59" s="22" t="s">
        <v>30</v>
      </c>
      <c r="D59" s="29" t="s">
        <v>310</v>
      </c>
      <c r="E59" s="29" t="s">
        <v>699</v>
      </c>
      <c r="F59" s="29" t="s">
        <v>815</v>
      </c>
      <c r="G59" s="49">
        <v>45379</v>
      </c>
      <c r="H59" s="49">
        <v>45384</v>
      </c>
      <c r="I59" s="21" t="s">
        <v>46</v>
      </c>
      <c r="J59" s="29" t="s">
        <v>24</v>
      </c>
      <c r="K59" s="24" t="s">
        <v>47</v>
      </c>
      <c r="L59" s="23">
        <v>45381</v>
      </c>
      <c r="M59" s="23">
        <v>45384</v>
      </c>
      <c r="N59" s="25">
        <f t="shared" si="1"/>
        <v>3</v>
      </c>
      <c r="O59" s="29"/>
      <c r="P59" t="s">
        <v>88</v>
      </c>
      <c r="Q59" t="s">
        <v>88</v>
      </c>
      <c r="R59" t="s">
        <v>88</v>
      </c>
      <c r="S59" t="s">
        <v>88</v>
      </c>
      <c r="T59" t="s">
        <v>88</v>
      </c>
      <c r="U59" t="s">
        <v>20</v>
      </c>
    </row>
    <row r="60" spans="1:21" x14ac:dyDescent="0.45">
      <c r="A60" s="80">
        <v>283768724</v>
      </c>
      <c r="B60" s="21" t="str">
        <f t="shared" si="0"/>
        <v>28.376.872-4</v>
      </c>
      <c r="C60" s="22" t="s">
        <v>16</v>
      </c>
      <c r="D60" s="21" t="s">
        <v>384</v>
      </c>
      <c r="E60" s="21" t="s">
        <v>417</v>
      </c>
      <c r="F60" s="21" t="s">
        <v>816</v>
      </c>
      <c r="G60" s="23">
        <v>45361</v>
      </c>
      <c r="H60" s="23">
        <v>45405</v>
      </c>
      <c r="I60" s="21" t="s">
        <v>16</v>
      </c>
      <c r="J60" s="21" t="s">
        <v>65</v>
      </c>
      <c r="K60" s="63" t="s">
        <v>55</v>
      </c>
      <c r="L60" s="23">
        <v>45362</v>
      </c>
      <c r="M60" s="23">
        <v>45405</v>
      </c>
      <c r="N60" s="25">
        <f t="shared" si="1"/>
        <v>43</v>
      </c>
      <c r="O60" s="26"/>
      <c r="P60" t="s">
        <v>88</v>
      </c>
      <c r="Q60" t="s">
        <v>88</v>
      </c>
      <c r="R60" t="s">
        <v>88</v>
      </c>
      <c r="S60" t="s">
        <v>88</v>
      </c>
      <c r="T60" t="s">
        <v>88</v>
      </c>
      <c r="U60" t="s">
        <v>20</v>
      </c>
    </row>
    <row r="61" spans="1:21" x14ac:dyDescent="0.45">
      <c r="A61" s="80">
        <v>283768724</v>
      </c>
      <c r="B61" s="21" t="str">
        <f t="shared" si="0"/>
        <v>28.376.872-4</v>
      </c>
      <c r="C61" s="22" t="s">
        <v>16</v>
      </c>
      <c r="D61" s="21" t="s">
        <v>384</v>
      </c>
      <c r="E61" s="21" t="s">
        <v>417</v>
      </c>
      <c r="F61" s="21" t="s">
        <v>816</v>
      </c>
      <c r="G61" s="23">
        <v>45361</v>
      </c>
      <c r="H61" s="23">
        <v>45405</v>
      </c>
      <c r="I61" s="21" t="s">
        <v>16</v>
      </c>
      <c r="J61" s="21" t="s">
        <v>65</v>
      </c>
      <c r="K61" s="63" t="s">
        <v>18</v>
      </c>
      <c r="L61" s="23">
        <v>45362</v>
      </c>
      <c r="M61" s="23">
        <v>45405</v>
      </c>
      <c r="N61" s="25">
        <f t="shared" si="1"/>
        <v>43</v>
      </c>
      <c r="O61" s="26"/>
      <c r="P61" t="s">
        <v>88</v>
      </c>
      <c r="Q61" t="s">
        <v>88</v>
      </c>
      <c r="R61" t="s">
        <v>88</v>
      </c>
      <c r="S61" t="s">
        <v>88</v>
      </c>
      <c r="T61" t="s">
        <v>88</v>
      </c>
      <c r="U61" t="s">
        <v>20</v>
      </c>
    </row>
    <row r="62" spans="1:21" x14ac:dyDescent="0.45">
      <c r="A62" s="80">
        <v>283755762</v>
      </c>
      <c r="B62" s="21" t="str">
        <f t="shared" si="0"/>
        <v>28.375.576-2</v>
      </c>
      <c r="C62" s="22" t="s">
        <v>16</v>
      </c>
      <c r="D62" s="21" t="s">
        <v>817</v>
      </c>
      <c r="E62" s="21" t="s">
        <v>818</v>
      </c>
      <c r="F62" s="21" t="s">
        <v>819</v>
      </c>
      <c r="G62" s="23">
        <v>45361</v>
      </c>
      <c r="H62" s="23">
        <v>45385</v>
      </c>
      <c r="I62" s="21" t="s">
        <v>16</v>
      </c>
      <c r="J62" s="21" t="s">
        <v>19</v>
      </c>
      <c r="K62" s="63" t="s">
        <v>18</v>
      </c>
      <c r="L62" s="23">
        <v>45320</v>
      </c>
      <c r="M62" s="23">
        <v>45385</v>
      </c>
      <c r="N62" s="25">
        <f t="shared" si="1"/>
        <v>65</v>
      </c>
      <c r="O62" s="26"/>
      <c r="P62" t="s">
        <v>88</v>
      </c>
      <c r="Q62" t="s">
        <v>88</v>
      </c>
      <c r="R62" t="s">
        <v>88</v>
      </c>
      <c r="S62" t="s">
        <v>88</v>
      </c>
      <c r="T62" t="s">
        <v>88</v>
      </c>
      <c r="U62" t="s">
        <v>20</v>
      </c>
    </row>
    <row r="63" spans="1:21" x14ac:dyDescent="0.45">
      <c r="A63" s="80">
        <v>283755762</v>
      </c>
      <c r="B63" s="21" t="str">
        <f t="shared" si="0"/>
        <v>28.375.576-2</v>
      </c>
      <c r="C63" s="22" t="s">
        <v>16</v>
      </c>
      <c r="D63" s="21" t="s">
        <v>817</v>
      </c>
      <c r="E63" s="21" t="s">
        <v>818</v>
      </c>
      <c r="F63" s="21" t="s">
        <v>819</v>
      </c>
      <c r="G63" s="23">
        <f>IF(IFERROR(VLOOKUP(A63,$A$10:$I62,1,0),0)=0,"",VLOOKUP(A63,$A$10:$I62,7,0))</f>
        <v>45361</v>
      </c>
      <c r="H63" s="23">
        <v>45385</v>
      </c>
      <c r="I63" s="21" t="s">
        <v>16</v>
      </c>
      <c r="J63" s="21" t="s">
        <v>19</v>
      </c>
      <c r="K63" s="63" t="s">
        <v>55</v>
      </c>
      <c r="L63" s="23">
        <v>45302</v>
      </c>
      <c r="M63" s="23">
        <v>45385</v>
      </c>
      <c r="N63" s="25">
        <f t="shared" si="1"/>
        <v>83</v>
      </c>
      <c r="O63" s="26"/>
      <c r="P63" t="s">
        <v>88</v>
      </c>
      <c r="Q63" t="s">
        <v>88</v>
      </c>
      <c r="R63" t="s">
        <v>88</v>
      </c>
      <c r="S63" t="s">
        <v>88</v>
      </c>
      <c r="T63" t="s">
        <v>88</v>
      </c>
      <c r="U63" t="s">
        <v>20</v>
      </c>
    </row>
    <row r="64" spans="1:21" x14ac:dyDescent="0.45">
      <c r="A64" s="80">
        <v>283866459</v>
      </c>
      <c r="B64" s="21" t="str">
        <f t="shared" si="0"/>
        <v>28.386.645-9</v>
      </c>
      <c r="C64" s="22" t="s">
        <v>16</v>
      </c>
      <c r="D64" s="21" t="s">
        <v>387</v>
      </c>
      <c r="E64" s="21" t="s">
        <v>387</v>
      </c>
      <c r="F64" s="21" t="s">
        <v>820</v>
      </c>
      <c r="G64" s="23">
        <v>45385</v>
      </c>
      <c r="H64" s="23">
        <v>45405</v>
      </c>
      <c r="I64" s="21" t="s">
        <v>40</v>
      </c>
      <c r="J64" s="21" t="s">
        <v>65</v>
      </c>
      <c r="K64" s="63" t="s">
        <v>18</v>
      </c>
      <c r="L64" s="23">
        <v>45379</v>
      </c>
      <c r="M64" s="23">
        <v>45405</v>
      </c>
      <c r="N64" s="25">
        <f t="shared" si="1"/>
        <v>26</v>
      </c>
      <c r="O64" s="26"/>
      <c r="P64" t="s">
        <v>88</v>
      </c>
      <c r="Q64" t="s">
        <v>88</v>
      </c>
      <c r="R64" t="s">
        <v>88</v>
      </c>
      <c r="S64" t="s">
        <v>88</v>
      </c>
      <c r="T64" t="s">
        <v>88</v>
      </c>
      <c r="U64" t="s">
        <v>20</v>
      </c>
    </row>
    <row r="65" spans="1:21" x14ac:dyDescent="0.45">
      <c r="A65" s="80">
        <v>102091442</v>
      </c>
      <c r="B65" s="21" t="str">
        <f t="shared" si="0"/>
        <v>10.209.144-2</v>
      </c>
      <c r="C65" s="22" t="s">
        <v>38</v>
      </c>
      <c r="D65" s="21" t="s">
        <v>821</v>
      </c>
      <c r="E65" s="21" t="s">
        <v>822</v>
      </c>
      <c r="F65" s="21" t="s">
        <v>778</v>
      </c>
      <c r="G65" s="23">
        <v>45356</v>
      </c>
      <c r="H65" s="23">
        <v>45385</v>
      </c>
      <c r="I65" s="21" t="s">
        <v>56</v>
      </c>
      <c r="J65" s="21" t="s">
        <v>13</v>
      </c>
      <c r="K65" s="63" t="s">
        <v>18</v>
      </c>
      <c r="L65" s="23">
        <v>45384</v>
      </c>
      <c r="M65" s="23">
        <v>45385</v>
      </c>
      <c r="N65" s="25">
        <f t="shared" si="1"/>
        <v>1</v>
      </c>
      <c r="O65" s="26"/>
      <c r="P65" t="s">
        <v>88</v>
      </c>
      <c r="Q65" t="s">
        <v>88</v>
      </c>
      <c r="R65" t="s">
        <v>88</v>
      </c>
      <c r="S65" t="s">
        <v>88</v>
      </c>
      <c r="T65" t="s">
        <v>88</v>
      </c>
      <c r="U65" t="s">
        <v>20</v>
      </c>
    </row>
    <row r="66" spans="1:21" x14ac:dyDescent="0.45">
      <c r="A66" s="80" t="s">
        <v>823</v>
      </c>
      <c r="B66" s="21" t="str">
        <f t="shared" si="0"/>
        <v>12.069.331-K</v>
      </c>
      <c r="C66" s="22" t="s">
        <v>38</v>
      </c>
      <c r="D66" s="21" t="s">
        <v>626</v>
      </c>
      <c r="E66" s="21" t="s">
        <v>477</v>
      </c>
      <c r="F66" s="21" t="s">
        <v>824</v>
      </c>
      <c r="G66" s="23">
        <v>45382</v>
      </c>
      <c r="H66" s="23">
        <v>45383</v>
      </c>
      <c r="I66" s="21" t="s">
        <v>24</v>
      </c>
      <c r="J66" s="21" t="s">
        <v>69</v>
      </c>
      <c r="K66" s="63" t="s">
        <v>43</v>
      </c>
      <c r="L66" s="23">
        <v>45383</v>
      </c>
      <c r="M66" s="23">
        <v>45412</v>
      </c>
      <c r="N66" s="25">
        <f t="shared" si="1"/>
        <v>29</v>
      </c>
      <c r="O66" s="26"/>
      <c r="P66" t="s">
        <v>88</v>
      </c>
      <c r="Q66" t="s">
        <v>88</v>
      </c>
      <c r="R66" t="s">
        <v>88</v>
      </c>
      <c r="S66" t="s">
        <v>88</v>
      </c>
      <c r="T66" t="s">
        <v>88</v>
      </c>
      <c r="U66" t="s">
        <v>20</v>
      </c>
    </row>
    <row r="67" spans="1:21" x14ac:dyDescent="0.45">
      <c r="A67" s="80" t="s">
        <v>823</v>
      </c>
      <c r="B67" s="21" t="str">
        <f t="shared" si="0"/>
        <v>12.069.331-K</v>
      </c>
      <c r="C67" s="22" t="s">
        <v>38</v>
      </c>
      <c r="D67" s="21" t="s">
        <v>626</v>
      </c>
      <c r="E67" s="21" t="s">
        <v>477</v>
      </c>
      <c r="F67" s="21" t="s">
        <v>824</v>
      </c>
      <c r="G67" s="23">
        <v>45382</v>
      </c>
      <c r="H67" s="23">
        <v>45383</v>
      </c>
      <c r="I67" s="21" t="s">
        <v>24</v>
      </c>
      <c r="J67" s="21" t="s">
        <v>69</v>
      </c>
      <c r="K67" s="63" t="s">
        <v>47</v>
      </c>
      <c r="L67" s="23">
        <v>45383</v>
      </c>
      <c r="M67" s="23">
        <v>45412</v>
      </c>
      <c r="N67" s="25">
        <f t="shared" si="1"/>
        <v>29</v>
      </c>
      <c r="O67" s="26"/>
      <c r="P67" t="s">
        <v>88</v>
      </c>
      <c r="Q67" t="s">
        <v>88</v>
      </c>
      <c r="R67" t="s">
        <v>88</v>
      </c>
      <c r="S67" t="s">
        <v>88</v>
      </c>
      <c r="T67" t="s">
        <v>88</v>
      </c>
      <c r="U67" t="s">
        <v>20</v>
      </c>
    </row>
    <row r="68" spans="1:21" x14ac:dyDescent="0.45">
      <c r="A68" s="80" t="s">
        <v>825</v>
      </c>
      <c r="B68" s="21" t="str">
        <f t="shared" si="0"/>
        <v>4.291.590-4</v>
      </c>
      <c r="C68" s="22" t="s">
        <v>38</v>
      </c>
      <c r="D68" s="21" t="s">
        <v>826</v>
      </c>
      <c r="E68" s="21" t="s">
        <v>412</v>
      </c>
      <c r="F68" s="21" t="s">
        <v>827</v>
      </c>
      <c r="G68" s="23">
        <v>45383</v>
      </c>
      <c r="H68" s="23">
        <v>45386</v>
      </c>
      <c r="I68" s="21" t="s">
        <v>54</v>
      </c>
      <c r="J68" s="21" t="s">
        <v>26</v>
      </c>
      <c r="K68" s="63" t="s">
        <v>47</v>
      </c>
      <c r="L68" s="23">
        <v>45385</v>
      </c>
      <c r="M68" s="23">
        <v>45386</v>
      </c>
      <c r="N68" s="25">
        <f t="shared" si="1"/>
        <v>1</v>
      </c>
      <c r="O68" s="26"/>
      <c r="P68" t="s">
        <v>88</v>
      </c>
      <c r="Q68" t="s">
        <v>88</v>
      </c>
      <c r="R68" t="s">
        <v>88</v>
      </c>
      <c r="S68" t="s">
        <v>88</v>
      </c>
      <c r="T68" t="s">
        <v>88</v>
      </c>
      <c r="U68" t="s">
        <v>20</v>
      </c>
    </row>
    <row r="69" spans="1:21" x14ac:dyDescent="0.45">
      <c r="A69" s="80" t="s">
        <v>828</v>
      </c>
      <c r="B69" s="21" t="str">
        <f t="shared" si="0"/>
        <v>6.666.449-K</v>
      </c>
      <c r="C69" s="22" t="s">
        <v>38</v>
      </c>
      <c r="D69" s="21" t="s">
        <v>829</v>
      </c>
      <c r="E69" s="21" t="s">
        <v>375</v>
      </c>
      <c r="F69" s="21" t="s">
        <v>362</v>
      </c>
      <c r="G69" s="23">
        <v>45384</v>
      </c>
      <c r="H69" s="23">
        <v>45386</v>
      </c>
      <c r="I69" s="21" t="s">
        <v>24</v>
      </c>
      <c r="J69" s="21" t="s">
        <v>24</v>
      </c>
      <c r="K69" s="63" t="s">
        <v>18</v>
      </c>
      <c r="L69" s="23">
        <v>45384</v>
      </c>
      <c r="M69" s="23">
        <v>45386</v>
      </c>
      <c r="N69" s="25">
        <f t="shared" si="1"/>
        <v>2</v>
      </c>
      <c r="O69" s="26"/>
      <c r="P69" t="s">
        <v>88</v>
      </c>
      <c r="Q69" t="s">
        <v>88</v>
      </c>
      <c r="R69" t="s">
        <v>88</v>
      </c>
      <c r="S69" t="s">
        <v>88</v>
      </c>
      <c r="T69" t="s">
        <v>88</v>
      </c>
      <c r="U69" t="s">
        <v>20</v>
      </c>
    </row>
    <row r="70" spans="1:21" x14ac:dyDescent="0.45">
      <c r="A70" s="79">
        <v>79515515</v>
      </c>
      <c r="B70" s="21" t="str">
        <f t="shared" si="0"/>
        <v>7.951.551-5</v>
      </c>
      <c r="C70" s="22" t="s">
        <v>46</v>
      </c>
      <c r="D70" s="29" t="s">
        <v>426</v>
      </c>
      <c r="E70" s="29" t="s">
        <v>660</v>
      </c>
      <c r="F70" s="29" t="s">
        <v>481</v>
      </c>
      <c r="G70" s="49">
        <v>45384</v>
      </c>
      <c r="H70" s="49">
        <v>45388</v>
      </c>
      <c r="I70" s="21" t="s">
        <v>22</v>
      </c>
      <c r="J70" s="29" t="s">
        <v>13</v>
      </c>
      <c r="K70" s="24" t="s">
        <v>43</v>
      </c>
      <c r="L70" s="23">
        <v>45380</v>
      </c>
      <c r="M70" s="23">
        <v>45388</v>
      </c>
      <c r="N70" s="25">
        <f t="shared" si="1"/>
        <v>8</v>
      </c>
      <c r="O70" s="29"/>
      <c r="P70" t="s">
        <v>88</v>
      </c>
      <c r="Q70" t="s">
        <v>88</v>
      </c>
      <c r="R70" t="s">
        <v>88</v>
      </c>
      <c r="S70" t="s">
        <v>88</v>
      </c>
      <c r="T70" t="s">
        <v>88</v>
      </c>
      <c r="U70" t="s">
        <v>20</v>
      </c>
    </row>
    <row r="71" spans="1:21" x14ac:dyDescent="0.45">
      <c r="A71" s="79">
        <v>142100320</v>
      </c>
      <c r="B71" s="21" t="str">
        <f t="shared" si="0"/>
        <v>14.210.032-0</v>
      </c>
      <c r="C71" s="22" t="s">
        <v>46</v>
      </c>
      <c r="D71" s="29" t="s">
        <v>379</v>
      </c>
      <c r="E71" s="29" t="s">
        <v>347</v>
      </c>
      <c r="F71" s="29" t="s">
        <v>487</v>
      </c>
      <c r="G71" s="49">
        <v>45385</v>
      </c>
      <c r="H71" s="49">
        <v>45398</v>
      </c>
      <c r="I71" s="21" t="s">
        <v>54</v>
      </c>
      <c r="J71" s="29" t="s">
        <v>13</v>
      </c>
      <c r="K71" s="24" t="s">
        <v>47</v>
      </c>
      <c r="L71" s="23">
        <v>45385</v>
      </c>
      <c r="M71" s="23">
        <v>45398</v>
      </c>
      <c r="N71" s="25">
        <f t="shared" si="1"/>
        <v>13</v>
      </c>
      <c r="O71" s="29"/>
      <c r="P71" t="s">
        <v>88</v>
      </c>
      <c r="Q71" t="s">
        <v>88</v>
      </c>
      <c r="R71" t="s">
        <v>88</v>
      </c>
      <c r="S71" t="s">
        <v>88</v>
      </c>
      <c r="T71" t="s">
        <v>88</v>
      </c>
      <c r="U71" t="s">
        <v>20</v>
      </c>
    </row>
    <row r="72" spans="1:21" x14ac:dyDescent="0.45">
      <c r="A72" s="79">
        <v>76474931</v>
      </c>
      <c r="B72" s="21" t="str">
        <f t="shared" ref="B72:B135" si="2">IF(LEN(A72)=8,MID(A72,1,1)&amp;"."&amp;MID(A72,2,3)&amp;"."&amp;MID(A72,5,3)&amp;"-"&amp;RIGHT(A72,1),IF(LEFT(RIGHT(A72,2),1)="-",MID(A72,1,1)&amp;"."&amp;MID(A72,2,3)&amp;"."&amp;MID(A72,5,3)&amp;"-"&amp;RIGHT(A72,1),MID(A72,1,2)&amp;"."&amp;MID(A72,3,3)&amp;"."&amp;MID(A72,6,3)&amp;"-"&amp;MID(A72,9,1)))</f>
        <v>7.647.493-1</v>
      </c>
      <c r="C72" s="22" t="s">
        <v>46</v>
      </c>
      <c r="D72" s="29" t="s">
        <v>801</v>
      </c>
      <c r="E72" s="29" t="s">
        <v>830</v>
      </c>
      <c r="F72" s="29" t="s">
        <v>831</v>
      </c>
      <c r="G72" s="49">
        <v>45384</v>
      </c>
      <c r="H72" s="49">
        <v>45390</v>
      </c>
      <c r="I72" s="21" t="s">
        <v>60</v>
      </c>
      <c r="J72" s="29" t="s">
        <v>19</v>
      </c>
      <c r="K72" s="24" t="s">
        <v>47</v>
      </c>
      <c r="L72" s="23">
        <v>45355</v>
      </c>
      <c r="M72" s="23">
        <v>45390</v>
      </c>
      <c r="N72" s="25">
        <f t="shared" ref="N72:N135" si="3">+M72-L72</f>
        <v>35</v>
      </c>
      <c r="O72" s="29"/>
      <c r="P72" t="s">
        <v>88</v>
      </c>
      <c r="Q72" t="s">
        <v>88</v>
      </c>
      <c r="R72" t="s">
        <v>88</v>
      </c>
      <c r="S72" t="s">
        <v>88</v>
      </c>
      <c r="T72" t="s">
        <v>88</v>
      </c>
      <c r="U72" t="s">
        <v>20</v>
      </c>
    </row>
    <row r="73" spans="1:21" x14ac:dyDescent="0.45">
      <c r="A73" s="79" t="s">
        <v>832</v>
      </c>
      <c r="B73" s="21" t="str">
        <f t="shared" si="2"/>
        <v>9.729.237-K</v>
      </c>
      <c r="C73" s="22" t="s">
        <v>46</v>
      </c>
      <c r="D73" s="29" t="s">
        <v>367</v>
      </c>
      <c r="E73" s="29" t="s">
        <v>281</v>
      </c>
      <c r="F73" s="29" t="s">
        <v>833</v>
      </c>
      <c r="G73" s="49">
        <v>45386</v>
      </c>
      <c r="H73" s="49">
        <v>45402</v>
      </c>
      <c r="I73" s="21" t="s">
        <v>60</v>
      </c>
      <c r="J73" s="29" t="s">
        <v>61</v>
      </c>
      <c r="K73" s="24" t="s">
        <v>43</v>
      </c>
      <c r="L73" s="23">
        <v>45395</v>
      </c>
      <c r="M73" s="23">
        <v>45402</v>
      </c>
      <c r="N73" s="25">
        <f t="shared" si="3"/>
        <v>7</v>
      </c>
      <c r="O73" s="29"/>
      <c r="P73" t="s">
        <v>88</v>
      </c>
      <c r="Q73" t="s">
        <v>88</v>
      </c>
      <c r="R73" t="s">
        <v>88</v>
      </c>
      <c r="S73" t="s">
        <v>88</v>
      </c>
      <c r="T73" t="s">
        <v>88</v>
      </c>
      <c r="U73" t="s">
        <v>20</v>
      </c>
    </row>
    <row r="74" spans="1:21" x14ac:dyDescent="0.45">
      <c r="A74" s="79">
        <v>135126438</v>
      </c>
      <c r="B74" s="21" t="str">
        <f t="shared" si="2"/>
        <v>13.512.643-8</v>
      </c>
      <c r="C74" s="22" t="s">
        <v>46</v>
      </c>
      <c r="D74" s="29" t="s">
        <v>427</v>
      </c>
      <c r="E74" s="29" t="s">
        <v>520</v>
      </c>
      <c r="F74" s="29" t="s">
        <v>727</v>
      </c>
      <c r="G74" s="49">
        <v>45386</v>
      </c>
      <c r="H74" s="49">
        <v>45390</v>
      </c>
      <c r="I74" s="21" t="s">
        <v>22</v>
      </c>
      <c r="J74" s="29" t="s">
        <v>13</v>
      </c>
      <c r="K74" s="24" t="s">
        <v>43</v>
      </c>
      <c r="L74" s="23">
        <v>45400</v>
      </c>
      <c r="M74" s="23">
        <v>45412</v>
      </c>
      <c r="N74" s="25">
        <f t="shared" si="3"/>
        <v>12</v>
      </c>
      <c r="O74" s="29"/>
      <c r="P74" t="s">
        <v>88</v>
      </c>
      <c r="Q74" t="s">
        <v>88</v>
      </c>
      <c r="R74" t="s">
        <v>88</v>
      </c>
      <c r="S74" t="s">
        <v>88</v>
      </c>
      <c r="T74" t="s">
        <v>88</v>
      </c>
      <c r="U74" t="s">
        <v>20</v>
      </c>
    </row>
    <row r="75" spans="1:21" x14ac:dyDescent="0.45">
      <c r="A75" s="79">
        <v>135126438</v>
      </c>
      <c r="B75" s="21" t="str">
        <f t="shared" si="2"/>
        <v>13.512.643-8</v>
      </c>
      <c r="C75" s="22" t="s">
        <v>46</v>
      </c>
      <c r="D75" s="29" t="s">
        <v>427</v>
      </c>
      <c r="E75" s="29" t="s">
        <v>520</v>
      </c>
      <c r="F75" s="29" t="s">
        <v>727</v>
      </c>
      <c r="G75" s="49">
        <v>45386</v>
      </c>
      <c r="H75" s="49">
        <v>45390</v>
      </c>
      <c r="I75" s="21" t="s">
        <v>22</v>
      </c>
      <c r="J75" s="29" t="s">
        <v>13</v>
      </c>
      <c r="K75" s="24" t="s">
        <v>47</v>
      </c>
      <c r="L75" s="23">
        <v>45402</v>
      </c>
      <c r="M75" s="23">
        <v>45412</v>
      </c>
      <c r="N75" s="25">
        <f t="shared" si="3"/>
        <v>10</v>
      </c>
      <c r="O75" s="29"/>
      <c r="P75" t="s">
        <v>88</v>
      </c>
      <c r="Q75" t="s">
        <v>88</v>
      </c>
      <c r="R75" t="s">
        <v>88</v>
      </c>
      <c r="S75" t="s">
        <v>88</v>
      </c>
      <c r="T75" t="s">
        <v>88</v>
      </c>
      <c r="U75" t="s">
        <v>20</v>
      </c>
    </row>
    <row r="76" spans="1:21" x14ac:dyDescent="0.45">
      <c r="A76" s="79">
        <v>82023429</v>
      </c>
      <c r="B76" s="21" t="str">
        <f t="shared" si="2"/>
        <v>8.202.342-9</v>
      </c>
      <c r="C76" s="22" t="s">
        <v>22</v>
      </c>
      <c r="D76" s="29" t="s">
        <v>834</v>
      </c>
      <c r="E76" s="29" t="s">
        <v>480</v>
      </c>
      <c r="F76" s="29" t="s">
        <v>835</v>
      </c>
      <c r="G76" s="49">
        <v>45375</v>
      </c>
      <c r="H76" s="49">
        <v>45388</v>
      </c>
      <c r="I76" s="21" t="s">
        <v>56</v>
      </c>
      <c r="J76" s="29" t="s">
        <v>56</v>
      </c>
      <c r="K76" s="24" t="s">
        <v>43</v>
      </c>
      <c r="L76" s="23">
        <v>45384</v>
      </c>
      <c r="M76" s="23">
        <v>45412</v>
      </c>
      <c r="N76" s="25">
        <f t="shared" si="3"/>
        <v>28</v>
      </c>
      <c r="O76" s="29"/>
      <c r="P76" t="s">
        <v>88</v>
      </c>
      <c r="Q76" t="s">
        <v>88</v>
      </c>
      <c r="R76" t="s">
        <v>88</v>
      </c>
      <c r="S76" t="s">
        <v>88</v>
      </c>
      <c r="T76" t="s">
        <v>88</v>
      </c>
      <c r="U76" t="s">
        <v>20</v>
      </c>
    </row>
    <row r="77" spans="1:21" x14ac:dyDescent="0.45">
      <c r="A77" s="79">
        <v>172229239</v>
      </c>
      <c r="B77" s="21" t="str">
        <f t="shared" si="2"/>
        <v>17.222.923-9</v>
      </c>
      <c r="C77" s="22" t="s">
        <v>22</v>
      </c>
      <c r="D77" s="29" t="s">
        <v>384</v>
      </c>
      <c r="E77" s="29" t="s">
        <v>836</v>
      </c>
      <c r="F77" s="29" t="s">
        <v>548</v>
      </c>
      <c r="G77" s="49">
        <v>45386</v>
      </c>
      <c r="H77" s="49">
        <v>45405</v>
      </c>
      <c r="I77" s="21" t="s">
        <v>54</v>
      </c>
      <c r="J77" s="29" t="s">
        <v>22</v>
      </c>
      <c r="K77" s="24" t="s">
        <v>43</v>
      </c>
      <c r="L77" s="23">
        <v>45386</v>
      </c>
      <c r="M77" s="23">
        <v>45405</v>
      </c>
      <c r="N77" s="25">
        <f t="shared" si="3"/>
        <v>19</v>
      </c>
      <c r="O77" s="29"/>
      <c r="P77" t="s">
        <v>88</v>
      </c>
      <c r="Q77" t="s">
        <v>88</v>
      </c>
      <c r="R77" t="s">
        <v>88</v>
      </c>
      <c r="S77" t="s">
        <v>88</v>
      </c>
      <c r="T77" t="s">
        <v>88</v>
      </c>
      <c r="U77" t="s">
        <v>20</v>
      </c>
    </row>
    <row r="78" spans="1:21" x14ac:dyDescent="0.45">
      <c r="A78" s="79">
        <v>172229239</v>
      </c>
      <c r="B78" s="21" t="str">
        <f t="shared" si="2"/>
        <v>17.222.923-9</v>
      </c>
      <c r="C78" s="22" t="s">
        <v>22</v>
      </c>
      <c r="D78" s="29" t="s">
        <v>384</v>
      </c>
      <c r="E78" s="29" t="s">
        <v>836</v>
      </c>
      <c r="F78" s="29" t="s">
        <v>548</v>
      </c>
      <c r="G78" s="49">
        <v>45386</v>
      </c>
      <c r="H78" s="49">
        <v>45405</v>
      </c>
      <c r="I78" s="21" t="s">
        <v>54</v>
      </c>
      <c r="J78" s="29" t="s">
        <v>22</v>
      </c>
      <c r="K78" s="24" t="s">
        <v>47</v>
      </c>
      <c r="L78" s="23">
        <v>45386</v>
      </c>
      <c r="M78" s="23">
        <v>45405</v>
      </c>
      <c r="N78" s="25">
        <f t="shared" si="3"/>
        <v>19</v>
      </c>
      <c r="O78" s="29"/>
      <c r="P78" t="s">
        <v>88</v>
      </c>
      <c r="Q78" t="s">
        <v>88</v>
      </c>
      <c r="R78" t="s">
        <v>88</v>
      </c>
      <c r="S78" t="s">
        <v>88</v>
      </c>
      <c r="T78" t="s">
        <v>88</v>
      </c>
      <c r="U78" t="s">
        <v>20</v>
      </c>
    </row>
    <row r="79" spans="1:21" x14ac:dyDescent="0.45">
      <c r="A79" s="79">
        <v>172229239</v>
      </c>
      <c r="B79" s="21" t="str">
        <f t="shared" si="2"/>
        <v>17.222.923-9</v>
      </c>
      <c r="C79" s="22" t="s">
        <v>22</v>
      </c>
      <c r="D79" s="29" t="s">
        <v>384</v>
      </c>
      <c r="E79" s="29" t="s">
        <v>836</v>
      </c>
      <c r="F79" s="29" t="s">
        <v>548</v>
      </c>
      <c r="G79" s="49">
        <v>45386</v>
      </c>
      <c r="H79" s="49">
        <v>45405</v>
      </c>
      <c r="I79" s="21" t="s">
        <v>54</v>
      </c>
      <c r="J79" s="29" t="s">
        <v>22</v>
      </c>
      <c r="K79" s="24" t="s">
        <v>55</v>
      </c>
      <c r="L79" s="23">
        <v>45386</v>
      </c>
      <c r="M79" s="23">
        <v>45405</v>
      </c>
      <c r="N79" s="25">
        <f t="shared" si="3"/>
        <v>19</v>
      </c>
      <c r="O79" s="29"/>
      <c r="P79" t="s">
        <v>88</v>
      </c>
      <c r="Q79" t="s">
        <v>88</v>
      </c>
      <c r="R79" t="s">
        <v>88</v>
      </c>
      <c r="S79" t="s">
        <v>88</v>
      </c>
      <c r="T79" t="s">
        <v>88</v>
      </c>
      <c r="U79" t="s">
        <v>20</v>
      </c>
    </row>
    <row r="80" spans="1:21" x14ac:dyDescent="0.45">
      <c r="A80" s="79">
        <v>75364814</v>
      </c>
      <c r="B80" s="21" t="str">
        <f t="shared" si="2"/>
        <v>7.536.481-4</v>
      </c>
      <c r="C80" s="22" t="s">
        <v>22</v>
      </c>
      <c r="D80" s="29" t="s">
        <v>612</v>
      </c>
      <c r="E80" s="29" t="s">
        <v>837</v>
      </c>
      <c r="F80" s="29" t="s">
        <v>629</v>
      </c>
      <c r="G80" s="49">
        <v>45385</v>
      </c>
      <c r="H80" s="49">
        <v>45390</v>
      </c>
      <c r="I80" s="21" t="s">
        <v>56</v>
      </c>
      <c r="J80" s="29" t="s">
        <v>19</v>
      </c>
      <c r="K80" s="24" t="s">
        <v>43</v>
      </c>
      <c r="L80" s="23">
        <v>45385</v>
      </c>
      <c r="M80" s="23">
        <v>45390</v>
      </c>
      <c r="N80" s="25">
        <f t="shared" si="3"/>
        <v>5</v>
      </c>
      <c r="O80" s="29"/>
      <c r="P80" t="s">
        <v>88</v>
      </c>
      <c r="Q80" t="s">
        <v>88</v>
      </c>
      <c r="R80" t="s">
        <v>88</v>
      </c>
      <c r="S80" t="s">
        <v>88</v>
      </c>
      <c r="T80" t="s">
        <v>88</v>
      </c>
      <c r="U80" t="s">
        <v>20</v>
      </c>
    </row>
    <row r="81" spans="1:21" x14ac:dyDescent="0.45">
      <c r="A81" s="79">
        <v>75364814</v>
      </c>
      <c r="B81" s="21" t="str">
        <f t="shared" si="2"/>
        <v>7.536.481-4</v>
      </c>
      <c r="C81" s="22" t="s">
        <v>22</v>
      </c>
      <c r="D81" s="29" t="s">
        <v>612</v>
      </c>
      <c r="E81" s="29" t="s">
        <v>837</v>
      </c>
      <c r="F81" s="29" t="s">
        <v>629</v>
      </c>
      <c r="G81" s="49">
        <v>45385</v>
      </c>
      <c r="H81" s="49">
        <v>45390</v>
      </c>
      <c r="I81" s="21" t="s">
        <v>56</v>
      </c>
      <c r="J81" s="29" t="s">
        <v>19</v>
      </c>
      <c r="K81" s="24" t="s">
        <v>47</v>
      </c>
      <c r="L81" s="23">
        <v>45385</v>
      </c>
      <c r="M81" s="23">
        <v>45390</v>
      </c>
      <c r="N81" s="25">
        <f t="shared" si="3"/>
        <v>5</v>
      </c>
      <c r="O81" s="29"/>
      <c r="P81" t="s">
        <v>88</v>
      </c>
      <c r="Q81" t="s">
        <v>88</v>
      </c>
      <c r="R81" t="s">
        <v>88</v>
      </c>
      <c r="S81" t="s">
        <v>88</v>
      </c>
      <c r="T81" t="s">
        <v>88</v>
      </c>
      <c r="U81" t="s">
        <v>20</v>
      </c>
    </row>
    <row r="82" spans="1:21" x14ac:dyDescent="0.45">
      <c r="A82" s="79">
        <v>75364814</v>
      </c>
      <c r="B82" s="21" t="str">
        <f t="shared" si="2"/>
        <v>7.536.481-4</v>
      </c>
      <c r="C82" s="22" t="s">
        <v>22</v>
      </c>
      <c r="D82" s="29" t="s">
        <v>612</v>
      </c>
      <c r="E82" s="29" t="s">
        <v>837</v>
      </c>
      <c r="F82" s="29" t="s">
        <v>629</v>
      </c>
      <c r="G82" s="49">
        <v>45385</v>
      </c>
      <c r="H82" s="49">
        <v>45390</v>
      </c>
      <c r="I82" s="21" t="s">
        <v>56</v>
      </c>
      <c r="J82" s="29" t="s">
        <v>19</v>
      </c>
      <c r="K82" s="24" t="s">
        <v>55</v>
      </c>
      <c r="L82" s="23">
        <v>45385</v>
      </c>
      <c r="M82" s="23">
        <v>45390</v>
      </c>
      <c r="N82" s="25">
        <f t="shared" si="3"/>
        <v>5</v>
      </c>
      <c r="O82" s="29"/>
      <c r="P82" t="s">
        <v>88</v>
      </c>
      <c r="Q82" t="s">
        <v>88</v>
      </c>
      <c r="R82" t="s">
        <v>88</v>
      </c>
      <c r="S82" t="s">
        <v>88</v>
      </c>
      <c r="T82" t="s">
        <v>88</v>
      </c>
      <c r="U82" t="s">
        <v>20</v>
      </c>
    </row>
    <row r="83" spans="1:21" x14ac:dyDescent="0.45">
      <c r="A83" s="79">
        <v>50520692</v>
      </c>
      <c r="B83" s="21" t="str">
        <f t="shared" si="2"/>
        <v>5.052.069-2</v>
      </c>
      <c r="C83" s="22" t="s">
        <v>22</v>
      </c>
      <c r="D83" s="29" t="s">
        <v>768</v>
      </c>
      <c r="E83" s="29" t="s">
        <v>507</v>
      </c>
      <c r="F83" s="29" t="s">
        <v>449</v>
      </c>
      <c r="G83" s="49">
        <v>45369</v>
      </c>
      <c r="H83" s="49">
        <v>45400</v>
      </c>
      <c r="I83" s="21" t="s">
        <v>54</v>
      </c>
      <c r="J83" s="29" t="s">
        <v>22</v>
      </c>
      <c r="K83" s="24" t="s">
        <v>43</v>
      </c>
      <c r="L83" s="23">
        <v>45371</v>
      </c>
      <c r="M83" s="49">
        <v>45400</v>
      </c>
      <c r="N83" s="25">
        <f t="shared" si="3"/>
        <v>29</v>
      </c>
      <c r="O83" s="29"/>
      <c r="P83" t="s">
        <v>88</v>
      </c>
      <c r="Q83" t="s">
        <v>88</v>
      </c>
      <c r="R83" t="s">
        <v>88</v>
      </c>
      <c r="S83" t="s">
        <v>88</v>
      </c>
      <c r="T83" t="s">
        <v>88</v>
      </c>
      <c r="U83" t="s">
        <v>20</v>
      </c>
    </row>
    <row r="84" spans="1:21" x14ac:dyDescent="0.45">
      <c r="A84" s="79">
        <v>50520692</v>
      </c>
      <c r="B84" s="21" t="str">
        <f t="shared" si="2"/>
        <v>5.052.069-2</v>
      </c>
      <c r="C84" s="22" t="s">
        <v>22</v>
      </c>
      <c r="D84" s="29" t="s">
        <v>768</v>
      </c>
      <c r="E84" s="29" t="s">
        <v>507</v>
      </c>
      <c r="F84" s="29" t="s">
        <v>449</v>
      </c>
      <c r="G84" s="49">
        <v>45369</v>
      </c>
      <c r="H84" s="49">
        <v>45400</v>
      </c>
      <c r="I84" s="21" t="s">
        <v>54</v>
      </c>
      <c r="J84" s="29" t="s">
        <v>22</v>
      </c>
      <c r="K84" s="24" t="s">
        <v>47</v>
      </c>
      <c r="L84" s="23">
        <v>45371</v>
      </c>
      <c r="M84" s="49">
        <v>45400</v>
      </c>
      <c r="N84" s="25">
        <f t="shared" si="3"/>
        <v>29</v>
      </c>
      <c r="O84" s="29"/>
      <c r="P84" t="s">
        <v>88</v>
      </c>
      <c r="Q84" t="s">
        <v>88</v>
      </c>
      <c r="R84" t="s">
        <v>88</v>
      </c>
      <c r="S84" t="s">
        <v>88</v>
      </c>
      <c r="T84" t="s">
        <v>88</v>
      </c>
      <c r="U84" t="s">
        <v>20</v>
      </c>
    </row>
    <row r="85" spans="1:21" x14ac:dyDescent="0.45">
      <c r="A85" s="79">
        <v>50520692</v>
      </c>
      <c r="B85" s="21" t="str">
        <f t="shared" si="2"/>
        <v>5.052.069-2</v>
      </c>
      <c r="C85" s="22" t="s">
        <v>22</v>
      </c>
      <c r="D85" s="29" t="s">
        <v>768</v>
      </c>
      <c r="E85" s="29" t="s">
        <v>507</v>
      </c>
      <c r="F85" s="29" t="s">
        <v>449</v>
      </c>
      <c r="G85" s="49">
        <v>45369</v>
      </c>
      <c r="H85" s="49">
        <v>45400</v>
      </c>
      <c r="I85" s="21" t="s">
        <v>54</v>
      </c>
      <c r="J85" s="29" t="s">
        <v>22</v>
      </c>
      <c r="K85" s="24" t="s">
        <v>55</v>
      </c>
      <c r="L85" s="23">
        <v>45396</v>
      </c>
      <c r="M85" s="49">
        <v>45400</v>
      </c>
      <c r="N85" s="25">
        <f t="shared" si="3"/>
        <v>4</v>
      </c>
      <c r="O85" s="29"/>
      <c r="P85" t="s">
        <v>132</v>
      </c>
      <c r="Q85" t="s">
        <v>88</v>
      </c>
      <c r="R85" t="s">
        <v>88</v>
      </c>
      <c r="S85" t="s">
        <v>88</v>
      </c>
      <c r="T85" t="s">
        <v>88</v>
      </c>
      <c r="U85" t="s">
        <v>20</v>
      </c>
    </row>
    <row r="86" spans="1:21" x14ac:dyDescent="0.45">
      <c r="A86" s="79">
        <v>50520692</v>
      </c>
      <c r="B86" s="21" t="str">
        <f t="shared" si="2"/>
        <v>5.052.069-2</v>
      </c>
      <c r="C86" s="22" t="s">
        <v>22</v>
      </c>
      <c r="D86" s="29" t="s">
        <v>768</v>
      </c>
      <c r="E86" s="29" t="s">
        <v>507</v>
      </c>
      <c r="F86" s="29" t="s">
        <v>449</v>
      </c>
      <c r="G86" s="49">
        <v>45369</v>
      </c>
      <c r="H86" s="49">
        <v>45400</v>
      </c>
      <c r="I86" s="21" t="s">
        <v>54</v>
      </c>
      <c r="J86" s="29" t="s">
        <v>22</v>
      </c>
      <c r="K86" s="24" t="s">
        <v>23</v>
      </c>
      <c r="L86" s="23">
        <v>45371</v>
      </c>
      <c r="M86" s="49">
        <v>45400</v>
      </c>
      <c r="N86" s="25">
        <f t="shared" si="3"/>
        <v>29</v>
      </c>
      <c r="O86" s="29"/>
      <c r="P86" t="s">
        <v>88</v>
      </c>
      <c r="Q86" t="s">
        <v>88</v>
      </c>
      <c r="R86" t="s">
        <v>88</v>
      </c>
      <c r="S86" t="s">
        <v>88</v>
      </c>
      <c r="T86" t="s">
        <v>88</v>
      </c>
      <c r="U86" t="s">
        <v>20</v>
      </c>
    </row>
    <row r="87" spans="1:21" x14ac:dyDescent="0.45">
      <c r="A87" s="79">
        <v>204375836</v>
      </c>
      <c r="B87" s="21" t="str">
        <f t="shared" si="2"/>
        <v>20.437.583-6</v>
      </c>
      <c r="C87" s="22" t="s">
        <v>22</v>
      </c>
      <c r="D87" s="29" t="s">
        <v>838</v>
      </c>
      <c r="E87" s="29" t="s">
        <v>352</v>
      </c>
      <c r="F87" s="29" t="s">
        <v>839</v>
      </c>
      <c r="G87" s="49">
        <v>45385</v>
      </c>
      <c r="H87" s="49">
        <v>45392</v>
      </c>
      <c r="I87" s="21" t="s">
        <v>54</v>
      </c>
      <c r="J87" s="29" t="s">
        <v>13</v>
      </c>
      <c r="K87" s="24" t="s">
        <v>43</v>
      </c>
      <c r="L87" s="23">
        <v>45385</v>
      </c>
      <c r="M87" s="23">
        <v>45392</v>
      </c>
      <c r="N87" s="25">
        <f t="shared" si="3"/>
        <v>7</v>
      </c>
      <c r="O87" s="29"/>
      <c r="P87" t="s">
        <v>88</v>
      </c>
      <c r="Q87" t="s">
        <v>88</v>
      </c>
      <c r="R87" t="s">
        <v>88</v>
      </c>
      <c r="S87" t="s">
        <v>88</v>
      </c>
      <c r="T87" t="s">
        <v>88</v>
      </c>
      <c r="U87" t="s">
        <v>20</v>
      </c>
    </row>
    <row r="88" spans="1:21" x14ac:dyDescent="0.45">
      <c r="A88" s="79">
        <v>204375836</v>
      </c>
      <c r="B88" s="21" t="str">
        <f t="shared" si="2"/>
        <v>20.437.583-6</v>
      </c>
      <c r="C88" s="22" t="s">
        <v>22</v>
      </c>
      <c r="D88" s="29" t="s">
        <v>838</v>
      </c>
      <c r="E88" s="29" t="s">
        <v>352</v>
      </c>
      <c r="F88" s="29" t="s">
        <v>839</v>
      </c>
      <c r="G88" s="49">
        <v>45385</v>
      </c>
      <c r="H88" s="49">
        <v>45392</v>
      </c>
      <c r="I88" s="21" t="s">
        <v>54</v>
      </c>
      <c r="J88" s="29" t="s">
        <v>13</v>
      </c>
      <c r="K88" s="24" t="s">
        <v>47</v>
      </c>
      <c r="L88" s="23">
        <v>45385</v>
      </c>
      <c r="M88" s="23">
        <v>45392</v>
      </c>
      <c r="N88" s="25">
        <f t="shared" si="3"/>
        <v>7</v>
      </c>
      <c r="O88" s="29"/>
      <c r="P88" t="s">
        <v>88</v>
      </c>
      <c r="Q88" t="s">
        <v>88</v>
      </c>
      <c r="R88" t="s">
        <v>88</v>
      </c>
      <c r="S88" t="s">
        <v>88</v>
      </c>
      <c r="T88" t="s">
        <v>88</v>
      </c>
      <c r="U88" t="s">
        <v>20</v>
      </c>
    </row>
    <row r="89" spans="1:21" x14ac:dyDescent="0.45">
      <c r="A89" s="79" t="s">
        <v>840</v>
      </c>
      <c r="B89" s="21" t="str">
        <f t="shared" si="2"/>
        <v>16.769.196-K</v>
      </c>
      <c r="C89" s="22" t="s">
        <v>22</v>
      </c>
      <c r="D89" s="29" t="s">
        <v>384</v>
      </c>
      <c r="E89" s="29" t="s">
        <v>341</v>
      </c>
      <c r="F89" s="29" t="s">
        <v>841</v>
      </c>
      <c r="G89" s="49">
        <v>45385</v>
      </c>
      <c r="H89" s="49">
        <v>45396</v>
      </c>
      <c r="I89" s="21" t="s">
        <v>54</v>
      </c>
      <c r="J89" s="29" t="s">
        <v>36</v>
      </c>
      <c r="K89" s="24" t="s">
        <v>43</v>
      </c>
      <c r="L89" s="23">
        <v>45384</v>
      </c>
      <c r="M89" s="23">
        <v>45396</v>
      </c>
      <c r="N89" s="25">
        <f t="shared" si="3"/>
        <v>12</v>
      </c>
      <c r="O89" s="29"/>
      <c r="P89" t="s">
        <v>88</v>
      </c>
      <c r="Q89" t="s">
        <v>88</v>
      </c>
      <c r="R89" t="s">
        <v>88</v>
      </c>
      <c r="S89" t="s">
        <v>88</v>
      </c>
      <c r="T89" t="s">
        <v>88</v>
      </c>
      <c r="U89" t="s">
        <v>20</v>
      </c>
    </row>
    <row r="90" spans="1:21" x14ac:dyDescent="0.45">
      <c r="A90" s="79" t="s">
        <v>840</v>
      </c>
      <c r="B90" s="21" t="str">
        <f t="shared" si="2"/>
        <v>16.769.196-K</v>
      </c>
      <c r="C90" s="22" t="s">
        <v>22</v>
      </c>
      <c r="D90" s="29" t="s">
        <v>384</v>
      </c>
      <c r="E90" s="29" t="s">
        <v>341</v>
      </c>
      <c r="F90" s="29" t="s">
        <v>841</v>
      </c>
      <c r="G90" s="49">
        <v>45385</v>
      </c>
      <c r="H90" s="49">
        <v>45396</v>
      </c>
      <c r="I90" s="21" t="s">
        <v>54</v>
      </c>
      <c r="J90" s="29" t="s">
        <v>36</v>
      </c>
      <c r="K90" s="24" t="s">
        <v>47</v>
      </c>
      <c r="L90" s="23">
        <v>45384</v>
      </c>
      <c r="M90" s="23">
        <v>45396</v>
      </c>
      <c r="N90" s="25">
        <f t="shared" si="3"/>
        <v>12</v>
      </c>
      <c r="O90" s="29"/>
      <c r="P90" t="s">
        <v>88</v>
      </c>
      <c r="Q90" t="s">
        <v>88</v>
      </c>
      <c r="R90" t="s">
        <v>88</v>
      </c>
      <c r="S90" t="s">
        <v>88</v>
      </c>
      <c r="T90" t="s">
        <v>88</v>
      </c>
      <c r="U90" t="s">
        <v>20</v>
      </c>
    </row>
    <row r="91" spans="1:21" x14ac:dyDescent="0.45">
      <c r="A91" s="79" t="s">
        <v>840</v>
      </c>
      <c r="B91" s="21" t="str">
        <f t="shared" si="2"/>
        <v>16.769.196-K</v>
      </c>
      <c r="C91" s="22" t="s">
        <v>22</v>
      </c>
      <c r="D91" s="29" t="s">
        <v>384</v>
      </c>
      <c r="E91" s="29" t="s">
        <v>341</v>
      </c>
      <c r="F91" s="29" t="s">
        <v>841</v>
      </c>
      <c r="G91" s="49">
        <v>45385</v>
      </c>
      <c r="H91" s="49">
        <v>45396</v>
      </c>
      <c r="I91" s="21" t="s">
        <v>54</v>
      </c>
      <c r="J91" s="29" t="s">
        <v>36</v>
      </c>
      <c r="K91" s="24" t="s">
        <v>55</v>
      </c>
      <c r="L91" s="23">
        <v>45384</v>
      </c>
      <c r="M91" s="23">
        <v>45396</v>
      </c>
      <c r="N91" s="25">
        <f t="shared" si="3"/>
        <v>12</v>
      </c>
      <c r="O91" s="29"/>
      <c r="P91" t="s">
        <v>88</v>
      </c>
      <c r="Q91" t="s">
        <v>88</v>
      </c>
      <c r="R91" t="s">
        <v>88</v>
      </c>
      <c r="S91" t="s">
        <v>88</v>
      </c>
      <c r="T91" t="s">
        <v>88</v>
      </c>
      <c r="U91" t="s">
        <v>20</v>
      </c>
    </row>
    <row r="92" spans="1:21" x14ac:dyDescent="0.45">
      <c r="A92" s="79">
        <v>56085734</v>
      </c>
      <c r="B92" s="21" t="str">
        <f t="shared" si="2"/>
        <v>5.608.573-4</v>
      </c>
      <c r="C92" s="22" t="s">
        <v>30</v>
      </c>
      <c r="D92" s="29" t="s">
        <v>812</v>
      </c>
      <c r="E92" s="29" t="s">
        <v>813</v>
      </c>
      <c r="F92" s="29" t="s">
        <v>348</v>
      </c>
      <c r="G92" s="49">
        <v>45376</v>
      </c>
      <c r="H92" s="49">
        <v>45393</v>
      </c>
      <c r="I92" s="21" t="s">
        <v>22</v>
      </c>
      <c r="J92" s="29" t="s">
        <v>22</v>
      </c>
      <c r="K92" s="24" t="s">
        <v>43</v>
      </c>
      <c r="L92" s="23">
        <v>45375</v>
      </c>
      <c r="M92" s="23">
        <v>45393</v>
      </c>
      <c r="N92" s="25">
        <f t="shared" si="3"/>
        <v>18</v>
      </c>
      <c r="O92" s="29"/>
      <c r="P92" t="s">
        <v>88</v>
      </c>
      <c r="Q92" t="s">
        <v>88</v>
      </c>
      <c r="R92" t="s">
        <v>88</v>
      </c>
      <c r="S92" t="s">
        <v>88</v>
      </c>
      <c r="T92" t="s">
        <v>88</v>
      </c>
      <c r="U92" t="s">
        <v>20</v>
      </c>
    </row>
    <row r="93" spans="1:21" x14ac:dyDescent="0.45">
      <c r="A93" s="79">
        <v>56085734</v>
      </c>
      <c r="B93" s="21" t="str">
        <f t="shared" si="2"/>
        <v>5.608.573-4</v>
      </c>
      <c r="C93" s="22" t="s">
        <v>30</v>
      </c>
      <c r="D93" s="29" t="s">
        <v>812</v>
      </c>
      <c r="E93" s="29" t="s">
        <v>813</v>
      </c>
      <c r="F93" s="29" t="s">
        <v>348</v>
      </c>
      <c r="G93" s="49">
        <v>45376</v>
      </c>
      <c r="H93" s="49">
        <v>45393</v>
      </c>
      <c r="I93" s="21" t="s">
        <v>22</v>
      </c>
      <c r="J93" s="29" t="s">
        <v>22</v>
      </c>
      <c r="K93" s="24" t="s">
        <v>47</v>
      </c>
      <c r="L93" s="23">
        <v>45375</v>
      </c>
      <c r="M93" s="23">
        <v>45393</v>
      </c>
      <c r="N93" s="25">
        <f t="shared" si="3"/>
        <v>18</v>
      </c>
      <c r="O93" s="29"/>
      <c r="P93" t="s">
        <v>88</v>
      </c>
      <c r="Q93" t="s">
        <v>88</v>
      </c>
      <c r="R93" t="s">
        <v>88</v>
      </c>
      <c r="S93" t="s">
        <v>88</v>
      </c>
      <c r="T93" t="s">
        <v>88</v>
      </c>
      <c r="U93" t="s">
        <v>20</v>
      </c>
    </row>
    <row r="94" spans="1:21" x14ac:dyDescent="0.45">
      <c r="A94" s="79">
        <v>56085734</v>
      </c>
      <c r="B94" s="21" t="str">
        <f t="shared" si="2"/>
        <v>5.608.573-4</v>
      </c>
      <c r="C94" s="22" t="s">
        <v>30</v>
      </c>
      <c r="D94" s="29" t="s">
        <v>812</v>
      </c>
      <c r="E94" s="29" t="s">
        <v>813</v>
      </c>
      <c r="F94" s="29" t="s">
        <v>348</v>
      </c>
      <c r="G94" s="49">
        <v>45376</v>
      </c>
      <c r="H94" s="49">
        <v>45393</v>
      </c>
      <c r="I94" s="21" t="s">
        <v>22</v>
      </c>
      <c r="J94" s="29" t="s">
        <v>22</v>
      </c>
      <c r="K94" s="24" t="s">
        <v>55</v>
      </c>
      <c r="L94" s="23">
        <v>45377</v>
      </c>
      <c r="M94" s="23">
        <v>45393</v>
      </c>
      <c r="N94" s="25">
        <f t="shared" si="3"/>
        <v>16</v>
      </c>
      <c r="O94" s="29"/>
      <c r="P94" t="s">
        <v>88</v>
      </c>
      <c r="Q94" t="s">
        <v>88</v>
      </c>
      <c r="R94" t="s">
        <v>88</v>
      </c>
      <c r="S94" t="s">
        <v>88</v>
      </c>
      <c r="T94" t="s">
        <v>88</v>
      </c>
      <c r="U94" t="s">
        <v>20</v>
      </c>
    </row>
    <row r="95" spans="1:21" x14ac:dyDescent="0.45">
      <c r="A95" s="79">
        <v>98165983</v>
      </c>
      <c r="B95" s="21" t="str">
        <f t="shared" si="2"/>
        <v>9.816.598-3</v>
      </c>
      <c r="C95" s="22" t="s">
        <v>30</v>
      </c>
      <c r="D95" s="29" t="s">
        <v>546</v>
      </c>
      <c r="E95" s="29" t="s">
        <v>266</v>
      </c>
      <c r="F95" s="29" t="s">
        <v>638</v>
      </c>
      <c r="G95" s="49">
        <v>45390</v>
      </c>
      <c r="H95" s="49">
        <v>45394</v>
      </c>
      <c r="I95" s="21" t="s">
        <v>24</v>
      </c>
      <c r="J95" s="29" t="s">
        <v>13</v>
      </c>
      <c r="K95" s="24" t="s">
        <v>43</v>
      </c>
      <c r="L95" s="23">
        <v>45390</v>
      </c>
      <c r="M95" s="49">
        <v>45394</v>
      </c>
      <c r="N95" s="25">
        <f t="shared" si="3"/>
        <v>4</v>
      </c>
      <c r="O95" s="29"/>
      <c r="P95" t="s">
        <v>88</v>
      </c>
      <c r="Q95" t="s">
        <v>88</v>
      </c>
      <c r="R95" t="s">
        <v>88</v>
      </c>
      <c r="S95" t="s">
        <v>88</v>
      </c>
      <c r="T95" t="s">
        <v>88</v>
      </c>
      <c r="U95" t="s">
        <v>20</v>
      </c>
    </row>
    <row r="96" spans="1:21" x14ac:dyDescent="0.45">
      <c r="A96" s="79">
        <v>98165983</v>
      </c>
      <c r="B96" s="21" t="str">
        <f t="shared" si="2"/>
        <v>9.816.598-3</v>
      </c>
      <c r="C96" s="22" t="s">
        <v>30</v>
      </c>
      <c r="D96" s="29" t="s">
        <v>546</v>
      </c>
      <c r="E96" s="29" t="s">
        <v>266</v>
      </c>
      <c r="F96" s="29" t="s">
        <v>638</v>
      </c>
      <c r="G96" s="49">
        <v>45390</v>
      </c>
      <c r="H96" s="49">
        <v>45394</v>
      </c>
      <c r="I96" s="21" t="s">
        <v>24</v>
      </c>
      <c r="J96" s="29" t="s">
        <v>13</v>
      </c>
      <c r="K96" s="24" t="s">
        <v>55</v>
      </c>
      <c r="L96" s="23">
        <v>45390</v>
      </c>
      <c r="M96" s="49">
        <v>45394</v>
      </c>
      <c r="N96" s="25">
        <f t="shared" si="3"/>
        <v>4</v>
      </c>
      <c r="O96" s="29"/>
      <c r="P96" t="s">
        <v>88</v>
      </c>
      <c r="Q96" t="s">
        <v>88</v>
      </c>
      <c r="R96" t="s">
        <v>88</v>
      </c>
      <c r="S96" t="s">
        <v>88</v>
      </c>
      <c r="T96" t="s">
        <v>88</v>
      </c>
      <c r="U96" t="s">
        <v>20</v>
      </c>
    </row>
    <row r="97" spans="1:21" x14ac:dyDescent="0.45">
      <c r="A97" s="79">
        <v>65792435</v>
      </c>
      <c r="B97" s="21" t="str">
        <f t="shared" si="2"/>
        <v>6.579.243-5</v>
      </c>
      <c r="C97" s="22" t="s">
        <v>30</v>
      </c>
      <c r="D97" s="29" t="s">
        <v>842</v>
      </c>
      <c r="E97" s="29" t="s">
        <v>555</v>
      </c>
      <c r="F97" s="29" t="s">
        <v>843</v>
      </c>
      <c r="G97" s="49">
        <v>45387</v>
      </c>
      <c r="H97" s="49">
        <v>45391</v>
      </c>
      <c r="I97" s="21" t="s">
        <v>24</v>
      </c>
      <c r="J97" s="29" t="s">
        <v>24</v>
      </c>
      <c r="K97" s="24" t="s">
        <v>43</v>
      </c>
      <c r="L97" s="23">
        <v>45387</v>
      </c>
      <c r="M97" s="23">
        <v>45391</v>
      </c>
      <c r="N97" s="25">
        <f t="shared" si="3"/>
        <v>4</v>
      </c>
      <c r="O97" s="29"/>
      <c r="P97" t="s">
        <v>88</v>
      </c>
      <c r="Q97" t="s">
        <v>88</v>
      </c>
      <c r="R97" t="s">
        <v>88</v>
      </c>
      <c r="S97" t="s">
        <v>88</v>
      </c>
      <c r="T97" t="s">
        <v>88</v>
      </c>
      <c r="U97" t="s">
        <v>20</v>
      </c>
    </row>
    <row r="98" spans="1:21" x14ac:dyDescent="0.45">
      <c r="A98" s="79">
        <v>65792435</v>
      </c>
      <c r="B98" s="21" t="str">
        <f t="shared" si="2"/>
        <v>6.579.243-5</v>
      </c>
      <c r="C98" s="22" t="s">
        <v>30</v>
      </c>
      <c r="D98" s="29" t="s">
        <v>842</v>
      </c>
      <c r="E98" s="29" t="s">
        <v>555</v>
      </c>
      <c r="F98" s="29" t="s">
        <v>843</v>
      </c>
      <c r="G98" s="49">
        <v>45387</v>
      </c>
      <c r="H98" s="49">
        <v>45391</v>
      </c>
      <c r="I98" s="21" t="s">
        <v>24</v>
      </c>
      <c r="J98" s="29" t="s">
        <v>24</v>
      </c>
      <c r="K98" s="24" t="s">
        <v>47</v>
      </c>
      <c r="L98" s="23">
        <v>45387</v>
      </c>
      <c r="M98" s="23">
        <v>45391</v>
      </c>
      <c r="N98" s="25">
        <f t="shared" si="3"/>
        <v>4</v>
      </c>
      <c r="O98" s="29"/>
      <c r="P98" t="s">
        <v>88</v>
      </c>
      <c r="Q98" t="s">
        <v>88</v>
      </c>
      <c r="R98" t="s">
        <v>88</v>
      </c>
      <c r="S98" t="s">
        <v>88</v>
      </c>
      <c r="T98" t="s">
        <v>88</v>
      </c>
      <c r="U98" t="s">
        <v>20</v>
      </c>
    </row>
    <row r="99" spans="1:21" x14ac:dyDescent="0.45">
      <c r="A99" s="79">
        <v>128259406</v>
      </c>
      <c r="B99" s="21" t="str">
        <f t="shared" si="2"/>
        <v>12.825.940-6</v>
      </c>
      <c r="C99" s="22" t="s">
        <v>30</v>
      </c>
      <c r="D99" s="29" t="s">
        <v>844</v>
      </c>
      <c r="E99" s="29" t="s">
        <v>845</v>
      </c>
      <c r="F99" s="29" t="s">
        <v>846</v>
      </c>
      <c r="G99" s="49">
        <v>45387</v>
      </c>
      <c r="H99" s="49">
        <v>45391</v>
      </c>
      <c r="I99" s="21" t="s">
        <v>56</v>
      </c>
      <c r="J99" s="29" t="s">
        <v>13</v>
      </c>
      <c r="K99" s="24" t="s">
        <v>43</v>
      </c>
      <c r="L99" s="23">
        <v>45387</v>
      </c>
      <c r="M99" s="23">
        <v>45391</v>
      </c>
      <c r="N99" s="25">
        <f t="shared" si="3"/>
        <v>4</v>
      </c>
      <c r="O99" s="29"/>
      <c r="P99" t="s">
        <v>88</v>
      </c>
      <c r="Q99" t="s">
        <v>88</v>
      </c>
      <c r="R99" t="s">
        <v>88</v>
      </c>
      <c r="S99" t="s">
        <v>88</v>
      </c>
      <c r="T99" t="s">
        <v>88</v>
      </c>
      <c r="U99" t="s">
        <v>20</v>
      </c>
    </row>
    <row r="100" spans="1:21" x14ac:dyDescent="0.45">
      <c r="A100" s="79">
        <v>128259406</v>
      </c>
      <c r="B100" s="21" t="str">
        <f t="shared" si="2"/>
        <v>12.825.940-6</v>
      </c>
      <c r="C100" s="22" t="s">
        <v>30</v>
      </c>
      <c r="D100" s="29" t="s">
        <v>844</v>
      </c>
      <c r="E100" s="29" t="s">
        <v>845</v>
      </c>
      <c r="F100" s="29" t="s">
        <v>846</v>
      </c>
      <c r="G100" s="49">
        <v>45387</v>
      </c>
      <c r="H100" s="49">
        <v>45391</v>
      </c>
      <c r="I100" s="21" t="s">
        <v>56</v>
      </c>
      <c r="J100" s="29" t="s">
        <v>13</v>
      </c>
      <c r="K100" s="24" t="s">
        <v>47</v>
      </c>
      <c r="L100" s="23">
        <v>45387</v>
      </c>
      <c r="M100" s="23">
        <v>45391</v>
      </c>
      <c r="N100" s="25">
        <f t="shared" si="3"/>
        <v>4</v>
      </c>
      <c r="O100" s="29"/>
      <c r="P100" t="s">
        <v>88</v>
      </c>
      <c r="Q100" t="s">
        <v>88</v>
      </c>
      <c r="R100" t="s">
        <v>88</v>
      </c>
      <c r="S100" t="s">
        <v>88</v>
      </c>
      <c r="T100" t="s">
        <v>88</v>
      </c>
      <c r="U100" t="s">
        <v>20</v>
      </c>
    </row>
    <row r="101" spans="1:21" x14ac:dyDescent="0.45">
      <c r="A101" s="79">
        <v>52472423</v>
      </c>
      <c r="B101" s="21" t="str">
        <f t="shared" si="2"/>
        <v>5.247.242-3</v>
      </c>
      <c r="C101" s="22" t="s">
        <v>30</v>
      </c>
      <c r="D101" s="29" t="s">
        <v>847</v>
      </c>
      <c r="E101" s="29" t="s">
        <v>381</v>
      </c>
      <c r="F101" s="29" t="s">
        <v>348</v>
      </c>
      <c r="G101" s="49">
        <v>45389</v>
      </c>
      <c r="H101" s="49">
        <v>45400</v>
      </c>
      <c r="I101" s="21" t="s">
        <v>22</v>
      </c>
      <c r="J101" s="29" t="s">
        <v>46</v>
      </c>
      <c r="K101" s="24" t="s">
        <v>43</v>
      </c>
      <c r="L101" s="23">
        <v>45379</v>
      </c>
      <c r="M101" s="23">
        <v>45400</v>
      </c>
      <c r="N101" s="25">
        <f t="shared" si="3"/>
        <v>21</v>
      </c>
      <c r="O101" s="29"/>
      <c r="P101" t="s">
        <v>88</v>
      </c>
      <c r="Q101" t="s">
        <v>88</v>
      </c>
      <c r="R101" t="s">
        <v>88</v>
      </c>
      <c r="S101" t="s">
        <v>88</v>
      </c>
      <c r="T101" t="s">
        <v>88</v>
      </c>
      <c r="U101" t="s">
        <v>20</v>
      </c>
    </row>
    <row r="102" spans="1:21" x14ac:dyDescent="0.45">
      <c r="A102" s="79">
        <v>52472423</v>
      </c>
      <c r="B102" s="21" t="str">
        <f t="shared" si="2"/>
        <v>5.247.242-3</v>
      </c>
      <c r="C102" s="22" t="s">
        <v>30</v>
      </c>
      <c r="D102" s="29" t="s">
        <v>847</v>
      </c>
      <c r="E102" s="29" t="s">
        <v>381</v>
      </c>
      <c r="F102" s="29" t="s">
        <v>348</v>
      </c>
      <c r="G102" s="49">
        <v>45389</v>
      </c>
      <c r="H102" s="49">
        <v>45400</v>
      </c>
      <c r="I102" s="21" t="s">
        <v>22</v>
      </c>
      <c r="J102" s="29" t="s">
        <v>46</v>
      </c>
      <c r="K102" s="24" t="s">
        <v>55</v>
      </c>
      <c r="L102" s="23">
        <v>45382</v>
      </c>
      <c r="M102" s="23">
        <v>45394</v>
      </c>
      <c r="N102" s="25">
        <f t="shared" si="3"/>
        <v>12</v>
      </c>
      <c r="O102" s="29"/>
      <c r="P102" t="s">
        <v>88</v>
      </c>
      <c r="Q102" t="s">
        <v>88</v>
      </c>
      <c r="R102" t="s">
        <v>88</v>
      </c>
      <c r="S102" t="s">
        <v>88</v>
      </c>
      <c r="T102" t="s">
        <v>88</v>
      </c>
      <c r="U102" t="s">
        <v>20</v>
      </c>
    </row>
    <row r="103" spans="1:21" x14ac:dyDescent="0.45">
      <c r="A103" s="79">
        <v>54002343</v>
      </c>
      <c r="B103" s="21" t="str">
        <f t="shared" si="2"/>
        <v>5.400.234-3</v>
      </c>
      <c r="C103" s="22" t="s">
        <v>30</v>
      </c>
      <c r="D103" s="29" t="s">
        <v>848</v>
      </c>
      <c r="E103" s="29" t="s">
        <v>520</v>
      </c>
      <c r="F103" s="29" t="s">
        <v>268</v>
      </c>
      <c r="G103" s="49">
        <v>45388</v>
      </c>
      <c r="H103" s="49">
        <v>45391</v>
      </c>
      <c r="I103" s="21" t="s">
        <v>24</v>
      </c>
      <c r="J103" s="29" t="s">
        <v>24</v>
      </c>
      <c r="K103" s="24" t="s">
        <v>43</v>
      </c>
      <c r="L103" s="23">
        <v>45391</v>
      </c>
      <c r="M103" s="23">
        <v>45412</v>
      </c>
      <c r="N103" s="25">
        <f t="shared" si="3"/>
        <v>21</v>
      </c>
      <c r="O103" s="29"/>
      <c r="P103" t="s">
        <v>88</v>
      </c>
      <c r="Q103" t="s">
        <v>88</v>
      </c>
      <c r="R103" t="s">
        <v>88</v>
      </c>
      <c r="S103" t="s">
        <v>88</v>
      </c>
      <c r="T103" t="s">
        <v>88</v>
      </c>
      <c r="U103" t="s">
        <v>20</v>
      </c>
    </row>
    <row r="104" spans="1:21" x14ac:dyDescent="0.45">
      <c r="A104" s="79">
        <v>54002343</v>
      </c>
      <c r="B104" s="21" t="str">
        <f t="shared" si="2"/>
        <v>5.400.234-3</v>
      </c>
      <c r="C104" s="22" t="s">
        <v>30</v>
      </c>
      <c r="D104" s="29" t="s">
        <v>848</v>
      </c>
      <c r="E104" s="29" t="s">
        <v>520</v>
      </c>
      <c r="F104" s="29" t="s">
        <v>268</v>
      </c>
      <c r="G104" s="49">
        <v>45388</v>
      </c>
      <c r="H104" s="49">
        <v>45391</v>
      </c>
      <c r="I104" s="21" t="s">
        <v>24</v>
      </c>
      <c r="J104" s="29" t="s">
        <v>24</v>
      </c>
      <c r="K104" s="24" t="s">
        <v>47</v>
      </c>
      <c r="L104" s="23">
        <v>45391</v>
      </c>
      <c r="M104" s="23">
        <v>45412</v>
      </c>
      <c r="N104" s="25">
        <f t="shared" si="3"/>
        <v>21</v>
      </c>
      <c r="O104" s="29"/>
      <c r="P104" t="s">
        <v>88</v>
      </c>
      <c r="Q104" t="s">
        <v>88</v>
      </c>
      <c r="R104" t="s">
        <v>88</v>
      </c>
      <c r="S104" t="s">
        <v>88</v>
      </c>
      <c r="T104" t="s">
        <v>88</v>
      </c>
      <c r="U104" t="s">
        <v>20</v>
      </c>
    </row>
    <row r="105" spans="1:21" x14ac:dyDescent="0.45">
      <c r="A105" s="79">
        <v>98210881</v>
      </c>
      <c r="B105" s="21" t="str">
        <f t="shared" si="2"/>
        <v>9.821.088-1</v>
      </c>
      <c r="C105" s="22" t="s">
        <v>22</v>
      </c>
      <c r="D105" s="29" t="s">
        <v>435</v>
      </c>
      <c r="E105" s="29" t="s">
        <v>345</v>
      </c>
      <c r="F105" s="29" t="s">
        <v>452</v>
      </c>
      <c r="G105" s="49">
        <v>45388</v>
      </c>
      <c r="H105" s="49">
        <v>45401</v>
      </c>
      <c r="I105" s="21" t="s">
        <v>22</v>
      </c>
      <c r="J105" s="29" t="s">
        <v>13</v>
      </c>
      <c r="K105" s="24" t="s">
        <v>43</v>
      </c>
      <c r="L105" s="23">
        <v>45387</v>
      </c>
      <c r="M105" s="23">
        <v>45401</v>
      </c>
      <c r="N105" s="25">
        <f t="shared" si="3"/>
        <v>14</v>
      </c>
      <c r="O105" s="29"/>
      <c r="P105" t="s">
        <v>88</v>
      </c>
      <c r="Q105" t="s">
        <v>88</v>
      </c>
      <c r="R105" t="s">
        <v>88</v>
      </c>
      <c r="S105" t="s">
        <v>88</v>
      </c>
      <c r="T105" t="s">
        <v>88</v>
      </c>
      <c r="U105" t="s">
        <v>20</v>
      </c>
    </row>
    <row r="106" spans="1:21" x14ac:dyDescent="0.45">
      <c r="A106" s="79">
        <v>191201043</v>
      </c>
      <c r="B106" s="21" t="str">
        <f t="shared" si="2"/>
        <v>19.120.104-3</v>
      </c>
      <c r="C106" s="22" t="s">
        <v>22</v>
      </c>
      <c r="D106" s="29" t="s">
        <v>799</v>
      </c>
      <c r="E106" s="29" t="s">
        <v>585</v>
      </c>
      <c r="F106" s="29" t="s">
        <v>849</v>
      </c>
      <c r="G106" s="49">
        <v>45386</v>
      </c>
      <c r="H106" s="49">
        <v>45393</v>
      </c>
      <c r="I106" s="21" t="s">
        <v>22</v>
      </c>
      <c r="J106" s="29" t="s">
        <v>69</v>
      </c>
      <c r="K106" s="24" t="s">
        <v>43</v>
      </c>
      <c r="L106" s="23">
        <v>45381</v>
      </c>
      <c r="M106" s="23">
        <v>45393</v>
      </c>
      <c r="N106" s="25">
        <f t="shared" si="3"/>
        <v>12</v>
      </c>
      <c r="O106" s="29"/>
      <c r="P106" t="s">
        <v>88</v>
      </c>
      <c r="Q106" t="s">
        <v>88</v>
      </c>
      <c r="R106" t="s">
        <v>88</v>
      </c>
      <c r="S106" t="s">
        <v>88</v>
      </c>
      <c r="T106" t="s">
        <v>88</v>
      </c>
      <c r="U106" t="s">
        <v>20</v>
      </c>
    </row>
    <row r="107" spans="1:21" x14ac:dyDescent="0.45">
      <c r="A107" s="79">
        <v>191201043</v>
      </c>
      <c r="B107" s="21" t="str">
        <f t="shared" si="2"/>
        <v>19.120.104-3</v>
      </c>
      <c r="C107" s="22" t="s">
        <v>22</v>
      </c>
      <c r="D107" s="29" t="s">
        <v>799</v>
      </c>
      <c r="E107" s="29" t="s">
        <v>585</v>
      </c>
      <c r="F107" s="29" t="s">
        <v>849</v>
      </c>
      <c r="G107" s="49">
        <v>45386</v>
      </c>
      <c r="H107" s="49">
        <v>45393</v>
      </c>
      <c r="I107" s="21" t="s">
        <v>22</v>
      </c>
      <c r="J107" s="29" t="s">
        <v>69</v>
      </c>
      <c r="K107" s="24" t="s">
        <v>47</v>
      </c>
      <c r="L107" s="23">
        <v>45381</v>
      </c>
      <c r="M107" s="23">
        <v>45393</v>
      </c>
      <c r="N107" s="25">
        <f t="shared" si="3"/>
        <v>12</v>
      </c>
      <c r="O107" s="29"/>
      <c r="P107" t="s">
        <v>88</v>
      </c>
      <c r="Q107" t="s">
        <v>88</v>
      </c>
      <c r="R107" t="s">
        <v>88</v>
      </c>
      <c r="S107" t="s">
        <v>88</v>
      </c>
      <c r="T107" t="s">
        <v>88</v>
      </c>
      <c r="U107" t="s">
        <v>20</v>
      </c>
    </row>
    <row r="108" spans="1:21" x14ac:dyDescent="0.45">
      <c r="A108" s="79">
        <v>143724387</v>
      </c>
      <c r="B108" s="21" t="str">
        <f t="shared" si="2"/>
        <v>14.372.438-7</v>
      </c>
      <c r="C108" s="22" t="s">
        <v>22</v>
      </c>
      <c r="D108" s="29" t="s">
        <v>801</v>
      </c>
      <c r="E108" s="29" t="s">
        <v>804</v>
      </c>
      <c r="F108" s="29" t="s">
        <v>805</v>
      </c>
      <c r="G108" s="49">
        <v>45378</v>
      </c>
      <c r="H108" s="49">
        <v>45391</v>
      </c>
      <c r="I108" s="21" t="s">
        <v>22</v>
      </c>
      <c r="J108" s="29" t="s">
        <v>56</v>
      </c>
      <c r="K108" s="24" t="s">
        <v>47</v>
      </c>
      <c r="L108" s="23">
        <v>45376</v>
      </c>
      <c r="M108" s="23">
        <v>45391</v>
      </c>
      <c r="N108" s="25">
        <f t="shared" si="3"/>
        <v>15</v>
      </c>
      <c r="O108" s="29"/>
      <c r="P108" t="s">
        <v>88</v>
      </c>
      <c r="Q108" t="s">
        <v>88</v>
      </c>
      <c r="R108" t="s">
        <v>88</v>
      </c>
      <c r="S108" t="s">
        <v>88</v>
      </c>
      <c r="T108" t="s">
        <v>88</v>
      </c>
      <c r="U108" t="s">
        <v>20</v>
      </c>
    </row>
    <row r="109" spans="1:21" x14ac:dyDescent="0.45">
      <c r="A109" s="79">
        <v>146416039</v>
      </c>
      <c r="B109" s="21" t="str">
        <f t="shared" si="2"/>
        <v>14.641.603-9</v>
      </c>
      <c r="C109" s="22" t="s">
        <v>22</v>
      </c>
      <c r="D109" s="29" t="s">
        <v>580</v>
      </c>
      <c r="E109" s="29" t="s">
        <v>266</v>
      </c>
      <c r="F109" s="29" t="s">
        <v>850</v>
      </c>
      <c r="G109" s="49">
        <v>45373</v>
      </c>
      <c r="H109" s="49">
        <v>45403</v>
      </c>
      <c r="I109" s="21" t="s">
        <v>22</v>
      </c>
      <c r="J109" s="29" t="s">
        <v>13</v>
      </c>
      <c r="K109" s="24" t="s">
        <v>43</v>
      </c>
      <c r="L109" s="23">
        <v>45371</v>
      </c>
      <c r="M109" s="23">
        <v>45396</v>
      </c>
      <c r="N109" s="25">
        <f t="shared" si="3"/>
        <v>25</v>
      </c>
      <c r="O109" s="29"/>
      <c r="P109" t="s">
        <v>88</v>
      </c>
      <c r="Q109" t="s">
        <v>88</v>
      </c>
      <c r="R109" t="s">
        <v>88</v>
      </c>
      <c r="S109" t="s">
        <v>88</v>
      </c>
      <c r="T109" t="s">
        <v>88</v>
      </c>
      <c r="U109" t="s">
        <v>20</v>
      </c>
    </row>
    <row r="110" spans="1:21" x14ac:dyDescent="0.45">
      <c r="A110" s="79">
        <v>146416039</v>
      </c>
      <c r="B110" s="21" t="str">
        <f t="shared" si="2"/>
        <v>14.641.603-9</v>
      </c>
      <c r="C110" s="22" t="s">
        <v>22</v>
      </c>
      <c r="D110" s="29" t="s">
        <v>580</v>
      </c>
      <c r="E110" s="29" t="s">
        <v>266</v>
      </c>
      <c r="F110" s="29" t="s">
        <v>850</v>
      </c>
      <c r="G110" s="49">
        <v>45373</v>
      </c>
      <c r="H110" s="49">
        <v>45403</v>
      </c>
      <c r="I110" s="21" t="s">
        <v>22</v>
      </c>
      <c r="J110" s="29" t="s">
        <v>13</v>
      </c>
      <c r="K110" s="24" t="s">
        <v>47</v>
      </c>
      <c r="L110" s="23">
        <v>45371</v>
      </c>
      <c r="M110" s="23">
        <v>45396</v>
      </c>
      <c r="N110" s="25">
        <f t="shared" si="3"/>
        <v>25</v>
      </c>
      <c r="O110" s="29"/>
      <c r="P110" t="s">
        <v>88</v>
      </c>
      <c r="Q110" t="s">
        <v>88</v>
      </c>
      <c r="R110" t="s">
        <v>88</v>
      </c>
      <c r="S110" t="s">
        <v>88</v>
      </c>
      <c r="T110" t="s">
        <v>88</v>
      </c>
      <c r="U110" t="s">
        <v>20</v>
      </c>
    </row>
    <row r="111" spans="1:21" x14ac:dyDescent="0.45">
      <c r="A111" s="79">
        <v>271848846</v>
      </c>
      <c r="B111" s="21" t="str">
        <f t="shared" si="2"/>
        <v>27.184.884-6</v>
      </c>
      <c r="C111" s="22" t="s">
        <v>22</v>
      </c>
      <c r="D111" s="29" t="s">
        <v>249</v>
      </c>
      <c r="E111" s="29" t="s">
        <v>807</v>
      </c>
      <c r="F111" s="29" t="s">
        <v>362</v>
      </c>
      <c r="G111" s="49">
        <v>45381</v>
      </c>
      <c r="H111" s="49">
        <v>45391</v>
      </c>
      <c r="I111" s="21" t="s">
        <v>22</v>
      </c>
      <c r="J111" s="29" t="s">
        <v>56</v>
      </c>
      <c r="K111" s="24" t="s">
        <v>43</v>
      </c>
      <c r="L111" s="23">
        <v>45377</v>
      </c>
      <c r="M111" s="23">
        <v>45391</v>
      </c>
      <c r="N111" s="25">
        <f t="shared" si="3"/>
        <v>14</v>
      </c>
      <c r="O111" s="29"/>
      <c r="P111" t="s">
        <v>88</v>
      </c>
      <c r="Q111" t="s">
        <v>88</v>
      </c>
      <c r="R111" t="s">
        <v>88</v>
      </c>
      <c r="S111" t="s">
        <v>88</v>
      </c>
      <c r="T111" t="s">
        <v>88</v>
      </c>
      <c r="U111" t="s">
        <v>20</v>
      </c>
    </row>
    <row r="112" spans="1:21" x14ac:dyDescent="0.45">
      <c r="A112" s="79">
        <v>115712845</v>
      </c>
      <c r="B112" s="21" t="str">
        <f t="shared" si="2"/>
        <v>11.571.284-5</v>
      </c>
      <c r="C112" s="22" t="s">
        <v>22</v>
      </c>
      <c r="D112" s="29" t="s">
        <v>851</v>
      </c>
      <c r="E112" s="29" t="s">
        <v>680</v>
      </c>
      <c r="F112" s="29" t="s">
        <v>434</v>
      </c>
      <c r="G112" s="49">
        <v>45387</v>
      </c>
      <c r="H112" s="49">
        <v>45394</v>
      </c>
      <c r="I112" s="21" t="s">
        <v>22</v>
      </c>
      <c r="J112" s="29" t="s">
        <v>26</v>
      </c>
      <c r="K112" s="24" t="s">
        <v>18</v>
      </c>
      <c r="L112" s="23">
        <v>45385</v>
      </c>
      <c r="M112" s="23">
        <v>45394</v>
      </c>
      <c r="N112" s="25">
        <f t="shared" si="3"/>
        <v>9</v>
      </c>
      <c r="O112" s="29"/>
      <c r="P112" t="s">
        <v>88</v>
      </c>
      <c r="Q112" t="s">
        <v>88</v>
      </c>
      <c r="R112" t="s">
        <v>88</v>
      </c>
      <c r="S112" t="s">
        <v>88</v>
      </c>
      <c r="T112" t="s">
        <v>88</v>
      </c>
      <c r="U112" t="s">
        <v>20</v>
      </c>
    </row>
    <row r="113" spans="1:21" x14ac:dyDescent="0.45">
      <c r="A113" s="79">
        <v>115712845</v>
      </c>
      <c r="B113" s="21" t="str">
        <f t="shared" si="2"/>
        <v>11.571.284-5</v>
      </c>
      <c r="C113" s="22" t="s">
        <v>22</v>
      </c>
      <c r="D113" s="29" t="s">
        <v>851</v>
      </c>
      <c r="E113" s="29" t="s">
        <v>680</v>
      </c>
      <c r="F113" s="29" t="s">
        <v>434</v>
      </c>
      <c r="G113" s="49">
        <v>45387</v>
      </c>
      <c r="H113" s="49">
        <v>45394</v>
      </c>
      <c r="I113" s="21" t="s">
        <v>22</v>
      </c>
      <c r="J113" s="29" t="s">
        <v>26</v>
      </c>
      <c r="K113" s="24" t="s">
        <v>47</v>
      </c>
      <c r="L113" s="23">
        <v>45387</v>
      </c>
      <c r="M113" s="23">
        <v>45394</v>
      </c>
      <c r="N113" s="25">
        <f t="shared" si="3"/>
        <v>7</v>
      </c>
      <c r="O113" s="29"/>
      <c r="P113" t="s">
        <v>88</v>
      </c>
      <c r="Q113" t="s">
        <v>88</v>
      </c>
      <c r="R113" t="s">
        <v>88</v>
      </c>
      <c r="S113" t="s">
        <v>88</v>
      </c>
      <c r="T113" t="s">
        <v>88</v>
      </c>
      <c r="U113" t="s">
        <v>20</v>
      </c>
    </row>
    <row r="114" spans="1:21" x14ac:dyDescent="0.45">
      <c r="A114" s="79">
        <v>74643175</v>
      </c>
      <c r="B114" s="21" t="str">
        <f t="shared" si="2"/>
        <v>7.464.317-5</v>
      </c>
      <c r="C114" s="22" t="s">
        <v>22</v>
      </c>
      <c r="D114" s="29" t="s">
        <v>852</v>
      </c>
      <c r="E114" s="29" t="s">
        <v>352</v>
      </c>
      <c r="F114" s="29" t="s">
        <v>380</v>
      </c>
      <c r="G114" s="49">
        <v>45388</v>
      </c>
      <c r="H114" s="49">
        <v>45408</v>
      </c>
      <c r="I114" s="21" t="s">
        <v>54</v>
      </c>
      <c r="J114" s="29" t="s">
        <v>24</v>
      </c>
      <c r="K114" s="24" t="s">
        <v>43</v>
      </c>
      <c r="L114" s="23">
        <v>45383</v>
      </c>
      <c r="M114" s="23">
        <v>45391</v>
      </c>
      <c r="N114" s="25">
        <f t="shared" si="3"/>
        <v>8</v>
      </c>
      <c r="O114" s="29"/>
      <c r="P114" t="s">
        <v>88</v>
      </c>
      <c r="Q114" t="s">
        <v>88</v>
      </c>
      <c r="R114" t="s">
        <v>88</v>
      </c>
      <c r="S114" t="s">
        <v>88</v>
      </c>
      <c r="T114" t="s">
        <v>88</v>
      </c>
      <c r="U114" t="s">
        <v>20</v>
      </c>
    </row>
    <row r="115" spans="1:21" x14ac:dyDescent="0.45">
      <c r="A115" s="79">
        <v>74643175</v>
      </c>
      <c r="B115" s="21" t="str">
        <f t="shared" si="2"/>
        <v>7.464.317-5</v>
      </c>
      <c r="C115" s="22" t="s">
        <v>22</v>
      </c>
      <c r="D115" s="29" t="s">
        <v>852</v>
      </c>
      <c r="E115" s="29" t="s">
        <v>352</v>
      </c>
      <c r="F115" s="29" t="s">
        <v>380</v>
      </c>
      <c r="G115" s="49">
        <v>45388</v>
      </c>
      <c r="H115" s="49">
        <v>45408</v>
      </c>
      <c r="I115" s="21" t="s">
        <v>54</v>
      </c>
      <c r="J115" s="29" t="s">
        <v>24</v>
      </c>
      <c r="K115" s="24" t="s">
        <v>47</v>
      </c>
      <c r="L115" s="23">
        <v>45382</v>
      </c>
      <c r="M115" s="23">
        <v>45407</v>
      </c>
      <c r="N115" s="25">
        <f t="shared" si="3"/>
        <v>25</v>
      </c>
      <c r="O115" s="29"/>
      <c r="P115" t="s">
        <v>88</v>
      </c>
      <c r="Q115" t="s">
        <v>88</v>
      </c>
      <c r="R115" t="s">
        <v>88</v>
      </c>
      <c r="S115" t="s">
        <v>88</v>
      </c>
      <c r="T115" t="s">
        <v>88</v>
      </c>
      <c r="U115" t="s">
        <v>20</v>
      </c>
    </row>
    <row r="116" spans="1:21" x14ac:dyDescent="0.45">
      <c r="A116" s="79">
        <v>74643175</v>
      </c>
      <c r="B116" s="21" t="str">
        <f t="shared" si="2"/>
        <v>7.464.317-5</v>
      </c>
      <c r="C116" s="22" t="s">
        <v>22</v>
      </c>
      <c r="D116" s="29" t="s">
        <v>852</v>
      </c>
      <c r="E116" s="29" t="s">
        <v>352</v>
      </c>
      <c r="F116" s="29" t="s">
        <v>380</v>
      </c>
      <c r="G116" s="49">
        <v>45388</v>
      </c>
      <c r="H116" s="49">
        <v>45408</v>
      </c>
      <c r="I116" s="21" t="s">
        <v>54</v>
      </c>
      <c r="J116" s="29" t="s">
        <v>24</v>
      </c>
      <c r="K116" s="24" t="s">
        <v>18</v>
      </c>
      <c r="L116" s="23">
        <v>45391</v>
      </c>
      <c r="M116" s="23">
        <v>45412</v>
      </c>
      <c r="N116" s="25">
        <f t="shared" si="3"/>
        <v>21</v>
      </c>
      <c r="O116" s="29"/>
      <c r="P116" t="s">
        <v>88</v>
      </c>
      <c r="Q116" t="s">
        <v>88</v>
      </c>
      <c r="R116" t="s">
        <v>88</v>
      </c>
      <c r="S116" t="s">
        <v>88</v>
      </c>
      <c r="T116" t="s">
        <v>88</v>
      </c>
      <c r="U116" t="s">
        <v>20</v>
      </c>
    </row>
    <row r="117" spans="1:21" x14ac:dyDescent="0.45">
      <c r="A117" s="79">
        <v>74643175</v>
      </c>
      <c r="B117" s="21" t="str">
        <f t="shared" si="2"/>
        <v>7.464.317-5</v>
      </c>
      <c r="C117" s="22" t="s">
        <v>22</v>
      </c>
      <c r="D117" s="29" t="s">
        <v>852</v>
      </c>
      <c r="E117" s="29" t="s">
        <v>352</v>
      </c>
      <c r="F117" s="29" t="s">
        <v>380</v>
      </c>
      <c r="G117" s="49">
        <v>45388</v>
      </c>
      <c r="H117" s="49">
        <v>45408</v>
      </c>
      <c r="I117" s="21" t="s">
        <v>54</v>
      </c>
      <c r="J117" s="29" t="s">
        <v>24</v>
      </c>
      <c r="K117" s="24" t="s">
        <v>55</v>
      </c>
      <c r="L117" s="23">
        <v>45384</v>
      </c>
      <c r="M117" s="23">
        <v>45402</v>
      </c>
      <c r="N117" s="25">
        <f t="shared" si="3"/>
        <v>18</v>
      </c>
      <c r="O117" s="29"/>
      <c r="P117" t="s">
        <v>132</v>
      </c>
      <c r="Q117" t="s">
        <v>88</v>
      </c>
      <c r="R117" t="s">
        <v>88</v>
      </c>
      <c r="S117" t="s">
        <v>88</v>
      </c>
      <c r="T117" t="s">
        <v>88</v>
      </c>
      <c r="U117" t="s">
        <v>20</v>
      </c>
    </row>
    <row r="118" spans="1:21" x14ac:dyDescent="0.45">
      <c r="A118" s="79">
        <v>82375910</v>
      </c>
      <c r="B118" s="21" t="str">
        <f t="shared" si="2"/>
        <v>8.237.591-0</v>
      </c>
      <c r="C118" s="22" t="s">
        <v>22</v>
      </c>
      <c r="D118" s="29" t="s">
        <v>853</v>
      </c>
      <c r="E118" s="29" t="s">
        <v>471</v>
      </c>
      <c r="F118" s="29" t="s">
        <v>854</v>
      </c>
      <c r="G118" s="49">
        <v>45386</v>
      </c>
      <c r="H118" s="49">
        <v>45391</v>
      </c>
      <c r="I118" s="21" t="s">
        <v>56</v>
      </c>
      <c r="J118" s="29" t="s">
        <v>22</v>
      </c>
      <c r="K118" s="24" t="s">
        <v>43</v>
      </c>
      <c r="L118" s="23">
        <v>45388</v>
      </c>
      <c r="M118" s="23">
        <v>45391</v>
      </c>
      <c r="N118" s="25">
        <f t="shared" si="3"/>
        <v>3</v>
      </c>
      <c r="O118" s="29"/>
      <c r="P118" t="s">
        <v>88</v>
      </c>
      <c r="Q118" t="s">
        <v>88</v>
      </c>
      <c r="R118" t="s">
        <v>88</v>
      </c>
      <c r="S118" t="s">
        <v>88</v>
      </c>
      <c r="T118" t="s">
        <v>88</v>
      </c>
      <c r="U118" t="s">
        <v>20</v>
      </c>
    </row>
    <row r="119" spans="1:21" x14ac:dyDescent="0.45">
      <c r="A119" s="79">
        <v>92310884</v>
      </c>
      <c r="B119" s="21" t="str">
        <f t="shared" si="2"/>
        <v>9.231.088-4</v>
      </c>
      <c r="C119" s="22" t="s">
        <v>22</v>
      </c>
      <c r="D119" s="29" t="s">
        <v>341</v>
      </c>
      <c r="E119" s="29" t="s">
        <v>403</v>
      </c>
      <c r="F119" s="29" t="s">
        <v>855</v>
      </c>
      <c r="G119" s="49">
        <v>45387</v>
      </c>
      <c r="H119" s="49">
        <v>45391</v>
      </c>
      <c r="I119" s="21" t="s">
        <v>30</v>
      </c>
      <c r="J119" s="29" t="s">
        <v>24</v>
      </c>
      <c r="K119" s="24" t="s">
        <v>43</v>
      </c>
      <c r="L119" s="23">
        <v>45385</v>
      </c>
      <c r="M119" s="23">
        <v>45391</v>
      </c>
      <c r="N119" s="25">
        <f t="shared" si="3"/>
        <v>6</v>
      </c>
      <c r="O119" s="29"/>
      <c r="P119" t="s">
        <v>88</v>
      </c>
      <c r="Q119" t="s">
        <v>88</v>
      </c>
      <c r="R119" t="s">
        <v>88</v>
      </c>
      <c r="S119" t="s">
        <v>88</v>
      </c>
      <c r="T119" t="s">
        <v>88</v>
      </c>
      <c r="U119" t="s">
        <v>20</v>
      </c>
    </row>
    <row r="120" spans="1:21" x14ac:dyDescent="0.45">
      <c r="A120" s="79">
        <v>92310884</v>
      </c>
      <c r="B120" s="21" t="str">
        <f t="shared" si="2"/>
        <v>9.231.088-4</v>
      </c>
      <c r="C120" s="22" t="s">
        <v>22</v>
      </c>
      <c r="D120" s="29" t="s">
        <v>341</v>
      </c>
      <c r="E120" s="29" t="s">
        <v>403</v>
      </c>
      <c r="F120" s="29" t="s">
        <v>855</v>
      </c>
      <c r="G120" s="49">
        <v>45387</v>
      </c>
      <c r="H120" s="49">
        <v>45391</v>
      </c>
      <c r="I120" s="21" t="s">
        <v>30</v>
      </c>
      <c r="J120" s="29" t="s">
        <v>24</v>
      </c>
      <c r="K120" s="24" t="s">
        <v>47</v>
      </c>
      <c r="L120" s="23">
        <v>45385</v>
      </c>
      <c r="M120" s="23">
        <v>45391</v>
      </c>
      <c r="N120" s="25">
        <f t="shared" si="3"/>
        <v>6</v>
      </c>
      <c r="O120" s="29"/>
      <c r="P120" t="s">
        <v>88</v>
      </c>
      <c r="Q120" t="s">
        <v>88</v>
      </c>
      <c r="R120" t="s">
        <v>88</v>
      </c>
      <c r="S120" t="s">
        <v>88</v>
      </c>
      <c r="T120" t="s">
        <v>88</v>
      </c>
      <c r="U120" t="s">
        <v>20</v>
      </c>
    </row>
    <row r="121" spans="1:21" x14ac:dyDescent="0.45">
      <c r="A121" s="79">
        <v>81991650</v>
      </c>
      <c r="B121" s="21" t="str">
        <f t="shared" si="2"/>
        <v>8.199.165-0</v>
      </c>
      <c r="C121" s="22" t="s">
        <v>38</v>
      </c>
      <c r="D121" s="29" t="s">
        <v>435</v>
      </c>
      <c r="E121" s="29" t="s">
        <v>339</v>
      </c>
      <c r="F121" s="29" t="s">
        <v>793</v>
      </c>
      <c r="G121" s="49">
        <v>45387</v>
      </c>
      <c r="H121" s="49">
        <v>45400</v>
      </c>
      <c r="I121" s="21" t="s">
        <v>61</v>
      </c>
      <c r="J121" s="29" t="s">
        <v>24</v>
      </c>
      <c r="K121" s="24" t="s">
        <v>43</v>
      </c>
      <c r="L121" s="23">
        <v>45387</v>
      </c>
      <c r="M121" s="49">
        <v>45400</v>
      </c>
      <c r="N121" s="25">
        <f t="shared" si="3"/>
        <v>13</v>
      </c>
      <c r="O121" s="29"/>
      <c r="P121" t="s">
        <v>88</v>
      </c>
      <c r="Q121" t="s">
        <v>88</v>
      </c>
      <c r="R121" t="s">
        <v>88</v>
      </c>
      <c r="S121" t="s">
        <v>88</v>
      </c>
      <c r="T121" t="s">
        <v>88</v>
      </c>
      <c r="U121" t="s">
        <v>20</v>
      </c>
    </row>
    <row r="122" spans="1:21" x14ac:dyDescent="0.45">
      <c r="A122" s="79">
        <v>81991650</v>
      </c>
      <c r="B122" s="21" t="str">
        <f t="shared" si="2"/>
        <v>8.199.165-0</v>
      </c>
      <c r="C122" s="22" t="s">
        <v>38</v>
      </c>
      <c r="D122" s="29" t="s">
        <v>435</v>
      </c>
      <c r="E122" s="29" t="s">
        <v>339</v>
      </c>
      <c r="F122" s="29" t="s">
        <v>793</v>
      </c>
      <c r="G122" s="49">
        <v>45387</v>
      </c>
      <c r="H122" s="49">
        <v>45400</v>
      </c>
      <c r="I122" s="21" t="s">
        <v>61</v>
      </c>
      <c r="J122" s="29" t="s">
        <v>24</v>
      </c>
      <c r="K122" s="24" t="s">
        <v>47</v>
      </c>
      <c r="L122" s="23">
        <v>45387</v>
      </c>
      <c r="M122" s="49">
        <v>45400</v>
      </c>
      <c r="N122" s="25">
        <f t="shared" si="3"/>
        <v>13</v>
      </c>
      <c r="O122" s="70" t="s">
        <v>14</v>
      </c>
      <c r="P122" t="s">
        <v>88</v>
      </c>
      <c r="Q122" t="s">
        <v>88</v>
      </c>
      <c r="R122" t="s">
        <v>88</v>
      </c>
      <c r="S122" t="s">
        <v>88</v>
      </c>
      <c r="T122" t="s">
        <v>88</v>
      </c>
      <c r="U122" t="s">
        <v>20</v>
      </c>
    </row>
    <row r="123" spans="1:21" x14ac:dyDescent="0.45">
      <c r="A123" s="79">
        <v>58577669</v>
      </c>
      <c r="B123" s="21" t="str">
        <f t="shared" si="2"/>
        <v>5.857.766-9</v>
      </c>
      <c r="C123" s="22" t="s">
        <v>38</v>
      </c>
      <c r="D123" s="29" t="s">
        <v>631</v>
      </c>
      <c r="E123" s="29" t="s">
        <v>856</v>
      </c>
      <c r="F123" s="29" t="s">
        <v>654</v>
      </c>
      <c r="G123" s="49">
        <v>45391</v>
      </c>
      <c r="H123" s="49">
        <v>45394</v>
      </c>
      <c r="I123" s="21" t="s">
        <v>24</v>
      </c>
      <c r="J123" s="29" t="s">
        <v>24</v>
      </c>
      <c r="K123" s="24" t="s">
        <v>43</v>
      </c>
      <c r="L123" s="23">
        <v>45391</v>
      </c>
      <c r="M123" s="23">
        <v>45394</v>
      </c>
      <c r="N123" s="25">
        <f t="shared" si="3"/>
        <v>3</v>
      </c>
      <c r="O123" s="29"/>
      <c r="P123" t="s">
        <v>88</v>
      </c>
      <c r="Q123" t="s">
        <v>88</v>
      </c>
      <c r="R123" t="s">
        <v>88</v>
      </c>
      <c r="S123" t="s">
        <v>88</v>
      </c>
      <c r="T123" t="s">
        <v>88</v>
      </c>
      <c r="U123" t="s">
        <v>20</v>
      </c>
    </row>
    <row r="124" spans="1:21" x14ac:dyDescent="0.45">
      <c r="A124" s="79">
        <v>61810609</v>
      </c>
      <c r="B124" s="21" t="str">
        <f t="shared" si="2"/>
        <v>6.181.060-9</v>
      </c>
      <c r="C124" s="22" t="s">
        <v>38</v>
      </c>
      <c r="D124" s="29" t="s">
        <v>857</v>
      </c>
      <c r="E124" s="29" t="s">
        <v>313</v>
      </c>
      <c r="F124" s="29" t="s">
        <v>858</v>
      </c>
      <c r="G124" s="49">
        <v>45390</v>
      </c>
      <c r="H124" s="49">
        <v>45410</v>
      </c>
      <c r="I124" s="21" t="s">
        <v>24</v>
      </c>
      <c r="J124" s="29" t="s">
        <v>24</v>
      </c>
      <c r="K124" s="24" t="s">
        <v>43</v>
      </c>
      <c r="L124" s="23">
        <v>45390</v>
      </c>
      <c r="M124" s="23">
        <v>45410</v>
      </c>
      <c r="N124" s="25">
        <f t="shared" si="3"/>
        <v>20</v>
      </c>
      <c r="O124" s="29"/>
      <c r="P124" t="s">
        <v>88</v>
      </c>
      <c r="Q124" t="s">
        <v>88</v>
      </c>
      <c r="R124" t="s">
        <v>88</v>
      </c>
      <c r="S124" t="s">
        <v>88</v>
      </c>
      <c r="T124" t="s">
        <v>88</v>
      </c>
      <c r="U124" t="s">
        <v>20</v>
      </c>
    </row>
    <row r="125" spans="1:21" x14ac:dyDescent="0.45">
      <c r="A125" s="79">
        <v>61810609</v>
      </c>
      <c r="B125" s="21" t="str">
        <f t="shared" si="2"/>
        <v>6.181.060-9</v>
      </c>
      <c r="C125" s="22" t="s">
        <v>38</v>
      </c>
      <c r="D125" s="29" t="s">
        <v>857</v>
      </c>
      <c r="E125" s="29" t="s">
        <v>313</v>
      </c>
      <c r="F125" s="29" t="s">
        <v>858</v>
      </c>
      <c r="G125" s="49">
        <v>45390</v>
      </c>
      <c r="H125" s="49">
        <v>45410</v>
      </c>
      <c r="I125" s="21" t="s">
        <v>24</v>
      </c>
      <c r="J125" s="29" t="s">
        <v>24</v>
      </c>
      <c r="K125" s="24" t="s">
        <v>47</v>
      </c>
      <c r="L125" s="23">
        <v>45390</v>
      </c>
      <c r="M125" s="23">
        <v>45410</v>
      </c>
      <c r="N125" s="25">
        <f t="shared" si="3"/>
        <v>20</v>
      </c>
      <c r="O125" s="70" t="s">
        <v>14</v>
      </c>
      <c r="P125" t="s">
        <v>88</v>
      </c>
      <c r="Q125" t="s">
        <v>88</v>
      </c>
      <c r="R125" t="s">
        <v>88</v>
      </c>
      <c r="S125" t="s">
        <v>88</v>
      </c>
      <c r="T125" t="s">
        <v>88</v>
      </c>
      <c r="U125" t="s">
        <v>20</v>
      </c>
    </row>
    <row r="126" spans="1:21" x14ac:dyDescent="0.45">
      <c r="A126" s="79">
        <v>55111014</v>
      </c>
      <c r="B126" s="21" t="str">
        <f t="shared" si="2"/>
        <v>5.511.101-4</v>
      </c>
      <c r="C126" s="22" t="s">
        <v>38</v>
      </c>
      <c r="D126" s="29" t="s">
        <v>675</v>
      </c>
      <c r="E126" s="29" t="s">
        <v>859</v>
      </c>
      <c r="F126" s="29" t="s">
        <v>246</v>
      </c>
      <c r="G126" s="49">
        <v>45391</v>
      </c>
      <c r="H126" s="49">
        <v>45392</v>
      </c>
      <c r="I126" s="21" t="s">
        <v>24</v>
      </c>
      <c r="J126" s="29" t="s">
        <v>24</v>
      </c>
      <c r="K126" s="24" t="s">
        <v>43</v>
      </c>
      <c r="L126" s="23">
        <v>45403</v>
      </c>
      <c r="M126" s="23">
        <v>45412</v>
      </c>
      <c r="N126" s="25">
        <f t="shared" si="3"/>
        <v>9</v>
      </c>
      <c r="O126" s="29"/>
      <c r="P126" t="s">
        <v>88</v>
      </c>
      <c r="Q126" t="s">
        <v>88</v>
      </c>
      <c r="R126" t="s">
        <v>88</v>
      </c>
      <c r="S126" t="s">
        <v>88</v>
      </c>
      <c r="T126" t="s">
        <v>88</v>
      </c>
      <c r="U126" t="s">
        <v>20</v>
      </c>
    </row>
    <row r="127" spans="1:21" x14ac:dyDescent="0.45">
      <c r="A127" s="79">
        <v>57095636</v>
      </c>
      <c r="B127" s="21" t="str">
        <f t="shared" si="2"/>
        <v>5.709.563-6</v>
      </c>
      <c r="C127" s="22" t="s">
        <v>38</v>
      </c>
      <c r="D127" s="29" t="s">
        <v>860</v>
      </c>
      <c r="E127" s="29" t="s">
        <v>861</v>
      </c>
      <c r="F127" s="29" t="s">
        <v>481</v>
      </c>
      <c r="G127" s="49">
        <v>45390</v>
      </c>
      <c r="H127" s="49">
        <v>45396</v>
      </c>
      <c r="I127" s="21" t="s">
        <v>24</v>
      </c>
      <c r="J127" s="29" t="s">
        <v>13</v>
      </c>
      <c r="K127" s="24" t="s">
        <v>43</v>
      </c>
      <c r="L127" s="23">
        <v>45390</v>
      </c>
      <c r="M127" s="23">
        <v>45396</v>
      </c>
      <c r="N127" s="25">
        <f t="shared" si="3"/>
        <v>6</v>
      </c>
      <c r="O127" s="29"/>
      <c r="P127" t="s">
        <v>88</v>
      </c>
      <c r="Q127" t="s">
        <v>88</v>
      </c>
      <c r="R127" t="s">
        <v>88</v>
      </c>
      <c r="S127" t="s">
        <v>88</v>
      </c>
      <c r="T127" t="s">
        <v>88</v>
      </c>
      <c r="U127" t="s">
        <v>20</v>
      </c>
    </row>
    <row r="128" spans="1:21" x14ac:dyDescent="0.45">
      <c r="A128" s="79" t="s">
        <v>862</v>
      </c>
      <c r="B128" s="21" t="str">
        <f t="shared" si="2"/>
        <v>8.807.372-K</v>
      </c>
      <c r="C128" s="22" t="s">
        <v>38</v>
      </c>
      <c r="D128" s="29" t="s">
        <v>863</v>
      </c>
      <c r="E128" s="29" t="s">
        <v>328</v>
      </c>
      <c r="F128" s="29" t="s">
        <v>351</v>
      </c>
      <c r="G128" s="49">
        <v>45387</v>
      </c>
      <c r="H128" s="49">
        <v>45411</v>
      </c>
      <c r="I128" s="21" t="s">
        <v>24</v>
      </c>
      <c r="J128" s="29" t="s">
        <v>13</v>
      </c>
      <c r="K128" s="24" t="s">
        <v>43</v>
      </c>
      <c r="L128" s="23">
        <v>45387</v>
      </c>
      <c r="M128" s="23">
        <v>45411</v>
      </c>
      <c r="N128" s="25">
        <f t="shared" si="3"/>
        <v>24</v>
      </c>
      <c r="O128" s="29"/>
      <c r="P128" t="s">
        <v>88</v>
      </c>
      <c r="Q128" t="s">
        <v>88</v>
      </c>
      <c r="R128" t="s">
        <v>88</v>
      </c>
      <c r="S128" t="s">
        <v>88</v>
      </c>
      <c r="T128" t="s">
        <v>88</v>
      </c>
      <c r="U128" t="s">
        <v>20</v>
      </c>
    </row>
    <row r="129" spans="1:21" x14ac:dyDescent="0.45">
      <c r="A129" s="79">
        <v>283990176</v>
      </c>
      <c r="B129" s="21" t="str">
        <f t="shared" si="2"/>
        <v>28.399.017-6</v>
      </c>
      <c r="C129" s="22" t="s">
        <v>16</v>
      </c>
      <c r="D129" s="29" t="s">
        <v>559</v>
      </c>
      <c r="E129" s="29" t="s">
        <v>851</v>
      </c>
      <c r="F129" s="29" t="s">
        <v>864</v>
      </c>
      <c r="G129" s="49">
        <v>45384</v>
      </c>
      <c r="H129" s="49">
        <v>45397</v>
      </c>
      <c r="I129" s="21" t="s">
        <v>16</v>
      </c>
      <c r="J129" s="29" t="s">
        <v>19</v>
      </c>
      <c r="K129" s="24" t="s">
        <v>18</v>
      </c>
      <c r="L129" s="49">
        <v>45385</v>
      </c>
      <c r="M129" s="23">
        <v>45397</v>
      </c>
      <c r="N129" s="25">
        <f t="shared" si="3"/>
        <v>12</v>
      </c>
      <c r="O129" s="29"/>
      <c r="P129" t="s">
        <v>88</v>
      </c>
      <c r="Q129" t="s">
        <v>88</v>
      </c>
      <c r="R129" t="s">
        <v>88</v>
      </c>
      <c r="S129" t="s">
        <v>88</v>
      </c>
      <c r="T129" t="s">
        <v>88</v>
      </c>
      <c r="U129" t="s">
        <v>20</v>
      </c>
    </row>
    <row r="130" spans="1:21" x14ac:dyDescent="0.45">
      <c r="A130" s="79">
        <v>283990176</v>
      </c>
      <c r="B130" s="21" t="str">
        <f t="shared" si="2"/>
        <v>28.399.017-6</v>
      </c>
      <c r="C130" s="22" t="s">
        <v>16</v>
      </c>
      <c r="D130" s="29" t="s">
        <v>559</v>
      </c>
      <c r="E130" s="29" t="s">
        <v>851</v>
      </c>
      <c r="F130" s="29" t="s">
        <v>864</v>
      </c>
      <c r="G130" s="49">
        <v>45384</v>
      </c>
      <c r="H130" s="49">
        <v>45397</v>
      </c>
      <c r="I130" s="21" t="s">
        <v>16</v>
      </c>
      <c r="J130" s="29" t="s">
        <v>19</v>
      </c>
      <c r="K130" s="24" t="s">
        <v>55</v>
      </c>
      <c r="L130" s="49">
        <v>45385</v>
      </c>
      <c r="M130" s="23">
        <v>45397</v>
      </c>
      <c r="N130" s="25">
        <f t="shared" si="3"/>
        <v>12</v>
      </c>
      <c r="O130" s="29"/>
      <c r="P130" t="s">
        <v>88</v>
      </c>
      <c r="Q130" t="s">
        <v>88</v>
      </c>
      <c r="R130" t="s">
        <v>88</v>
      </c>
      <c r="S130" t="s">
        <v>88</v>
      </c>
      <c r="T130" t="s">
        <v>88</v>
      </c>
      <c r="U130" t="s">
        <v>20</v>
      </c>
    </row>
    <row r="131" spans="1:21" x14ac:dyDescent="0.45">
      <c r="A131" s="79">
        <v>283999920</v>
      </c>
      <c r="B131" s="21" t="str">
        <f t="shared" si="2"/>
        <v>28.399.992-0</v>
      </c>
      <c r="C131" s="22" t="s">
        <v>16</v>
      </c>
      <c r="D131" s="29" t="s">
        <v>473</v>
      </c>
      <c r="E131" s="29" t="s">
        <v>865</v>
      </c>
      <c r="F131" s="29" t="s">
        <v>400</v>
      </c>
      <c r="G131" s="49">
        <v>45386</v>
      </c>
      <c r="H131" s="49">
        <v>45412</v>
      </c>
      <c r="I131" s="21" t="s">
        <v>36</v>
      </c>
      <c r="J131" s="29" t="s">
        <v>65</v>
      </c>
      <c r="K131" s="24" t="s">
        <v>18</v>
      </c>
      <c r="L131" s="23">
        <v>45391</v>
      </c>
      <c r="M131" s="49">
        <v>45412</v>
      </c>
      <c r="N131" s="25">
        <f t="shared" si="3"/>
        <v>21</v>
      </c>
      <c r="O131" s="29"/>
      <c r="P131" t="s">
        <v>88</v>
      </c>
      <c r="Q131" t="s">
        <v>88</v>
      </c>
      <c r="R131" t="s">
        <v>88</v>
      </c>
      <c r="S131" t="s">
        <v>88</v>
      </c>
      <c r="T131" t="s">
        <v>88</v>
      </c>
      <c r="U131" t="s">
        <v>20</v>
      </c>
    </row>
    <row r="132" spans="1:21" x14ac:dyDescent="0.45">
      <c r="A132" s="79">
        <v>283999920</v>
      </c>
      <c r="B132" s="21" t="str">
        <f t="shared" si="2"/>
        <v>28.399.992-0</v>
      </c>
      <c r="C132" s="22" t="s">
        <v>16</v>
      </c>
      <c r="D132" s="29" t="s">
        <v>473</v>
      </c>
      <c r="E132" s="29" t="s">
        <v>865</v>
      </c>
      <c r="F132" s="29" t="s">
        <v>400</v>
      </c>
      <c r="G132" s="49">
        <v>45386</v>
      </c>
      <c r="H132" s="49">
        <v>45412</v>
      </c>
      <c r="I132" s="21" t="s">
        <v>36</v>
      </c>
      <c r="J132" s="29" t="s">
        <v>65</v>
      </c>
      <c r="K132" s="24" t="s">
        <v>55</v>
      </c>
      <c r="L132" s="23">
        <v>45391</v>
      </c>
      <c r="M132" s="49">
        <v>45412</v>
      </c>
      <c r="N132" s="25">
        <f t="shared" si="3"/>
        <v>21</v>
      </c>
      <c r="O132" s="29"/>
      <c r="P132" t="s">
        <v>88</v>
      </c>
      <c r="Q132" t="s">
        <v>88</v>
      </c>
      <c r="R132" t="s">
        <v>88</v>
      </c>
      <c r="S132" t="s">
        <v>88</v>
      </c>
      <c r="T132" t="s">
        <v>88</v>
      </c>
      <c r="U132" t="s">
        <v>20</v>
      </c>
    </row>
    <row r="133" spans="1:21" x14ac:dyDescent="0.45">
      <c r="A133" s="79">
        <v>57936487</v>
      </c>
      <c r="B133" s="21" t="str">
        <f t="shared" si="2"/>
        <v>5.793.648-7</v>
      </c>
      <c r="C133" s="22" t="s">
        <v>22</v>
      </c>
      <c r="D133" s="29" t="s">
        <v>281</v>
      </c>
      <c r="E133" s="29" t="s">
        <v>339</v>
      </c>
      <c r="F133" s="29" t="s">
        <v>866</v>
      </c>
      <c r="G133" s="49">
        <v>45393</v>
      </c>
      <c r="H133" s="49">
        <v>45395</v>
      </c>
      <c r="I133" s="21" t="s">
        <v>22</v>
      </c>
      <c r="J133" s="29" t="s">
        <v>13</v>
      </c>
      <c r="K133" s="24" t="s">
        <v>43</v>
      </c>
      <c r="L133" s="23">
        <v>45391</v>
      </c>
      <c r="M133" s="23">
        <v>45395</v>
      </c>
      <c r="N133" s="25">
        <f t="shared" si="3"/>
        <v>4</v>
      </c>
      <c r="O133" s="29"/>
      <c r="P133" t="s">
        <v>88</v>
      </c>
      <c r="Q133" t="s">
        <v>88</v>
      </c>
      <c r="R133" t="s">
        <v>88</v>
      </c>
      <c r="S133" t="s">
        <v>88</v>
      </c>
      <c r="T133" t="s">
        <v>88</v>
      </c>
      <c r="U133" t="s">
        <v>20</v>
      </c>
    </row>
    <row r="134" spans="1:21" x14ac:dyDescent="0.45">
      <c r="A134" s="79">
        <v>172229239</v>
      </c>
      <c r="B134" s="21" t="str">
        <f t="shared" si="2"/>
        <v>17.222.923-9</v>
      </c>
      <c r="C134" s="22" t="s">
        <v>22</v>
      </c>
      <c r="D134" s="29" t="s">
        <v>384</v>
      </c>
      <c r="E134" s="29" t="s">
        <v>836</v>
      </c>
      <c r="F134" s="29" t="s">
        <v>548</v>
      </c>
      <c r="G134" s="49">
        <v>45386</v>
      </c>
      <c r="H134" s="49">
        <v>45410</v>
      </c>
      <c r="I134" s="21" t="s">
        <v>54</v>
      </c>
      <c r="J134" s="29" t="s">
        <v>61</v>
      </c>
      <c r="K134" s="24" t="s">
        <v>43</v>
      </c>
      <c r="L134" s="23">
        <v>45386</v>
      </c>
      <c r="M134" s="49">
        <v>45410</v>
      </c>
      <c r="N134" s="25">
        <f t="shared" si="3"/>
        <v>24</v>
      </c>
      <c r="O134" s="29"/>
      <c r="P134" t="s">
        <v>88</v>
      </c>
      <c r="Q134" t="s">
        <v>88</v>
      </c>
      <c r="R134" t="s">
        <v>88</v>
      </c>
      <c r="S134" t="s">
        <v>88</v>
      </c>
      <c r="T134" t="s">
        <v>88</v>
      </c>
      <c r="U134" t="s">
        <v>20</v>
      </c>
    </row>
    <row r="135" spans="1:21" x14ac:dyDescent="0.45">
      <c r="A135" s="79">
        <v>172229239</v>
      </c>
      <c r="B135" s="21" t="str">
        <f t="shared" si="2"/>
        <v>17.222.923-9</v>
      </c>
      <c r="C135" s="22" t="s">
        <v>22</v>
      </c>
      <c r="D135" s="29" t="s">
        <v>384</v>
      </c>
      <c r="E135" s="29" t="s">
        <v>836</v>
      </c>
      <c r="F135" s="29" t="s">
        <v>548</v>
      </c>
      <c r="G135" s="49">
        <v>45386</v>
      </c>
      <c r="H135" s="49">
        <v>45410</v>
      </c>
      <c r="I135" s="21" t="s">
        <v>54</v>
      </c>
      <c r="J135" s="29" t="s">
        <v>61</v>
      </c>
      <c r="K135" s="24" t="s">
        <v>47</v>
      </c>
      <c r="L135" s="23">
        <v>45390</v>
      </c>
      <c r="M135" s="49">
        <v>45410</v>
      </c>
      <c r="N135" s="25">
        <f t="shared" si="3"/>
        <v>20</v>
      </c>
      <c r="O135" s="29"/>
      <c r="P135" t="s">
        <v>88</v>
      </c>
      <c r="Q135" t="s">
        <v>88</v>
      </c>
      <c r="R135" t="s">
        <v>88</v>
      </c>
      <c r="S135" t="s">
        <v>88</v>
      </c>
      <c r="T135" t="s">
        <v>88</v>
      </c>
      <c r="U135" t="s">
        <v>20</v>
      </c>
    </row>
    <row r="136" spans="1:21" x14ac:dyDescent="0.45">
      <c r="A136" s="79">
        <v>172229239</v>
      </c>
      <c r="B136" s="21" t="str">
        <f t="shared" ref="B136:B199" si="4">IF(LEN(A136)=8,MID(A136,1,1)&amp;"."&amp;MID(A136,2,3)&amp;"."&amp;MID(A136,5,3)&amp;"-"&amp;RIGHT(A136,1),IF(LEFT(RIGHT(A136,2),1)="-",MID(A136,1,1)&amp;"."&amp;MID(A136,2,3)&amp;"."&amp;MID(A136,5,3)&amp;"-"&amp;RIGHT(A136,1),MID(A136,1,2)&amp;"."&amp;MID(A136,3,3)&amp;"."&amp;MID(A136,6,3)&amp;"-"&amp;MID(A136,9,1)))</f>
        <v>17.222.923-9</v>
      </c>
      <c r="C136" s="22" t="s">
        <v>22</v>
      </c>
      <c r="D136" s="29" t="s">
        <v>384</v>
      </c>
      <c r="E136" s="29" t="s">
        <v>836</v>
      </c>
      <c r="F136" s="29" t="s">
        <v>548</v>
      </c>
      <c r="G136" s="49">
        <v>45386</v>
      </c>
      <c r="H136" s="49">
        <v>45410</v>
      </c>
      <c r="I136" s="21" t="s">
        <v>54</v>
      </c>
      <c r="J136" s="29" t="s">
        <v>61</v>
      </c>
      <c r="K136" s="24" t="s">
        <v>55</v>
      </c>
      <c r="L136" s="23">
        <v>45386</v>
      </c>
      <c r="M136" s="23">
        <v>45401</v>
      </c>
      <c r="N136" s="25">
        <f t="shared" ref="N136:N199" si="5">+M136-L136</f>
        <v>15</v>
      </c>
      <c r="O136" s="29"/>
      <c r="P136" t="s">
        <v>88</v>
      </c>
      <c r="Q136" t="s">
        <v>88</v>
      </c>
      <c r="R136" t="s">
        <v>88</v>
      </c>
      <c r="S136" t="s">
        <v>88</v>
      </c>
      <c r="T136" t="s">
        <v>88</v>
      </c>
      <c r="U136" t="s">
        <v>20</v>
      </c>
    </row>
    <row r="137" spans="1:21" x14ac:dyDescent="0.45">
      <c r="A137" s="79">
        <v>172229239</v>
      </c>
      <c r="B137" s="21" t="str">
        <f t="shared" si="4"/>
        <v>17.222.923-9</v>
      </c>
      <c r="C137" s="22" t="s">
        <v>22</v>
      </c>
      <c r="D137" s="29" t="s">
        <v>384</v>
      </c>
      <c r="E137" s="29" t="s">
        <v>836</v>
      </c>
      <c r="F137" s="29" t="s">
        <v>548</v>
      </c>
      <c r="G137" s="49">
        <v>45386</v>
      </c>
      <c r="H137" s="49">
        <v>45410</v>
      </c>
      <c r="I137" s="21" t="s">
        <v>54</v>
      </c>
      <c r="J137" s="29" t="s">
        <v>61</v>
      </c>
      <c r="K137" s="24" t="s">
        <v>23</v>
      </c>
      <c r="L137" s="23">
        <v>45389</v>
      </c>
      <c r="M137" s="49">
        <v>45410</v>
      </c>
      <c r="N137" s="25">
        <f t="shared" si="5"/>
        <v>21</v>
      </c>
      <c r="O137" s="29"/>
      <c r="P137" t="s">
        <v>88</v>
      </c>
      <c r="Q137" t="s">
        <v>88</v>
      </c>
      <c r="R137" t="s">
        <v>88</v>
      </c>
      <c r="S137" t="s">
        <v>88</v>
      </c>
      <c r="T137" t="s">
        <v>88</v>
      </c>
      <c r="U137" t="s">
        <v>20</v>
      </c>
    </row>
    <row r="138" spans="1:21" x14ac:dyDescent="0.45">
      <c r="A138" s="79">
        <v>72496221</v>
      </c>
      <c r="B138" s="21" t="str">
        <f t="shared" si="4"/>
        <v>7.249.622-1</v>
      </c>
      <c r="C138" s="22" t="s">
        <v>22</v>
      </c>
      <c r="D138" s="29" t="s">
        <v>867</v>
      </c>
      <c r="E138" s="29" t="s">
        <v>868</v>
      </c>
      <c r="F138" s="29" t="s">
        <v>833</v>
      </c>
      <c r="G138" s="49">
        <v>45393</v>
      </c>
      <c r="H138" s="49">
        <v>45396</v>
      </c>
      <c r="I138" s="21" t="s">
        <v>54</v>
      </c>
      <c r="J138" s="29" t="s">
        <v>22</v>
      </c>
      <c r="K138" s="24" t="s">
        <v>43</v>
      </c>
      <c r="L138" s="49">
        <v>45393</v>
      </c>
      <c r="M138" s="49">
        <v>45396</v>
      </c>
      <c r="N138" s="29">
        <f t="shared" si="5"/>
        <v>3</v>
      </c>
      <c r="O138" s="29"/>
      <c r="P138" t="s">
        <v>88</v>
      </c>
      <c r="Q138" t="s">
        <v>88</v>
      </c>
      <c r="R138" t="s">
        <v>88</v>
      </c>
      <c r="S138" t="s">
        <v>88</v>
      </c>
      <c r="T138" t="s">
        <v>88</v>
      </c>
      <c r="U138" t="s">
        <v>20</v>
      </c>
    </row>
    <row r="139" spans="1:21" x14ac:dyDescent="0.45">
      <c r="A139" s="79">
        <v>72496221</v>
      </c>
      <c r="B139" s="21" t="str">
        <f t="shared" si="4"/>
        <v>7.249.622-1</v>
      </c>
      <c r="C139" s="22" t="s">
        <v>22</v>
      </c>
      <c r="D139" s="29" t="s">
        <v>867</v>
      </c>
      <c r="E139" s="29" t="s">
        <v>868</v>
      </c>
      <c r="F139" s="29" t="s">
        <v>833</v>
      </c>
      <c r="G139" s="49">
        <v>45393</v>
      </c>
      <c r="H139" s="49">
        <v>45396</v>
      </c>
      <c r="I139" s="21" t="s">
        <v>54</v>
      </c>
      <c r="J139" s="29" t="s">
        <v>22</v>
      </c>
      <c r="K139" s="24" t="s">
        <v>47</v>
      </c>
      <c r="L139" s="23">
        <v>45393</v>
      </c>
      <c r="M139" s="49">
        <v>45396</v>
      </c>
      <c r="N139" s="25">
        <f t="shared" si="5"/>
        <v>3</v>
      </c>
      <c r="O139" s="29"/>
      <c r="P139" t="s">
        <v>88</v>
      </c>
      <c r="Q139" t="s">
        <v>88</v>
      </c>
      <c r="R139" t="s">
        <v>88</v>
      </c>
      <c r="S139" t="s">
        <v>88</v>
      </c>
      <c r="T139" t="s">
        <v>88</v>
      </c>
      <c r="U139" t="s">
        <v>20</v>
      </c>
    </row>
    <row r="140" spans="1:21" x14ac:dyDescent="0.45">
      <c r="A140" s="79">
        <v>177106631</v>
      </c>
      <c r="B140" s="21" t="str">
        <f t="shared" si="4"/>
        <v>17.710.663-1</v>
      </c>
      <c r="C140" s="22" t="s">
        <v>22</v>
      </c>
      <c r="D140" s="29" t="s">
        <v>869</v>
      </c>
      <c r="E140" s="29" t="s">
        <v>325</v>
      </c>
      <c r="F140" s="29" t="s">
        <v>870</v>
      </c>
      <c r="G140" s="49">
        <v>45394</v>
      </c>
      <c r="H140" s="49">
        <v>45401</v>
      </c>
      <c r="I140" s="21" t="s">
        <v>22</v>
      </c>
      <c r="J140" s="29" t="s">
        <v>26</v>
      </c>
      <c r="K140" s="24" t="s">
        <v>43</v>
      </c>
      <c r="L140" s="23">
        <v>45394</v>
      </c>
      <c r="M140" s="49">
        <v>45401</v>
      </c>
      <c r="N140" s="25">
        <f t="shared" si="5"/>
        <v>7</v>
      </c>
      <c r="O140" s="29"/>
      <c r="P140" t="s">
        <v>88</v>
      </c>
      <c r="Q140" t="s">
        <v>88</v>
      </c>
      <c r="R140" t="s">
        <v>88</v>
      </c>
      <c r="S140" t="s">
        <v>88</v>
      </c>
      <c r="T140" t="s">
        <v>88</v>
      </c>
      <c r="U140" t="s">
        <v>20</v>
      </c>
    </row>
    <row r="141" spans="1:21" x14ac:dyDescent="0.45">
      <c r="A141" s="79">
        <v>177106631</v>
      </c>
      <c r="B141" s="21" t="str">
        <f t="shared" si="4"/>
        <v>17.710.663-1</v>
      </c>
      <c r="C141" s="22" t="s">
        <v>22</v>
      </c>
      <c r="D141" s="29" t="s">
        <v>869</v>
      </c>
      <c r="E141" s="29" t="s">
        <v>325</v>
      </c>
      <c r="F141" s="29" t="s">
        <v>870</v>
      </c>
      <c r="G141" s="49">
        <v>45394</v>
      </c>
      <c r="H141" s="49">
        <v>45401</v>
      </c>
      <c r="I141" s="21" t="s">
        <v>22</v>
      </c>
      <c r="J141" s="29" t="s">
        <v>26</v>
      </c>
      <c r="K141" s="24" t="s">
        <v>47</v>
      </c>
      <c r="L141" s="23">
        <v>45394</v>
      </c>
      <c r="M141" s="49">
        <v>45401</v>
      </c>
      <c r="N141" s="25">
        <f t="shared" si="5"/>
        <v>7</v>
      </c>
      <c r="O141" s="29"/>
      <c r="P141" t="s">
        <v>88</v>
      </c>
      <c r="Q141" t="s">
        <v>88</v>
      </c>
      <c r="R141" t="s">
        <v>88</v>
      </c>
      <c r="S141" t="s">
        <v>88</v>
      </c>
      <c r="T141" t="s">
        <v>88</v>
      </c>
      <c r="U141" t="s">
        <v>20</v>
      </c>
    </row>
    <row r="142" spans="1:21" x14ac:dyDescent="0.45">
      <c r="A142" s="79">
        <v>177106631</v>
      </c>
      <c r="B142" s="21" t="str">
        <f t="shared" si="4"/>
        <v>17.710.663-1</v>
      </c>
      <c r="C142" s="22" t="s">
        <v>22</v>
      </c>
      <c r="D142" s="29" t="s">
        <v>869</v>
      </c>
      <c r="E142" s="29" t="s">
        <v>325</v>
      </c>
      <c r="F142" s="29" t="s">
        <v>870</v>
      </c>
      <c r="G142" s="49">
        <v>45394</v>
      </c>
      <c r="H142" s="49">
        <v>45401</v>
      </c>
      <c r="I142" s="21" t="s">
        <v>22</v>
      </c>
      <c r="J142" s="29" t="s">
        <v>26</v>
      </c>
      <c r="K142" s="24" t="s">
        <v>55</v>
      </c>
      <c r="L142" s="23">
        <v>45394</v>
      </c>
      <c r="M142" s="49">
        <v>45401</v>
      </c>
      <c r="N142" s="25">
        <f t="shared" si="5"/>
        <v>7</v>
      </c>
      <c r="O142" s="29"/>
      <c r="P142" t="s">
        <v>88</v>
      </c>
      <c r="Q142" t="s">
        <v>88</v>
      </c>
      <c r="R142" t="s">
        <v>88</v>
      </c>
      <c r="S142" t="s">
        <v>88</v>
      </c>
      <c r="T142" t="s">
        <v>88</v>
      </c>
      <c r="U142" t="s">
        <v>20</v>
      </c>
    </row>
    <row r="143" spans="1:21" x14ac:dyDescent="0.45">
      <c r="A143" s="79">
        <v>143744086</v>
      </c>
      <c r="B143" s="21" t="str">
        <f t="shared" si="4"/>
        <v>14.374.408-6</v>
      </c>
      <c r="C143" s="22" t="s">
        <v>22</v>
      </c>
      <c r="D143" s="29" t="s">
        <v>496</v>
      </c>
      <c r="E143" s="29" t="s">
        <v>871</v>
      </c>
      <c r="F143" s="29" t="s">
        <v>872</v>
      </c>
      <c r="G143" s="49">
        <v>45392</v>
      </c>
      <c r="H143" s="49">
        <v>45400</v>
      </c>
      <c r="I143" s="21" t="s">
        <v>22</v>
      </c>
      <c r="J143" s="29" t="s">
        <v>19</v>
      </c>
      <c r="K143" s="24" t="s">
        <v>47</v>
      </c>
      <c r="L143" s="23">
        <v>45392</v>
      </c>
      <c r="M143" s="23">
        <v>45400</v>
      </c>
      <c r="N143" s="25">
        <f t="shared" si="5"/>
        <v>8</v>
      </c>
      <c r="O143" s="29"/>
      <c r="P143" t="s">
        <v>88</v>
      </c>
      <c r="Q143" t="s">
        <v>88</v>
      </c>
      <c r="R143" t="s">
        <v>88</v>
      </c>
      <c r="S143" t="s">
        <v>88</v>
      </c>
      <c r="T143" t="s">
        <v>88</v>
      </c>
      <c r="U143" t="s">
        <v>20</v>
      </c>
    </row>
    <row r="144" spans="1:21" x14ac:dyDescent="0.45">
      <c r="A144" s="79">
        <v>143744086</v>
      </c>
      <c r="B144" s="21" t="str">
        <f t="shared" si="4"/>
        <v>14.374.408-6</v>
      </c>
      <c r="C144" s="22" t="s">
        <v>22</v>
      </c>
      <c r="D144" s="29" t="s">
        <v>496</v>
      </c>
      <c r="E144" s="29" t="s">
        <v>871</v>
      </c>
      <c r="F144" s="29" t="s">
        <v>872</v>
      </c>
      <c r="G144" s="49">
        <v>45392</v>
      </c>
      <c r="H144" s="49">
        <v>45400</v>
      </c>
      <c r="I144" s="21" t="s">
        <v>22</v>
      </c>
      <c r="J144" s="29" t="s">
        <v>19</v>
      </c>
      <c r="K144" s="24" t="s">
        <v>43</v>
      </c>
      <c r="L144" s="23">
        <v>45392</v>
      </c>
      <c r="M144" s="23">
        <v>45400</v>
      </c>
      <c r="N144" s="25">
        <f t="shared" si="5"/>
        <v>8</v>
      </c>
      <c r="O144" s="29"/>
      <c r="P144" t="s">
        <v>88</v>
      </c>
      <c r="Q144" t="s">
        <v>88</v>
      </c>
      <c r="R144" t="s">
        <v>88</v>
      </c>
      <c r="S144" t="s">
        <v>88</v>
      </c>
      <c r="T144" t="s">
        <v>88</v>
      </c>
      <c r="U144" t="s">
        <v>20</v>
      </c>
    </row>
    <row r="145" spans="1:21" x14ac:dyDescent="0.45">
      <c r="A145" s="79">
        <v>143744086</v>
      </c>
      <c r="B145" s="21" t="str">
        <f t="shared" si="4"/>
        <v>14.374.408-6</v>
      </c>
      <c r="C145" s="22" t="s">
        <v>22</v>
      </c>
      <c r="D145" s="29" t="s">
        <v>496</v>
      </c>
      <c r="E145" s="29" t="s">
        <v>871</v>
      </c>
      <c r="F145" s="29" t="s">
        <v>872</v>
      </c>
      <c r="G145" s="49">
        <v>45392</v>
      </c>
      <c r="H145" s="49">
        <v>45400</v>
      </c>
      <c r="I145" s="21" t="s">
        <v>22</v>
      </c>
      <c r="J145" s="29" t="s">
        <v>19</v>
      </c>
      <c r="K145" s="24" t="s">
        <v>55</v>
      </c>
      <c r="L145" s="23">
        <v>45392</v>
      </c>
      <c r="M145" s="23">
        <v>45400</v>
      </c>
      <c r="N145" s="25">
        <f t="shared" si="5"/>
        <v>8</v>
      </c>
      <c r="O145" s="29"/>
      <c r="P145" t="s">
        <v>88</v>
      </c>
      <c r="Q145" t="s">
        <v>88</v>
      </c>
      <c r="R145" t="s">
        <v>88</v>
      </c>
      <c r="S145" t="s">
        <v>88</v>
      </c>
      <c r="T145" t="s">
        <v>88</v>
      </c>
      <c r="U145" t="s">
        <v>20</v>
      </c>
    </row>
    <row r="146" spans="1:21" x14ac:dyDescent="0.45">
      <c r="A146" s="79">
        <v>53058140</v>
      </c>
      <c r="B146" s="21" t="str">
        <f t="shared" si="4"/>
        <v>5.305.814-0</v>
      </c>
      <c r="C146" s="22" t="s">
        <v>22</v>
      </c>
      <c r="D146" s="29" t="s">
        <v>307</v>
      </c>
      <c r="E146" s="29" t="s">
        <v>422</v>
      </c>
      <c r="F146" s="29" t="s">
        <v>250</v>
      </c>
      <c r="G146" s="49">
        <v>45394</v>
      </c>
      <c r="H146" s="49">
        <v>45398</v>
      </c>
      <c r="I146" s="21" t="s">
        <v>24</v>
      </c>
      <c r="J146" s="29" t="s">
        <v>22</v>
      </c>
      <c r="K146" s="24" t="s">
        <v>43</v>
      </c>
      <c r="L146" s="23">
        <v>45386</v>
      </c>
      <c r="M146" s="23">
        <v>45398</v>
      </c>
      <c r="N146" s="25">
        <f t="shared" si="5"/>
        <v>12</v>
      </c>
      <c r="O146" s="29"/>
      <c r="P146" t="s">
        <v>96</v>
      </c>
      <c r="Q146" t="s">
        <v>88</v>
      </c>
      <c r="R146" t="s">
        <v>88</v>
      </c>
      <c r="S146" t="s">
        <v>88</v>
      </c>
      <c r="T146" t="s">
        <v>88</v>
      </c>
      <c r="U146" t="s">
        <v>20</v>
      </c>
    </row>
    <row r="147" spans="1:21" x14ac:dyDescent="0.45">
      <c r="A147" s="79">
        <v>53058140</v>
      </c>
      <c r="B147" s="21" t="str">
        <f t="shared" si="4"/>
        <v>5.305.814-0</v>
      </c>
      <c r="C147" s="22" t="s">
        <v>22</v>
      </c>
      <c r="D147" s="29" t="s">
        <v>307</v>
      </c>
      <c r="E147" s="29" t="s">
        <v>422</v>
      </c>
      <c r="F147" s="29" t="s">
        <v>250</v>
      </c>
      <c r="G147" s="49">
        <v>45394</v>
      </c>
      <c r="H147" s="49">
        <v>45398</v>
      </c>
      <c r="I147" s="21" t="s">
        <v>24</v>
      </c>
      <c r="J147" s="29" t="s">
        <v>22</v>
      </c>
      <c r="K147" s="24" t="s">
        <v>47</v>
      </c>
      <c r="L147" s="23">
        <v>45394</v>
      </c>
      <c r="M147" s="23">
        <v>45398</v>
      </c>
      <c r="N147" s="25">
        <f t="shared" si="5"/>
        <v>4</v>
      </c>
      <c r="O147" s="29"/>
      <c r="P147" t="s">
        <v>88</v>
      </c>
      <c r="Q147" t="s">
        <v>88</v>
      </c>
      <c r="R147" t="s">
        <v>88</v>
      </c>
      <c r="S147" t="s">
        <v>88</v>
      </c>
      <c r="T147" t="s">
        <v>88</v>
      </c>
      <c r="U147" t="s">
        <v>20</v>
      </c>
    </row>
    <row r="148" spans="1:21" x14ac:dyDescent="0.45">
      <c r="A148" s="79">
        <v>117897680</v>
      </c>
      <c r="B148" s="21" t="str">
        <f t="shared" si="4"/>
        <v>11.789.768-0</v>
      </c>
      <c r="C148" s="22" t="s">
        <v>22</v>
      </c>
      <c r="D148" s="29" t="s">
        <v>873</v>
      </c>
      <c r="E148" s="29" t="s">
        <v>874</v>
      </c>
      <c r="F148" s="29" t="s">
        <v>875</v>
      </c>
      <c r="G148" s="49">
        <v>45395</v>
      </c>
      <c r="H148" s="49">
        <v>45412</v>
      </c>
      <c r="I148" s="21" t="s">
        <v>54</v>
      </c>
      <c r="J148" s="29" t="s">
        <v>65</v>
      </c>
      <c r="K148" s="24" t="s">
        <v>43</v>
      </c>
      <c r="L148" s="23">
        <v>45395</v>
      </c>
      <c r="M148" s="49">
        <v>45412</v>
      </c>
      <c r="N148" s="25">
        <f t="shared" si="5"/>
        <v>17</v>
      </c>
      <c r="O148" s="29"/>
      <c r="P148" t="s">
        <v>88</v>
      </c>
      <c r="Q148" t="s">
        <v>88</v>
      </c>
      <c r="R148" t="s">
        <v>88</v>
      </c>
      <c r="S148" t="s">
        <v>88</v>
      </c>
      <c r="T148" t="s">
        <v>88</v>
      </c>
      <c r="U148" t="s">
        <v>20</v>
      </c>
    </row>
    <row r="149" spans="1:21" x14ac:dyDescent="0.45">
      <c r="A149" s="79">
        <v>117897680</v>
      </c>
      <c r="B149" s="21" t="str">
        <f t="shared" si="4"/>
        <v>11.789.768-0</v>
      </c>
      <c r="C149" s="22" t="s">
        <v>22</v>
      </c>
      <c r="D149" s="29" t="s">
        <v>873</v>
      </c>
      <c r="E149" s="29" t="s">
        <v>874</v>
      </c>
      <c r="F149" s="29" t="s">
        <v>875</v>
      </c>
      <c r="G149" s="49">
        <v>45395</v>
      </c>
      <c r="H149" s="49">
        <v>45412</v>
      </c>
      <c r="I149" s="21" t="s">
        <v>54</v>
      </c>
      <c r="J149" s="29" t="s">
        <v>65</v>
      </c>
      <c r="K149" s="24" t="s">
        <v>47</v>
      </c>
      <c r="L149" s="23">
        <v>45395</v>
      </c>
      <c r="M149" s="49">
        <v>45412</v>
      </c>
      <c r="N149" s="25">
        <f t="shared" si="5"/>
        <v>17</v>
      </c>
      <c r="O149" s="29"/>
      <c r="P149" t="s">
        <v>88</v>
      </c>
      <c r="Q149" t="s">
        <v>88</v>
      </c>
      <c r="R149" t="s">
        <v>88</v>
      </c>
      <c r="S149" t="s">
        <v>88</v>
      </c>
      <c r="T149" t="s">
        <v>88</v>
      </c>
      <c r="U149" t="s">
        <v>20</v>
      </c>
    </row>
    <row r="150" spans="1:21" x14ac:dyDescent="0.45">
      <c r="A150" s="79">
        <v>117897680</v>
      </c>
      <c r="B150" s="21" t="str">
        <f t="shared" si="4"/>
        <v>11.789.768-0</v>
      </c>
      <c r="C150" s="22" t="s">
        <v>22</v>
      </c>
      <c r="D150" s="29" t="s">
        <v>873</v>
      </c>
      <c r="E150" s="29" t="s">
        <v>874</v>
      </c>
      <c r="F150" s="29" t="s">
        <v>875</v>
      </c>
      <c r="G150" s="49">
        <v>45395</v>
      </c>
      <c r="H150" s="49">
        <v>45412</v>
      </c>
      <c r="I150" s="21" t="s">
        <v>54</v>
      </c>
      <c r="J150" s="29" t="s">
        <v>65</v>
      </c>
      <c r="K150" s="24" t="s">
        <v>55</v>
      </c>
      <c r="L150" s="23">
        <v>45395</v>
      </c>
      <c r="M150" s="49">
        <v>45412</v>
      </c>
      <c r="N150" s="25">
        <f t="shared" si="5"/>
        <v>17</v>
      </c>
      <c r="O150" s="29"/>
      <c r="P150" t="s">
        <v>132</v>
      </c>
      <c r="Q150" t="s">
        <v>88</v>
      </c>
      <c r="R150" t="s">
        <v>88</v>
      </c>
      <c r="S150" t="s">
        <v>88</v>
      </c>
      <c r="T150" t="s">
        <v>88</v>
      </c>
      <c r="U150" t="s">
        <v>20</v>
      </c>
    </row>
    <row r="151" spans="1:21" x14ac:dyDescent="0.45">
      <c r="A151" s="79">
        <v>129703695</v>
      </c>
      <c r="B151" s="21" t="str">
        <f t="shared" si="4"/>
        <v>12.970.369-5</v>
      </c>
      <c r="C151" s="22" t="s">
        <v>30</v>
      </c>
      <c r="D151" s="29" t="s">
        <v>559</v>
      </c>
      <c r="E151" s="29" t="s">
        <v>436</v>
      </c>
      <c r="F151" s="29" t="s">
        <v>876</v>
      </c>
      <c r="G151" s="49">
        <v>45396</v>
      </c>
      <c r="H151" s="49">
        <v>45399</v>
      </c>
      <c r="I151" s="21" t="s">
        <v>48</v>
      </c>
      <c r="J151" s="29" t="s">
        <v>24</v>
      </c>
      <c r="K151" s="24" t="s">
        <v>43</v>
      </c>
      <c r="L151" s="23">
        <v>45396</v>
      </c>
      <c r="M151" s="23">
        <v>45399</v>
      </c>
      <c r="N151" s="25">
        <f t="shared" si="5"/>
        <v>3</v>
      </c>
      <c r="O151" s="29"/>
      <c r="P151" t="s">
        <v>88</v>
      </c>
      <c r="Q151" t="s">
        <v>88</v>
      </c>
      <c r="R151" t="s">
        <v>88</v>
      </c>
      <c r="S151" t="s">
        <v>88</v>
      </c>
      <c r="T151" t="s">
        <v>88</v>
      </c>
      <c r="U151" t="s">
        <v>20</v>
      </c>
    </row>
    <row r="152" spans="1:21" x14ac:dyDescent="0.45">
      <c r="A152" s="79">
        <v>37864153</v>
      </c>
      <c r="B152" s="21" t="str">
        <f t="shared" si="4"/>
        <v>3.786.415-3</v>
      </c>
      <c r="C152" s="22" t="s">
        <v>30</v>
      </c>
      <c r="D152" s="29" t="s">
        <v>877</v>
      </c>
      <c r="E152" s="29" t="s">
        <v>856</v>
      </c>
      <c r="F152" s="29" t="s">
        <v>629</v>
      </c>
      <c r="G152" s="49">
        <v>45397</v>
      </c>
      <c r="H152" s="49">
        <v>45398</v>
      </c>
      <c r="I152" s="21" t="s">
        <v>24</v>
      </c>
      <c r="J152" s="29" t="s">
        <v>46</v>
      </c>
      <c r="K152" s="24" t="s">
        <v>43</v>
      </c>
      <c r="L152" s="23">
        <v>45393</v>
      </c>
      <c r="M152" s="23">
        <v>45398</v>
      </c>
      <c r="N152" s="25">
        <f t="shared" si="5"/>
        <v>5</v>
      </c>
      <c r="O152" s="29"/>
      <c r="P152" t="s">
        <v>88</v>
      </c>
      <c r="Q152" t="s">
        <v>88</v>
      </c>
      <c r="R152" t="s">
        <v>88</v>
      </c>
      <c r="S152" t="s">
        <v>88</v>
      </c>
      <c r="T152" t="s">
        <v>88</v>
      </c>
      <c r="U152" t="s">
        <v>20</v>
      </c>
    </row>
    <row r="153" spans="1:21" x14ac:dyDescent="0.45">
      <c r="A153" s="79" t="s">
        <v>878</v>
      </c>
      <c r="B153" s="21" t="str">
        <f t="shared" si="4"/>
        <v>11.782.179-K</v>
      </c>
      <c r="C153" s="22" t="s">
        <v>30</v>
      </c>
      <c r="D153" s="29" t="s">
        <v>652</v>
      </c>
      <c r="E153" s="29" t="s">
        <v>384</v>
      </c>
      <c r="F153" s="29" t="s">
        <v>858</v>
      </c>
      <c r="G153" s="49">
        <v>45392</v>
      </c>
      <c r="H153" s="49">
        <v>45398</v>
      </c>
      <c r="I153" s="21" t="s">
        <v>24</v>
      </c>
      <c r="J153" s="29" t="s">
        <v>69</v>
      </c>
      <c r="K153" s="24" t="s">
        <v>43</v>
      </c>
      <c r="L153" s="23">
        <v>45392</v>
      </c>
      <c r="M153" s="23">
        <v>45398</v>
      </c>
      <c r="N153" s="25">
        <f t="shared" si="5"/>
        <v>6</v>
      </c>
      <c r="O153" s="29"/>
      <c r="P153" t="s">
        <v>88</v>
      </c>
      <c r="Q153" t="s">
        <v>88</v>
      </c>
      <c r="R153" t="s">
        <v>88</v>
      </c>
      <c r="S153" t="s">
        <v>88</v>
      </c>
      <c r="T153" t="s">
        <v>88</v>
      </c>
      <c r="U153" t="s">
        <v>20</v>
      </c>
    </row>
    <row r="154" spans="1:21" x14ac:dyDescent="0.45">
      <c r="A154" s="79">
        <v>68926769</v>
      </c>
      <c r="B154" s="21" t="str">
        <f t="shared" si="4"/>
        <v>6.892.676-9</v>
      </c>
      <c r="C154" s="22" t="s">
        <v>30</v>
      </c>
      <c r="D154" s="29" t="s">
        <v>652</v>
      </c>
      <c r="E154" s="29" t="s">
        <v>307</v>
      </c>
      <c r="F154" s="29" t="s">
        <v>879</v>
      </c>
      <c r="G154" s="49">
        <v>45395</v>
      </c>
      <c r="H154" s="49">
        <v>45399</v>
      </c>
      <c r="I154" s="21" t="s">
        <v>24</v>
      </c>
      <c r="J154" s="29" t="s">
        <v>13</v>
      </c>
      <c r="K154" s="24" t="s">
        <v>43</v>
      </c>
      <c r="L154" s="23">
        <v>45395</v>
      </c>
      <c r="M154" s="49">
        <v>45399</v>
      </c>
      <c r="N154" s="25">
        <f t="shared" si="5"/>
        <v>4</v>
      </c>
      <c r="O154" s="29"/>
      <c r="P154" t="s">
        <v>88</v>
      </c>
      <c r="Q154" t="s">
        <v>88</v>
      </c>
      <c r="R154" t="s">
        <v>88</v>
      </c>
      <c r="S154" t="s">
        <v>88</v>
      </c>
      <c r="T154" t="s">
        <v>88</v>
      </c>
      <c r="U154" t="s">
        <v>20</v>
      </c>
    </row>
    <row r="155" spans="1:21" x14ac:dyDescent="0.45">
      <c r="A155" s="79">
        <v>68926769</v>
      </c>
      <c r="B155" s="21" t="str">
        <f t="shared" si="4"/>
        <v>6.892.676-9</v>
      </c>
      <c r="C155" s="22" t="s">
        <v>30</v>
      </c>
      <c r="D155" s="29" t="s">
        <v>652</v>
      </c>
      <c r="E155" s="29" t="s">
        <v>307</v>
      </c>
      <c r="F155" s="29" t="s">
        <v>879</v>
      </c>
      <c r="G155" s="49">
        <v>45395</v>
      </c>
      <c r="H155" s="49">
        <v>45399</v>
      </c>
      <c r="I155" s="21" t="s">
        <v>24</v>
      </c>
      <c r="J155" s="29" t="s">
        <v>13</v>
      </c>
      <c r="K155" s="24" t="s">
        <v>47</v>
      </c>
      <c r="L155" s="23">
        <v>45395</v>
      </c>
      <c r="M155" s="49">
        <v>45399</v>
      </c>
      <c r="N155" s="25">
        <f t="shared" si="5"/>
        <v>4</v>
      </c>
      <c r="O155" s="29"/>
      <c r="P155" t="s">
        <v>88</v>
      </c>
      <c r="Q155" t="s">
        <v>88</v>
      </c>
      <c r="R155" t="s">
        <v>88</v>
      </c>
      <c r="S155" t="s">
        <v>88</v>
      </c>
      <c r="T155" t="s">
        <v>88</v>
      </c>
      <c r="U155" t="s">
        <v>20</v>
      </c>
    </row>
    <row r="156" spans="1:21" x14ac:dyDescent="0.45">
      <c r="A156" s="79" t="s">
        <v>880</v>
      </c>
      <c r="B156" s="21" t="str">
        <f t="shared" si="4"/>
        <v>25.896.358-K</v>
      </c>
      <c r="C156" s="22" t="s">
        <v>22</v>
      </c>
      <c r="D156" s="29" t="s">
        <v>881</v>
      </c>
      <c r="E156" s="29"/>
      <c r="F156" s="29" t="s">
        <v>882</v>
      </c>
      <c r="G156" s="49">
        <v>45391</v>
      </c>
      <c r="H156" s="49">
        <v>45412</v>
      </c>
      <c r="I156" s="21" t="s">
        <v>22</v>
      </c>
      <c r="J156" s="29" t="s">
        <v>65</v>
      </c>
      <c r="K156" s="24" t="s">
        <v>43</v>
      </c>
      <c r="L156" s="23">
        <v>45376</v>
      </c>
      <c r="M156" s="49">
        <v>45412</v>
      </c>
      <c r="N156" s="25">
        <f t="shared" si="5"/>
        <v>36</v>
      </c>
      <c r="O156" s="29"/>
      <c r="P156" t="s">
        <v>88</v>
      </c>
      <c r="Q156" t="s">
        <v>88</v>
      </c>
      <c r="R156" t="s">
        <v>88</v>
      </c>
      <c r="S156" t="s">
        <v>88</v>
      </c>
      <c r="T156" t="s">
        <v>88</v>
      </c>
      <c r="U156" t="s">
        <v>20</v>
      </c>
    </row>
    <row r="157" spans="1:21" x14ac:dyDescent="0.45">
      <c r="A157" s="79" t="s">
        <v>880</v>
      </c>
      <c r="B157" s="21" t="str">
        <f t="shared" si="4"/>
        <v>25.896.358-K</v>
      </c>
      <c r="C157" s="22" t="s">
        <v>22</v>
      </c>
      <c r="D157" s="29" t="s">
        <v>881</v>
      </c>
      <c r="E157" s="29"/>
      <c r="F157" s="29" t="s">
        <v>882</v>
      </c>
      <c r="G157" s="49">
        <v>45391</v>
      </c>
      <c r="H157" s="49">
        <v>45412</v>
      </c>
      <c r="I157" s="21" t="s">
        <v>22</v>
      </c>
      <c r="J157" s="29" t="s">
        <v>65</v>
      </c>
      <c r="K157" s="24" t="s">
        <v>47</v>
      </c>
      <c r="L157" s="23">
        <v>45389</v>
      </c>
      <c r="M157" s="49">
        <v>45412</v>
      </c>
      <c r="N157" s="25">
        <f t="shared" si="5"/>
        <v>23</v>
      </c>
      <c r="O157" s="29"/>
      <c r="P157" t="s">
        <v>88</v>
      </c>
      <c r="Q157" t="s">
        <v>88</v>
      </c>
      <c r="R157" t="s">
        <v>88</v>
      </c>
      <c r="S157" t="s">
        <v>88</v>
      </c>
      <c r="T157" t="s">
        <v>88</v>
      </c>
      <c r="U157" t="s">
        <v>20</v>
      </c>
    </row>
    <row r="158" spans="1:21" x14ac:dyDescent="0.45">
      <c r="A158" s="79">
        <v>112342648</v>
      </c>
      <c r="B158" s="21" t="str">
        <f t="shared" si="4"/>
        <v>11.234.264-8</v>
      </c>
      <c r="C158" s="22" t="s">
        <v>22</v>
      </c>
      <c r="D158" s="29" t="s">
        <v>883</v>
      </c>
      <c r="E158" s="29" t="s">
        <v>884</v>
      </c>
      <c r="F158" s="29" t="s">
        <v>885</v>
      </c>
      <c r="G158" s="49">
        <v>45395</v>
      </c>
      <c r="H158" s="49">
        <v>45398</v>
      </c>
      <c r="I158" s="21" t="s">
        <v>30</v>
      </c>
      <c r="J158" s="29" t="s">
        <v>24</v>
      </c>
      <c r="K158" s="24" t="s">
        <v>43</v>
      </c>
      <c r="L158" s="23">
        <v>45394</v>
      </c>
      <c r="M158" s="49">
        <v>45398</v>
      </c>
      <c r="N158" s="25">
        <f t="shared" si="5"/>
        <v>4</v>
      </c>
      <c r="O158" s="29"/>
      <c r="P158" t="s">
        <v>88</v>
      </c>
      <c r="Q158" t="s">
        <v>88</v>
      </c>
      <c r="R158" t="s">
        <v>88</v>
      </c>
      <c r="S158" t="s">
        <v>88</v>
      </c>
      <c r="T158" t="s">
        <v>88</v>
      </c>
      <c r="U158" t="s">
        <v>20</v>
      </c>
    </row>
    <row r="159" spans="1:21" x14ac:dyDescent="0.45">
      <c r="A159" s="79">
        <v>112342648</v>
      </c>
      <c r="B159" s="21" t="str">
        <f t="shared" si="4"/>
        <v>11.234.264-8</v>
      </c>
      <c r="C159" s="22" t="s">
        <v>22</v>
      </c>
      <c r="D159" s="29" t="s">
        <v>883</v>
      </c>
      <c r="E159" s="29" t="s">
        <v>884</v>
      </c>
      <c r="F159" s="29" t="s">
        <v>885</v>
      </c>
      <c r="G159" s="49">
        <v>45395</v>
      </c>
      <c r="H159" s="49">
        <v>45398</v>
      </c>
      <c r="I159" s="21" t="s">
        <v>30</v>
      </c>
      <c r="J159" s="29" t="s">
        <v>24</v>
      </c>
      <c r="K159" s="24" t="s">
        <v>47</v>
      </c>
      <c r="L159" s="23">
        <v>45394</v>
      </c>
      <c r="M159" s="49">
        <v>45398</v>
      </c>
      <c r="N159" s="25">
        <f t="shared" si="5"/>
        <v>4</v>
      </c>
      <c r="O159" s="29"/>
      <c r="P159" t="s">
        <v>88</v>
      </c>
      <c r="Q159" t="s">
        <v>88</v>
      </c>
      <c r="R159" t="s">
        <v>88</v>
      </c>
      <c r="S159" t="s">
        <v>88</v>
      </c>
      <c r="T159" t="s">
        <v>88</v>
      </c>
      <c r="U159" t="s">
        <v>20</v>
      </c>
    </row>
    <row r="160" spans="1:21" x14ac:dyDescent="0.45">
      <c r="A160" s="79">
        <v>112112669</v>
      </c>
      <c r="B160" s="21" t="str">
        <f t="shared" si="4"/>
        <v>11.211.266-9</v>
      </c>
      <c r="C160" s="22" t="s">
        <v>22</v>
      </c>
      <c r="D160" s="29" t="s">
        <v>391</v>
      </c>
      <c r="E160" s="29" t="s">
        <v>574</v>
      </c>
      <c r="F160" s="29" t="s">
        <v>380</v>
      </c>
      <c r="G160" s="49">
        <v>45394</v>
      </c>
      <c r="H160" s="49">
        <v>45412</v>
      </c>
      <c r="I160" s="21" t="s">
        <v>22</v>
      </c>
      <c r="J160" s="29" t="s">
        <v>46</v>
      </c>
      <c r="K160" s="24" t="s">
        <v>43</v>
      </c>
      <c r="L160" s="23">
        <v>45394</v>
      </c>
      <c r="M160" s="23">
        <v>45412</v>
      </c>
      <c r="N160" s="25">
        <f t="shared" si="5"/>
        <v>18</v>
      </c>
      <c r="O160" s="29"/>
      <c r="P160" t="s">
        <v>88</v>
      </c>
      <c r="Q160" t="s">
        <v>88</v>
      </c>
      <c r="R160" t="s">
        <v>88</v>
      </c>
      <c r="S160" t="s">
        <v>88</v>
      </c>
      <c r="T160" t="s">
        <v>88</v>
      </c>
      <c r="U160" t="s">
        <v>20</v>
      </c>
    </row>
    <row r="161" spans="1:21" x14ac:dyDescent="0.45">
      <c r="A161" s="79">
        <v>72496221</v>
      </c>
      <c r="B161" s="21" t="str">
        <f t="shared" si="4"/>
        <v>7.249.622-1</v>
      </c>
      <c r="C161" s="22" t="s">
        <v>22</v>
      </c>
      <c r="D161" s="29" t="s">
        <v>886</v>
      </c>
      <c r="E161" s="29" t="s">
        <v>868</v>
      </c>
      <c r="F161" s="29" t="s">
        <v>833</v>
      </c>
      <c r="G161" s="49">
        <v>45396</v>
      </c>
      <c r="H161" s="49">
        <v>45398</v>
      </c>
      <c r="I161" s="21" t="s">
        <v>22</v>
      </c>
      <c r="J161" s="29" t="s">
        <v>26</v>
      </c>
      <c r="K161" s="24" t="s">
        <v>43</v>
      </c>
      <c r="L161" s="23">
        <v>45393</v>
      </c>
      <c r="M161" s="49">
        <v>45398</v>
      </c>
      <c r="N161" s="25">
        <f t="shared" si="5"/>
        <v>5</v>
      </c>
      <c r="O161" s="29"/>
      <c r="P161" t="s">
        <v>88</v>
      </c>
      <c r="Q161" t="s">
        <v>88</v>
      </c>
      <c r="R161" t="s">
        <v>88</v>
      </c>
      <c r="S161" t="s">
        <v>88</v>
      </c>
      <c r="T161" t="s">
        <v>88</v>
      </c>
      <c r="U161" t="s">
        <v>20</v>
      </c>
    </row>
    <row r="162" spans="1:21" x14ac:dyDescent="0.45">
      <c r="A162" s="79">
        <v>72496221</v>
      </c>
      <c r="B162" s="21" t="str">
        <f t="shared" si="4"/>
        <v>7.249.622-1</v>
      </c>
      <c r="C162" s="22" t="s">
        <v>22</v>
      </c>
      <c r="D162" s="29" t="s">
        <v>886</v>
      </c>
      <c r="E162" s="29" t="s">
        <v>868</v>
      </c>
      <c r="F162" s="29" t="s">
        <v>833</v>
      </c>
      <c r="G162" s="49">
        <v>45396</v>
      </c>
      <c r="H162" s="49">
        <v>45398</v>
      </c>
      <c r="I162" s="21" t="s">
        <v>22</v>
      </c>
      <c r="J162" s="29" t="s">
        <v>26</v>
      </c>
      <c r="K162" s="24" t="s">
        <v>47</v>
      </c>
      <c r="L162" s="23">
        <v>45393</v>
      </c>
      <c r="M162" s="49">
        <v>45398</v>
      </c>
      <c r="N162" s="25">
        <f t="shared" si="5"/>
        <v>5</v>
      </c>
      <c r="O162" s="29"/>
      <c r="P162" t="s">
        <v>88</v>
      </c>
      <c r="Q162" t="s">
        <v>88</v>
      </c>
      <c r="R162" t="s">
        <v>88</v>
      </c>
      <c r="S162" t="s">
        <v>88</v>
      </c>
      <c r="T162" t="s">
        <v>88</v>
      </c>
      <c r="U162" t="s">
        <v>20</v>
      </c>
    </row>
    <row r="163" spans="1:21" x14ac:dyDescent="0.45">
      <c r="A163" s="79">
        <v>76420742</v>
      </c>
      <c r="B163" s="21" t="str">
        <f t="shared" si="4"/>
        <v>7.642.074-2</v>
      </c>
      <c r="C163" s="22" t="s">
        <v>22</v>
      </c>
      <c r="D163" s="29" t="s">
        <v>240</v>
      </c>
      <c r="E163" s="29" t="s">
        <v>887</v>
      </c>
      <c r="F163" s="29" t="s">
        <v>629</v>
      </c>
      <c r="G163" s="49">
        <v>45392</v>
      </c>
      <c r="H163" s="49">
        <v>45412</v>
      </c>
      <c r="I163" s="21" t="s">
        <v>22</v>
      </c>
      <c r="J163" s="29" t="s">
        <v>65</v>
      </c>
      <c r="K163" s="24" t="s">
        <v>18</v>
      </c>
      <c r="L163" s="23">
        <v>45386</v>
      </c>
      <c r="M163" s="23">
        <v>45412</v>
      </c>
      <c r="N163" s="25">
        <f t="shared" si="5"/>
        <v>26</v>
      </c>
      <c r="O163" s="29"/>
      <c r="P163" t="s">
        <v>88</v>
      </c>
      <c r="Q163" t="s">
        <v>88</v>
      </c>
      <c r="R163" t="s">
        <v>88</v>
      </c>
      <c r="S163" t="s">
        <v>88</v>
      </c>
      <c r="T163" t="s">
        <v>88</v>
      </c>
      <c r="U163" t="s">
        <v>20</v>
      </c>
    </row>
    <row r="164" spans="1:21" x14ac:dyDescent="0.45">
      <c r="A164" s="79">
        <v>64847074</v>
      </c>
      <c r="B164" s="21" t="str">
        <f t="shared" si="4"/>
        <v>6.484.707-4</v>
      </c>
      <c r="C164" s="22" t="s">
        <v>22</v>
      </c>
      <c r="D164" s="29" t="s">
        <v>808</v>
      </c>
      <c r="E164" s="29" t="s">
        <v>266</v>
      </c>
      <c r="F164" s="29" t="s">
        <v>238</v>
      </c>
      <c r="G164" s="49">
        <v>45357</v>
      </c>
      <c r="H164" s="49">
        <v>45412</v>
      </c>
      <c r="I164" s="21" t="s">
        <v>22</v>
      </c>
      <c r="J164" s="29" t="s">
        <v>65</v>
      </c>
      <c r="K164" s="24" t="s">
        <v>47</v>
      </c>
      <c r="L164" s="23">
        <v>45365</v>
      </c>
      <c r="M164" s="49">
        <v>45412</v>
      </c>
      <c r="N164" s="25">
        <f t="shared" si="5"/>
        <v>47</v>
      </c>
      <c r="O164" s="29"/>
      <c r="P164" t="s">
        <v>88</v>
      </c>
      <c r="Q164" t="s">
        <v>88</v>
      </c>
      <c r="R164" t="s">
        <v>88</v>
      </c>
      <c r="S164" t="s">
        <v>88</v>
      </c>
      <c r="T164" t="s">
        <v>88</v>
      </c>
      <c r="U164" t="s">
        <v>20</v>
      </c>
    </row>
    <row r="165" spans="1:21" x14ac:dyDescent="0.45">
      <c r="A165" s="79">
        <v>64847074</v>
      </c>
      <c r="B165" s="21" t="str">
        <f t="shared" si="4"/>
        <v>6.484.707-4</v>
      </c>
      <c r="C165" s="22" t="s">
        <v>22</v>
      </c>
      <c r="D165" s="29" t="s">
        <v>808</v>
      </c>
      <c r="E165" s="29" t="s">
        <v>266</v>
      </c>
      <c r="F165" s="29" t="s">
        <v>238</v>
      </c>
      <c r="G165" s="49">
        <v>45357</v>
      </c>
      <c r="H165" s="49">
        <v>45412</v>
      </c>
      <c r="I165" s="21" t="s">
        <v>22</v>
      </c>
      <c r="J165" s="29" t="s">
        <v>65</v>
      </c>
      <c r="K165" s="24" t="s">
        <v>18</v>
      </c>
      <c r="L165" s="23">
        <v>45367</v>
      </c>
      <c r="M165" s="49">
        <v>45412</v>
      </c>
      <c r="N165" s="25">
        <f t="shared" si="5"/>
        <v>45</v>
      </c>
      <c r="O165" s="29"/>
      <c r="P165" t="s">
        <v>88</v>
      </c>
      <c r="Q165" t="s">
        <v>88</v>
      </c>
      <c r="R165" t="s">
        <v>88</v>
      </c>
      <c r="S165" t="s">
        <v>88</v>
      </c>
      <c r="T165" t="s">
        <v>88</v>
      </c>
      <c r="U165" t="s">
        <v>20</v>
      </c>
    </row>
    <row r="166" spans="1:21" x14ac:dyDescent="0.45">
      <c r="A166" s="79">
        <v>168961782</v>
      </c>
      <c r="B166" s="21" t="str">
        <f t="shared" si="4"/>
        <v>16.896.178-2</v>
      </c>
      <c r="C166" s="22" t="s">
        <v>22</v>
      </c>
      <c r="D166" s="29" t="s">
        <v>888</v>
      </c>
      <c r="E166" s="29" t="s">
        <v>512</v>
      </c>
      <c r="F166" s="29" t="s">
        <v>889</v>
      </c>
      <c r="G166" s="49">
        <v>45396</v>
      </c>
      <c r="H166" s="49">
        <v>45399</v>
      </c>
      <c r="I166" s="21" t="s">
        <v>22</v>
      </c>
      <c r="J166" s="29" t="s">
        <v>56</v>
      </c>
      <c r="K166" s="24" t="s">
        <v>43</v>
      </c>
      <c r="L166" s="23">
        <v>45391</v>
      </c>
      <c r="M166" s="49">
        <v>45399</v>
      </c>
      <c r="N166" s="25">
        <f t="shared" si="5"/>
        <v>8</v>
      </c>
      <c r="O166" s="29"/>
      <c r="P166" t="s">
        <v>88</v>
      </c>
      <c r="Q166" t="s">
        <v>88</v>
      </c>
      <c r="R166" t="s">
        <v>88</v>
      </c>
      <c r="S166" t="s">
        <v>88</v>
      </c>
      <c r="T166" t="s">
        <v>88</v>
      </c>
      <c r="U166" t="s">
        <v>20</v>
      </c>
    </row>
    <row r="167" spans="1:21" x14ac:dyDescent="0.45">
      <c r="A167" s="79">
        <v>76774625</v>
      </c>
      <c r="B167" s="21" t="str">
        <f t="shared" si="4"/>
        <v>7.677.462-5</v>
      </c>
      <c r="C167" s="22" t="s">
        <v>22</v>
      </c>
      <c r="D167" s="29" t="s">
        <v>890</v>
      </c>
      <c r="E167" s="29" t="s">
        <v>273</v>
      </c>
      <c r="F167" s="29" t="s">
        <v>793</v>
      </c>
      <c r="G167" s="49">
        <v>45396</v>
      </c>
      <c r="H167" s="49">
        <v>45397</v>
      </c>
      <c r="I167" s="21" t="s">
        <v>30</v>
      </c>
      <c r="J167" s="29" t="s">
        <v>24</v>
      </c>
      <c r="K167" s="24" t="s">
        <v>43</v>
      </c>
      <c r="L167" s="23">
        <v>45394</v>
      </c>
      <c r="M167" s="23">
        <v>45397</v>
      </c>
      <c r="N167" s="25">
        <f t="shared" si="5"/>
        <v>3</v>
      </c>
      <c r="O167" s="29"/>
      <c r="P167" t="s">
        <v>88</v>
      </c>
      <c r="Q167" t="s">
        <v>88</v>
      </c>
      <c r="R167" t="s">
        <v>88</v>
      </c>
      <c r="S167" t="s">
        <v>88</v>
      </c>
      <c r="T167" t="s">
        <v>88</v>
      </c>
      <c r="U167" t="s">
        <v>20</v>
      </c>
    </row>
    <row r="168" spans="1:21" x14ac:dyDescent="0.45">
      <c r="A168" s="79">
        <v>76774625</v>
      </c>
      <c r="B168" s="21" t="str">
        <f t="shared" si="4"/>
        <v>7.677.462-5</v>
      </c>
      <c r="C168" s="22" t="s">
        <v>22</v>
      </c>
      <c r="D168" s="29" t="s">
        <v>890</v>
      </c>
      <c r="E168" s="29" t="s">
        <v>273</v>
      </c>
      <c r="F168" s="29" t="s">
        <v>793</v>
      </c>
      <c r="G168" s="49">
        <v>45396</v>
      </c>
      <c r="H168" s="49">
        <v>45397</v>
      </c>
      <c r="I168" s="21" t="s">
        <v>30</v>
      </c>
      <c r="J168" s="29" t="s">
        <v>24</v>
      </c>
      <c r="K168" s="24" t="s">
        <v>47</v>
      </c>
      <c r="L168" s="23">
        <v>45394</v>
      </c>
      <c r="M168" s="23">
        <v>45397</v>
      </c>
      <c r="N168" s="25">
        <f t="shared" si="5"/>
        <v>3</v>
      </c>
      <c r="O168" s="29"/>
      <c r="P168" t="s">
        <v>88</v>
      </c>
      <c r="Q168" t="s">
        <v>88</v>
      </c>
      <c r="R168" t="s">
        <v>88</v>
      </c>
      <c r="S168" t="s">
        <v>88</v>
      </c>
      <c r="T168" t="s">
        <v>88</v>
      </c>
      <c r="U168" t="s">
        <v>20</v>
      </c>
    </row>
    <row r="169" spans="1:21" x14ac:dyDescent="0.45">
      <c r="A169" s="79">
        <v>74282083</v>
      </c>
      <c r="B169" s="21" t="str">
        <f t="shared" si="4"/>
        <v>7.428.208-3</v>
      </c>
      <c r="C169" s="22" t="s">
        <v>46</v>
      </c>
      <c r="D169" s="29" t="s">
        <v>652</v>
      </c>
      <c r="E169" s="29" t="s">
        <v>891</v>
      </c>
      <c r="F169" s="29" t="s">
        <v>892</v>
      </c>
      <c r="G169" s="49">
        <v>45390</v>
      </c>
      <c r="H169" s="49">
        <v>45397</v>
      </c>
      <c r="I169" s="21" t="s">
        <v>54</v>
      </c>
      <c r="J169" s="29" t="s">
        <v>13</v>
      </c>
      <c r="K169" s="24" t="s">
        <v>51</v>
      </c>
      <c r="L169" s="23">
        <v>45390</v>
      </c>
      <c r="M169" s="23">
        <v>45397</v>
      </c>
      <c r="N169" s="25">
        <f t="shared" si="5"/>
        <v>7</v>
      </c>
      <c r="O169" s="29"/>
      <c r="P169" t="s">
        <v>88</v>
      </c>
      <c r="Q169" t="s">
        <v>88</v>
      </c>
      <c r="R169" t="s">
        <v>88</v>
      </c>
      <c r="S169" t="s">
        <v>88</v>
      </c>
      <c r="T169" t="s">
        <v>88</v>
      </c>
      <c r="U169" t="s">
        <v>20</v>
      </c>
    </row>
    <row r="170" spans="1:21" x14ac:dyDescent="0.45">
      <c r="A170" s="79">
        <v>56288198</v>
      </c>
      <c r="B170" s="21" t="str">
        <f t="shared" si="4"/>
        <v>5.628.819-8</v>
      </c>
      <c r="C170" s="22" t="s">
        <v>46</v>
      </c>
      <c r="D170" s="29" t="s">
        <v>559</v>
      </c>
      <c r="E170" s="29" t="s">
        <v>893</v>
      </c>
      <c r="F170" s="29" t="s">
        <v>894</v>
      </c>
      <c r="G170" s="49">
        <v>45385</v>
      </c>
      <c r="H170" s="49">
        <v>45398</v>
      </c>
      <c r="I170" s="21" t="s">
        <v>54</v>
      </c>
      <c r="J170" s="29" t="s">
        <v>65</v>
      </c>
      <c r="K170" s="24" t="s">
        <v>47</v>
      </c>
      <c r="L170" s="23">
        <v>45394</v>
      </c>
      <c r="M170" s="23">
        <v>45398</v>
      </c>
      <c r="N170" s="25">
        <f t="shared" si="5"/>
        <v>4</v>
      </c>
      <c r="O170" s="70" t="s">
        <v>14</v>
      </c>
      <c r="P170" t="s">
        <v>88</v>
      </c>
      <c r="Q170" t="s">
        <v>88</v>
      </c>
      <c r="R170" t="s">
        <v>88</v>
      </c>
      <c r="S170" t="s">
        <v>88</v>
      </c>
      <c r="T170" t="s">
        <v>88</v>
      </c>
      <c r="U170" t="s">
        <v>20</v>
      </c>
    </row>
    <row r="171" spans="1:21" x14ac:dyDescent="0.45">
      <c r="A171" s="79">
        <v>121876167</v>
      </c>
      <c r="B171" s="21" t="str">
        <f t="shared" si="4"/>
        <v>12.187.616-7</v>
      </c>
      <c r="C171" s="22" t="s">
        <v>22</v>
      </c>
      <c r="D171" s="29" t="s">
        <v>490</v>
      </c>
      <c r="E171" s="29" t="s">
        <v>249</v>
      </c>
      <c r="F171" s="29" t="s">
        <v>895</v>
      </c>
      <c r="G171" s="49">
        <v>45400</v>
      </c>
      <c r="H171" s="49">
        <v>45404</v>
      </c>
      <c r="I171" s="21" t="s">
        <v>60</v>
      </c>
      <c r="J171" s="29" t="s">
        <v>13</v>
      </c>
      <c r="K171" s="24" t="s">
        <v>43</v>
      </c>
      <c r="L171" s="49">
        <v>45400</v>
      </c>
      <c r="M171" s="49">
        <v>45404</v>
      </c>
      <c r="N171" s="25">
        <f t="shared" si="5"/>
        <v>4</v>
      </c>
      <c r="O171" s="29"/>
      <c r="P171" t="s">
        <v>88</v>
      </c>
      <c r="Q171" t="s">
        <v>88</v>
      </c>
      <c r="R171" t="s">
        <v>88</v>
      </c>
      <c r="S171" t="s">
        <v>88</v>
      </c>
      <c r="T171" t="s">
        <v>88</v>
      </c>
      <c r="U171" t="s">
        <v>20</v>
      </c>
    </row>
    <row r="172" spans="1:21" x14ac:dyDescent="0.45">
      <c r="A172" s="79">
        <v>121876167</v>
      </c>
      <c r="B172" s="21" t="str">
        <f t="shared" si="4"/>
        <v>12.187.616-7</v>
      </c>
      <c r="C172" s="22" t="s">
        <v>22</v>
      </c>
      <c r="D172" s="29" t="s">
        <v>490</v>
      </c>
      <c r="E172" s="29" t="s">
        <v>249</v>
      </c>
      <c r="F172" s="29" t="s">
        <v>895</v>
      </c>
      <c r="G172" s="49">
        <v>45400</v>
      </c>
      <c r="H172" s="49">
        <v>45404</v>
      </c>
      <c r="I172" s="21" t="s">
        <v>60</v>
      </c>
      <c r="J172" s="29" t="s">
        <v>13</v>
      </c>
      <c r="K172" s="24" t="s">
        <v>47</v>
      </c>
      <c r="L172" s="49">
        <v>45400</v>
      </c>
      <c r="M172" s="49">
        <v>45404</v>
      </c>
      <c r="N172" s="25">
        <f t="shared" si="5"/>
        <v>4</v>
      </c>
      <c r="O172" s="29"/>
      <c r="P172" t="s">
        <v>88</v>
      </c>
      <c r="Q172" t="s">
        <v>88</v>
      </c>
      <c r="R172" t="s">
        <v>88</v>
      </c>
      <c r="S172" t="s">
        <v>88</v>
      </c>
      <c r="T172" t="s">
        <v>88</v>
      </c>
      <c r="U172" t="s">
        <v>20</v>
      </c>
    </row>
    <row r="173" spans="1:21" x14ac:dyDescent="0.45">
      <c r="A173" s="79">
        <v>79903396</v>
      </c>
      <c r="B173" s="21" t="str">
        <f t="shared" si="4"/>
        <v>7.990.339-6</v>
      </c>
      <c r="C173" s="22" t="s">
        <v>22</v>
      </c>
      <c r="D173" s="29" t="s">
        <v>660</v>
      </c>
      <c r="E173" s="29" t="s">
        <v>313</v>
      </c>
      <c r="F173" s="29" t="s">
        <v>250</v>
      </c>
      <c r="G173" s="49">
        <v>45398</v>
      </c>
      <c r="H173" s="49">
        <v>45412</v>
      </c>
      <c r="I173" s="21" t="s">
        <v>54</v>
      </c>
      <c r="J173" s="29" t="s">
        <v>65</v>
      </c>
      <c r="K173" s="24" t="s">
        <v>43</v>
      </c>
      <c r="L173" s="23">
        <v>45397</v>
      </c>
      <c r="M173" s="49">
        <v>45412</v>
      </c>
      <c r="N173" s="25">
        <f t="shared" si="5"/>
        <v>15</v>
      </c>
      <c r="O173" s="29"/>
      <c r="P173" t="s">
        <v>88</v>
      </c>
      <c r="Q173" t="s">
        <v>88</v>
      </c>
      <c r="R173" t="s">
        <v>88</v>
      </c>
      <c r="S173" t="s">
        <v>88</v>
      </c>
      <c r="T173" t="s">
        <v>88</v>
      </c>
      <c r="U173" t="s">
        <v>20</v>
      </c>
    </row>
    <row r="174" spans="1:21" x14ac:dyDescent="0.45">
      <c r="A174" s="79">
        <v>79903396</v>
      </c>
      <c r="B174" s="21" t="str">
        <f t="shared" si="4"/>
        <v>7.990.339-6</v>
      </c>
      <c r="C174" s="22" t="s">
        <v>22</v>
      </c>
      <c r="D174" s="29" t="s">
        <v>660</v>
      </c>
      <c r="E174" s="29" t="s">
        <v>313</v>
      </c>
      <c r="F174" s="29" t="s">
        <v>250</v>
      </c>
      <c r="G174" s="49">
        <v>45398</v>
      </c>
      <c r="H174" s="49">
        <v>45412</v>
      </c>
      <c r="I174" s="21" t="s">
        <v>54</v>
      </c>
      <c r="J174" s="29" t="s">
        <v>65</v>
      </c>
      <c r="K174" s="24" t="s">
        <v>47</v>
      </c>
      <c r="L174" s="23">
        <v>45397</v>
      </c>
      <c r="M174" s="49">
        <v>45412</v>
      </c>
      <c r="N174" s="25">
        <f t="shared" si="5"/>
        <v>15</v>
      </c>
      <c r="O174" s="29"/>
      <c r="P174" t="s">
        <v>88</v>
      </c>
      <c r="Q174" t="s">
        <v>88</v>
      </c>
      <c r="R174" t="s">
        <v>88</v>
      </c>
      <c r="S174" t="s">
        <v>88</v>
      </c>
      <c r="T174" t="s">
        <v>88</v>
      </c>
      <c r="U174" t="s">
        <v>20</v>
      </c>
    </row>
    <row r="175" spans="1:21" x14ac:dyDescent="0.45">
      <c r="A175" s="79">
        <v>79903396</v>
      </c>
      <c r="B175" s="21" t="str">
        <f t="shared" si="4"/>
        <v>7.990.339-6</v>
      </c>
      <c r="C175" s="22" t="s">
        <v>22</v>
      </c>
      <c r="D175" s="29" t="s">
        <v>660</v>
      </c>
      <c r="E175" s="29" t="s">
        <v>313</v>
      </c>
      <c r="F175" s="29" t="s">
        <v>250</v>
      </c>
      <c r="G175" s="49">
        <v>45398</v>
      </c>
      <c r="H175" s="49">
        <v>45412</v>
      </c>
      <c r="I175" s="21" t="s">
        <v>54</v>
      </c>
      <c r="J175" s="29" t="s">
        <v>65</v>
      </c>
      <c r="K175" s="24" t="s">
        <v>55</v>
      </c>
      <c r="L175" s="23">
        <v>45397</v>
      </c>
      <c r="M175" s="49">
        <v>45412</v>
      </c>
      <c r="N175" s="25">
        <f t="shared" si="5"/>
        <v>15</v>
      </c>
      <c r="O175" s="29"/>
      <c r="P175" t="s">
        <v>88</v>
      </c>
      <c r="Q175" t="s">
        <v>88</v>
      </c>
      <c r="R175" t="s">
        <v>88</v>
      </c>
      <c r="S175" t="s">
        <v>88</v>
      </c>
      <c r="T175" t="s">
        <v>88</v>
      </c>
      <c r="U175" t="s">
        <v>20</v>
      </c>
    </row>
    <row r="176" spans="1:21" x14ac:dyDescent="0.45">
      <c r="A176" s="79">
        <v>112911782</v>
      </c>
      <c r="B176" s="21" t="str">
        <f t="shared" si="4"/>
        <v>11.291.178-2</v>
      </c>
      <c r="C176" s="22" t="s">
        <v>22</v>
      </c>
      <c r="D176" s="29" t="s">
        <v>422</v>
      </c>
      <c r="E176" s="29" t="s">
        <v>422</v>
      </c>
      <c r="F176" s="29" t="s">
        <v>896</v>
      </c>
      <c r="G176" s="49">
        <v>45398</v>
      </c>
      <c r="H176" s="49">
        <v>45406</v>
      </c>
      <c r="I176" s="21" t="s">
        <v>54</v>
      </c>
      <c r="J176" s="29" t="s">
        <v>56</v>
      </c>
      <c r="K176" s="24" t="s">
        <v>55</v>
      </c>
      <c r="L176" s="23">
        <v>45398</v>
      </c>
      <c r="M176" s="49">
        <v>45406</v>
      </c>
      <c r="N176" s="25">
        <f t="shared" si="5"/>
        <v>8</v>
      </c>
      <c r="O176" s="29"/>
      <c r="P176" t="s">
        <v>88</v>
      </c>
      <c r="Q176" t="s">
        <v>88</v>
      </c>
      <c r="R176" t="s">
        <v>88</v>
      </c>
      <c r="S176" t="s">
        <v>88</v>
      </c>
      <c r="T176" t="s">
        <v>88</v>
      </c>
      <c r="U176" t="s">
        <v>20</v>
      </c>
    </row>
    <row r="177" spans="1:21" x14ac:dyDescent="0.45">
      <c r="A177" s="79">
        <v>112911782</v>
      </c>
      <c r="B177" s="21" t="str">
        <f t="shared" si="4"/>
        <v>11.291.178-2</v>
      </c>
      <c r="C177" s="22" t="s">
        <v>22</v>
      </c>
      <c r="D177" s="29" t="s">
        <v>422</v>
      </c>
      <c r="E177" s="29" t="s">
        <v>422</v>
      </c>
      <c r="F177" s="29" t="s">
        <v>896</v>
      </c>
      <c r="G177" s="49">
        <v>45398</v>
      </c>
      <c r="H177" s="49">
        <v>45406</v>
      </c>
      <c r="I177" s="21" t="s">
        <v>54</v>
      </c>
      <c r="J177" s="29" t="s">
        <v>56</v>
      </c>
      <c r="K177" s="24" t="s">
        <v>47</v>
      </c>
      <c r="L177" s="23">
        <v>45398</v>
      </c>
      <c r="M177" s="49">
        <v>45406</v>
      </c>
      <c r="N177" s="25">
        <f t="shared" si="5"/>
        <v>8</v>
      </c>
      <c r="O177" s="29"/>
      <c r="P177" t="s">
        <v>88</v>
      </c>
      <c r="Q177" t="s">
        <v>88</v>
      </c>
      <c r="R177" t="s">
        <v>88</v>
      </c>
      <c r="S177" t="s">
        <v>88</v>
      </c>
      <c r="T177" t="s">
        <v>88</v>
      </c>
      <c r="U177" t="s">
        <v>20</v>
      </c>
    </row>
    <row r="178" spans="1:21" x14ac:dyDescent="0.45">
      <c r="A178" s="79">
        <v>112911782</v>
      </c>
      <c r="B178" s="21" t="str">
        <f t="shared" si="4"/>
        <v>11.291.178-2</v>
      </c>
      <c r="C178" s="22" t="s">
        <v>22</v>
      </c>
      <c r="D178" s="29" t="s">
        <v>422</v>
      </c>
      <c r="E178" s="29" t="s">
        <v>422</v>
      </c>
      <c r="F178" s="29" t="s">
        <v>896</v>
      </c>
      <c r="G178" s="49">
        <v>45398</v>
      </c>
      <c r="H178" s="49">
        <v>45406</v>
      </c>
      <c r="I178" s="21" t="s">
        <v>54</v>
      </c>
      <c r="J178" s="29" t="s">
        <v>56</v>
      </c>
      <c r="K178" s="24" t="s">
        <v>43</v>
      </c>
      <c r="L178" s="23">
        <v>45399</v>
      </c>
      <c r="M178" s="49">
        <v>45406</v>
      </c>
      <c r="N178" s="25">
        <f t="shared" si="5"/>
        <v>7</v>
      </c>
      <c r="O178" s="29"/>
      <c r="P178" t="s">
        <v>88</v>
      </c>
      <c r="Q178" t="s">
        <v>88</v>
      </c>
      <c r="R178" t="s">
        <v>88</v>
      </c>
      <c r="S178" t="s">
        <v>88</v>
      </c>
      <c r="T178" t="s">
        <v>88</v>
      </c>
      <c r="U178" t="s">
        <v>20</v>
      </c>
    </row>
    <row r="179" spans="1:21" x14ac:dyDescent="0.45">
      <c r="A179" s="79">
        <v>111783780</v>
      </c>
      <c r="B179" s="21" t="str">
        <f t="shared" si="4"/>
        <v>11.178.378-0</v>
      </c>
      <c r="C179" s="22" t="s">
        <v>22</v>
      </c>
      <c r="D179" s="29" t="s">
        <v>422</v>
      </c>
      <c r="E179" s="29" t="s">
        <v>252</v>
      </c>
      <c r="F179" s="29" t="s">
        <v>897</v>
      </c>
      <c r="G179" s="49">
        <v>45399</v>
      </c>
      <c r="H179" s="49">
        <v>45312</v>
      </c>
      <c r="I179" s="21" t="s">
        <v>54</v>
      </c>
      <c r="J179" s="29" t="s">
        <v>66</v>
      </c>
      <c r="K179" s="24" t="s">
        <v>43</v>
      </c>
      <c r="L179" s="23">
        <v>45399</v>
      </c>
      <c r="M179" s="49">
        <v>45412</v>
      </c>
      <c r="N179" s="25">
        <f t="shared" si="5"/>
        <v>13</v>
      </c>
      <c r="O179" s="29"/>
      <c r="P179" t="s">
        <v>88</v>
      </c>
      <c r="Q179" t="s">
        <v>88</v>
      </c>
      <c r="R179" t="s">
        <v>88</v>
      </c>
      <c r="S179" t="s">
        <v>88</v>
      </c>
      <c r="T179" t="s">
        <v>88</v>
      </c>
      <c r="U179" t="s">
        <v>20</v>
      </c>
    </row>
    <row r="180" spans="1:21" x14ac:dyDescent="0.45">
      <c r="A180" s="79">
        <v>160355646</v>
      </c>
      <c r="B180" s="21" t="str">
        <f t="shared" si="4"/>
        <v>16.035.564-6</v>
      </c>
      <c r="C180" s="22" t="s">
        <v>22</v>
      </c>
      <c r="D180" s="29" t="s">
        <v>559</v>
      </c>
      <c r="E180" s="29" t="s">
        <v>422</v>
      </c>
      <c r="F180" s="29" t="s">
        <v>898</v>
      </c>
      <c r="G180" s="49">
        <v>45398</v>
      </c>
      <c r="H180" s="49">
        <v>45403</v>
      </c>
      <c r="I180" s="21" t="s">
        <v>54</v>
      </c>
      <c r="J180" s="29" t="s">
        <v>66</v>
      </c>
      <c r="K180" s="24" t="s">
        <v>43</v>
      </c>
      <c r="L180" s="23">
        <v>45398</v>
      </c>
      <c r="M180" s="23">
        <v>45403</v>
      </c>
      <c r="N180" s="25">
        <f t="shared" si="5"/>
        <v>5</v>
      </c>
      <c r="O180" s="29"/>
      <c r="P180" t="s">
        <v>88</v>
      </c>
      <c r="Q180" t="s">
        <v>88</v>
      </c>
      <c r="R180" t="s">
        <v>88</v>
      </c>
      <c r="S180" t="s">
        <v>88</v>
      </c>
      <c r="T180" t="s">
        <v>88</v>
      </c>
      <c r="U180" t="s">
        <v>20</v>
      </c>
    </row>
    <row r="181" spans="1:21" x14ac:dyDescent="0.45">
      <c r="A181" s="79">
        <v>160355646</v>
      </c>
      <c r="B181" s="21" t="str">
        <f t="shared" si="4"/>
        <v>16.035.564-6</v>
      </c>
      <c r="C181" s="22" t="s">
        <v>22</v>
      </c>
      <c r="D181" s="29" t="s">
        <v>559</v>
      </c>
      <c r="E181" s="29" t="s">
        <v>422</v>
      </c>
      <c r="F181" s="29" t="s">
        <v>898</v>
      </c>
      <c r="G181" s="49">
        <v>45398</v>
      </c>
      <c r="H181" s="49">
        <v>45403</v>
      </c>
      <c r="I181" s="21" t="s">
        <v>54</v>
      </c>
      <c r="J181" s="29" t="s">
        <v>66</v>
      </c>
      <c r="K181" s="24" t="s">
        <v>47</v>
      </c>
      <c r="L181" s="23">
        <v>45398</v>
      </c>
      <c r="M181" s="23">
        <v>45403</v>
      </c>
      <c r="N181" s="25">
        <f t="shared" si="5"/>
        <v>5</v>
      </c>
      <c r="O181" s="29"/>
      <c r="P181" t="s">
        <v>88</v>
      </c>
      <c r="Q181" t="s">
        <v>88</v>
      </c>
      <c r="R181" t="s">
        <v>88</v>
      </c>
      <c r="S181" t="s">
        <v>88</v>
      </c>
      <c r="T181" t="s">
        <v>88</v>
      </c>
      <c r="U181" t="s">
        <v>20</v>
      </c>
    </row>
    <row r="182" spans="1:21" x14ac:dyDescent="0.45">
      <c r="A182" s="79">
        <v>57683341</v>
      </c>
      <c r="B182" s="21" t="str">
        <f t="shared" si="4"/>
        <v>5.768.334-1</v>
      </c>
      <c r="C182" s="22" t="s">
        <v>46</v>
      </c>
      <c r="D182" s="29" t="s">
        <v>743</v>
      </c>
      <c r="E182" s="29" t="s">
        <v>252</v>
      </c>
      <c r="F182" s="29" t="s">
        <v>250</v>
      </c>
      <c r="G182" s="49">
        <v>45397</v>
      </c>
      <c r="H182" s="49">
        <v>45404</v>
      </c>
      <c r="I182" s="21" t="s">
        <v>54</v>
      </c>
      <c r="J182" s="29" t="s">
        <v>13</v>
      </c>
      <c r="K182" s="24" t="s">
        <v>51</v>
      </c>
      <c r="L182" s="23">
        <v>45399</v>
      </c>
      <c r="M182" s="23">
        <v>45404</v>
      </c>
      <c r="N182" s="25">
        <f t="shared" si="5"/>
        <v>5</v>
      </c>
      <c r="O182" s="29"/>
      <c r="P182" t="s">
        <v>88</v>
      </c>
      <c r="Q182" t="s">
        <v>88</v>
      </c>
      <c r="R182" t="s">
        <v>88</v>
      </c>
      <c r="S182" t="s">
        <v>88</v>
      </c>
      <c r="T182" t="s">
        <v>88</v>
      </c>
      <c r="U182" t="s">
        <v>20</v>
      </c>
    </row>
    <row r="183" spans="1:21" x14ac:dyDescent="0.45">
      <c r="A183" s="79" t="s">
        <v>899</v>
      </c>
      <c r="B183" s="21" t="str">
        <f t="shared" si="4"/>
        <v>12.763.257-K</v>
      </c>
      <c r="C183" s="22" t="s">
        <v>46</v>
      </c>
      <c r="D183" s="29" t="s">
        <v>465</v>
      </c>
      <c r="E183" s="29" t="s">
        <v>863</v>
      </c>
      <c r="F183" s="29" t="s">
        <v>638</v>
      </c>
      <c r="G183" s="49">
        <v>45400</v>
      </c>
      <c r="H183" s="49">
        <v>45406</v>
      </c>
      <c r="I183" s="21" t="s">
        <v>60</v>
      </c>
      <c r="J183" s="29" t="s">
        <v>52</v>
      </c>
      <c r="K183" s="24" t="s">
        <v>47</v>
      </c>
      <c r="L183" s="23">
        <v>45401</v>
      </c>
      <c r="M183" s="23">
        <v>45406</v>
      </c>
      <c r="N183" s="25">
        <f t="shared" si="5"/>
        <v>5</v>
      </c>
      <c r="O183" s="29"/>
      <c r="P183" t="s">
        <v>88</v>
      </c>
      <c r="Q183" t="s">
        <v>88</v>
      </c>
      <c r="R183" t="s">
        <v>88</v>
      </c>
      <c r="S183" t="s">
        <v>88</v>
      </c>
      <c r="T183" t="s">
        <v>88</v>
      </c>
      <c r="U183" t="s">
        <v>20</v>
      </c>
    </row>
    <row r="184" spans="1:21" x14ac:dyDescent="0.45">
      <c r="A184" s="79">
        <v>50909298</v>
      </c>
      <c r="B184" s="21" t="str">
        <f t="shared" si="4"/>
        <v>5.090.929-8</v>
      </c>
      <c r="C184" s="22" t="s">
        <v>46</v>
      </c>
      <c r="D184" s="29" t="s">
        <v>900</v>
      </c>
      <c r="E184" s="29" t="s">
        <v>467</v>
      </c>
      <c r="F184" s="29" t="s">
        <v>901</v>
      </c>
      <c r="G184" s="49">
        <v>45395</v>
      </c>
      <c r="H184" s="49">
        <v>45412</v>
      </c>
      <c r="I184" s="21" t="s">
        <v>54</v>
      </c>
      <c r="J184" s="29" t="s">
        <v>65</v>
      </c>
      <c r="K184" s="24" t="s">
        <v>47</v>
      </c>
      <c r="L184" s="23">
        <v>45396</v>
      </c>
      <c r="M184" s="49">
        <v>45412</v>
      </c>
      <c r="N184" s="25">
        <f t="shared" si="5"/>
        <v>16</v>
      </c>
      <c r="O184" s="29"/>
      <c r="P184" t="s">
        <v>88</v>
      </c>
      <c r="Q184" t="s">
        <v>88</v>
      </c>
      <c r="R184" t="s">
        <v>88</v>
      </c>
      <c r="S184" t="s">
        <v>88</v>
      </c>
      <c r="T184" t="s">
        <v>88</v>
      </c>
      <c r="U184" t="s">
        <v>20</v>
      </c>
    </row>
    <row r="185" spans="1:21" x14ac:dyDescent="0.45">
      <c r="A185" s="79">
        <v>230061351</v>
      </c>
      <c r="B185" s="21" t="str">
        <f t="shared" si="4"/>
        <v>23.006.135-1</v>
      </c>
      <c r="C185" s="22" t="s">
        <v>10</v>
      </c>
      <c r="D185" s="29" t="s">
        <v>902</v>
      </c>
      <c r="E185" s="29" t="s">
        <v>810</v>
      </c>
      <c r="F185" s="29" t="s">
        <v>903</v>
      </c>
      <c r="G185" s="49">
        <v>45394</v>
      </c>
      <c r="H185" s="49">
        <v>45412</v>
      </c>
      <c r="I185" s="21" t="s">
        <v>54</v>
      </c>
      <c r="J185" s="29" t="s">
        <v>65</v>
      </c>
      <c r="K185" s="24" t="s">
        <v>43</v>
      </c>
      <c r="L185" s="23">
        <v>45396</v>
      </c>
      <c r="M185" s="23">
        <v>45412</v>
      </c>
      <c r="N185" s="25">
        <f t="shared" si="5"/>
        <v>16</v>
      </c>
      <c r="O185" s="29"/>
      <c r="P185" t="s">
        <v>88</v>
      </c>
      <c r="Q185" t="s">
        <v>88</v>
      </c>
      <c r="R185" t="s">
        <v>88</v>
      </c>
      <c r="S185" t="s">
        <v>88</v>
      </c>
      <c r="T185" t="s">
        <v>88</v>
      </c>
      <c r="U185" t="s">
        <v>20</v>
      </c>
    </row>
    <row r="186" spans="1:21" x14ac:dyDescent="0.45">
      <c r="A186" s="79">
        <v>68325374</v>
      </c>
      <c r="B186" s="21" t="str">
        <f t="shared" si="4"/>
        <v>6.832.537-4</v>
      </c>
      <c r="C186" s="22" t="s">
        <v>38</v>
      </c>
      <c r="D186" s="29" t="s">
        <v>352</v>
      </c>
      <c r="E186" s="29" t="s">
        <v>788</v>
      </c>
      <c r="F186" s="29" t="s">
        <v>904</v>
      </c>
      <c r="G186" s="49">
        <v>45399</v>
      </c>
      <c r="H186" s="49">
        <v>45407</v>
      </c>
      <c r="I186" s="21" t="s">
        <v>24</v>
      </c>
      <c r="J186" s="29" t="s">
        <v>24</v>
      </c>
      <c r="K186" s="24" t="s">
        <v>43</v>
      </c>
      <c r="L186" s="23">
        <v>45398</v>
      </c>
      <c r="M186" s="23">
        <v>45405</v>
      </c>
      <c r="N186" s="25">
        <f t="shared" si="5"/>
        <v>7</v>
      </c>
      <c r="O186" s="29"/>
      <c r="P186" t="s">
        <v>88</v>
      </c>
      <c r="Q186" t="s">
        <v>88</v>
      </c>
      <c r="R186" t="s">
        <v>88</v>
      </c>
      <c r="S186" t="s">
        <v>88</v>
      </c>
      <c r="T186" t="s">
        <v>88</v>
      </c>
      <c r="U186" t="s">
        <v>20</v>
      </c>
    </row>
    <row r="187" spans="1:21" x14ac:dyDescent="0.45">
      <c r="A187" s="79">
        <v>68325374</v>
      </c>
      <c r="B187" s="21" t="str">
        <f t="shared" si="4"/>
        <v>6.832.537-4</v>
      </c>
      <c r="C187" s="22" t="s">
        <v>38</v>
      </c>
      <c r="D187" s="29" t="s">
        <v>352</v>
      </c>
      <c r="E187" s="29" t="s">
        <v>788</v>
      </c>
      <c r="F187" s="29" t="s">
        <v>904</v>
      </c>
      <c r="G187" s="49">
        <v>45399</v>
      </c>
      <c r="H187" s="49">
        <v>45407</v>
      </c>
      <c r="I187" s="21" t="s">
        <v>24</v>
      </c>
      <c r="J187" s="29" t="s">
        <v>24</v>
      </c>
      <c r="K187" s="24" t="s">
        <v>47</v>
      </c>
      <c r="L187" s="23">
        <v>45399</v>
      </c>
      <c r="M187" s="23">
        <v>45407</v>
      </c>
      <c r="N187" s="25">
        <f t="shared" si="5"/>
        <v>8</v>
      </c>
      <c r="O187" s="29"/>
      <c r="P187" t="s">
        <v>88</v>
      </c>
      <c r="Q187" t="s">
        <v>88</v>
      </c>
      <c r="R187" t="s">
        <v>88</v>
      </c>
      <c r="S187" t="s">
        <v>88</v>
      </c>
      <c r="T187" t="s">
        <v>88</v>
      </c>
      <c r="U187" t="s">
        <v>20</v>
      </c>
    </row>
    <row r="188" spans="1:21" x14ac:dyDescent="0.45">
      <c r="A188" s="79">
        <v>83601167</v>
      </c>
      <c r="B188" s="21" t="str">
        <f t="shared" si="4"/>
        <v>8.360.116-7</v>
      </c>
      <c r="C188" s="22" t="s">
        <v>38</v>
      </c>
      <c r="D188" s="29" t="s">
        <v>342</v>
      </c>
      <c r="E188" s="29" t="s">
        <v>412</v>
      </c>
      <c r="F188" s="29" t="s">
        <v>504</v>
      </c>
      <c r="G188" s="49">
        <v>45397</v>
      </c>
      <c r="H188" s="49">
        <v>45400</v>
      </c>
      <c r="I188" s="21" t="s">
        <v>24</v>
      </c>
      <c r="J188" s="29" t="s">
        <v>24</v>
      </c>
      <c r="K188" s="24" t="s">
        <v>43</v>
      </c>
      <c r="L188" s="23">
        <v>45397</v>
      </c>
      <c r="M188" s="23">
        <v>45400</v>
      </c>
      <c r="N188" s="25">
        <f t="shared" si="5"/>
        <v>3</v>
      </c>
      <c r="O188" s="29"/>
      <c r="P188" t="s">
        <v>88</v>
      </c>
      <c r="Q188" t="s">
        <v>88</v>
      </c>
      <c r="R188" t="s">
        <v>88</v>
      </c>
      <c r="S188" t="s">
        <v>88</v>
      </c>
      <c r="T188" t="s">
        <v>88</v>
      </c>
      <c r="U188" t="s">
        <v>20</v>
      </c>
    </row>
    <row r="189" spans="1:21" x14ac:dyDescent="0.45">
      <c r="A189" s="79">
        <v>83601167</v>
      </c>
      <c r="B189" s="21" t="str">
        <f t="shared" si="4"/>
        <v>8.360.116-7</v>
      </c>
      <c r="C189" s="22" t="s">
        <v>38</v>
      </c>
      <c r="D189" s="29" t="s">
        <v>342</v>
      </c>
      <c r="E189" s="29" t="s">
        <v>412</v>
      </c>
      <c r="F189" s="29" t="s">
        <v>504</v>
      </c>
      <c r="G189" s="49">
        <v>45397</v>
      </c>
      <c r="H189" s="49">
        <v>45400</v>
      </c>
      <c r="I189" s="21" t="s">
        <v>24</v>
      </c>
      <c r="J189" s="29" t="s">
        <v>24</v>
      </c>
      <c r="K189" s="24" t="s">
        <v>47</v>
      </c>
      <c r="L189" s="23">
        <v>45397</v>
      </c>
      <c r="M189" s="23">
        <v>45400</v>
      </c>
      <c r="N189" s="25">
        <f t="shared" si="5"/>
        <v>3</v>
      </c>
      <c r="O189" s="29"/>
      <c r="P189" t="s">
        <v>88</v>
      </c>
      <c r="Q189" t="s">
        <v>88</v>
      </c>
      <c r="R189" t="s">
        <v>88</v>
      </c>
      <c r="S189" t="s">
        <v>88</v>
      </c>
      <c r="T189" t="s">
        <v>88</v>
      </c>
      <c r="U189" t="s">
        <v>20</v>
      </c>
    </row>
    <row r="190" spans="1:21" x14ac:dyDescent="0.45">
      <c r="A190" s="79">
        <v>77513183</v>
      </c>
      <c r="B190" s="21" t="str">
        <f t="shared" si="4"/>
        <v>7.751.318-3</v>
      </c>
      <c r="C190" s="22" t="s">
        <v>38</v>
      </c>
      <c r="D190" s="29" t="s">
        <v>905</v>
      </c>
      <c r="E190" s="29" t="s">
        <v>906</v>
      </c>
      <c r="F190" s="29" t="s">
        <v>879</v>
      </c>
      <c r="G190" s="49">
        <v>45394</v>
      </c>
      <c r="H190" s="49">
        <v>45401</v>
      </c>
      <c r="I190" s="21" t="s">
        <v>54</v>
      </c>
      <c r="J190" s="29" t="s">
        <v>13</v>
      </c>
      <c r="K190" s="24" t="s">
        <v>43</v>
      </c>
      <c r="L190" s="23">
        <v>45394</v>
      </c>
      <c r="M190" s="23">
        <v>45401</v>
      </c>
      <c r="N190" s="25">
        <f t="shared" si="5"/>
        <v>7</v>
      </c>
      <c r="O190" s="29"/>
      <c r="P190" t="s">
        <v>88</v>
      </c>
      <c r="Q190" t="s">
        <v>88</v>
      </c>
      <c r="R190" t="s">
        <v>88</v>
      </c>
      <c r="S190" t="s">
        <v>88</v>
      </c>
      <c r="T190" t="s">
        <v>88</v>
      </c>
      <c r="U190" t="s">
        <v>20</v>
      </c>
    </row>
    <row r="191" spans="1:21" x14ac:dyDescent="0.45">
      <c r="A191" s="79">
        <v>144073126</v>
      </c>
      <c r="B191" s="21" t="str">
        <f t="shared" si="4"/>
        <v>14.407.312-6</v>
      </c>
      <c r="C191" s="22" t="s">
        <v>22</v>
      </c>
      <c r="D191" s="29" t="s">
        <v>907</v>
      </c>
      <c r="E191" s="29" t="s">
        <v>317</v>
      </c>
      <c r="F191" s="29" t="s">
        <v>908</v>
      </c>
      <c r="G191" s="49">
        <v>45403</v>
      </c>
      <c r="H191" s="49">
        <v>45407</v>
      </c>
      <c r="I191" s="21" t="s">
        <v>54</v>
      </c>
      <c r="J191" s="29" t="s">
        <v>13</v>
      </c>
      <c r="K191" s="24" t="s">
        <v>43</v>
      </c>
      <c r="L191" s="23">
        <v>45403</v>
      </c>
      <c r="M191" s="49">
        <v>45407</v>
      </c>
      <c r="N191" s="25">
        <f t="shared" si="5"/>
        <v>4</v>
      </c>
      <c r="O191" s="29"/>
      <c r="P191" t="s">
        <v>88</v>
      </c>
      <c r="Q191" t="s">
        <v>88</v>
      </c>
      <c r="R191" t="s">
        <v>88</v>
      </c>
      <c r="S191" t="s">
        <v>88</v>
      </c>
      <c r="T191" t="s">
        <v>88</v>
      </c>
      <c r="U191" t="s">
        <v>20</v>
      </c>
    </row>
    <row r="192" spans="1:21" x14ac:dyDescent="0.45">
      <c r="A192" s="79">
        <v>144073126</v>
      </c>
      <c r="B192" s="21" t="str">
        <f t="shared" si="4"/>
        <v>14.407.312-6</v>
      </c>
      <c r="C192" s="22" t="s">
        <v>22</v>
      </c>
      <c r="D192" s="29" t="s">
        <v>907</v>
      </c>
      <c r="E192" s="29" t="s">
        <v>317</v>
      </c>
      <c r="F192" s="29" t="s">
        <v>908</v>
      </c>
      <c r="G192" s="49">
        <v>45403</v>
      </c>
      <c r="H192" s="49">
        <v>45407</v>
      </c>
      <c r="I192" s="21" t="s">
        <v>54</v>
      </c>
      <c r="J192" s="29" t="s">
        <v>13</v>
      </c>
      <c r="K192" s="24" t="s">
        <v>47</v>
      </c>
      <c r="L192" s="23">
        <v>45403</v>
      </c>
      <c r="M192" s="49">
        <v>45407</v>
      </c>
      <c r="N192" s="25">
        <f t="shared" si="5"/>
        <v>4</v>
      </c>
      <c r="O192" s="29"/>
      <c r="P192" t="s">
        <v>88</v>
      </c>
      <c r="Q192" t="s">
        <v>88</v>
      </c>
      <c r="R192" t="s">
        <v>88</v>
      </c>
      <c r="S192" t="s">
        <v>88</v>
      </c>
      <c r="T192" t="s">
        <v>88</v>
      </c>
      <c r="U192" t="s">
        <v>20</v>
      </c>
    </row>
    <row r="193" spans="1:21" x14ac:dyDescent="0.45">
      <c r="A193" s="79">
        <v>144073126</v>
      </c>
      <c r="B193" s="21" t="str">
        <f t="shared" si="4"/>
        <v>14.407.312-6</v>
      </c>
      <c r="C193" s="22" t="s">
        <v>22</v>
      </c>
      <c r="D193" s="29" t="s">
        <v>907</v>
      </c>
      <c r="E193" s="29" t="s">
        <v>317</v>
      </c>
      <c r="F193" s="29" t="s">
        <v>908</v>
      </c>
      <c r="G193" s="49">
        <v>45403</v>
      </c>
      <c r="H193" s="49">
        <v>45407</v>
      </c>
      <c r="I193" s="21" t="s">
        <v>54</v>
      </c>
      <c r="J193" s="29" t="s">
        <v>13</v>
      </c>
      <c r="K193" s="24" t="s">
        <v>55</v>
      </c>
      <c r="L193" s="23">
        <v>45403</v>
      </c>
      <c r="M193" s="49">
        <v>45407</v>
      </c>
      <c r="N193" s="25">
        <f t="shared" si="5"/>
        <v>4</v>
      </c>
      <c r="O193" s="29"/>
      <c r="P193" t="s">
        <v>88</v>
      </c>
      <c r="Q193" t="s">
        <v>88</v>
      </c>
      <c r="R193" t="s">
        <v>88</v>
      </c>
      <c r="S193" t="s">
        <v>88</v>
      </c>
      <c r="T193" t="s">
        <v>88</v>
      </c>
      <c r="U193" t="s">
        <v>20</v>
      </c>
    </row>
    <row r="194" spans="1:21" x14ac:dyDescent="0.45">
      <c r="A194" s="79">
        <v>140296473</v>
      </c>
      <c r="B194" s="21" t="str">
        <f t="shared" si="4"/>
        <v>14.029.647-3</v>
      </c>
      <c r="C194" s="22" t="s">
        <v>22</v>
      </c>
      <c r="D194" s="29" t="s">
        <v>909</v>
      </c>
      <c r="E194" s="29" t="s">
        <v>910</v>
      </c>
      <c r="F194" s="29" t="s">
        <v>911</v>
      </c>
      <c r="G194" s="49">
        <v>45402</v>
      </c>
      <c r="H194" s="49">
        <v>45404</v>
      </c>
      <c r="I194" s="21" t="s">
        <v>54</v>
      </c>
      <c r="J194" s="29" t="s">
        <v>13</v>
      </c>
      <c r="K194" s="24" t="s">
        <v>43</v>
      </c>
      <c r="L194" s="23">
        <v>45402</v>
      </c>
      <c r="M194" s="23">
        <v>45404</v>
      </c>
      <c r="N194" s="25">
        <f t="shared" si="5"/>
        <v>2</v>
      </c>
      <c r="O194" s="29"/>
      <c r="P194" t="s">
        <v>88</v>
      </c>
      <c r="Q194" t="s">
        <v>88</v>
      </c>
      <c r="R194" t="s">
        <v>88</v>
      </c>
      <c r="S194" t="s">
        <v>88</v>
      </c>
      <c r="T194" t="s">
        <v>88</v>
      </c>
      <c r="U194" t="s">
        <v>20</v>
      </c>
    </row>
    <row r="195" spans="1:21" x14ac:dyDescent="0.45">
      <c r="A195" s="79">
        <v>144147286</v>
      </c>
      <c r="B195" s="21" t="str">
        <f t="shared" si="4"/>
        <v>14.414.728-6</v>
      </c>
      <c r="C195" s="22" t="s">
        <v>22</v>
      </c>
      <c r="D195" s="29" t="s">
        <v>399</v>
      </c>
      <c r="E195" s="29" t="s">
        <v>536</v>
      </c>
      <c r="F195" s="29" t="s">
        <v>912</v>
      </c>
      <c r="G195" s="49">
        <v>45404</v>
      </c>
      <c r="H195" s="49">
        <v>45406</v>
      </c>
      <c r="I195" s="21" t="s">
        <v>54</v>
      </c>
      <c r="J195" s="29" t="s">
        <v>13</v>
      </c>
      <c r="K195" s="24" t="s">
        <v>43</v>
      </c>
      <c r="L195" s="23">
        <v>45404</v>
      </c>
      <c r="M195" s="23">
        <v>45406</v>
      </c>
      <c r="N195" s="25">
        <f t="shared" si="5"/>
        <v>2</v>
      </c>
      <c r="O195" s="29"/>
      <c r="P195" t="s">
        <v>88</v>
      </c>
      <c r="Q195" t="s">
        <v>88</v>
      </c>
      <c r="R195" t="s">
        <v>88</v>
      </c>
      <c r="S195" t="s">
        <v>88</v>
      </c>
      <c r="T195" t="s">
        <v>88</v>
      </c>
      <c r="U195" t="s">
        <v>20</v>
      </c>
    </row>
    <row r="196" spans="1:21" x14ac:dyDescent="0.45">
      <c r="A196" s="79">
        <v>66410250</v>
      </c>
      <c r="B196" s="21" t="str">
        <f t="shared" si="4"/>
        <v>6.641.025-0</v>
      </c>
      <c r="C196" s="22" t="s">
        <v>22</v>
      </c>
      <c r="D196" s="29" t="s">
        <v>240</v>
      </c>
      <c r="E196" s="29" t="s">
        <v>240</v>
      </c>
      <c r="F196" s="29" t="s">
        <v>913</v>
      </c>
      <c r="G196" s="49">
        <v>45401</v>
      </c>
      <c r="H196" s="49">
        <v>45404</v>
      </c>
      <c r="I196" s="21" t="s">
        <v>54</v>
      </c>
      <c r="J196" s="29" t="s">
        <v>66</v>
      </c>
      <c r="K196" s="24" t="s">
        <v>43</v>
      </c>
      <c r="L196" s="23">
        <v>45401</v>
      </c>
      <c r="M196" s="49">
        <v>45404</v>
      </c>
      <c r="N196" s="25">
        <f t="shared" si="5"/>
        <v>3</v>
      </c>
      <c r="O196" s="29"/>
      <c r="P196" t="s">
        <v>88</v>
      </c>
      <c r="Q196" t="s">
        <v>88</v>
      </c>
      <c r="R196" t="s">
        <v>88</v>
      </c>
      <c r="S196" t="s">
        <v>88</v>
      </c>
      <c r="T196" t="s">
        <v>88</v>
      </c>
      <c r="U196" t="s">
        <v>20</v>
      </c>
    </row>
    <row r="197" spans="1:21" x14ac:dyDescent="0.45">
      <c r="A197" s="79">
        <v>66410250</v>
      </c>
      <c r="B197" s="21" t="str">
        <f t="shared" si="4"/>
        <v>6.641.025-0</v>
      </c>
      <c r="C197" s="22" t="s">
        <v>22</v>
      </c>
      <c r="D197" s="29" t="s">
        <v>240</v>
      </c>
      <c r="E197" s="29" t="s">
        <v>240</v>
      </c>
      <c r="F197" s="29" t="s">
        <v>913</v>
      </c>
      <c r="G197" s="49">
        <v>45401</v>
      </c>
      <c r="H197" s="49">
        <v>45404</v>
      </c>
      <c r="I197" s="21" t="s">
        <v>54</v>
      </c>
      <c r="J197" s="29" t="s">
        <v>66</v>
      </c>
      <c r="K197" s="24" t="s">
        <v>47</v>
      </c>
      <c r="L197" s="23">
        <v>45401</v>
      </c>
      <c r="M197" s="49">
        <v>45404</v>
      </c>
      <c r="N197" s="25">
        <f t="shared" si="5"/>
        <v>3</v>
      </c>
      <c r="O197" s="29"/>
      <c r="P197" t="s">
        <v>88</v>
      </c>
      <c r="Q197" t="s">
        <v>88</v>
      </c>
      <c r="R197" t="s">
        <v>88</v>
      </c>
      <c r="S197" t="s">
        <v>88</v>
      </c>
      <c r="T197" t="s">
        <v>88</v>
      </c>
      <c r="U197" t="s">
        <v>20</v>
      </c>
    </row>
    <row r="198" spans="1:21" x14ac:dyDescent="0.45">
      <c r="A198" s="79" t="s">
        <v>914</v>
      </c>
      <c r="B198" s="21" t="str">
        <f t="shared" si="4"/>
        <v>16.896.479-K</v>
      </c>
      <c r="C198" s="22" t="s">
        <v>22</v>
      </c>
      <c r="D198" s="29" t="s">
        <v>240</v>
      </c>
      <c r="E198" s="29" t="s">
        <v>915</v>
      </c>
      <c r="F198" s="29" t="s">
        <v>916</v>
      </c>
      <c r="G198" s="29" t="s">
        <v>917</v>
      </c>
      <c r="H198" s="49">
        <v>45406</v>
      </c>
      <c r="I198" s="21" t="s">
        <v>54</v>
      </c>
      <c r="J198" s="29" t="s">
        <v>22</v>
      </c>
      <c r="K198" s="24" t="s">
        <v>43</v>
      </c>
      <c r="L198" s="23">
        <v>45396</v>
      </c>
      <c r="M198" s="49">
        <v>45406</v>
      </c>
      <c r="N198" s="25">
        <f t="shared" si="5"/>
        <v>10</v>
      </c>
      <c r="O198" s="29"/>
      <c r="P198" t="s">
        <v>88</v>
      </c>
      <c r="Q198" t="s">
        <v>88</v>
      </c>
      <c r="R198" t="s">
        <v>88</v>
      </c>
      <c r="S198" t="s">
        <v>88</v>
      </c>
      <c r="T198" t="s">
        <v>88</v>
      </c>
      <c r="U198" t="s">
        <v>20</v>
      </c>
    </row>
    <row r="199" spans="1:21" x14ac:dyDescent="0.45">
      <c r="A199" s="79">
        <v>54370407</v>
      </c>
      <c r="B199" s="21" t="str">
        <f t="shared" si="4"/>
        <v>5.437.040-7</v>
      </c>
      <c r="C199" s="22" t="s">
        <v>22</v>
      </c>
      <c r="D199" s="29" t="s">
        <v>288</v>
      </c>
      <c r="E199" s="29" t="s">
        <v>384</v>
      </c>
      <c r="F199" s="29" t="s">
        <v>918</v>
      </c>
      <c r="G199" s="49">
        <v>45402</v>
      </c>
      <c r="H199" s="49">
        <v>45408</v>
      </c>
      <c r="I199" s="21" t="s">
        <v>22</v>
      </c>
      <c r="J199" s="29" t="s">
        <v>13</v>
      </c>
      <c r="K199" s="24" t="s">
        <v>43</v>
      </c>
      <c r="L199" s="23">
        <v>45399</v>
      </c>
      <c r="M199" s="49">
        <v>45408</v>
      </c>
      <c r="N199" s="25">
        <f t="shared" si="5"/>
        <v>9</v>
      </c>
      <c r="O199" s="29"/>
      <c r="P199" t="s">
        <v>88</v>
      </c>
      <c r="Q199" t="s">
        <v>88</v>
      </c>
      <c r="R199" t="s">
        <v>88</v>
      </c>
      <c r="S199" t="s">
        <v>88</v>
      </c>
      <c r="T199" t="s">
        <v>88</v>
      </c>
      <c r="U199" t="s">
        <v>20</v>
      </c>
    </row>
    <row r="200" spans="1:21" x14ac:dyDescent="0.45">
      <c r="A200" s="79">
        <v>54370407</v>
      </c>
      <c r="B200" s="21" t="str">
        <f t="shared" ref="B200:B260" si="6">IF(LEN(A200)=8,MID(A200,1,1)&amp;"."&amp;MID(A200,2,3)&amp;"."&amp;MID(A200,5,3)&amp;"-"&amp;RIGHT(A200,1),IF(LEFT(RIGHT(A200,2),1)="-",MID(A200,1,1)&amp;"."&amp;MID(A200,2,3)&amp;"."&amp;MID(A200,5,3)&amp;"-"&amp;RIGHT(A200,1),MID(A200,1,2)&amp;"."&amp;MID(A200,3,3)&amp;"."&amp;MID(A200,6,3)&amp;"-"&amp;MID(A200,9,1)))</f>
        <v>5.437.040-7</v>
      </c>
      <c r="C200" s="22" t="s">
        <v>22</v>
      </c>
      <c r="D200" s="29" t="s">
        <v>288</v>
      </c>
      <c r="E200" s="29" t="s">
        <v>384</v>
      </c>
      <c r="F200" s="29" t="s">
        <v>918</v>
      </c>
      <c r="G200" s="49">
        <v>45402</v>
      </c>
      <c r="H200" s="49">
        <v>45408</v>
      </c>
      <c r="I200" s="21" t="s">
        <v>22</v>
      </c>
      <c r="J200" s="29" t="s">
        <v>13</v>
      </c>
      <c r="K200" s="24" t="s">
        <v>47</v>
      </c>
      <c r="L200" s="23">
        <v>45400</v>
      </c>
      <c r="M200" s="49">
        <v>45408</v>
      </c>
      <c r="N200" s="25">
        <f t="shared" ref="N200:N250" si="7">+M200-L200</f>
        <v>8</v>
      </c>
      <c r="O200" s="29"/>
      <c r="P200" t="s">
        <v>88</v>
      </c>
      <c r="Q200" t="s">
        <v>88</v>
      </c>
      <c r="R200" t="s">
        <v>88</v>
      </c>
      <c r="S200" t="s">
        <v>88</v>
      </c>
      <c r="T200" t="s">
        <v>88</v>
      </c>
      <c r="U200" t="s">
        <v>20</v>
      </c>
    </row>
    <row r="201" spans="1:21" x14ac:dyDescent="0.45">
      <c r="A201" s="79">
        <v>53058140</v>
      </c>
      <c r="B201" s="21" t="str">
        <f t="shared" si="6"/>
        <v>5.305.814-0</v>
      </c>
      <c r="C201" s="22" t="s">
        <v>22</v>
      </c>
      <c r="D201" s="29" t="s">
        <v>307</v>
      </c>
      <c r="E201" s="29" t="s">
        <v>422</v>
      </c>
      <c r="F201" s="29" t="s">
        <v>250</v>
      </c>
      <c r="G201" s="49">
        <v>45398</v>
      </c>
      <c r="H201" s="49">
        <v>45398</v>
      </c>
      <c r="I201" s="21" t="s">
        <v>22</v>
      </c>
      <c r="J201" s="29" t="s">
        <v>22</v>
      </c>
      <c r="K201" s="24" t="s">
        <v>43</v>
      </c>
      <c r="L201" s="23">
        <v>45386</v>
      </c>
      <c r="M201" s="49">
        <v>45398</v>
      </c>
      <c r="N201" s="25">
        <f t="shared" si="7"/>
        <v>12</v>
      </c>
      <c r="O201" s="29"/>
      <c r="P201" t="s">
        <v>88</v>
      </c>
      <c r="Q201" t="s">
        <v>88</v>
      </c>
      <c r="R201" t="s">
        <v>88</v>
      </c>
      <c r="S201" t="s">
        <v>88</v>
      </c>
      <c r="T201" t="s">
        <v>88</v>
      </c>
      <c r="U201" t="s">
        <v>20</v>
      </c>
    </row>
    <row r="202" spans="1:21" x14ac:dyDescent="0.45">
      <c r="A202" s="79">
        <v>53058140</v>
      </c>
      <c r="B202" s="21" t="str">
        <f t="shared" si="6"/>
        <v>5.305.814-0</v>
      </c>
      <c r="C202" s="22" t="s">
        <v>22</v>
      </c>
      <c r="D202" s="29" t="s">
        <v>307</v>
      </c>
      <c r="E202" s="29" t="s">
        <v>422</v>
      </c>
      <c r="F202" s="29" t="s">
        <v>250</v>
      </c>
      <c r="G202" s="49">
        <v>45398</v>
      </c>
      <c r="H202" s="49">
        <v>45398</v>
      </c>
      <c r="I202" s="21" t="s">
        <v>22</v>
      </c>
      <c r="J202" s="29" t="s">
        <v>22</v>
      </c>
      <c r="K202" s="24" t="s">
        <v>47</v>
      </c>
      <c r="L202" s="23">
        <v>45394</v>
      </c>
      <c r="M202" s="49">
        <v>45398</v>
      </c>
      <c r="N202" s="25">
        <f t="shared" si="7"/>
        <v>4</v>
      </c>
      <c r="O202" s="29"/>
      <c r="P202" t="s">
        <v>88</v>
      </c>
      <c r="Q202" t="s">
        <v>88</v>
      </c>
      <c r="R202" t="s">
        <v>88</v>
      </c>
      <c r="S202" t="s">
        <v>88</v>
      </c>
      <c r="T202" t="s">
        <v>88</v>
      </c>
      <c r="U202" t="s">
        <v>20</v>
      </c>
    </row>
    <row r="203" spans="1:21" x14ac:dyDescent="0.45">
      <c r="A203" s="79">
        <v>59754912</v>
      </c>
      <c r="B203" s="21" t="str">
        <f t="shared" si="6"/>
        <v>5.975.491-2</v>
      </c>
      <c r="C203" s="22" t="s">
        <v>22</v>
      </c>
      <c r="D203" s="29" t="s">
        <v>291</v>
      </c>
      <c r="E203" s="29" t="s">
        <v>869</v>
      </c>
      <c r="F203" s="29" t="s">
        <v>305</v>
      </c>
      <c r="G203" s="49">
        <v>45404</v>
      </c>
      <c r="H203" s="49">
        <v>45412</v>
      </c>
      <c r="I203" s="21" t="s">
        <v>22</v>
      </c>
      <c r="J203" s="29" t="s">
        <v>65</v>
      </c>
      <c r="K203" s="24" t="s">
        <v>43</v>
      </c>
      <c r="L203" s="23">
        <v>45401</v>
      </c>
      <c r="M203" s="49">
        <v>45412</v>
      </c>
      <c r="N203" s="25">
        <f t="shared" si="7"/>
        <v>11</v>
      </c>
      <c r="O203" s="29"/>
      <c r="P203" t="s">
        <v>88</v>
      </c>
      <c r="Q203" t="s">
        <v>88</v>
      </c>
      <c r="R203" t="s">
        <v>88</v>
      </c>
      <c r="S203" t="s">
        <v>88</v>
      </c>
      <c r="T203" t="s">
        <v>88</v>
      </c>
      <c r="U203" t="s">
        <v>20</v>
      </c>
    </row>
    <row r="204" spans="1:21" x14ac:dyDescent="0.45">
      <c r="A204" s="79">
        <v>59754912</v>
      </c>
      <c r="B204" s="21" t="str">
        <f t="shared" si="6"/>
        <v>5.975.491-2</v>
      </c>
      <c r="C204" s="22" t="s">
        <v>22</v>
      </c>
      <c r="D204" s="29" t="s">
        <v>291</v>
      </c>
      <c r="E204" s="29" t="s">
        <v>869</v>
      </c>
      <c r="F204" s="29" t="s">
        <v>305</v>
      </c>
      <c r="G204" s="49">
        <v>45404</v>
      </c>
      <c r="H204" s="49">
        <v>45412</v>
      </c>
      <c r="I204" s="21" t="s">
        <v>22</v>
      </c>
      <c r="J204" s="29" t="s">
        <v>65</v>
      </c>
      <c r="K204" s="24" t="s">
        <v>47</v>
      </c>
      <c r="L204" s="23">
        <v>45400</v>
      </c>
      <c r="M204" s="49">
        <v>45412</v>
      </c>
      <c r="N204" s="25">
        <f t="shared" si="7"/>
        <v>12</v>
      </c>
      <c r="O204" s="29"/>
      <c r="P204" t="s">
        <v>88</v>
      </c>
      <c r="Q204" t="s">
        <v>88</v>
      </c>
      <c r="R204" t="s">
        <v>88</v>
      </c>
      <c r="S204" t="s">
        <v>88</v>
      </c>
      <c r="T204" t="s">
        <v>88</v>
      </c>
      <c r="U204" t="s">
        <v>20</v>
      </c>
    </row>
    <row r="205" spans="1:21" x14ac:dyDescent="0.45">
      <c r="A205" s="79">
        <v>50520692</v>
      </c>
      <c r="B205" s="21" t="str">
        <f t="shared" si="6"/>
        <v>5.052.069-2</v>
      </c>
      <c r="C205" s="22" t="s">
        <v>22</v>
      </c>
      <c r="D205" s="29" t="s">
        <v>768</v>
      </c>
      <c r="E205" s="29" t="s">
        <v>507</v>
      </c>
      <c r="F205" s="29" t="s">
        <v>449</v>
      </c>
      <c r="G205" s="49">
        <v>45369</v>
      </c>
      <c r="H205" s="49">
        <v>45400</v>
      </c>
      <c r="I205" s="21" t="s">
        <v>22</v>
      </c>
      <c r="J205" s="29" t="s">
        <v>22</v>
      </c>
      <c r="K205" s="24" t="s">
        <v>47</v>
      </c>
      <c r="L205" s="23">
        <v>45399</v>
      </c>
      <c r="M205" s="49">
        <v>45400</v>
      </c>
      <c r="N205" s="25">
        <f t="shared" si="7"/>
        <v>1</v>
      </c>
      <c r="O205" s="29"/>
      <c r="P205" t="s">
        <v>88</v>
      </c>
      <c r="Q205" t="s">
        <v>88</v>
      </c>
      <c r="R205" t="s">
        <v>88</v>
      </c>
      <c r="S205" t="s">
        <v>88</v>
      </c>
      <c r="T205" t="s">
        <v>88</v>
      </c>
      <c r="U205" t="s">
        <v>20</v>
      </c>
    </row>
    <row r="206" spans="1:21" x14ac:dyDescent="0.45">
      <c r="A206" s="79">
        <v>50520692</v>
      </c>
      <c r="B206" s="21" t="str">
        <f t="shared" si="6"/>
        <v>5.052.069-2</v>
      </c>
      <c r="C206" s="22" t="s">
        <v>22</v>
      </c>
      <c r="D206" s="29" t="s">
        <v>768</v>
      </c>
      <c r="E206" s="29" t="s">
        <v>507</v>
      </c>
      <c r="F206" s="29" t="s">
        <v>449</v>
      </c>
      <c r="G206" s="49">
        <v>45369</v>
      </c>
      <c r="H206" s="49">
        <v>45400</v>
      </c>
      <c r="I206" s="21" t="s">
        <v>22</v>
      </c>
      <c r="J206" s="29" t="s">
        <v>22</v>
      </c>
      <c r="K206" s="24" t="s">
        <v>18</v>
      </c>
      <c r="L206" s="23">
        <v>45399</v>
      </c>
      <c r="M206" s="49">
        <v>45400</v>
      </c>
      <c r="N206" s="25">
        <f t="shared" si="7"/>
        <v>1</v>
      </c>
      <c r="O206" s="29"/>
      <c r="P206" t="s">
        <v>88</v>
      </c>
      <c r="Q206" t="s">
        <v>88</v>
      </c>
      <c r="R206" t="s">
        <v>88</v>
      </c>
      <c r="S206" t="s">
        <v>88</v>
      </c>
      <c r="T206" t="s">
        <v>88</v>
      </c>
      <c r="U206" t="s">
        <v>20</v>
      </c>
    </row>
    <row r="207" spans="1:21" x14ac:dyDescent="0.45">
      <c r="A207" s="79">
        <v>75592671</v>
      </c>
      <c r="B207" s="21" t="str">
        <f t="shared" si="6"/>
        <v>7.559.267-1</v>
      </c>
      <c r="C207" s="22" t="s">
        <v>22</v>
      </c>
      <c r="D207" s="29" t="s">
        <v>919</v>
      </c>
      <c r="E207" s="29" t="s">
        <v>920</v>
      </c>
      <c r="F207" s="29" t="s">
        <v>597</v>
      </c>
      <c r="G207" s="49">
        <v>45400</v>
      </c>
      <c r="H207" s="49">
        <v>45407</v>
      </c>
      <c r="I207" s="21" t="s">
        <v>22</v>
      </c>
      <c r="J207" s="29" t="s">
        <v>56</v>
      </c>
      <c r="K207" s="24" t="s">
        <v>43</v>
      </c>
      <c r="L207" s="23">
        <v>45385</v>
      </c>
      <c r="M207" s="49">
        <v>45407</v>
      </c>
      <c r="N207" s="25">
        <f t="shared" si="7"/>
        <v>22</v>
      </c>
      <c r="O207" s="29"/>
      <c r="P207" t="s">
        <v>88</v>
      </c>
      <c r="Q207" t="s">
        <v>88</v>
      </c>
      <c r="R207" t="s">
        <v>88</v>
      </c>
      <c r="S207" t="s">
        <v>88</v>
      </c>
      <c r="T207" t="s">
        <v>88</v>
      </c>
      <c r="U207" t="s">
        <v>20</v>
      </c>
    </row>
    <row r="208" spans="1:21" x14ac:dyDescent="0.45">
      <c r="A208" s="79">
        <v>46487648</v>
      </c>
      <c r="B208" s="21" t="str">
        <f t="shared" si="6"/>
        <v>4.648.764-8</v>
      </c>
      <c r="C208" s="22" t="s">
        <v>30</v>
      </c>
      <c r="D208" s="29" t="s">
        <v>589</v>
      </c>
      <c r="E208" s="29" t="s">
        <v>364</v>
      </c>
      <c r="F208" s="29" t="s">
        <v>921</v>
      </c>
      <c r="G208" s="49">
        <v>45400</v>
      </c>
      <c r="H208" s="49">
        <v>45405</v>
      </c>
      <c r="I208" s="21" t="s">
        <v>24</v>
      </c>
      <c r="J208" s="21" t="s">
        <v>24</v>
      </c>
      <c r="K208" s="24" t="s">
        <v>43</v>
      </c>
      <c r="L208" s="23">
        <v>45400</v>
      </c>
      <c r="M208" s="23">
        <v>45405</v>
      </c>
      <c r="N208" s="25">
        <f t="shared" si="7"/>
        <v>5</v>
      </c>
      <c r="O208" s="29"/>
      <c r="P208" t="s">
        <v>88</v>
      </c>
      <c r="Q208" t="s">
        <v>88</v>
      </c>
      <c r="R208" t="s">
        <v>88</v>
      </c>
      <c r="S208" t="s">
        <v>88</v>
      </c>
      <c r="T208" t="s">
        <v>88</v>
      </c>
      <c r="U208" t="s">
        <v>20</v>
      </c>
    </row>
    <row r="209" spans="1:21" x14ac:dyDescent="0.45">
      <c r="A209" s="79" t="s">
        <v>922</v>
      </c>
      <c r="B209" s="21" t="str">
        <f t="shared" si="6"/>
        <v>6.661.333-K</v>
      </c>
      <c r="C209" s="22" t="s">
        <v>30</v>
      </c>
      <c r="D209" s="29" t="s">
        <v>822</v>
      </c>
      <c r="E209" s="29" t="s">
        <v>361</v>
      </c>
      <c r="F209" s="29" t="s">
        <v>923</v>
      </c>
      <c r="G209" s="49">
        <v>45400</v>
      </c>
      <c r="H209" s="49">
        <v>45406</v>
      </c>
      <c r="I209" s="21" t="s">
        <v>24</v>
      </c>
      <c r="J209" s="29" t="s">
        <v>24</v>
      </c>
      <c r="K209" s="24" t="s">
        <v>43</v>
      </c>
      <c r="L209" s="23">
        <v>45400</v>
      </c>
      <c r="M209" s="49">
        <v>45406</v>
      </c>
      <c r="N209" s="25">
        <f t="shared" si="7"/>
        <v>6</v>
      </c>
      <c r="O209" s="29"/>
      <c r="P209" t="s">
        <v>88</v>
      </c>
      <c r="Q209" t="s">
        <v>88</v>
      </c>
      <c r="R209" t="s">
        <v>88</v>
      </c>
      <c r="S209" t="s">
        <v>88</v>
      </c>
      <c r="T209" t="s">
        <v>88</v>
      </c>
      <c r="U209" t="s">
        <v>20</v>
      </c>
    </row>
    <row r="210" spans="1:21" x14ac:dyDescent="0.45">
      <c r="A210" s="79" t="s">
        <v>922</v>
      </c>
      <c r="B210" s="21" t="str">
        <f t="shared" si="6"/>
        <v>6.661.333-K</v>
      </c>
      <c r="C210" s="22" t="s">
        <v>30</v>
      </c>
      <c r="D210" s="29" t="s">
        <v>822</v>
      </c>
      <c r="E210" s="29" t="s">
        <v>361</v>
      </c>
      <c r="F210" s="29" t="s">
        <v>923</v>
      </c>
      <c r="G210" s="49">
        <v>45400</v>
      </c>
      <c r="H210" s="49">
        <v>45406</v>
      </c>
      <c r="I210" s="21" t="s">
        <v>24</v>
      </c>
      <c r="J210" s="29" t="s">
        <v>24</v>
      </c>
      <c r="K210" s="24" t="s">
        <v>47</v>
      </c>
      <c r="L210" s="23">
        <v>45403</v>
      </c>
      <c r="M210" s="49">
        <v>45406</v>
      </c>
      <c r="N210" s="25">
        <f t="shared" si="7"/>
        <v>3</v>
      </c>
      <c r="O210" s="29"/>
      <c r="P210" t="s">
        <v>88</v>
      </c>
      <c r="Q210" t="s">
        <v>88</v>
      </c>
      <c r="R210" t="s">
        <v>88</v>
      </c>
      <c r="S210" t="s">
        <v>88</v>
      </c>
      <c r="T210" t="s">
        <v>88</v>
      </c>
      <c r="U210" t="s">
        <v>20</v>
      </c>
    </row>
    <row r="211" spans="1:21" x14ac:dyDescent="0.45">
      <c r="A211" s="79">
        <v>109205486</v>
      </c>
      <c r="B211" s="21" t="str">
        <f t="shared" si="6"/>
        <v>10.920.548-6</v>
      </c>
      <c r="C211" s="22" t="s">
        <v>30</v>
      </c>
      <c r="D211" s="29" t="s">
        <v>924</v>
      </c>
      <c r="E211" s="29" t="s">
        <v>705</v>
      </c>
      <c r="F211" s="29" t="s">
        <v>925</v>
      </c>
      <c r="G211" s="49">
        <v>45401</v>
      </c>
      <c r="H211" s="49">
        <v>45406</v>
      </c>
      <c r="I211" s="21" t="s">
        <v>24</v>
      </c>
      <c r="J211" s="29" t="s">
        <v>13</v>
      </c>
      <c r="K211" s="24" t="s">
        <v>43</v>
      </c>
      <c r="L211" s="23">
        <v>45401</v>
      </c>
      <c r="M211" s="49">
        <v>45406</v>
      </c>
      <c r="N211" s="25">
        <f t="shared" si="7"/>
        <v>5</v>
      </c>
      <c r="O211" s="29"/>
      <c r="P211" t="s">
        <v>88</v>
      </c>
      <c r="Q211" t="s">
        <v>88</v>
      </c>
      <c r="R211" t="s">
        <v>88</v>
      </c>
      <c r="S211" t="s">
        <v>88</v>
      </c>
      <c r="T211" t="s">
        <v>88</v>
      </c>
      <c r="U211" t="s">
        <v>20</v>
      </c>
    </row>
    <row r="212" spans="1:21" x14ac:dyDescent="0.45">
      <c r="A212" s="79">
        <v>109205486</v>
      </c>
      <c r="B212" s="21" t="str">
        <f t="shared" si="6"/>
        <v>10.920.548-6</v>
      </c>
      <c r="C212" s="22" t="s">
        <v>30</v>
      </c>
      <c r="D212" s="29" t="s">
        <v>924</v>
      </c>
      <c r="E212" s="29" t="s">
        <v>705</v>
      </c>
      <c r="F212" s="29" t="s">
        <v>925</v>
      </c>
      <c r="G212" s="49">
        <v>45401</v>
      </c>
      <c r="H212" s="49">
        <v>45406</v>
      </c>
      <c r="I212" s="21" t="s">
        <v>24</v>
      </c>
      <c r="J212" s="29" t="s">
        <v>13</v>
      </c>
      <c r="K212" s="24" t="s">
        <v>47</v>
      </c>
      <c r="L212" s="23">
        <v>45400</v>
      </c>
      <c r="M212" s="49">
        <v>45406</v>
      </c>
      <c r="N212" s="25">
        <f t="shared" si="7"/>
        <v>6</v>
      </c>
      <c r="O212" s="29"/>
      <c r="P212" t="s">
        <v>88</v>
      </c>
      <c r="Q212" t="s">
        <v>88</v>
      </c>
      <c r="R212" t="s">
        <v>88</v>
      </c>
      <c r="S212" t="s">
        <v>88</v>
      </c>
      <c r="T212" t="s">
        <v>88</v>
      </c>
      <c r="U212" t="s">
        <v>20</v>
      </c>
    </row>
    <row r="213" spans="1:21" x14ac:dyDescent="0.45">
      <c r="A213" s="29">
        <v>245728816</v>
      </c>
      <c r="B213" s="21" t="str">
        <f t="shared" si="6"/>
        <v>24.572.881-6</v>
      </c>
      <c r="C213" s="22" t="s">
        <v>10</v>
      </c>
      <c r="D213" s="29" t="s">
        <v>926</v>
      </c>
      <c r="E213" s="29" t="s">
        <v>493</v>
      </c>
      <c r="F213" s="29" t="s">
        <v>927</v>
      </c>
      <c r="G213" s="49">
        <v>45401</v>
      </c>
      <c r="H213" s="49">
        <v>45412</v>
      </c>
      <c r="I213" s="21" t="s">
        <v>54</v>
      </c>
      <c r="J213" s="29" t="s">
        <v>65</v>
      </c>
      <c r="K213" s="24" t="s">
        <v>43</v>
      </c>
      <c r="L213" s="23">
        <v>45401</v>
      </c>
      <c r="M213" s="49">
        <v>45412</v>
      </c>
      <c r="N213" s="25">
        <f t="shared" si="7"/>
        <v>11</v>
      </c>
      <c r="O213" s="29"/>
      <c r="P213" t="s">
        <v>88</v>
      </c>
      <c r="Q213" t="s">
        <v>88</v>
      </c>
      <c r="R213" t="s">
        <v>88</v>
      </c>
      <c r="S213" t="s">
        <v>88</v>
      </c>
      <c r="T213" t="s">
        <v>88</v>
      </c>
      <c r="U213" t="s">
        <v>20</v>
      </c>
    </row>
    <row r="214" spans="1:21" x14ac:dyDescent="0.45">
      <c r="A214" s="29">
        <v>245728816</v>
      </c>
      <c r="B214" s="21" t="str">
        <f t="shared" si="6"/>
        <v>24.572.881-6</v>
      </c>
      <c r="C214" s="22" t="s">
        <v>10</v>
      </c>
      <c r="D214" s="29" t="s">
        <v>926</v>
      </c>
      <c r="E214" s="29" t="s">
        <v>493</v>
      </c>
      <c r="F214" s="29" t="s">
        <v>927</v>
      </c>
      <c r="G214" s="49">
        <v>45401</v>
      </c>
      <c r="H214" s="49">
        <v>45412</v>
      </c>
      <c r="I214" s="21" t="s">
        <v>54</v>
      </c>
      <c r="J214" s="29" t="s">
        <v>65</v>
      </c>
      <c r="K214" s="24" t="s">
        <v>47</v>
      </c>
      <c r="L214" s="23">
        <v>45401</v>
      </c>
      <c r="M214" s="49">
        <v>45412</v>
      </c>
      <c r="N214" s="25">
        <f t="shared" si="7"/>
        <v>11</v>
      </c>
      <c r="O214" s="29"/>
      <c r="P214" t="s">
        <v>88</v>
      </c>
      <c r="Q214" t="s">
        <v>88</v>
      </c>
      <c r="R214" t="s">
        <v>88</v>
      </c>
      <c r="S214" t="s">
        <v>88</v>
      </c>
      <c r="T214" t="s">
        <v>88</v>
      </c>
      <c r="U214" t="s">
        <v>20</v>
      </c>
    </row>
    <row r="215" spans="1:21" x14ac:dyDescent="0.45">
      <c r="A215" s="29">
        <v>61754822</v>
      </c>
      <c r="B215" s="21" t="str">
        <f t="shared" si="6"/>
        <v>6.175.482-2</v>
      </c>
      <c r="C215" s="22" t="s">
        <v>22</v>
      </c>
      <c r="D215" s="29" t="s">
        <v>439</v>
      </c>
      <c r="E215" s="29" t="s">
        <v>439</v>
      </c>
      <c r="F215" s="29" t="s">
        <v>928</v>
      </c>
      <c r="G215" s="49">
        <v>45402</v>
      </c>
      <c r="H215" s="49">
        <v>45412</v>
      </c>
      <c r="I215" s="21" t="s">
        <v>24</v>
      </c>
      <c r="J215" s="29" t="s">
        <v>69</v>
      </c>
      <c r="K215" s="24" t="s">
        <v>47</v>
      </c>
      <c r="L215" s="23">
        <v>45402</v>
      </c>
      <c r="M215" s="23">
        <v>45412</v>
      </c>
      <c r="N215" s="25">
        <f t="shared" si="7"/>
        <v>10</v>
      </c>
      <c r="O215" s="70" t="s">
        <v>14</v>
      </c>
      <c r="P215" t="s">
        <v>88</v>
      </c>
      <c r="Q215" t="s">
        <v>88</v>
      </c>
      <c r="R215" t="s">
        <v>88</v>
      </c>
      <c r="S215" t="s">
        <v>88</v>
      </c>
      <c r="T215" t="s">
        <v>88</v>
      </c>
      <c r="U215" t="s">
        <v>20</v>
      </c>
    </row>
    <row r="216" spans="1:21" x14ac:dyDescent="0.45">
      <c r="A216" s="29">
        <v>61754822</v>
      </c>
      <c r="B216" s="21" t="str">
        <f t="shared" si="6"/>
        <v>6.175.482-2</v>
      </c>
      <c r="C216" s="22" t="s">
        <v>22</v>
      </c>
      <c r="D216" s="29" t="s">
        <v>439</v>
      </c>
      <c r="E216" s="29" t="s">
        <v>439</v>
      </c>
      <c r="F216" s="29" t="s">
        <v>928</v>
      </c>
      <c r="G216" s="49">
        <v>45402</v>
      </c>
      <c r="H216" s="49">
        <v>45412</v>
      </c>
      <c r="I216" s="21" t="s">
        <v>24</v>
      </c>
      <c r="J216" s="29" t="s">
        <v>69</v>
      </c>
      <c r="K216" s="24" t="s">
        <v>43</v>
      </c>
      <c r="L216" s="23">
        <v>45402</v>
      </c>
      <c r="M216" s="23">
        <v>45412</v>
      </c>
      <c r="N216" s="25">
        <f t="shared" si="7"/>
        <v>10</v>
      </c>
      <c r="O216" s="29"/>
      <c r="P216" t="s">
        <v>98</v>
      </c>
      <c r="Q216" t="s">
        <v>88</v>
      </c>
      <c r="R216" t="s">
        <v>88</v>
      </c>
      <c r="S216" t="s">
        <v>88</v>
      </c>
      <c r="T216" t="s">
        <v>88</v>
      </c>
      <c r="U216" t="s">
        <v>20</v>
      </c>
    </row>
    <row r="217" spans="1:21" x14ac:dyDescent="0.45">
      <c r="A217" s="29">
        <v>28703147</v>
      </c>
      <c r="B217" s="21" t="str">
        <f t="shared" si="6"/>
        <v>2.870.314-7</v>
      </c>
      <c r="C217" s="22" t="s">
        <v>46</v>
      </c>
      <c r="D217" s="29" t="s">
        <v>929</v>
      </c>
      <c r="E217" s="29" t="s">
        <v>606</v>
      </c>
      <c r="F217" s="29" t="s">
        <v>930</v>
      </c>
      <c r="G217" s="49">
        <v>45402</v>
      </c>
      <c r="H217" s="49">
        <v>45410</v>
      </c>
      <c r="I217" s="21" t="s">
        <v>54</v>
      </c>
      <c r="J217" s="29" t="s">
        <v>19</v>
      </c>
      <c r="K217" s="24" t="s">
        <v>47</v>
      </c>
      <c r="L217" s="23">
        <v>45405</v>
      </c>
      <c r="M217" s="49">
        <v>45410</v>
      </c>
      <c r="N217" s="25">
        <f t="shared" si="7"/>
        <v>5</v>
      </c>
      <c r="O217" s="29"/>
      <c r="P217" t="s">
        <v>88</v>
      </c>
      <c r="Q217" t="s">
        <v>88</v>
      </c>
      <c r="R217" t="s">
        <v>88</v>
      </c>
      <c r="S217" t="s">
        <v>88</v>
      </c>
      <c r="T217" t="s">
        <v>88</v>
      </c>
      <c r="U217" t="s">
        <v>20</v>
      </c>
    </row>
    <row r="218" spans="1:21" x14ac:dyDescent="0.45">
      <c r="A218" s="29">
        <v>28703147</v>
      </c>
      <c r="B218" s="21" t="str">
        <f t="shared" si="6"/>
        <v>2.870.314-7</v>
      </c>
      <c r="C218" s="22" t="s">
        <v>46</v>
      </c>
      <c r="D218" s="29" t="s">
        <v>929</v>
      </c>
      <c r="E218" s="29" t="s">
        <v>606</v>
      </c>
      <c r="F218" s="29" t="s">
        <v>930</v>
      </c>
      <c r="G218" s="49">
        <v>45402</v>
      </c>
      <c r="H218" s="49">
        <v>45410</v>
      </c>
      <c r="I218" s="21" t="s">
        <v>54</v>
      </c>
      <c r="J218" s="29" t="s">
        <v>19</v>
      </c>
      <c r="K218" s="24" t="s">
        <v>43</v>
      </c>
      <c r="L218" s="23">
        <v>45401</v>
      </c>
      <c r="M218" s="49">
        <v>45410</v>
      </c>
      <c r="N218" s="25">
        <f t="shared" si="7"/>
        <v>9</v>
      </c>
      <c r="O218" s="29"/>
      <c r="P218" t="s">
        <v>88</v>
      </c>
      <c r="Q218" t="s">
        <v>88</v>
      </c>
      <c r="R218" t="s">
        <v>88</v>
      </c>
      <c r="S218" t="s">
        <v>88</v>
      </c>
      <c r="T218" t="s">
        <v>88</v>
      </c>
      <c r="U218" t="s">
        <v>20</v>
      </c>
    </row>
    <row r="219" spans="1:21" x14ac:dyDescent="0.45">
      <c r="A219" s="29">
        <v>112112669</v>
      </c>
      <c r="B219" s="21" t="str">
        <f t="shared" si="6"/>
        <v>11.211.266-9</v>
      </c>
      <c r="C219" s="22" t="s">
        <v>46</v>
      </c>
      <c r="D219" s="29" t="s">
        <v>391</v>
      </c>
      <c r="E219" s="29" t="s">
        <v>574</v>
      </c>
      <c r="F219" s="29" t="s">
        <v>380</v>
      </c>
      <c r="G219" s="49">
        <v>45395</v>
      </c>
      <c r="H219" s="49">
        <v>45408</v>
      </c>
      <c r="I219" s="21" t="s">
        <v>54</v>
      </c>
      <c r="J219" s="29" t="s">
        <v>13</v>
      </c>
      <c r="K219" s="24" t="s">
        <v>43</v>
      </c>
      <c r="L219" s="23">
        <v>45394</v>
      </c>
      <c r="M219" s="49">
        <v>45408</v>
      </c>
      <c r="N219" s="25">
        <f t="shared" si="7"/>
        <v>14</v>
      </c>
      <c r="O219" s="29"/>
      <c r="P219" t="s">
        <v>88</v>
      </c>
      <c r="Q219" t="s">
        <v>88</v>
      </c>
      <c r="R219" t="s">
        <v>88</v>
      </c>
      <c r="S219" t="s">
        <v>88</v>
      </c>
      <c r="T219" t="s">
        <v>88</v>
      </c>
      <c r="U219" t="s">
        <v>20</v>
      </c>
    </row>
    <row r="220" spans="1:21" x14ac:dyDescent="0.45">
      <c r="A220" s="29">
        <v>25118677</v>
      </c>
      <c r="B220" s="21" t="str">
        <f t="shared" si="6"/>
        <v>2.511.867-7</v>
      </c>
      <c r="C220" s="22" t="s">
        <v>22</v>
      </c>
      <c r="D220" s="29" t="s">
        <v>345</v>
      </c>
      <c r="E220" s="29" t="s">
        <v>657</v>
      </c>
      <c r="F220" s="29" t="s">
        <v>814</v>
      </c>
      <c r="G220" s="49">
        <v>45405</v>
      </c>
      <c r="H220" s="49">
        <v>45412</v>
      </c>
      <c r="I220" s="21" t="s">
        <v>54</v>
      </c>
      <c r="J220" s="29" t="s">
        <v>65</v>
      </c>
      <c r="K220" s="24" t="s">
        <v>47</v>
      </c>
      <c r="L220" s="23">
        <v>45405</v>
      </c>
      <c r="M220" s="23">
        <v>45412</v>
      </c>
      <c r="N220" s="25">
        <f t="shared" si="7"/>
        <v>7</v>
      </c>
      <c r="O220" s="29"/>
      <c r="P220" t="s">
        <v>88</v>
      </c>
      <c r="Q220" t="s">
        <v>88</v>
      </c>
      <c r="R220" t="s">
        <v>88</v>
      </c>
      <c r="S220" t="s">
        <v>88</v>
      </c>
      <c r="T220" t="s">
        <v>88</v>
      </c>
      <c r="U220" t="s">
        <v>20</v>
      </c>
    </row>
    <row r="221" spans="1:21" x14ac:dyDescent="0.45">
      <c r="A221" s="29">
        <v>121620669</v>
      </c>
      <c r="B221" s="21" t="str">
        <f t="shared" si="6"/>
        <v>12.162.066-9</v>
      </c>
      <c r="C221" s="22" t="s">
        <v>22</v>
      </c>
      <c r="D221" s="29" t="s">
        <v>561</v>
      </c>
      <c r="E221" s="29" t="s">
        <v>282</v>
      </c>
      <c r="F221" s="29" t="s">
        <v>931</v>
      </c>
      <c r="G221" s="49">
        <v>45407</v>
      </c>
      <c r="H221" s="49">
        <v>45408</v>
      </c>
      <c r="I221" s="21" t="s">
        <v>54</v>
      </c>
      <c r="J221" s="29" t="s">
        <v>19</v>
      </c>
      <c r="K221" s="24" t="s">
        <v>43</v>
      </c>
      <c r="L221" s="49">
        <v>45407</v>
      </c>
      <c r="M221" s="49">
        <v>45408</v>
      </c>
      <c r="N221" s="25">
        <f t="shared" si="7"/>
        <v>1</v>
      </c>
      <c r="O221" s="29"/>
      <c r="P221" t="s">
        <v>88</v>
      </c>
      <c r="Q221" t="s">
        <v>88</v>
      </c>
      <c r="R221" t="s">
        <v>88</v>
      </c>
      <c r="S221" t="s">
        <v>88</v>
      </c>
      <c r="T221" t="s">
        <v>88</v>
      </c>
      <c r="U221" t="s">
        <v>20</v>
      </c>
    </row>
    <row r="222" spans="1:21" x14ac:dyDescent="0.45">
      <c r="A222" s="29">
        <v>121620669</v>
      </c>
      <c r="B222" s="21" t="str">
        <f t="shared" si="6"/>
        <v>12.162.066-9</v>
      </c>
      <c r="C222" s="22" t="s">
        <v>22</v>
      </c>
      <c r="D222" s="29" t="s">
        <v>561</v>
      </c>
      <c r="E222" s="29" t="s">
        <v>282</v>
      </c>
      <c r="F222" s="29" t="s">
        <v>931</v>
      </c>
      <c r="G222" s="49">
        <v>45407</v>
      </c>
      <c r="H222" s="49">
        <v>45408</v>
      </c>
      <c r="I222" s="21" t="s">
        <v>54</v>
      </c>
      <c r="J222" s="29" t="s">
        <v>19</v>
      </c>
      <c r="K222" s="24" t="s">
        <v>47</v>
      </c>
      <c r="L222" s="49">
        <v>45407</v>
      </c>
      <c r="M222" s="49">
        <v>45408</v>
      </c>
      <c r="N222" s="25">
        <f t="shared" si="7"/>
        <v>1</v>
      </c>
      <c r="O222" s="29"/>
      <c r="P222" t="s">
        <v>88</v>
      </c>
      <c r="Q222" t="s">
        <v>88</v>
      </c>
      <c r="R222" t="s">
        <v>88</v>
      </c>
      <c r="S222" t="s">
        <v>88</v>
      </c>
      <c r="T222" t="s">
        <v>88</v>
      </c>
      <c r="U222" t="s">
        <v>20</v>
      </c>
    </row>
    <row r="223" spans="1:21" x14ac:dyDescent="0.45">
      <c r="A223" s="29">
        <v>121620669</v>
      </c>
      <c r="B223" s="21" t="str">
        <f t="shared" si="6"/>
        <v>12.162.066-9</v>
      </c>
      <c r="C223" s="22" t="s">
        <v>22</v>
      </c>
      <c r="D223" s="29" t="s">
        <v>561</v>
      </c>
      <c r="E223" s="29" t="s">
        <v>282</v>
      </c>
      <c r="F223" s="29" t="s">
        <v>931</v>
      </c>
      <c r="G223" s="49">
        <v>45407</v>
      </c>
      <c r="H223" s="49">
        <v>45408</v>
      </c>
      <c r="I223" s="21" t="s">
        <v>54</v>
      </c>
      <c r="J223" s="29" t="s">
        <v>19</v>
      </c>
      <c r="K223" s="24" t="s">
        <v>55</v>
      </c>
      <c r="L223" s="49">
        <v>45407</v>
      </c>
      <c r="M223" s="49">
        <v>45408</v>
      </c>
      <c r="N223" s="25">
        <f t="shared" si="7"/>
        <v>1</v>
      </c>
      <c r="O223" s="29"/>
      <c r="P223" t="s">
        <v>88</v>
      </c>
      <c r="Q223" t="s">
        <v>88</v>
      </c>
      <c r="R223" t="s">
        <v>88</v>
      </c>
      <c r="S223" t="s">
        <v>88</v>
      </c>
      <c r="T223" t="s">
        <v>88</v>
      </c>
      <c r="U223" t="s">
        <v>20</v>
      </c>
    </row>
    <row r="224" spans="1:21" x14ac:dyDescent="0.45">
      <c r="A224" s="29">
        <v>195313024</v>
      </c>
      <c r="B224" s="21" t="str">
        <f t="shared" si="6"/>
        <v>19.531.302-4</v>
      </c>
      <c r="C224" s="22" t="s">
        <v>22</v>
      </c>
      <c r="D224" s="29" t="s">
        <v>503</v>
      </c>
      <c r="E224" s="29" t="s">
        <v>439</v>
      </c>
      <c r="F224" s="29" t="s">
        <v>700</v>
      </c>
      <c r="G224" s="49">
        <v>45406</v>
      </c>
      <c r="H224" s="49">
        <v>45412</v>
      </c>
      <c r="I224" s="21" t="s">
        <v>54</v>
      </c>
      <c r="J224" s="29" t="s">
        <v>65</v>
      </c>
      <c r="K224" s="24" t="s">
        <v>43</v>
      </c>
      <c r="L224" s="49">
        <v>45406</v>
      </c>
      <c r="M224" s="49">
        <v>45412</v>
      </c>
      <c r="N224" s="25">
        <f t="shared" si="7"/>
        <v>6</v>
      </c>
      <c r="O224" s="29"/>
      <c r="P224" t="s">
        <v>88</v>
      </c>
      <c r="Q224" t="s">
        <v>88</v>
      </c>
      <c r="R224" t="s">
        <v>88</v>
      </c>
      <c r="S224" t="s">
        <v>88</v>
      </c>
      <c r="T224" t="s">
        <v>88</v>
      </c>
      <c r="U224" t="s">
        <v>20</v>
      </c>
    </row>
    <row r="225" spans="1:21" x14ac:dyDescent="0.45">
      <c r="A225" s="29">
        <v>195313024</v>
      </c>
      <c r="B225" s="21" t="str">
        <f t="shared" si="6"/>
        <v>19.531.302-4</v>
      </c>
      <c r="C225" s="22" t="s">
        <v>22</v>
      </c>
      <c r="D225" s="29" t="s">
        <v>503</v>
      </c>
      <c r="E225" s="29" t="s">
        <v>439</v>
      </c>
      <c r="F225" s="29" t="s">
        <v>700</v>
      </c>
      <c r="G225" s="49">
        <v>45406</v>
      </c>
      <c r="H225" s="49">
        <v>45412</v>
      </c>
      <c r="I225" s="21" t="s">
        <v>54</v>
      </c>
      <c r="J225" s="29" t="s">
        <v>65</v>
      </c>
      <c r="K225" s="24" t="s">
        <v>47</v>
      </c>
      <c r="L225" s="49">
        <v>45406</v>
      </c>
      <c r="M225" s="49">
        <v>45412</v>
      </c>
      <c r="N225" s="25">
        <f t="shared" si="7"/>
        <v>6</v>
      </c>
      <c r="O225" s="29"/>
      <c r="P225" t="s">
        <v>88</v>
      </c>
      <c r="Q225" t="s">
        <v>88</v>
      </c>
      <c r="R225" t="s">
        <v>88</v>
      </c>
      <c r="S225" t="s">
        <v>88</v>
      </c>
      <c r="T225" t="s">
        <v>88</v>
      </c>
      <c r="U225" t="s">
        <v>20</v>
      </c>
    </row>
    <row r="226" spans="1:21" x14ac:dyDescent="0.45">
      <c r="A226" s="29">
        <v>195313024</v>
      </c>
      <c r="B226" s="21" t="str">
        <f t="shared" si="6"/>
        <v>19.531.302-4</v>
      </c>
      <c r="C226" s="22" t="s">
        <v>22</v>
      </c>
      <c r="D226" s="29" t="s">
        <v>503</v>
      </c>
      <c r="E226" s="29" t="s">
        <v>439</v>
      </c>
      <c r="F226" s="29" t="s">
        <v>700</v>
      </c>
      <c r="G226" s="49">
        <v>45406</v>
      </c>
      <c r="H226" s="49">
        <v>45412</v>
      </c>
      <c r="I226" s="21" t="s">
        <v>54</v>
      </c>
      <c r="J226" s="29" t="s">
        <v>65</v>
      </c>
      <c r="K226" s="24" t="s">
        <v>55</v>
      </c>
      <c r="L226" s="49">
        <v>45406</v>
      </c>
      <c r="M226" s="49">
        <v>45412</v>
      </c>
      <c r="N226" s="25">
        <f t="shared" si="7"/>
        <v>6</v>
      </c>
      <c r="O226" s="29"/>
      <c r="P226" t="s">
        <v>88</v>
      </c>
      <c r="Q226" t="s">
        <v>88</v>
      </c>
      <c r="R226" t="s">
        <v>88</v>
      </c>
      <c r="S226" t="s">
        <v>88</v>
      </c>
      <c r="T226" t="s">
        <v>88</v>
      </c>
      <c r="U226" t="s">
        <v>20</v>
      </c>
    </row>
    <row r="227" spans="1:21" x14ac:dyDescent="0.45">
      <c r="A227" s="29" t="s">
        <v>932</v>
      </c>
      <c r="B227" s="21" t="str">
        <f t="shared" si="6"/>
        <v>12.102.229-K</v>
      </c>
      <c r="C227" s="22" t="s">
        <v>22</v>
      </c>
      <c r="D227" s="29" t="s">
        <v>559</v>
      </c>
      <c r="E227" s="29" t="s">
        <v>655</v>
      </c>
      <c r="F227" s="29" t="s">
        <v>586</v>
      </c>
      <c r="G227" s="49">
        <v>45405</v>
      </c>
      <c r="H227" s="49">
        <v>45412</v>
      </c>
      <c r="I227" s="21" t="s">
        <v>56</v>
      </c>
      <c r="J227" s="29" t="s">
        <v>65</v>
      </c>
      <c r="K227" s="24" t="s">
        <v>43</v>
      </c>
      <c r="L227" s="23">
        <v>45407</v>
      </c>
      <c r="M227" s="49">
        <v>45412</v>
      </c>
      <c r="N227" s="25">
        <f t="shared" si="7"/>
        <v>5</v>
      </c>
      <c r="O227" s="29"/>
      <c r="P227" t="s">
        <v>88</v>
      </c>
      <c r="Q227" t="s">
        <v>88</v>
      </c>
      <c r="R227" t="s">
        <v>88</v>
      </c>
      <c r="S227" t="s">
        <v>88</v>
      </c>
      <c r="T227" t="s">
        <v>88</v>
      </c>
      <c r="U227" t="s">
        <v>20</v>
      </c>
    </row>
    <row r="228" spans="1:21" x14ac:dyDescent="0.45">
      <c r="A228" s="29" t="s">
        <v>932</v>
      </c>
      <c r="B228" s="21" t="str">
        <f t="shared" si="6"/>
        <v>12.102.229-K</v>
      </c>
      <c r="C228" s="22" t="s">
        <v>22</v>
      </c>
      <c r="D228" s="29" t="s">
        <v>559</v>
      </c>
      <c r="E228" s="29" t="s">
        <v>655</v>
      </c>
      <c r="F228" s="29" t="s">
        <v>586</v>
      </c>
      <c r="G228" s="49">
        <v>45405</v>
      </c>
      <c r="H228" s="49">
        <v>45412</v>
      </c>
      <c r="I228" s="21" t="s">
        <v>56</v>
      </c>
      <c r="J228" s="29" t="s">
        <v>65</v>
      </c>
      <c r="K228" s="24" t="s">
        <v>47</v>
      </c>
      <c r="L228" s="23">
        <v>45408</v>
      </c>
      <c r="M228" s="49">
        <v>45412</v>
      </c>
      <c r="N228" s="25">
        <f t="shared" si="7"/>
        <v>4</v>
      </c>
      <c r="O228" s="29"/>
      <c r="P228" t="s">
        <v>88</v>
      </c>
      <c r="Q228" t="s">
        <v>88</v>
      </c>
      <c r="R228" t="s">
        <v>88</v>
      </c>
      <c r="S228" t="s">
        <v>88</v>
      </c>
      <c r="T228" t="s">
        <v>88</v>
      </c>
      <c r="U228" t="s">
        <v>20</v>
      </c>
    </row>
    <row r="229" spans="1:21" x14ac:dyDescent="0.45">
      <c r="A229" s="29">
        <v>82490019</v>
      </c>
      <c r="B229" s="21" t="str">
        <f t="shared" si="6"/>
        <v>8.249.001-9</v>
      </c>
      <c r="C229" s="22" t="s">
        <v>22</v>
      </c>
      <c r="D229" s="29" t="s">
        <v>496</v>
      </c>
      <c r="E229" s="29" t="s">
        <v>299</v>
      </c>
      <c r="F229" s="29" t="s">
        <v>933</v>
      </c>
      <c r="G229" s="49">
        <v>45407</v>
      </c>
      <c r="H229" s="49">
        <v>45410</v>
      </c>
      <c r="I229" s="21" t="s">
        <v>54</v>
      </c>
      <c r="J229" s="29" t="s">
        <v>19</v>
      </c>
      <c r="K229" s="24" t="s">
        <v>43</v>
      </c>
      <c r="L229" s="23">
        <v>45407</v>
      </c>
      <c r="M229" s="49">
        <v>45410</v>
      </c>
      <c r="N229" s="25">
        <f t="shared" si="7"/>
        <v>3</v>
      </c>
      <c r="O229" s="29"/>
      <c r="P229" t="s">
        <v>88</v>
      </c>
      <c r="Q229" t="s">
        <v>88</v>
      </c>
      <c r="R229" t="s">
        <v>88</v>
      </c>
      <c r="S229" t="s">
        <v>88</v>
      </c>
      <c r="T229" t="s">
        <v>88</v>
      </c>
      <c r="U229" t="s">
        <v>20</v>
      </c>
    </row>
    <row r="230" spans="1:21" x14ac:dyDescent="0.45">
      <c r="A230" s="29">
        <v>82490019</v>
      </c>
      <c r="B230" s="21" t="str">
        <f t="shared" si="6"/>
        <v>8.249.001-9</v>
      </c>
      <c r="C230" s="22" t="s">
        <v>22</v>
      </c>
      <c r="D230" s="29" t="s">
        <v>496</v>
      </c>
      <c r="E230" s="29" t="s">
        <v>299</v>
      </c>
      <c r="F230" s="29" t="s">
        <v>933</v>
      </c>
      <c r="G230" s="49">
        <v>45407</v>
      </c>
      <c r="H230" s="49">
        <v>45410</v>
      </c>
      <c r="I230" s="21" t="s">
        <v>54</v>
      </c>
      <c r="J230" s="29" t="s">
        <v>19</v>
      </c>
      <c r="K230" s="24" t="s">
        <v>47</v>
      </c>
      <c r="L230" s="23">
        <v>45407</v>
      </c>
      <c r="M230" s="49">
        <v>45410</v>
      </c>
      <c r="N230" s="25">
        <f t="shared" si="7"/>
        <v>3</v>
      </c>
      <c r="O230" s="29"/>
      <c r="P230" t="s">
        <v>88</v>
      </c>
      <c r="Q230" t="s">
        <v>88</v>
      </c>
      <c r="R230" t="s">
        <v>88</v>
      </c>
      <c r="S230" t="s">
        <v>88</v>
      </c>
      <c r="T230" t="s">
        <v>88</v>
      </c>
      <c r="U230" t="s">
        <v>20</v>
      </c>
    </row>
    <row r="231" spans="1:21" x14ac:dyDescent="0.45">
      <c r="A231" s="29">
        <v>101267903</v>
      </c>
      <c r="B231" s="21" t="str">
        <f t="shared" si="6"/>
        <v>10.126.790-3</v>
      </c>
      <c r="C231" s="22" t="s">
        <v>22</v>
      </c>
      <c r="D231" s="29" t="s">
        <v>910</v>
      </c>
      <c r="E231" s="29" t="s">
        <v>558</v>
      </c>
      <c r="F231" s="29" t="s">
        <v>238</v>
      </c>
      <c r="G231" s="49">
        <v>45407</v>
      </c>
      <c r="H231" s="49">
        <v>45412</v>
      </c>
      <c r="I231" s="21" t="s">
        <v>24</v>
      </c>
      <c r="J231" s="29" t="s">
        <v>65</v>
      </c>
      <c r="K231" s="24" t="s">
        <v>43</v>
      </c>
      <c r="L231" s="23">
        <v>45407</v>
      </c>
      <c r="M231" s="49">
        <v>45412</v>
      </c>
      <c r="N231" s="25">
        <f t="shared" si="7"/>
        <v>5</v>
      </c>
      <c r="O231" s="29"/>
      <c r="P231" t="s">
        <v>88</v>
      </c>
      <c r="Q231" t="s">
        <v>88</v>
      </c>
      <c r="R231" t="s">
        <v>88</v>
      </c>
      <c r="S231" t="s">
        <v>88</v>
      </c>
      <c r="T231" t="s">
        <v>88</v>
      </c>
      <c r="U231" t="s">
        <v>20</v>
      </c>
    </row>
    <row r="232" spans="1:21" x14ac:dyDescent="0.45">
      <c r="A232" s="29">
        <v>101267903</v>
      </c>
      <c r="B232" s="21" t="str">
        <f t="shared" si="6"/>
        <v>10.126.790-3</v>
      </c>
      <c r="C232" s="22" t="s">
        <v>22</v>
      </c>
      <c r="D232" s="29" t="s">
        <v>910</v>
      </c>
      <c r="E232" s="29" t="s">
        <v>558</v>
      </c>
      <c r="F232" s="29" t="s">
        <v>238</v>
      </c>
      <c r="G232" s="49">
        <v>45407</v>
      </c>
      <c r="H232" s="49">
        <v>45412</v>
      </c>
      <c r="I232" s="21" t="s">
        <v>24</v>
      </c>
      <c r="J232" s="29" t="s">
        <v>65</v>
      </c>
      <c r="K232" s="24" t="s">
        <v>47</v>
      </c>
      <c r="L232" s="23">
        <v>45407</v>
      </c>
      <c r="M232" s="49">
        <v>45412</v>
      </c>
      <c r="N232" s="25">
        <f t="shared" si="7"/>
        <v>5</v>
      </c>
      <c r="O232" s="29"/>
      <c r="P232" t="s">
        <v>88</v>
      </c>
      <c r="Q232" t="s">
        <v>88</v>
      </c>
      <c r="R232" t="s">
        <v>88</v>
      </c>
      <c r="S232" t="s">
        <v>88</v>
      </c>
      <c r="T232" t="s">
        <v>88</v>
      </c>
      <c r="U232" t="s">
        <v>20</v>
      </c>
    </row>
    <row r="233" spans="1:21" x14ac:dyDescent="0.45">
      <c r="A233" s="29">
        <v>101267903</v>
      </c>
      <c r="B233" s="21" t="str">
        <f t="shared" si="6"/>
        <v>10.126.790-3</v>
      </c>
      <c r="C233" s="22" t="s">
        <v>22</v>
      </c>
      <c r="D233" s="29" t="s">
        <v>910</v>
      </c>
      <c r="E233" s="29" t="s">
        <v>558</v>
      </c>
      <c r="F233" s="29" t="s">
        <v>238</v>
      </c>
      <c r="G233" s="49">
        <v>45407</v>
      </c>
      <c r="H233" s="49">
        <v>45412</v>
      </c>
      <c r="I233" s="21" t="s">
        <v>24</v>
      </c>
      <c r="J233" s="29" t="s">
        <v>65</v>
      </c>
      <c r="K233" s="24" t="s">
        <v>55</v>
      </c>
      <c r="L233" s="23">
        <v>45407</v>
      </c>
      <c r="M233" s="49">
        <v>45412</v>
      </c>
      <c r="N233" s="25">
        <f t="shared" si="7"/>
        <v>5</v>
      </c>
      <c r="O233" s="29"/>
      <c r="P233" t="s">
        <v>88</v>
      </c>
      <c r="Q233" t="s">
        <v>88</v>
      </c>
      <c r="R233" t="s">
        <v>88</v>
      </c>
      <c r="S233" t="s">
        <v>88</v>
      </c>
      <c r="T233" t="s">
        <v>88</v>
      </c>
      <c r="U233" t="s">
        <v>20</v>
      </c>
    </row>
    <row r="234" spans="1:21" x14ac:dyDescent="0.45">
      <c r="A234" s="29" t="s">
        <v>934</v>
      </c>
      <c r="B234" s="21" t="str">
        <f t="shared" si="6"/>
        <v>7.641.637-0</v>
      </c>
      <c r="C234" s="22" t="s">
        <v>22</v>
      </c>
      <c r="D234" s="29" t="s">
        <v>935</v>
      </c>
      <c r="E234" s="29" t="s">
        <v>936</v>
      </c>
      <c r="F234" s="29" t="s">
        <v>638</v>
      </c>
      <c r="G234" s="49">
        <v>45407</v>
      </c>
      <c r="H234" s="23">
        <v>45408</v>
      </c>
      <c r="I234" s="21" t="s">
        <v>54</v>
      </c>
      <c r="J234" s="29" t="s">
        <v>22</v>
      </c>
      <c r="K234" s="24" t="s">
        <v>43</v>
      </c>
      <c r="L234" s="23">
        <v>45407</v>
      </c>
      <c r="M234" s="23">
        <v>45408</v>
      </c>
      <c r="N234" s="25">
        <f t="shared" si="7"/>
        <v>1</v>
      </c>
      <c r="O234" s="29"/>
      <c r="P234" t="s">
        <v>88</v>
      </c>
      <c r="Q234" t="s">
        <v>88</v>
      </c>
      <c r="R234" t="s">
        <v>88</v>
      </c>
      <c r="S234" t="s">
        <v>88</v>
      </c>
      <c r="T234" t="s">
        <v>88</v>
      </c>
      <c r="U234" t="s">
        <v>20</v>
      </c>
    </row>
    <row r="235" spans="1:21" x14ac:dyDescent="0.45">
      <c r="A235" s="29" t="s">
        <v>934</v>
      </c>
      <c r="B235" s="21" t="str">
        <f t="shared" si="6"/>
        <v>7.641.637-0</v>
      </c>
      <c r="C235" s="22" t="s">
        <v>22</v>
      </c>
      <c r="D235" s="29" t="str">
        <f>IF(IFERROR(VLOOKUP(A235,$A$227:$I234,1,0),0)=0,"",VLOOKUP(A235,$A$227:$I234,4,0))</f>
        <v>GALLEGOS</v>
      </c>
      <c r="E235" s="29" t="str">
        <f>IF(IFERROR(VLOOKUP(A235,$A$227:$I234,1,0),0)=0,"",VLOOKUP(A235,$A$227:$I234,5,0))</f>
        <v>MILLAN</v>
      </c>
      <c r="F235" s="29" t="str">
        <f>IF(IFERROR(VLOOKUP(A235,$A$227:$I234,1,0),0)=0,"",VLOOKUP(A235,$A$227:$I234,6,0))</f>
        <v>CARLOS</v>
      </c>
      <c r="G235" s="49">
        <v>45407</v>
      </c>
      <c r="H235" s="23">
        <v>45408</v>
      </c>
      <c r="I235" s="21" t="s">
        <v>54</v>
      </c>
      <c r="J235" s="29" t="s">
        <v>22</v>
      </c>
      <c r="K235" s="24" t="s">
        <v>47</v>
      </c>
      <c r="L235" s="23">
        <v>45407</v>
      </c>
      <c r="M235" s="23">
        <v>45408</v>
      </c>
      <c r="N235" s="25">
        <f t="shared" si="7"/>
        <v>1</v>
      </c>
      <c r="O235" s="29"/>
      <c r="P235" t="s">
        <v>88</v>
      </c>
      <c r="Q235" t="s">
        <v>88</v>
      </c>
      <c r="R235" t="s">
        <v>88</v>
      </c>
      <c r="S235" t="s">
        <v>88</v>
      </c>
      <c r="T235" t="s">
        <v>88</v>
      </c>
      <c r="U235" t="s">
        <v>20</v>
      </c>
    </row>
    <row r="236" spans="1:21" x14ac:dyDescent="0.45">
      <c r="A236" s="29">
        <v>221631765</v>
      </c>
      <c r="B236" s="21" t="str">
        <f t="shared" si="6"/>
        <v>22.163.176-5</v>
      </c>
      <c r="C236" s="22" t="s">
        <v>22</v>
      </c>
      <c r="D236" s="29" t="s">
        <v>320</v>
      </c>
      <c r="E236" s="29" t="s">
        <v>277</v>
      </c>
      <c r="F236" s="29" t="s">
        <v>937</v>
      </c>
      <c r="G236" s="49">
        <v>45407</v>
      </c>
      <c r="H236" s="23">
        <v>45409</v>
      </c>
      <c r="I236" s="21" t="s">
        <v>54</v>
      </c>
      <c r="J236" s="29" t="s">
        <v>22</v>
      </c>
      <c r="K236" s="24" t="s">
        <v>43</v>
      </c>
      <c r="L236" s="23">
        <v>45407</v>
      </c>
      <c r="M236" s="23">
        <v>45409</v>
      </c>
      <c r="N236" s="25">
        <f t="shared" si="7"/>
        <v>2</v>
      </c>
      <c r="O236" s="29"/>
      <c r="P236" t="s">
        <v>88</v>
      </c>
      <c r="Q236" t="s">
        <v>88</v>
      </c>
      <c r="R236" t="s">
        <v>88</v>
      </c>
      <c r="S236" t="s">
        <v>88</v>
      </c>
      <c r="T236" t="s">
        <v>88</v>
      </c>
      <c r="U236" t="s">
        <v>20</v>
      </c>
    </row>
    <row r="237" spans="1:21" x14ac:dyDescent="0.45">
      <c r="A237" s="29">
        <v>131374801</v>
      </c>
      <c r="B237" s="21" t="str">
        <f t="shared" si="6"/>
        <v>13.137.480-1</v>
      </c>
      <c r="C237" s="22" t="s">
        <v>22</v>
      </c>
      <c r="D237" s="29" t="s">
        <v>353</v>
      </c>
      <c r="E237" s="29" t="s">
        <v>486</v>
      </c>
      <c r="F237" s="29" t="s">
        <v>238</v>
      </c>
      <c r="G237" s="49">
        <v>45408</v>
      </c>
      <c r="H237" s="49">
        <v>45412</v>
      </c>
      <c r="I237" s="21" t="s">
        <v>54</v>
      </c>
      <c r="J237" s="29" t="s">
        <v>65</v>
      </c>
      <c r="K237" s="24" t="s">
        <v>43</v>
      </c>
      <c r="L237" s="23">
        <v>45409</v>
      </c>
      <c r="M237" s="49">
        <v>45412</v>
      </c>
      <c r="N237" s="25">
        <f t="shared" si="7"/>
        <v>3</v>
      </c>
      <c r="O237" s="29"/>
      <c r="P237" t="s">
        <v>88</v>
      </c>
      <c r="Q237" t="s">
        <v>88</v>
      </c>
      <c r="R237" t="s">
        <v>88</v>
      </c>
      <c r="S237" t="s">
        <v>88</v>
      </c>
      <c r="T237" t="s">
        <v>88</v>
      </c>
      <c r="U237" t="s">
        <v>20</v>
      </c>
    </row>
    <row r="238" spans="1:21" x14ac:dyDescent="0.45">
      <c r="A238" s="29">
        <v>131374801</v>
      </c>
      <c r="B238" s="21" t="str">
        <f t="shared" si="6"/>
        <v>13.137.480-1</v>
      </c>
      <c r="C238" s="22" t="s">
        <v>22</v>
      </c>
      <c r="D238" s="29" t="s">
        <v>353</v>
      </c>
      <c r="E238" s="29" t="s">
        <v>486</v>
      </c>
      <c r="F238" s="29" t="s">
        <v>238</v>
      </c>
      <c r="G238" s="49">
        <v>45408</v>
      </c>
      <c r="H238" s="49">
        <v>45412</v>
      </c>
      <c r="I238" s="21" t="s">
        <v>54</v>
      </c>
      <c r="J238" s="29" t="s">
        <v>65</v>
      </c>
      <c r="K238" s="24" t="s">
        <v>47</v>
      </c>
      <c r="L238" s="23">
        <v>45408</v>
      </c>
      <c r="M238" s="49">
        <v>45412</v>
      </c>
      <c r="N238" s="25">
        <f t="shared" si="7"/>
        <v>4</v>
      </c>
      <c r="O238" s="29"/>
      <c r="P238" t="s">
        <v>88</v>
      </c>
      <c r="Q238" t="s">
        <v>88</v>
      </c>
      <c r="R238" t="s">
        <v>88</v>
      </c>
      <c r="S238" t="s">
        <v>88</v>
      </c>
      <c r="T238" t="s">
        <v>88</v>
      </c>
      <c r="U238" t="s">
        <v>20</v>
      </c>
    </row>
    <row r="239" spans="1:21" x14ac:dyDescent="0.45">
      <c r="A239" s="29">
        <v>77213252</v>
      </c>
      <c r="B239" s="21" t="str">
        <f t="shared" si="6"/>
        <v>7.721.325-2</v>
      </c>
      <c r="C239" s="22" t="s">
        <v>22</v>
      </c>
      <c r="D239" s="29" t="s">
        <v>690</v>
      </c>
      <c r="E239" s="29" t="s">
        <v>938</v>
      </c>
      <c r="F239" s="29" t="s">
        <v>939</v>
      </c>
      <c r="G239" s="49">
        <v>45409</v>
      </c>
      <c r="H239" s="49">
        <v>45412</v>
      </c>
      <c r="I239" s="21" t="s">
        <v>54</v>
      </c>
      <c r="J239" s="29" t="s">
        <v>65</v>
      </c>
      <c r="K239" s="24" t="s">
        <v>43</v>
      </c>
      <c r="L239" s="23">
        <v>45409</v>
      </c>
      <c r="M239" s="49">
        <v>45412</v>
      </c>
      <c r="N239" s="25">
        <f t="shared" si="7"/>
        <v>3</v>
      </c>
      <c r="O239" s="29"/>
      <c r="P239" t="s">
        <v>88</v>
      </c>
      <c r="Q239" t="s">
        <v>88</v>
      </c>
      <c r="R239" t="s">
        <v>88</v>
      </c>
      <c r="S239" t="s">
        <v>88</v>
      </c>
      <c r="T239" t="s">
        <v>88</v>
      </c>
      <c r="U239" t="s">
        <v>20</v>
      </c>
    </row>
    <row r="240" spans="1:21" x14ac:dyDescent="0.45">
      <c r="A240" s="29">
        <v>77213252</v>
      </c>
      <c r="B240" s="21" t="str">
        <f t="shared" si="6"/>
        <v>7.721.325-2</v>
      </c>
      <c r="C240" s="22" t="s">
        <v>22</v>
      </c>
      <c r="D240" s="29" t="s">
        <v>690</v>
      </c>
      <c r="E240" s="29" t="s">
        <v>938</v>
      </c>
      <c r="F240" s="29" t="s">
        <v>939</v>
      </c>
      <c r="G240" s="49">
        <v>45409</v>
      </c>
      <c r="H240" s="49">
        <v>45412</v>
      </c>
      <c r="I240" s="21" t="s">
        <v>54</v>
      </c>
      <c r="J240" s="29" t="s">
        <v>65</v>
      </c>
      <c r="K240" s="24" t="s">
        <v>55</v>
      </c>
      <c r="L240" s="23">
        <v>45410</v>
      </c>
      <c r="M240" s="49">
        <v>45412</v>
      </c>
      <c r="N240" s="25">
        <f t="shared" si="7"/>
        <v>2</v>
      </c>
      <c r="O240" s="29"/>
      <c r="P240" t="s">
        <v>88</v>
      </c>
      <c r="Q240" t="s">
        <v>88</v>
      </c>
      <c r="R240" t="s">
        <v>88</v>
      </c>
      <c r="S240" t="s">
        <v>88</v>
      </c>
      <c r="T240" t="s">
        <v>88</v>
      </c>
      <c r="U240" t="s">
        <v>20</v>
      </c>
    </row>
    <row r="241" spans="1:21" x14ac:dyDescent="0.45">
      <c r="A241" s="29">
        <v>56085734</v>
      </c>
      <c r="B241" s="21" t="str">
        <f t="shared" si="6"/>
        <v>5.608.573-4</v>
      </c>
      <c r="C241" s="22" t="s">
        <v>22</v>
      </c>
      <c r="D241" s="29" t="s">
        <v>812</v>
      </c>
      <c r="E241" s="29" t="s">
        <v>813</v>
      </c>
      <c r="F241" s="29" t="s">
        <v>348</v>
      </c>
      <c r="G241" s="49">
        <v>45411</v>
      </c>
      <c r="H241" s="49">
        <v>45412</v>
      </c>
      <c r="I241" s="21" t="s">
        <v>54</v>
      </c>
      <c r="J241" s="29" t="s">
        <v>65</v>
      </c>
      <c r="K241" s="24" t="s">
        <v>43</v>
      </c>
      <c r="L241" s="23">
        <v>45399</v>
      </c>
      <c r="M241" s="49">
        <v>45412</v>
      </c>
      <c r="N241" s="25">
        <f t="shared" si="7"/>
        <v>13</v>
      </c>
      <c r="O241" s="81" t="s">
        <v>14</v>
      </c>
      <c r="P241" t="s">
        <v>132</v>
      </c>
      <c r="Q241" t="s">
        <v>88</v>
      </c>
      <c r="R241" t="s">
        <v>88</v>
      </c>
      <c r="S241" t="s">
        <v>88</v>
      </c>
      <c r="T241" t="s">
        <v>88</v>
      </c>
      <c r="U241" t="s">
        <v>14</v>
      </c>
    </row>
    <row r="242" spans="1:21" x14ac:dyDescent="0.45">
      <c r="A242" s="29">
        <v>56085734</v>
      </c>
      <c r="B242" s="21" t="str">
        <f t="shared" si="6"/>
        <v>5.608.573-4</v>
      </c>
      <c r="C242" s="22" t="s">
        <v>22</v>
      </c>
      <c r="D242" s="29" t="s">
        <v>812</v>
      </c>
      <c r="E242" s="29" t="s">
        <v>813</v>
      </c>
      <c r="F242" s="29" t="s">
        <v>348</v>
      </c>
      <c r="G242" s="49">
        <v>45411</v>
      </c>
      <c r="H242" s="49">
        <v>45412</v>
      </c>
      <c r="I242" s="21" t="s">
        <v>54</v>
      </c>
      <c r="J242" s="29" t="s">
        <v>65</v>
      </c>
      <c r="K242" s="24" t="s">
        <v>47</v>
      </c>
      <c r="L242" s="23">
        <v>45409</v>
      </c>
      <c r="M242" s="49">
        <v>45412</v>
      </c>
      <c r="N242" s="25">
        <f t="shared" si="7"/>
        <v>3</v>
      </c>
      <c r="O242" s="29"/>
      <c r="P242" t="s">
        <v>88</v>
      </c>
      <c r="Q242" t="s">
        <v>88</v>
      </c>
      <c r="R242" t="s">
        <v>88</v>
      </c>
      <c r="S242" t="s">
        <v>88</v>
      </c>
      <c r="T242" t="s">
        <v>88</v>
      </c>
      <c r="U242" t="s">
        <v>20</v>
      </c>
    </row>
    <row r="243" spans="1:21" x14ac:dyDescent="0.45">
      <c r="A243" s="29">
        <v>42317020</v>
      </c>
      <c r="B243" s="21" t="str">
        <f t="shared" si="6"/>
        <v>4.231.702-0</v>
      </c>
      <c r="C243" s="22" t="s">
        <v>22</v>
      </c>
      <c r="D243" s="29" t="s">
        <v>366</v>
      </c>
      <c r="E243" s="29" t="s">
        <v>257</v>
      </c>
      <c r="F243" s="29" t="s">
        <v>250</v>
      </c>
      <c r="G243" s="49">
        <v>45404</v>
      </c>
      <c r="H243" s="49">
        <v>45412</v>
      </c>
      <c r="I243" s="21" t="s">
        <v>22</v>
      </c>
      <c r="J243" s="29" t="s">
        <v>65</v>
      </c>
      <c r="K243" s="24" t="s">
        <v>47</v>
      </c>
      <c r="L243" s="23">
        <v>45404</v>
      </c>
      <c r="M243" s="49">
        <v>45412</v>
      </c>
      <c r="N243" s="25">
        <f t="shared" si="7"/>
        <v>8</v>
      </c>
      <c r="O243" s="29"/>
      <c r="P243" t="s">
        <v>88</v>
      </c>
      <c r="Q243" t="s">
        <v>88</v>
      </c>
      <c r="R243" t="s">
        <v>88</v>
      </c>
      <c r="S243" t="s">
        <v>88</v>
      </c>
      <c r="T243" t="s">
        <v>88</v>
      </c>
      <c r="U243" t="s">
        <v>20</v>
      </c>
    </row>
    <row r="244" spans="1:21" x14ac:dyDescent="0.45">
      <c r="A244" s="29">
        <v>42317020</v>
      </c>
      <c r="B244" s="21" t="str">
        <f t="shared" si="6"/>
        <v>4.231.702-0</v>
      </c>
      <c r="C244" s="22" t="s">
        <v>22</v>
      </c>
      <c r="D244" s="29" t="s">
        <v>366</v>
      </c>
      <c r="E244" s="29" t="s">
        <v>257</v>
      </c>
      <c r="F244" s="29" t="s">
        <v>250</v>
      </c>
      <c r="G244" s="49">
        <v>45404</v>
      </c>
      <c r="H244" s="49">
        <v>45412</v>
      </c>
      <c r="I244" s="21" t="s">
        <v>22</v>
      </c>
      <c r="J244" s="29" t="s">
        <v>65</v>
      </c>
      <c r="K244" s="24" t="s">
        <v>43</v>
      </c>
      <c r="L244" s="23">
        <v>45407</v>
      </c>
      <c r="M244" s="49">
        <v>45412</v>
      </c>
      <c r="N244" s="25">
        <f t="shared" si="7"/>
        <v>5</v>
      </c>
      <c r="O244" s="29"/>
      <c r="P244" t="s">
        <v>88</v>
      </c>
      <c r="Q244" t="s">
        <v>88</v>
      </c>
      <c r="R244" t="s">
        <v>88</v>
      </c>
      <c r="S244" t="s">
        <v>88</v>
      </c>
      <c r="T244" t="s">
        <v>88</v>
      </c>
      <c r="U244" t="s">
        <v>20</v>
      </c>
    </row>
    <row r="245" spans="1:21" x14ac:dyDescent="0.45">
      <c r="A245" s="79">
        <v>53058140</v>
      </c>
      <c r="B245" s="21" t="str">
        <f t="shared" si="6"/>
        <v>5.305.814-0</v>
      </c>
      <c r="C245" s="22" t="s">
        <v>22</v>
      </c>
      <c r="D245" s="29" t="s">
        <v>307</v>
      </c>
      <c r="E245" s="29" t="s">
        <v>422</v>
      </c>
      <c r="F245" s="29" t="s">
        <v>250</v>
      </c>
      <c r="G245" s="49">
        <v>45398</v>
      </c>
      <c r="H245" s="49">
        <v>45412</v>
      </c>
      <c r="I245" s="21" t="s">
        <v>22</v>
      </c>
      <c r="J245" s="29" t="s">
        <v>65</v>
      </c>
      <c r="K245" s="24" t="s">
        <v>43</v>
      </c>
      <c r="L245" s="23">
        <v>45386</v>
      </c>
      <c r="M245" s="49">
        <v>45412</v>
      </c>
      <c r="N245" s="25">
        <f t="shared" si="7"/>
        <v>26</v>
      </c>
      <c r="O245" s="29"/>
      <c r="P245" t="s">
        <v>88</v>
      </c>
      <c r="Q245" t="s">
        <v>88</v>
      </c>
      <c r="R245" t="s">
        <v>88</v>
      </c>
      <c r="S245" t="s">
        <v>88</v>
      </c>
      <c r="T245" t="s">
        <v>88</v>
      </c>
      <c r="U245" t="s">
        <v>20</v>
      </c>
    </row>
    <row r="246" spans="1:21" x14ac:dyDescent="0.45">
      <c r="A246" s="79">
        <v>53058140</v>
      </c>
      <c r="B246" s="21" t="str">
        <f t="shared" si="6"/>
        <v>5.305.814-0</v>
      </c>
      <c r="C246" s="22" t="s">
        <v>22</v>
      </c>
      <c r="D246" s="29" t="str">
        <f>IF(IFERROR(VLOOKUP(A246,$A$227:$I245,1,0),0)=0,"",VLOOKUP(A246,$A$227:$I245,4,0))</f>
        <v>ESCOBAR</v>
      </c>
      <c r="E246" s="29" t="str">
        <f>IF(IFERROR(VLOOKUP(A246,$A$227:$I245,1,0),0)=0,"",VLOOKUP(A246,$A$227:$I245,5,0))</f>
        <v>TORRES</v>
      </c>
      <c r="F246" s="29" t="str">
        <f>IF(IFERROR(VLOOKUP(A246,$A$227:$I245,1,0),0)=0,"",VLOOKUP(A246,$A$227:$I245,6,0))</f>
        <v>JOSE</v>
      </c>
      <c r="G246" s="49">
        <v>45398</v>
      </c>
      <c r="H246" s="49">
        <v>45412</v>
      </c>
      <c r="I246" s="21" t="s">
        <v>22</v>
      </c>
      <c r="J246" s="29" t="s">
        <v>65</v>
      </c>
      <c r="K246" s="24" t="s">
        <v>47</v>
      </c>
      <c r="L246" s="23">
        <v>45394</v>
      </c>
      <c r="M246" s="49">
        <v>45412</v>
      </c>
      <c r="N246" s="25">
        <f t="shared" si="7"/>
        <v>18</v>
      </c>
      <c r="O246" s="29"/>
      <c r="P246" t="s">
        <v>88</v>
      </c>
      <c r="Q246" t="s">
        <v>88</v>
      </c>
      <c r="R246" t="s">
        <v>88</v>
      </c>
      <c r="S246" t="s">
        <v>88</v>
      </c>
      <c r="T246" t="s">
        <v>88</v>
      </c>
      <c r="U246" t="s">
        <v>20</v>
      </c>
    </row>
    <row r="247" spans="1:21" x14ac:dyDescent="0.45">
      <c r="A247" s="29">
        <v>198214663</v>
      </c>
      <c r="B247" s="21" t="str">
        <f t="shared" si="6"/>
        <v>19.821.466-3</v>
      </c>
      <c r="C247" s="22" t="s">
        <v>22</v>
      </c>
      <c r="D247" s="29" t="s">
        <v>940</v>
      </c>
      <c r="E247" s="29" t="s">
        <v>786</v>
      </c>
      <c r="F247" s="29" t="s">
        <v>841</v>
      </c>
      <c r="G247" s="49">
        <v>45410</v>
      </c>
      <c r="H247" s="49">
        <v>45412</v>
      </c>
      <c r="I247" s="21" t="s">
        <v>22</v>
      </c>
      <c r="J247" s="29" t="s">
        <v>65</v>
      </c>
      <c r="K247" s="24" t="s">
        <v>43</v>
      </c>
      <c r="L247" s="23">
        <v>45408</v>
      </c>
      <c r="M247" s="49">
        <v>45412</v>
      </c>
      <c r="N247" s="25">
        <f t="shared" si="7"/>
        <v>4</v>
      </c>
      <c r="O247" s="29"/>
      <c r="P247" t="s">
        <v>88</v>
      </c>
      <c r="Q247" t="s">
        <v>88</v>
      </c>
      <c r="R247" t="s">
        <v>88</v>
      </c>
      <c r="S247" t="s">
        <v>88</v>
      </c>
      <c r="T247" t="s">
        <v>88</v>
      </c>
      <c r="U247" t="s">
        <v>20</v>
      </c>
    </row>
    <row r="248" spans="1:21" x14ac:dyDescent="0.45">
      <c r="A248" s="29">
        <v>79751626</v>
      </c>
      <c r="B248" s="21" t="str">
        <f t="shared" si="6"/>
        <v>7.975.162-6</v>
      </c>
      <c r="C248" s="22" t="s">
        <v>22</v>
      </c>
      <c r="D248" s="29" t="s">
        <v>941</v>
      </c>
      <c r="E248" s="29" t="s">
        <v>736</v>
      </c>
      <c r="F248" s="29" t="s">
        <v>348</v>
      </c>
      <c r="G248" s="49">
        <v>45407</v>
      </c>
      <c r="H248" s="49">
        <v>45412</v>
      </c>
      <c r="I248" s="21" t="s">
        <v>22</v>
      </c>
      <c r="J248" s="29" t="s">
        <v>65</v>
      </c>
      <c r="K248" s="24" t="s">
        <v>43</v>
      </c>
      <c r="L248" s="23">
        <v>45379</v>
      </c>
      <c r="M248" s="49">
        <v>45412</v>
      </c>
      <c r="N248" s="25">
        <f t="shared" si="7"/>
        <v>33</v>
      </c>
      <c r="O248" s="29"/>
      <c r="P248" t="s">
        <v>88</v>
      </c>
      <c r="Q248" t="s">
        <v>88</v>
      </c>
      <c r="R248" t="s">
        <v>88</v>
      </c>
      <c r="S248" t="s">
        <v>88</v>
      </c>
      <c r="T248" t="s">
        <v>88</v>
      </c>
      <c r="U248" t="s">
        <v>20</v>
      </c>
    </row>
    <row r="249" spans="1:21" x14ac:dyDescent="0.45">
      <c r="A249" s="29">
        <v>79751626</v>
      </c>
      <c r="B249" s="21" t="str">
        <f t="shared" si="6"/>
        <v>7.975.162-6</v>
      </c>
      <c r="C249" s="22" t="s">
        <v>22</v>
      </c>
      <c r="D249" s="29" t="s">
        <v>941</v>
      </c>
      <c r="E249" s="29" t="s">
        <v>736</v>
      </c>
      <c r="F249" s="29" t="s">
        <v>348</v>
      </c>
      <c r="G249" s="49">
        <v>45407</v>
      </c>
      <c r="H249" s="49">
        <v>45412</v>
      </c>
      <c r="I249" s="21" t="s">
        <v>54</v>
      </c>
      <c r="J249" s="29" t="s">
        <v>65</v>
      </c>
      <c r="K249" s="24" t="s">
        <v>47</v>
      </c>
      <c r="L249" s="23">
        <v>45400</v>
      </c>
      <c r="M249" s="49">
        <v>45412</v>
      </c>
      <c r="N249" s="25">
        <f t="shared" si="7"/>
        <v>12</v>
      </c>
      <c r="O249" s="29"/>
      <c r="P249" t="s">
        <v>88</v>
      </c>
      <c r="Q249" t="s">
        <v>88</v>
      </c>
      <c r="R249" t="s">
        <v>88</v>
      </c>
      <c r="S249" t="s">
        <v>88</v>
      </c>
      <c r="T249" t="s">
        <v>88</v>
      </c>
      <c r="U249" t="s">
        <v>20</v>
      </c>
    </row>
    <row r="250" spans="1:21" x14ac:dyDescent="0.45">
      <c r="A250" s="29">
        <v>176965819</v>
      </c>
      <c r="B250" s="21" t="str">
        <f t="shared" si="6"/>
        <v>17.696.581-9</v>
      </c>
      <c r="C250" s="22" t="s">
        <v>30</v>
      </c>
      <c r="D250" s="29" t="s">
        <v>384</v>
      </c>
      <c r="E250" s="29" t="s">
        <v>874</v>
      </c>
      <c r="F250" s="29" t="s">
        <v>820</v>
      </c>
      <c r="G250" s="49">
        <v>45409</v>
      </c>
      <c r="H250" s="49">
        <v>45412</v>
      </c>
      <c r="I250" s="21" t="s">
        <v>54</v>
      </c>
      <c r="J250" s="29" t="s">
        <v>65</v>
      </c>
      <c r="K250" s="24" t="s">
        <v>43</v>
      </c>
      <c r="L250" s="49">
        <v>45409</v>
      </c>
      <c r="M250" s="49">
        <v>45412</v>
      </c>
      <c r="N250" s="25">
        <f t="shared" si="7"/>
        <v>3</v>
      </c>
      <c r="O250" s="29"/>
      <c r="P250" t="s">
        <v>88</v>
      </c>
      <c r="Q250" t="s">
        <v>88</v>
      </c>
      <c r="R250" t="s">
        <v>88</v>
      </c>
      <c r="S250" t="s">
        <v>88</v>
      </c>
      <c r="T250" t="s">
        <v>88</v>
      </c>
      <c r="U250" t="s">
        <v>20</v>
      </c>
    </row>
    <row r="251" spans="1:21" x14ac:dyDescent="0.45">
      <c r="A251" s="29">
        <v>176965819</v>
      </c>
      <c r="B251" s="21" t="str">
        <f t="shared" si="6"/>
        <v>17.696.581-9</v>
      </c>
      <c r="C251" s="22" t="s">
        <v>30</v>
      </c>
      <c r="D251" s="29" t="s">
        <v>384</v>
      </c>
      <c r="E251" s="29" t="s">
        <v>874</v>
      </c>
      <c r="F251" s="29" t="s">
        <v>820</v>
      </c>
      <c r="G251" s="49">
        <v>45409</v>
      </c>
      <c r="H251" s="49">
        <v>45412</v>
      </c>
      <c r="I251" s="21" t="s">
        <v>54</v>
      </c>
      <c r="J251" s="29" t="s">
        <v>65</v>
      </c>
      <c r="K251" s="24" t="s">
        <v>55</v>
      </c>
      <c r="L251" s="49">
        <v>45409</v>
      </c>
      <c r="M251" s="49">
        <v>45412</v>
      </c>
      <c r="N251" s="25">
        <v>4</v>
      </c>
      <c r="O251" s="29"/>
      <c r="P251" t="s">
        <v>88</v>
      </c>
      <c r="Q251" t="s">
        <v>88</v>
      </c>
      <c r="R251" t="s">
        <v>88</v>
      </c>
      <c r="S251" t="s">
        <v>88</v>
      </c>
      <c r="T251" t="s">
        <v>88</v>
      </c>
      <c r="U251" t="s">
        <v>20</v>
      </c>
    </row>
    <row r="252" spans="1:21" x14ac:dyDescent="0.45">
      <c r="A252" s="29">
        <v>176965819</v>
      </c>
      <c r="B252" s="21" t="str">
        <f t="shared" si="6"/>
        <v>17.696.581-9</v>
      </c>
      <c r="C252" s="22" t="s">
        <v>30</v>
      </c>
      <c r="D252" s="29" t="s">
        <v>384</v>
      </c>
      <c r="E252" s="29" t="s">
        <v>874</v>
      </c>
      <c r="F252" s="29" t="s">
        <v>820</v>
      </c>
      <c r="G252" s="49">
        <v>45409</v>
      </c>
      <c r="H252" s="49">
        <v>45412</v>
      </c>
      <c r="I252" s="21" t="s">
        <v>54</v>
      </c>
      <c r="J252" s="29" t="s">
        <v>65</v>
      </c>
      <c r="K252" s="24" t="s">
        <v>47</v>
      </c>
      <c r="L252" s="49">
        <v>45409</v>
      </c>
      <c r="M252" s="49">
        <v>45412</v>
      </c>
      <c r="N252" s="25">
        <f t="shared" ref="N252:N260" si="8">+M252-L252</f>
        <v>3</v>
      </c>
      <c r="O252" s="29"/>
      <c r="P252" t="s">
        <v>88</v>
      </c>
      <c r="Q252" t="s">
        <v>88</v>
      </c>
      <c r="R252" t="s">
        <v>88</v>
      </c>
      <c r="S252" t="s">
        <v>88</v>
      </c>
      <c r="T252" t="s">
        <v>88</v>
      </c>
      <c r="U252" t="s">
        <v>20</v>
      </c>
    </row>
    <row r="253" spans="1:21" x14ac:dyDescent="0.45">
      <c r="A253" s="29">
        <v>51148495</v>
      </c>
      <c r="B253" s="21" t="str">
        <f t="shared" si="6"/>
        <v>5.114.849-5</v>
      </c>
      <c r="C253" s="22" t="s">
        <v>30</v>
      </c>
      <c r="D253" s="29" t="s">
        <v>520</v>
      </c>
      <c r="E253" s="29" t="s">
        <v>559</v>
      </c>
      <c r="F253" s="29" t="s">
        <v>562</v>
      </c>
      <c r="G253" s="49">
        <v>45407</v>
      </c>
      <c r="H253" s="49">
        <v>45412</v>
      </c>
      <c r="I253" s="21" t="s">
        <v>48</v>
      </c>
      <c r="J253" s="29" t="s">
        <v>65</v>
      </c>
      <c r="K253" s="24" t="s">
        <v>55</v>
      </c>
      <c r="L253" s="49">
        <v>45407</v>
      </c>
      <c r="M253" s="49">
        <v>45412</v>
      </c>
      <c r="N253" s="25">
        <f t="shared" si="8"/>
        <v>5</v>
      </c>
      <c r="O253" s="29"/>
      <c r="P253" t="s">
        <v>88</v>
      </c>
      <c r="Q253" t="s">
        <v>88</v>
      </c>
      <c r="R253" t="s">
        <v>88</v>
      </c>
      <c r="S253" t="s">
        <v>88</v>
      </c>
      <c r="T253" t="s">
        <v>88</v>
      </c>
      <c r="U253" t="s">
        <v>20</v>
      </c>
    </row>
    <row r="254" spans="1:21" x14ac:dyDescent="0.45">
      <c r="A254" s="29">
        <v>51148495</v>
      </c>
      <c r="B254" s="21" t="str">
        <f t="shared" si="6"/>
        <v>5.114.849-5</v>
      </c>
      <c r="C254" s="22" t="s">
        <v>30</v>
      </c>
      <c r="D254" s="29" t="s">
        <v>520</v>
      </c>
      <c r="E254" s="29" t="s">
        <v>559</v>
      </c>
      <c r="F254" s="29" t="s">
        <v>562</v>
      </c>
      <c r="G254" s="49">
        <v>45407</v>
      </c>
      <c r="H254" s="49">
        <v>45412</v>
      </c>
      <c r="I254" s="21" t="s">
        <v>48</v>
      </c>
      <c r="J254" s="29" t="s">
        <v>65</v>
      </c>
      <c r="K254" s="24" t="s">
        <v>43</v>
      </c>
      <c r="L254" s="49">
        <v>45407</v>
      </c>
      <c r="M254" s="49">
        <v>45412</v>
      </c>
      <c r="N254" s="25">
        <f t="shared" si="8"/>
        <v>5</v>
      </c>
      <c r="O254" s="29"/>
      <c r="P254" t="s">
        <v>88</v>
      </c>
      <c r="Q254" t="s">
        <v>88</v>
      </c>
      <c r="R254" t="s">
        <v>88</v>
      </c>
      <c r="S254" t="s">
        <v>88</v>
      </c>
      <c r="T254" t="s">
        <v>88</v>
      </c>
      <c r="U254" t="s">
        <v>20</v>
      </c>
    </row>
    <row r="255" spans="1:21" x14ac:dyDescent="0.45">
      <c r="A255" s="29">
        <v>51148495</v>
      </c>
      <c r="B255" s="21" t="str">
        <f t="shared" si="6"/>
        <v>5.114.849-5</v>
      </c>
      <c r="C255" s="22" t="s">
        <v>30</v>
      </c>
      <c r="D255" s="29" t="s">
        <v>520</v>
      </c>
      <c r="E255" s="29" t="s">
        <v>559</v>
      </c>
      <c r="F255" s="29" t="s">
        <v>562</v>
      </c>
      <c r="G255" s="49">
        <v>45407</v>
      </c>
      <c r="H255" s="49">
        <v>45412</v>
      </c>
      <c r="I255" s="21" t="s">
        <v>48</v>
      </c>
      <c r="J255" s="29" t="s">
        <v>65</v>
      </c>
      <c r="K255" s="24" t="s">
        <v>47</v>
      </c>
      <c r="L255" s="49">
        <v>45407</v>
      </c>
      <c r="M255" s="49">
        <v>45412</v>
      </c>
      <c r="N255" s="25">
        <f t="shared" si="8"/>
        <v>5</v>
      </c>
      <c r="O255" s="29"/>
      <c r="P255" t="s">
        <v>88</v>
      </c>
      <c r="Q255" t="s">
        <v>88</v>
      </c>
      <c r="R255" t="s">
        <v>88</v>
      </c>
      <c r="S255" t="s">
        <v>88</v>
      </c>
      <c r="T255" t="s">
        <v>88</v>
      </c>
      <c r="U255" t="s">
        <v>20</v>
      </c>
    </row>
    <row r="256" spans="1:21" x14ac:dyDescent="0.45">
      <c r="A256" s="29">
        <v>88969359</v>
      </c>
      <c r="B256" s="21" t="str">
        <f t="shared" si="6"/>
        <v>8.896.935-9</v>
      </c>
      <c r="C256" s="22" t="s">
        <v>22</v>
      </c>
      <c r="D256" s="29" t="s">
        <v>281</v>
      </c>
      <c r="E256" s="29" t="s">
        <v>341</v>
      </c>
      <c r="F256" s="29" t="s">
        <v>939</v>
      </c>
      <c r="G256" s="49">
        <v>45406</v>
      </c>
      <c r="H256" s="49">
        <v>45412</v>
      </c>
      <c r="I256" s="21" t="s">
        <v>46</v>
      </c>
      <c r="J256" s="29" t="s">
        <v>22</v>
      </c>
      <c r="K256" s="24" t="s">
        <v>43</v>
      </c>
      <c r="L256" s="23">
        <v>45406</v>
      </c>
      <c r="M256" s="49">
        <v>45412</v>
      </c>
      <c r="N256" s="25">
        <f t="shared" si="8"/>
        <v>6</v>
      </c>
      <c r="P256" t="s">
        <v>88</v>
      </c>
      <c r="Q256" t="s">
        <v>88</v>
      </c>
      <c r="R256" t="s">
        <v>88</v>
      </c>
      <c r="S256" t="s">
        <v>88</v>
      </c>
      <c r="T256" t="s">
        <v>88</v>
      </c>
      <c r="U256" t="s">
        <v>20</v>
      </c>
    </row>
    <row r="257" spans="1:21" x14ac:dyDescent="0.45">
      <c r="A257" s="29">
        <v>88969359</v>
      </c>
      <c r="B257" s="21" t="str">
        <f t="shared" si="6"/>
        <v>8.896.935-9</v>
      </c>
      <c r="C257" s="22" t="s">
        <v>22</v>
      </c>
      <c r="D257" s="29" t="s">
        <v>281</v>
      </c>
      <c r="E257" s="29" t="s">
        <v>341</v>
      </c>
      <c r="F257" s="29" t="s">
        <v>939</v>
      </c>
      <c r="G257" s="49">
        <v>45406</v>
      </c>
      <c r="H257" s="49">
        <v>45412</v>
      </c>
      <c r="I257" s="21" t="s">
        <v>46</v>
      </c>
      <c r="J257" s="29" t="s">
        <v>22</v>
      </c>
      <c r="K257" s="24" t="s">
        <v>47</v>
      </c>
      <c r="L257" s="23">
        <v>45406</v>
      </c>
      <c r="M257" s="49">
        <v>45412</v>
      </c>
      <c r="N257" s="25">
        <f t="shared" si="8"/>
        <v>6</v>
      </c>
      <c r="P257" t="s">
        <v>88</v>
      </c>
      <c r="Q257" t="s">
        <v>88</v>
      </c>
      <c r="R257" t="s">
        <v>88</v>
      </c>
      <c r="S257" t="s">
        <v>88</v>
      </c>
      <c r="T257" t="s">
        <v>88</v>
      </c>
      <c r="U257" t="s">
        <v>20</v>
      </c>
    </row>
    <row r="258" spans="1:21" x14ac:dyDescent="0.45">
      <c r="A258" s="29">
        <v>88969359</v>
      </c>
      <c r="B258" s="21" t="str">
        <f t="shared" si="6"/>
        <v>8.896.935-9</v>
      </c>
      <c r="C258" s="22" t="s">
        <v>22</v>
      </c>
      <c r="D258" s="29" t="s">
        <v>281</v>
      </c>
      <c r="E258" s="29" t="s">
        <v>341</v>
      </c>
      <c r="F258" s="29" t="s">
        <v>939</v>
      </c>
      <c r="G258" s="49">
        <v>45406</v>
      </c>
      <c r="H258" s="49">
        <v>45412</v>
      </c>
      <c r="I258" s="21" t="s">
        <v>46</v>
      </c>
      <c r="J258" s="29" t="s">
        <v>22</v>
      </c>
      <c r="K258" s="24" t="s">
        <v>55</v>
      </c>
      <c r="L258" s="23">
        <v>45406</v>
      </c>
      <c r="M258" s="49">
        <v>45412</v>
      </c>
      <c r="N258" s="25">
        <f t="shared" si="8"/>
        <v>6</v>
      </c>
      <c r="P258" t="s">
        <v>88</v>
      </c>
      <c r="Q258" t="s">
        <v>88</v>
      </c>
      <c r="R258" t="s">
        <v>88</v>
      </c>
      <c r="S258" t="s">
        <v>88</v>
      </c>
      <c r="T258" t="s">
        <v>88</v>
      </c>
      <c r="U258" t="s">
        <v>20</v>
      </c>
    </row>
    <row r="259" spans="1:21" x14ac:dyDescent="0.45">
      <c r="A259" s="29">
        <v>71598799</v>
      </c>
      <c r="B259" s="21" t="str">
        <f t="shared" si="6"/>
        <v>7.159.879-9</v>
      </c>
      <c r="C259" s="22" t="s">
        <v>22</v>
      </c>
      <c r="D259" s="29" t="s">
        <v>559</v>
      </c>
      <c r="E259" s="29" t="s">
        <v>325</v>
      </c>
      <c r="F259" s="29" t="s">
        <v>348</v>
      </c>
      <c r="G259" s="49">
        <v>45407</v>
      </c>
      <c r="H259" s="49">
        <v>45412</v>
      </c>
      <c r="I259" s="21" t="s">
        <v>46</v>
      </c>
      <c r="J259" s="29" t="s">
        <v>65</v>
      </c>
      <c r="K259" s="24" t="s">
        <v>43</v>
      </c>
      <c r="L259" s="23">
        <v>45407</v>
      </c>
      <c r="M259" s="49">
        <v>45412</v>
      </c>
      <c r="N259" s="25">
        <f t="shared" si="8"/>
        <v>5</v>
      </c>
      <c r="P259" t="s">
        <v>88</v>
      </c>
      <c r="Q259" t="s">
        <v>88</v>
      </c>
      <c r="R259" t="s">
        <v>88</v>
      </c>
      <c r="S259" t="s">
        <v>88</v>
      </c>
      <c r="T259" t="s">
        <v>88</v>
      </c>
      <c r="U259" t="s">
        <v>20</v>
      </c>
    </row>
    <row r="260" spans="1:21" x14ac:dyDescent="0.45">
      <c r="A260" s="29">
        <v>71598799</v>
      </c>
      <c r="B260" s="21" t="str">
        <f t="shared" si="6"/>
        <v>7.159.879-9</v>
      </c>
      <c r="C260" s="22" t="s">
        <v>22</v>
      </c>
      <c r="D260" s="29" t="s">
        <v>559</v>
      </c>
      <c r="E260" s="29" t="s">
        <v>325</v>
      </c>
      <c r="F260" s="29" t="s">
        <v>348</v>
      </c>
      <c r="G260" s="49">
        <v>45407</v>
      </c>
      <c r="H260" s="49">
        <v>45412</v>
      </c>
      <c r="I260" s="21" t="s">
        <v>46</v>
      </c>
      <c r="J260" s="29" t="s">
        <v>65</v>
      </c>
      <c r="K260" s="24" t="s">
        <v>47</v>
      </c>
      <c r="L260" s="23">
        <v>45407</v>
      </c>
      <c r="M260" s="49">
        <v>45412</v>
      </c>
      <c r="N260" s="25">
        <f t="shared" si="8"/>
        <v>5</v>
      </c>
      <c r="P260" t="s">
        <v>88</v>
      </c>
      <c r="Q260" t="s">
        <v>88</v>
      </c>
      <c r="R260" t="s">
        <v>88</v>
      </c>
      <c r="S260" t="s">
        <v>88</v>
      </c>
      <c r="T260" t="s">
        <v>88</v>
      </c>
      <c r="U260" t="s">
        <v>20</v>
      </c>
    </row>
    <row r="261" spans="1:21" x14ac:dyDescent="0.45">
      <c r="U261">
        <f>COUNTIF(U8:U260,"si")</f>
        <v>1</v>
      </c>
    </row>
  </sheetData>
  <dataValidations count="5">
    <dataValidation allowBlank="1" sqref="N1:N137 N139:N260" xr:uid="{00000000-0002-0000-0500-000000000000}"/>
    <dataValidation allowBlank="1" showInputMessage="1" sqref="O1:O7 O60:O69" xr:uid="{00000000-0002-0000-0500-000001000000}"/>
    <dataValidation type="date" operator="greaterThanOrEqual" allowBlank="1" showInputMessage="1" showErrorMessage="1" errorTitle="Error de formato de fecha" error="Favor escribir fecha en formato indicado en mensaje." promptTitle="Inserte fecha" prompt="Utilice el formato_x000a_DD-MM-AAAA" sqref="G60:H69 L8:L128 L131:L137 L139:L170 L173:L220 L227:L249 L256:L262" xr:uid="{00000000-0002-0000-0500-000002000000}">
      <formula1>42583</formula1>
    </dataValidation>
    <dataValidation type="date" operator="greaterThanOrEqual" allowBlank="1" showInputMessage="1" showErrorMessage="1" errorTitle="Error de formato de fecha" error="Favor escribir fecha en formato indicado en mensaje." promptTitle="Inserte fecha" prompt="Utilice el formato DD-MM-AAAA._x000a_Si al terminar la quincena, el paciente hospitalizado mantiene el elemento invasivo instalado, favor colocar la fecha de término de la quincena. Luego, especificar en observaciones." sqref="H234:H236 M8:M12 M16:M29 M34:M38 M43:M51 M54:M82 M87:M94 M97:M120 M123:M130 M133 M136 M143:M147 M151:M153 M160 M163 M167:M170 M180:M183 M185:M190 M194:M195 M208 M215:M216 M220 M234:M236 M261:M265" xr:uid="{00000000-0002-0000-0500-000003000000}">
      <formula1>42583</formula1>
    </dataValidation>
    <dataValidation type="textLength" allowBlank="1" showInputMessage="1" showErrorMessage="1" errorTitle="Error de formato" error="Ingrese un rut válido, sin utilizar puntos ni guión." promptTitle="Ingrese Rut" prompt="No utilice puntos ni guión. Si necesita agregar nuevos tipos de invasivos para un mismo paciente, ingrese nuevamente el rut en la siguiente fila." sqref="A60:A69" xr:uid="{00000000-0002-0000-0500-000004000000}">
      <formula1>8</formula1>
      <formula2>9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469"/>
  <sheetViews>
    <sheetView topLeftCell="A270" zoomScale="80" zoomScaleNormal="80" workbookViewId="0">
      <pane xSplit="2" topLeftCell="K1" activePane="topRight" state="frozen"/>
      <selection pane="topRight" activeCell="P284" sqref="P284"/>
    </sheetView>
  </sheetViews>
  <sheetFormatPr baseColWidth="10" defaultRowHeight="14.25" x14ac:dyDescent="0.45"/>
  <cols>
    <col min="3" max="3" width="11.46484375" style="69" customWidth="1"/>
    <col min="10" max="10" width="14.796875" style="56" customWidth="1"/>
    <col min="11" max="11" width="11.46484375" style="69" customWidth="1"/>
  </cols>
  <sheetData>
    <row r="1" spans="1:21" x14ac:dyDescent="0.45">
      <c r="A1" s="1" t="s">
        <v>215</v>
      </c>
      <c r="B1" s="1"/>
      <c r="C1" s="94"/>
      <c r="D1" s="1"/>
      <c r="E1" s="1"/>
      <c r="F1" s="1"/>
      <c r="G1" s="1"/>
      <c r="H1" s="1"/>
      <c r="I1" s="1"/>
      <c r="J1" s="2"/>
      <c r="K1" s="87"/>
      <c r="L1" s="1"/>
      <c r="M1" s="1"/>
      <c r="N1" s="1"/>
      <c r="O1" s="1"/>
    </row>
    <row r="2" spans="1:21" x14ac:dyDescent="0.45">
      <c r="A2" s="3"/>
      <c r="B2" s="3"/>
      <c r="C2" s="67"/>
      <c r="D2" s="3"/>
      <c r="E2" s="3"/>
      <c r="F2" s="3"/>
      <c r="G2" s="3"/>
      <c r="H2" s="3"/>
      <c r="I2" s="3"/>
      <c r="J2" s="54"/>
      <c r="K2" s="88"/>
      <c r="L2" s="3"/>
      <c r="M2" s="3"/>
      <c r="N2" s="3"/>
      <c r="O2" s="3"/>
    </row>
    <row r="3" spans="1:21" x14ac:dyDescent="0.45">
      <c r="A3" s="5" t="s">
        <v>216</v>
      </c>
      <c r="B3" s="6"/>
      <c r="C3" s="95" t="s">
        <v>22</v>
      </c>
      <c r="D3" s="6" t="s">
        <v>217</v>
      </c>
      <c r="E3" s="7" t="s">
        <v>29</v>
      </c>
      <c r="F3" s="6" t="s">
        <v>218</v>
      </c>
      <c r="G3" s="7"/>
      <c r="H3" s="6" t="s">
        <v>219</v>
      </c>
      <c r="I3" s="7">
        <v>2024</v>
      </c>
      <c r="J3" s="55"/>
      <c r="K3" s="89"/>
      <c r="L3" s="6"/>
      <c r="M3" s="6"/>
      <c r="N3" s="6"/>
      <c r="O3" s="6"/>
    </row>
    <row r="4" spans="1:21" ht="12" customHeight="1" x14ac:dyDescent="0.45">
      <c r="A4" s="3"/>
      <c r="B4" s="3"/>
      <c r="C4" s="67"/>
      <c r="D4" s="3"/>
      <c r="E4" s="3"/>
      <c r="F4" s="3"/>
      <c r="G4" s="3"/>
      <c r="H4" s="3"/>
      <c r="I4" s="3"/>
      <c r="J4" s="54"/>
      <c r="K4" s="90"/>
      <c r="L4" s="3"/>
      <c r="M4" s="3"/>
      <c r="N4" s="3"/>
      <c r="O4" s="3"/>
    </row>
    <row r="5" spans="1:21" x14ac:dyDescent="0.45">
      <c r="A5" s="3"/>
      <c r="B5" s="3"/>
      <c r="C5" s="67"/>
      <c r="D5" s="3"/>
      <c r="E5" s="3"/>
      <c r="F5" s="3"/>
      <c r="G5" s="3"/>
      <c r="H5" s="3"/>
      <c r="I5" s="3"/>
      <c r="J5" s="54"/>
      <c r="K5" s="90"/>
      <c r="L5" s="3"/>
      <c r="M5" s="3"/>
      <c r="N5" s="3"/>
      <c r="O5" s="3"/>
    </row>
    <row r="6" spans="1:21" ht="14.65" customHeight="1" thickBot="1" x14ac:dyDescent="0.5">
      <c r="A6" s="3"/>
      <c r="B6" s="3"/>
      <c r="C6" s="67"/>
      <c r="D6" s="3"/>
      <c r="E6" s="3"/>
      <c r="F6" s="3"/>
      <c r="G6" s="3"/>
      <c r="H6" s="3"/>
      <c r="I6" s="3"/>
      <c r="J6" s="54"/>
      <c r="K6" s="90"/>
      <c r="L6" s="3"/>
      <c r="M6" s="3"/>
      <c r="N6" s="3"/>
      <c r="O6" s="3"/>
    </row>
    <row r="7" spans="1:21" ht="28.5" customHeight="1" x14ac:dyDescent="0.45">
      <c r="A7" s="10" t="s">
        <v>220</v>
      </c>
      <c r="B7" s="11" t="s">
        <v>221</v>
      </c>
      <c r="C7" s="96" t="s">
        <v>222</v>
      </c>
      <c r="D7" s="12" t="s">
        <v>223</v>
      </c>
      <c r="E7" s="12" t="s">
        <v>224</v>
      </c>
      <c r="F7" s="11" t="s">
        <v>225</v>
      </c>
      <c r="G7" s="12" t="s">
        <v>226</v>
      </c>
      <c r="H7" s="12" t="s">
        <v>227</v>
      </c>
      <c r="I7" s="11" t="s">
        <v>4</v>
      </c>
      <c r="J7" s="86" t="s">
        <v>5</v>
      </c>
      <c r="K7" s="91" t="s">
        <v>3</v>
      </c>
      <c r="L7" s="12" t="s">
        <v>228</v>
      </c>
      <c r="M7" s="12" t="s">
        <v>229</v>
      </c>
      <c r="N7" s="14" t="s">
        <v>230</v>
      </c>
      <c r="O7" s="16" t="s">
        <v>7</v>
      </c>
      <c r="P7" s="127" t="s">
        <v>231</v>
      </c>
      <c r="Q7" s="127" t="s">
        <v>232</v>
      </c>
      <c r="R7" s="127" t="s">
        <v>233</v>
      </c>
      <c r="S7" s="127" t="s">
        <v>234</v>
      </c>
      <c r="T7" s="127" t="s">
        <v>235</v>
      </c>
      <c r="U7" s="127" t="s">
        <v>8</v>
      </c>
    </row>
    <row r="8" spans="1:21" x14ac:dyDescent="0.45">
      <c r="A8" s="79" t="s">
        <v>942</v>
      </c>
      <c r="B8" s="21" t="str">
        <f t="shared" ref="B8:B71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8.010.314-K</v>
      </c>
      <c r="C8" s="22" t="s">
        <v>38</v>
      </c>
      <c r="D8" s="29" t="s">
        <v>943</v>
      </c>
      <c r="E8" s="29" t="s">
        <v>405</v>
      </c>
      <c r="F8" s="29" t="s">
        <v>603</v>
      </c>
      <c r="G8" s="49">
        <v>45410</v>
      </c>
      <c r="H8" s="49">
        <v>45415</v>
      </c>
      <c r="I8" s="21" t="s">
        <v>24</v>
      </c>
      <c r="J8" s="68" t="s">
        <v>13</v>
      </c>
      <c r="K8" s="24" t="s">
        <v>43</v>
      </c>
      <c r="L8" s="92">
        <v>45413</v>
      </c>
      <c r="M8" s="49">
        <v>45415</v>
      </c>
      <c r="N8" s="25">
        <f t="shared" ref="N8:N39" si="1">+M8-L8</f>
        <v>2</v>
      </c>
      <c r="O8" s="83"/>
      <c r="P8" t="s">
        <v>88</v>
      </c>
      <c r="Q8" t="s">
        <v>88</v>
      </c>
      <c r="R8" t="s">
        <v>88</v>
      </c>
      <c r="S8" t="s">
        <v>88</v>
      </c>
      <c r="T8" t="s">
        <v>88</v>
      </c>
      <c r="U8" t="s">
        <v>20</v>
      </c>
    </row>
    <row r="9" spans="1:21" x14ac:dyDescent="0.45">
      <c r="A9" s="79">
        <v>47303737</v>
      </c>
      <c r="B9" s="21" t="str">
        <f t="shared" si="0"/>
        <v>4.730.373-7</v>
      </c>
      <c r="C9" s="22" t="s">
        <v>38</v>
      </c>
      <c r="D9" s="29" t="s">
        <v>278</v>
      </c>
      <c r="E9" s="29" t="s">
        <v>670</v>
      </c>
      <c r="F9" s="29" t="s">
        <v>944</v>
      </c>
      <c r="G9" s="49">
        <v>45408</v>
      </c>
      <c r="H9" s="49">
        <v>45422</v>
      </c>
      <c r="I9" s="21" t="s">
        <v>24</v>
      </c>
      <c r="J9" s="68" t="s">
        <v>24</v>
      </c>
      <c r="K9" s="24" t="s">
        <v>43</v>
      </c>
      <c r="L9" s="92">
        <v>45413</v>
      </c>
      <c r="M9" s="49">
        <v>45422</v>
      </c>
      <c r="N9" s="25">
        <f t="shared" si="1"/>
        <v>9</v>
      </c>
      <c r="O9" s="29"/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20</v>
      </c>
    </row>
    <row r="10" spans="1:21" x14ac:dyDescent="0.45">
      <c r="A10" s="79">
        <v>47303737</v>
      </c>
      <c r="B10" s="21" t="str">
        <f t="shared" si="0"/>
        <v>4.730.373-7</v>
      </c>
      <c r="C10" s="22" t="s">
        <v>38</v>
      </c>
      <c r="D10" s="29" t="s">
        <v>278</v>
      </c>
      <c r="E10" s="29" t="s">
        <v>670</v>
      </c>
      <c r="F10" s="29" t="s">
        <v>944</v>
      </c>
      <c r="G10" s="49">
        <v>45408</v>
      </c>
      <c r="H10" s="49">
        <v>45422</v>
      </c>
      <c r="I10" s="21" t="s">
        <v>24</v>
      </c>
      <c r="J10" s="68" t="s">
        <v>24</v>
      </c>
      <c r="K10" s="24" t="s">
        <v>47</v>
      </c>
      <c r="L10" s="92">
        <v>45413</v>
      </c>
      <c r="M10" s="49">
        <v>45422</v>
      </c>
      <c r="N10" s="25">
        <f t="shared" si="1"/>
        <v>9</v>
      </c>
      <c r="O10" s="29"/>
      <c r="P10" t="s">
        <v>88</v>
      </c>
      <c r="Q10" t="s">
        <v>88</v>
      </c>
      <c r="R10" t="s">
        <v>88</v>
      </c>
      <c r="S10" t="s">
        <v>88</v>
      </c>
      <c r="T10" t="s">
        <v>88</v>
      </c>
      <c r="U10" t="s">
        <v>20</v>
      </c>
    </row>
    <row r="11" spans="1:21" x14ac:dyDescent="0.45">
      <c r="A11" s="79">
        <v>61754822</v>
      </c>
      <c r="B11" s="21" t="str">
        <f t="shared" si="0"/>
        <v>6.175.482-2</v>
      </c>
      <c r="C11" s="22" t="s">
        <v>38</v>
      </c>
      <c r="D11" s="29" t="s">
        <v>439</v>
      </c>
      <c r="E11" s="29" t="s">
        <v>439</v>
      </c>
      <c r="F11" s="29" t="s">
        <v>348</v>
      </c>
      <c r="G11" s="82">
        <v>45402</v>
      </c>
      <c r="H11" s="49">
        <v>45422</v>
      </c>
      <c r="I11" s="21" t="s">
        <v>24</v>
      </c>
      <c r="J11" s="68" t="s">
        <v>24</v>
      </c>
      <c r="K11" s="24" t="s">
        <v>47</v>
      </c>
      <c r="L11" s="92">
        <v>45413</v>
      </c>
      <c r="M11" s="49">
        <v>45422</v>
      </c>
      <c r="N11" s="25">
        <f t="shared" si="1"/>
        <v>9</v>
      </c>
      <c r="O11" s="70" t="s">
        <v>14</v>
      </c>
      <c r="P11" t="s">
        <v>88</v>
      </c>
      <c r="Q11" t="s">
        <v>88</v>
      </c>
      <c r="R11" t="s">
        <v>88</v>
      </c>
      <c r="S11" t="s">
        <v>88</v>
      </c>
      <c r="T11" t="s">
        <v>88</v>
      </c>
      <c r="U11" t="s">
        <v>20</v>
      </c>
    </row>
    <row r="12" spans="1:21" x14ac:dyDescent="0.45">
      <c r="A12" s="79">
        <v>61754822</v>
      </c>
      <c r="B12" s="21" t="str">
        <f t="shared" si="0"/>
        <v>6.175.482-2</v>
      </c>
      <c r="C12" s="22" t="s">
        <v>38</v>
      </c>
      <c r="D12" s="29" t="s">
        <v>439</v>
      </c>
      <c r="E12" s="29" t="s">
        <v>439</v>
      </c>
      <c r="F12" s="29" t="s">
        <v>348</v>
      </c>
      <c r="G12" s="82">
        <v>45402</v>
      </c>
      <c r="H12" s="49">
        <v>45422</v>
      </c>
      <c r="I12" s="72" t="s">
        <v>24</v>
      </c>
      <c r="J12" s="68" t="s">
        <v>24</v>
      </c>
      <c r="K12" s="24" t="s">
        <v>43</v>
      </c>
      <c r="L12" s="92">
        <v>45413</v>
      </c>
      <c r="M12" s="49">
        <v>45422</v>
      </c>
      <c r="N12" s="25">
        <f t="shared" si="1"/>
        <v>9</v>
      </c>
      <c r="O12" s="50"/>
      <c r="P12" t="s">
        <v>88</v>
      </c>
      <c r="Q12" t="s">
        <v>88</v>
      </c>
      <c r="R12" t="s">
        <v>88</v>
      </c>
      <c r="S12" t="s">
        <v>88</v>
      </c>
      <c r="T12" t="s">
        <v>88</v>
      </c>
      <c r="U12" t="s">
        <v>20</v>
      </c>
    </row>
    <row r="13" spans="1:21" x14ac:dyDescent="0.45">
      <c r="A13" s="79">
        <v>87561798</v>
      </c>
      <c r="B13" s="72" t="str">
        <f t="shared" si="0"/>
        <v>8.756.179-8</v>
      </c>
      <c r="C13" s="73" t="s">
        <v>38</v>
      </c>
      <c r="D13" s="29" t="s">
        <v>561</v>
      </c>
      <c r="E13" s="29" t="s">
        <v>295</v>
      </c>
      <c r="F13" s="29" t="s">
        <v>362</v>
      </c>
      <c r="G13" s="49">
        <v>45411</v>
      </c>
      <c r="H13" s="49">
        <v>45432</v>
      </c>
      <c r="I13" s="29" t="s">
        <v>54</v>
      </c>
      <c r="J13" s="68" t="s">
        <v>24</v>
      </c>
      <c r="K13" s="24" t="s">
        <v>47</v>
      </c>
      <c r="L13" s="92">
        <v>45413</v>
      </c>
      <c r="M13" s="49">
        <v>45432</v>
      </c>
      <c r="N13" s="25">
        <f t="shared" si="1"/>
        <v>19</v>
      </c>
      <c r="O13" s="29"/>
      <c r="P13" t="s">
        <v>88</v>
      </c>
      <c r="Q13" t="s">
        <v>88</v>
      </c>
      <c r="R13" t="s">
        <v>88</v>
      </c>
      <c r="S13" t="s">
        <v>88</v>
      </c>
      <c r="T13" t="s">
        <v>88</v>
      </c>
      <c r="U13" t="s">
        <v>20</v>
      </c>
    </row>
    <row r="14" spans="1:21" x14ac:dyDescent="0.45">
      <c r="A14" s="79">
        <v>87561798</v>
      </c>
      <c r="B14" s="72" t="str">
        <f t="shared" si="0"/>
        <v>8.756.179-8</v>
      </c>
      <c r="C14" s="73" t="s">
        <v>38</v>
      </c>
      <c r="D14" s="29" t="s">
        <v>561</v>
      </c>
      <c r="E14" s="29" t="s">
        <v>295</v>
      </c>
      <c r="F14" s="29" t="s">
        <v>362</v>
      </c>
      <c r="G14" s="49">
        <v>45411</v>
      </c>
      <c r="H14" s="49">
        <v>45432</v>
      </c>
      <c r="I14" s="29" t="s">
        <v>54</v>
      </c>
      <c r="J14" s="68" t="s">
        <v>24</v>
      </c>
      <c r="K14" s="24" t="s">
        <v>43</v>
      </c>
      <c r="L14" s="84">
        <v>45413</v>
      </c>
      <c r="M14" s="49">
        <v>45432</v>
      </c>
      <c r="N14" s="25">
        <f t="shared" si="1"/>
        <v>19</v>
      </c>
      <c r="O14" s="29"/>
      <c r="P14" t="s">
        <v>96</v>
      </c>
      <c r="Q14" t="s">
        <v>88</v>
      </c>
      <c r="R14" t="s">
        <v>88</v>
      </c>
      <c r="S14" t="s">
        <v>88</v>
      </c>
      <c r="T14" t="s">
        <v>88</v>
      </c>
      <c r="U14" t="s">
        <v>20</v>
      </c>
    </row>
    <row r="15" spans="1:21" x14ac:dyDescent="0.45">
      <c r="A15" s="79">
        <v>70539829</v>
      </c>
      <c r="B15" s="72" t="str">
        <f t="shared" si="0"/>
        <v>7.053.982-9</v>
      </c>
      <c r="C15" s="73" t="s">
        <v>38</v>
      </c>
      <c r="D15" s="29" t="s">
        <v>708</v>
      </c>
      <c r="E15" s="29" t="s">
        <v>945</v>
      </c>
      <c r="F15" s="29" t="s">
        <v>351</v>
      </c>
      <c r="G15" s="49">
        <v>45408</v>
      </c>
      <c r="H15" s="49">
        <v>45414</v>
      </c>
      <c r="I15" s="29" t="s">
        <v>54</v>
      </c>
      <c r="J15" s="68" t="s">
        <v>13</v>
      </c>
      <c r="K15" s="24" t="s">
        <v>43</v>
      </c>
      <c r="L15" s="92">
        <v>45413</v>
      </c>
      <c r="M15" s="49">
        <v>45414</v>
      </c>
      <c r="N15" s="25">
        <f t="shared" si="1"/>
        <v>1</v>
      </c>
      <c r="O15" s="29"/>
      <c r="P15" t="s">
        <v>88</v>
      </c>
      <c r="Q15" t="s">
        <v>88</v>
      </c>
      <c r="R15" t="s">
        <v>88</v>
      </c>
      <c r="S15" t="s">
        <v>88</v>
      </c>
      <c r="T15" t="s">
        <v>88</v>
      </c>
      <c r="U15" t="s">
        <v>20</v>
      </c>
    </row>
    <row r="16" spans="1:21" x14ac:dyDescent="0.45">
      <c r="A16" s="79">
        <v>284160517</v>
      </c>
      <c r="B16" s="72" t="str">
        <f t="shared" si="0"/>
        <v>28.416.051-7</v>
      </c>
      <c r="C16" s="73" t="s">
        <v>16</v>
      </c>
      <c r="D16" s="29" t="s">
        <v>946</v>
      </c>
      <c r="E16" s="29" t="s">
        <v>424</v>
      </c>
      <c r="F16" s="29" t="s">
        <v>947</v>
      </c>
      <c r="G16" s="49">
        <v>45405</v>
      </c>
      <c r="H16" s="49">
        <v>45416</v>
      </c>
      <c r="I16" s="29" t="s">
        <v>54</v>
      </c>
      <c r="J16" s="68" t="s">
        <v>13</v>
      </c>
      <c r="K16" s="24" t="s">
        <v>18</v>
      </c>
      <c r="L16" s="92">
        <v>45413</v>
      </c>
      <c r="M16" s="49">
        <v>45416</v>
      </c>
      <c r="N16" s="25">
        <f t="shared" si="1"/>
        <v>3</v>
      </c>
      <c r="O16" s="29"/>
      <c r="P16" t="s">
        <v>88</v>
      </c>
      <c r="Q16" t="s">
        <v>88</v>
      </c>
      <c r="R16" t="s">
        <v>88</v>
      </c>
      <c r="S16" t="s">
        <v>88</v>
      </c>
      <c r="T16" t="s">
        <v>88</v>
      </c>
      <c r="U16" t="s">
        <v>20</v>
      </c>
    </row>
    <row r="17" spans="1:21" x14ac:dyDescent="0.45">
      <c r="A17" s="79">
        <v>840804</v>
      </c>
      <c r="B17" s="72" t="str">
        <f t="shared" si="0"/>
        <v>84.080.4-</v>
      </c>
      <c r="C17" s="73" t="s">
        <v>16</v>
      </c>
      <c r="D17" s="29" t="s">
        <v>555</v>
      </c>
      <c r="E17" s="29" t="s">
        <v>555</v>
      </c>
      <c r="F17" s="29" t="s">
        <v>948</v>
      </c>
      <c r="G17" s="49">
        <v>45411</v>
      </c>
      <c r="H17" s="49">
        <v>45435</v>
      </c>
      <c r="I17" s="29" t="s">
        <v>54</v>
      </c>
      <c r="J17" s="68" t="s">
        <v>13</v>
      </c>
      <c r="K17" s="24" t="s">
        <v>47</v>
      </c>
      <c r="L17" s="92">
        <v>45413</v>
      </c>
      <c r="M17" s="49">
        <v>45435</v>
      </c>
      <c r="N17" s="25">
        <f t="shared" si="1"/>
        <v>22</v>
      </c>
      <c r="O17" s="29"/>
      <c r="P17" t="s">
        <v>88</v>
      </c>
      <c r="Q17" t="s">
        <v>88</v>
      </c>
      <c r="R17" t="s">
        <v>88</v>
      </c>
      <c r="S17" t="s">
        <v>88</v>
      </c>
      <c r="T17" t="s">
        <v>88</v>
      </c>
      <c r="U17" t="s">
        <v>20</v>
      </c>
    </row>
    <row r="18" spans="1:21" x14ac:dyDescent="0.45">
      <c r="A18" s="79">
        <v>245728816</v>
      </c>
      <c r="B18" s="72" t="str">
        <f t="shared" si="0"/>
        <v>24.572.881-6</v>
      </c>
      <c r="C18" s="73" t="s">
        <v>10</v>
      </c>
      <c r="D18" s="29" t="s">
        <v>926</v>
      </c>
      <c r="E18" s="29" t="s">
        <v>493</v>
      </c>
      <c r="F18" s="29" t="s">
        <v>927</v>
      </c>
      <c r="G18" s="49">
        <v>45401</v>
      </c>
      <c r="H18" s="49">
        <v>45420</v>
      </c>
      <c r="I18" s="29" t="s">
        <v>54</v>
      </c>
      <c r="J18" s="68" t="s">
        <v>13</v>
      </c>
      <c r="K18" s="24" t="s">
        <v>43</v>
      </c>
      <c r="L18" s="92">
        <v>45413</v>
      </c>
      <c r="M18" s="49">
        <v>45420</v>
      </c>
      <c r="N18" s="25">
        <f t="shared" si="1"/>
        <v>7</v>
      </c>
      <c r="O18" s="29"/>
      <c r="P18" t="s">
        <v>88</v>
      </c>
      <c r="Q18" t="s">
        <v>88</v>
      </c>
      <c r="R18" t="s">
        <v>88</v>
      </c>
      <c r="S18" t="s">
        <v>88</v>
      </c>
      <c r="T18" t="s">
        <v>88</v>
      </c>
      <c r="U18" t="s">
        <v>20</v>
      </c>
    </row>
    <row r="19" spans="1:21" x14ac:dyDescent="0.45">
      <c r="A19" s="79">
        <v>245728816</v>
      </c>
      <c r="B19" s="72" t="str">
        <f t="shared" si="0"/>
        <v>24.572.881-6</v>
      </c>
      <c r="C19" s="73" t="s">
        <v>10</v>
      </c>
      <c r="D19" s="29" t="s">
        <v>926</v>
      </c>
      <c r="E19" s="29" t="s">
        <v>493</v>
      </c>
      <c r="F19" s="29" t="s">
        <v>927</v>
      </c>
      <c r="G19" s="49">
        <v>45401</v>
      </c>
      <c r="H19" s="49">
        <v>45420</v>
      </c>
      <c r="I19" s="29" t="s">
        <v>54</v>
      </c>
      <c r="J19" s="68" t="s">
        <v>13</v>
      </c>
      <c r="K19" s="24" t="s">
        <v>47</v>
      </c>
      <c r="L19" s="92">
        <v>45413</v>
      </c>
      <c r="M19" s="49">
        <v>45420</v>
      </c>
      <c r="N19" s="25">
        <f t="shared" si="1"/>
        <v>7</v>
      </c>
      <c r="O19" s="29"/>
      <c r="P19" t="s">
        <v>88</v>
      </c>
      <c r="Q19" t="s">
        <v>88</v>
      </c>
      <c r="R19" t="s">
        <v>88</v>
      </c>
      <c r="S19" t="s">
        <v>88</v>
      </c>
      <c r="T19" t="s">
        <v>88</v>
      </c>
      <c r="U19" t="s">
        <v>20</v>
      </c>
    </row>
    <row r="20" spans="1:21" x14ac:dyDescent="0.45">
      <c r="A20" s="79" t="s">
        <v>949</v>
      </c>
      <c r="B20" s="72" t="str">
        <f t="shared" si="0"/>
        <v>25.499.040-K</v>
      </c>
      <c r="C20" s="73" t="s">
        <v>16</v>
      </c>
      <c r="D20" s="29" t="s">
        <v>488</v>
      </c>
      <c r="E20" s="29" t="s">
        <v>950</v>
      </c>
      <c r="F20" s="29" t="s">
        <v>293</v>
      </c>
      <c r="G20" s="49">
        <v>45408</v>
      </c>
      <c r="H20" s="49">
        <v>45424</v>
      </c>
      <c r="I20" s="29" t="s">
        <v>58</v>
      </c>
      <c r="J20" s="68" t="s">
        <v>44</v>
      </c>
      <c r="K20" s="24" t="s">
        <v>43</v>
      </c>
      <c r="L20" s="92">
        <v>45413</v>
      </c>
      <c r="M20" s="49">
        <v>45418</v>
      </c>
      <c r="N20" s="25">
        <f t="shared" si="1"/>
        <v>5</v>
      </c>
      <c r="O20" s="29"/>
      <c r="P20" t="s">
        <v>88</v>
      </c>
      <c r="Q20" t="s">
        <v>88</v>
      </c>
      <c r="R20" t="s">
        <v>88</v>
      </c>
      <c r="S20" t="s">
        <v>88</v>
      </c>
      <c r="T20" t="s">
        <v>88</v>
      </c>
      <c r="U20" t="s">
        <v>20</v>
      </c>
    </row>
    <row r="21" spans="1:21" x14ac:dyDescent="0.45">
      <c r="A21" s="79" t="s">
        <v>949</v>
      </c>
      <c r="B21" s="72" t="str">
        <f t="shared" si="0"/>
        <v>25.499.040-K</v>
      </c>
      <c r="C21" s="73" t="s">
        <v>16</v>
      </c>
      <c r="D21" s="29" t="s">
        <v>488</v>
      </c>
      <c r="E21" s="29" t="s">
        <v>950</v>
      </c>
      <c r="F21" s="29" t="s">
        <v>293</v>
      </c>
      <c r="G21" s="49">
        <v>45408</v>
      </c>
      <c r="H21" s="49">
        <v>45424</v>
      </c>
      <c r="I21" s="29" t="s">
        <v>58</v>
      </c>
      <c r="J21" s="68" t="s">
        <v>44</v>
      </c>
      <c r="K21" s="24" t="s">
        <v>47</v>
      </c>
      <c r="L21" s="92">
        <v>45413</v>
      </c>
      <c r="M21" s="49">
        <v>45418</v>
      </c>
      <c r="N21" s="25">
        <f t="shared" si="1"/>
        <v>5</v>
      </c>
      <c r="O21" s="29"/>
      <c r="P21" t="s">
        <v>88</v>
      </c>
      <c r="Q21" t="s">
        <v>88</v>
      </c>
      <c r="R21" t="s">
        <v>88</v>
      </c>
      <c r="S21" t="s">
        <v>88</v>
      </c>
      <c r="T21" t="s">
        <v>88</v>
      </c>
      <c r="U21" t="s">
        <v>20</v>
      </c>
    </row>
    <row r="22" spans="1:21" x14ac:dyDescent="0.45">
      <c r="A22" s="79">
        <v>195313024</v>
      </c>
      <c r="B22" s="72" t="str">
        <f t="shared" si="0"/>
        <v>19.531.302-4</v>
      </c>
      <c r="C22" s="73" t="s">
        <v>22</v>
      </c>
      <c r="D22" s="29" t="s">
        <v>503</v>
      </c>
      <c r="E22" s="29" t="s">
        <v>439</v>
      </c>
      <c r="F22" s="29" t="s">
        <v>700</v>
      </c>
      <c r="G22" s="49">
        <v>45406</v>
      </c>
      <c r="H22" s="49">
        <v>45419</v>
      </c>
      <c r="I22" s="29" t="s">
        <v>54</v>
      </c>
      <c r="J22" s="68" t="s">
        <v>13</v>
      </c>
      <c r="K22" s="24" t="s">
        <v>43</v>
      </c>
      <c r="L22" s="92">
        <v>45413</v>
      </c>
      <c r="M22" s="49">
        <v>45419</v>
      </c>
      <c r="N22" s="25">
        <f t="shared" si="1"/>
        <v>6</v>
      </c>
      <c r="O22" s="29"/>
      <c r="P22" t="s">
        <v>88</v>
      </c>
      <c r="Q22" t="s">
        <v>88</v>
      </c>
      <c r="R22" t="s">
        <v>88</v>
      </c>
      <c r="S22" t="s">
        <v>88</v>
      </c>
      <c r="T22" t="s">
        <v>88</v>
      </c>
      <c r="U22" t="s">
        <v>20</v>
      </c>
    </row>
    <row r="23" spans="1:21" x14ac:dyDescent="0.45">
      <c r="A23" s="79">
        <v>195313024</v>
      </c>
      <c r="B23" s="72" t="str">
        <f t="shared" si="0"/>
        <v>19.531.302-4</v>
      </c>
      <c r="C23" s="73" t="s">
        <v>22</v>
      </c>
      <c r="D23" s="29" t="s">
        <v>503</v>
      </c>
      <c r="E23" s="29" t="s">
        <v>439</v>
      </c>
      <c r="F23" s="29" t="s">
        <v>700</v>
      </c>
      <c r="G23" s="49">
        <v>45406</v>
      </c>
      <c r="H23" s="49">
        <v>45419</v>
      </c>
      <c r="I23" s="29" t="s">
        <v>54</v>
      </c>
      <c r="J23" s="68" t="s">
        <v>13</v>
      </c>
      <c r="K23" s="24" t="s">
        <v>47</v>
      </c>
      <c r="L23" s="92">
        <v>45413</v>
      </c>
      <c r="M23" s="49">
        <v>45419</v>
      </c>
      <c r="N23" s="25">
        <f t="shared" si="1"/>
        <v>6</v>
      </c>
      <c r="O23" s="29"/>
      <c r="P23" t="s">
        <v>88</v>
      </c>
      <c r="Q23" t="s">
        <v>88</v>
      </c>
      <c r="R23" t="s">
        <v>88</v>
      </c>
      <c r="S23" t="s">
        <v>88</v>
      </c>
      <c r="T23" t="s">
        <v>88</v>
      </c>
      <c r="U23" t="s">
        <v>20</v>
      </c>
    </row>
    <row r="24" spans="1:21" x14ac:dyDescent="0.45">
      <c r="A24" s="79">
        <v>159281361</v>
      </c>
      <c r="B24" s="72" t="str">
        <f t="shared" si="0"/>
        <v>15.928.136-1</v>
      </c>
      <c r="C24" s="73" t="s">
        <v>22</v>
      </c>
      <c r="D24" s="29" t="s">
        <v>951</v>
      </c>
      <c r="E24" s="29" t="s">
        <v>631</v>
      </c>
      <c r="F24" s="29" t="s">
        <v>798</v>
      </c>
      <c r="G24" s="49">
        <v>45382</v>
      </c>
      <c r="H24" s="49">
        <v>45416</v>
      </c>
      <c r="I24" s="29" t="s">
        <v>54</v>
      </c>
      <c r="J24" s="68" t="s">
        <v>19</v>
      </c>
      <c r="K24" s="24" t="s">
        <v>43</v>
      </c>
      <c r="L24" s="92">
        <v>45413</v>
      </c>
      <c r="M24" s="49">
        <v>45416</v>
      </c>
      <c r="N24" s="25">
        <f t="shared" si="1"/>
        <v>3</v>
      </c>
      <c r="O24" s="29"/>
      <c r="P24" t="s">
        <v>88</v>
      </c>
      <c r="Q24" t="s">
        <v>88</v>
      </c>
      <c r="R24" t="s">
        <v>88</v>
      </c>
      <c r="S24" t="s">
        <v>88</v>
      </c>
      <c r="T24" t="s">
        <v>88</v>
      </c>
      <c r="U24" t="s">
        <v>20</v>
      </c>
    </row>
    <row r="25" spans="1:21" x14ac:dyDescent="0.45">
      <c r="A25" s="79">
        <v>159281361</v>
      </c>
      <c r="B25" s="72" t="str">
        <f t="shared" si="0"/>
        <v>15.928.136-1</v>
      </c>
      <c r="C25" s="73" t="s">
        <v>22</v>
      </c>
      <c r="D25" s="29" t="s">
        <v>951</v>
      </c>
      <c r="E25" s="29" t="s">
        <v>631</v>
      </c>
      <c r="F25" s="29" t="s">
        <v>798</v>
      </c>
      <c r="G25" s="49">
        <v>45382</v>
      </c>
      <c r="H25" s="49">
        <v>45416</v>
      </c>
      <c r="I25" s="29" t="s">
        <v>54</v>
      </c>
      <c r="J25" s="68" t="s">
        <v>19</v>
      </c>
      <c r="K25" s="24" t="s">
        <v>47</v>
      </c>
      <c r="L25" s="92">
        <v>45413</v>
      </c>
      <c r="M25" s="49">
        <v>45416</v>
      </c>
      <c r="N25" s="25">
        <f t="shared" si="1"/>
        <v>3</v>
      </c>
      <c r="O25" s="29"/>
      <c r="P25" t="s">
        <v>88</v>
      </c>
      <c r="Q25" t="s">
        <v>88</v>
      </c>
      <c r="R25" t="s">
        <v>88</v>
      </c>
      <c r="S25" t="s">
        <v>88</v>
      </c>
      <c r="T25" t="s">
        <v>88</v>
      </c>
      <c r="U25" t="s">
        <v>20</v>
      </c>
    </row>
    <row r="26" spans="1:21" x14ac:dyDescent="0.45">
      <c r="A26" s="79">
        <v>159281361</v>
      </c>
      <c r="B26" s="72" t="str">
        <f t="shared" si="0"/>
        <v>15.928.136-1</v>
      </c>
      <c r="C26" s="73" t="s">
        <v>22</v>
      </c>
      <c r="D26" s="29" t="s">
        <v>951</v>
      </c>
      <c r="E26" s="29" t="s">
        <v>631</v>
      </c>
      <c r="F26" s="29" t="s">
        <v>798</v>
      </c>
      <c r="G26" s="49">
        <v>45382</v>
      </c>
      <c r="H26" s="49">
        <v>45416</v>
      </c>
      <c r="I26" s="29" t="s">
        <v>54</v>
      </c>
      <c r="J26" s="68" t="s">
        <v>19</v>
      </c>
      <c r="K26" s="24" t="s">
        <v>55</v>
      </c>
      <c r="L26" s="92">
        <v>45413</v>
      </c>
      <c r="M26" s="49">
        <v>45416</v>
      </c>
      <c r="N26" s="25">
        <f t="shared" si="1"/>
        <v>3</v>
      </c>
      <c r="O26" s="29"/>
      <c r="P26" t="s">
        <v>88</v>
      </c>
      <c r="Q26" t="s">
        <v>88</v>
      </c>
      <c r="R26" t="s">
        <v>88</v>
      </c>
      <c r="S26" t="s">
        <v>88</v>
      </c>
      <c r="T26" t="s">
        <v>88</v>
      </c>
      <c r="U26" t="s">
        <v>20</v>
      </c>
    </row>
    <row r="27" spans="1:21" x14ac:dyDescent="0.45">
      <c r="A27" s="79">
        <v>168077882</v>
      </c>
      <c r="B27" s="72" t="str">
        <f t="shared" si="0"/>
        <v>16.807.788-2</v>
      </c>
      <c r="C27" s="73" t="s">
        <v>22</v>
      </c>
      <c r="D27" s="29" t="s">
        <v>905</v>
      </c>
      <c r="E27" s="29" t="s">
        <v>699</v>
      </c>
      <c r="F27" s="29" t="s">
        <v>952</v>
      </c>
      <c r="G27" s="49">
        <v>45411</v>
      </c>
      <c r="H27" s="49">
        <v>45442</v>
      </c>
      <c r="I27" s="29" t="s">
        <v>54</v>
      </c>
      <c r="J27" s="68" t="s">
        <v>22</v>
      </c>
      <c r="K27" s="24" t="s">
        <v>43</v>
      </c>
      <c r="L27" s="49">
        <v>45413</v>
      </c>
      <c r="M27" s="49">
        <v>45442</v>
      </c>
      <c r="N27" s="25">
        <f t="shared" si="1"/>
        <v>29</v>
      </c>
      <c r="O27" s="29" t="s">
        <v>14</v>
      </c>
      <c r="P27" t="s">
        <v>88</v>
      </c>
      <c r="Q27" t="s">
        <v>88</v>
      </c>
      <c r="R27" t="s">
        <v>88</v>
      </c>
      <c r="S27" t="s">
        <v>88</v>
      </c>
      <c r="T27" t="s">
        <v>88</v>
      </c>
      <c r="U27" t="s">
        <v>20</v>
      </c>
    </row>
    <row r="28" spans="1:21" x14ac:dyDescent="0.45">
      <c r="A28" s="79">
        <v>168077882</v>
      </c>
      <c r="B28" s="72" t="str">
        <f t="shared" si="0"/>
        <v>16.807.788-2</v>
      </c>
      <c r="C28" s="73" t="s">
        <v>22</v>
      </c>
      <c r="D28" s="29" t="s">
        <v>905</v>
      </c>
      <c r="E28" s="29" t="s">
        <v>699</v>
      </c>
      <c r="F28" s="29" t="s">
        <v>952</v>
      </c>
      <c r="G28" s="49">
        <v>45411</v>
      </c>
      <c r="H28" s="49">
        <v>45442</v>
      </c>
      <c r="I28" s="29" t="s">
        <v>54</v>
      </c>
      <c r="J28" s="68" t="s">
        <v>22</v>
      </c>
      <c r="K28" s="24" t="s">
        <v>55</v>
      </c>
      <c r="L28" s="92">
        <v>45413</v>
      </c>
      <c r="M28" s="49">
        <v>45442</v>
      </c>
      <c r="N28" s="25">
        <f t="shared" si="1"/>
        <v>29</v>
      </c>
      <c r="O28" s="29"/>
      <c r="P28" t="s">
        <v>132</v>
      </c>
      <c r="Q28" t="s">
        <v>88</v>
      </c>
      <c r="R28" t="s">
        <v>88</v>
      </c>
      <c r="S28" t="s">
        <v>88</v>
      </c>
      <c r="T28" t="s">
        <v>88</v>
      </c>
      <c r="U28" t="s">
        <v>20</v>
      </c>
    </row>
    <row r="29" spans="1:21" x14ac:dyDescent="0.45">
      <c r="A29" s="79">
        <v>168077882</v>
      </c>
      <c r="B29" s="72" t="str">
        <f t="shared" si="0"/>
        <v>16.807.788-2</v>
      </c>
      <c r="C29" s="73" t="s">
        <v>22</v>
      </c>
      <c r="D29" s="29" t="s">
        <v>905</v>
      </c>
      <c r="E29" s="29" t="s">
        <v>699</v>
      </c>
      <c r="F29" s="29" t="s">
        <v>952</v>
      </c>
      <c r="G29" s="49">
        <v>45411</v>
      </c>
      <c r="H29" s="49">
        <v>45442</v>
      </c>
      <c r="I29" s="29" t="s">
        <v>54</v>
      </c>
      <c r="J29" s="68" t="s">
        <v>22</v>
      </c>
      <c r="K29" s="24" t="s">
        <v>47</v>
      </c>
      <c r="L29" s="49">
        <v>45420</v>
      </c>
      <c r="M29" s="49">
        <v>45443</v>
      </c>
      <c r="N29" s="25">
        <f t="shared" si="1"/>
        <v>23</v>
      </c>
      <c r="O29" s="29"/>
      <c r="P29" t="s">
        <v>88</v>
      </c>
      <c r="Q29" t="s">
        <v>88</v>
      </c>
      <c r="R29" t="s">
        <v>88</v>
      </c>
      <c r="S29" t="s">
        <v>88</v>
      </c>
      <c r="T29" t="s">
        <v>88</v>
      </c>
      <c r="U29" t="s">
        <v>20</v>
      </c>
    </row>
    <row r="30" spans="1:21" x14ac:dyDescent="0.45">
      <c r="A30" s="79">
        <v>79903396</v>
      </c>
      <c r="B30" s="72" t="str">
        <f t="shared" si="0"/>
        <v>7.990.339-6</v>
      </c>
      <c r="C30" s="73" t="s">
        <v>22</v>
      </c>
      <c r="D30" s="29" t="s">
        <v>660</v>
      </c>
      <c r="E30" s="29" t="s">
        <v>313</v>
      </c>
      <c r="F30" s="29" t="s">
        <v>250</v>
      </c>
      <c r="G30" s="49">
        <v>45397</v>
      </c>
      <c r="H30" s="49">
        <v>45443</v>
      </c>
      <c r="I30" s="29" t="s">
        <v>54</v>
      </c>
      <c r="J30" s="68" t="s">
        <v>65</v>
      </c>
      <c r="K30" s="24" t="s">
        <v>43</v>
      </c>
      <c r="L30" s="92">
        <v>45413</v>
      </c>
      <c r="M30" s="49">
        <v>45443</v>
      </c>
      <c r="N30" s="25">
        <f t="shared" si="1"/>
        <v>30</v>
      </c>
      <c r="O30" s="29"/>
      <c r="P30" t="s">
        <v>88</v>
      </c>
      <c r="Q30" t="s">
        <v>88</v>
      </c>
      <c r="R30" t="s">
        <v>88</v>
      </c>
      <c r="S30" t="s">
        <v>88</v>
      </c>
      <c r="T30" t="s">
        <v>88</v>
      </c>
      <c r="U30" t="s">
        <v>20</v>
      </c>
    </row>
    <row r="31" spans="1:21" x14ac:dyDescent="0.45">
      <c r="A31" s="79">
        <v>79903396</v>
      </c>
      <c r="B31" s="72" t="str">
        <f t="shared" si="0"/>
        <v>7.990.339-6</v>
      </c>
      <c r="C31" s="73" t="s">
        <v>22</v>
      </c>
      <c r="D31" s="29" t="s">
        <v>660</v>
      </c>
      <c r="E31" s="29" t="s">
        <v>313</v>
      </c>
      <c r="F31" s="29" t="s">
        <v>250</v>
      </c>
      <c r="G31" s="49">
        <v>45397</v>
      </c>
      <c r="H31" s="49">
        <v>45443</v>
      </c>
      <c r="I31" s="29" t="s">
        <v>54</v>
      </c>
      <c r="J31" s="68" t="s">
        <v>65</v>
      </c>
      <c r="K31" s="24" t="s">
        <v>47</v>
      </c>
      <c r="L31" s="92">
        <v>45413</v>
      </c>
      <c r="M31" s="49">
        <v>45443</v>
      </c>
      <c r="N31" s="25">
        <f t="shared" si="1"/>
        <v>30</v>
      </c>
      <c r="O31" s="29"/>
      <c r="P31" t="s">
        <v>88</v>
      </c>
      <c r="Q31" t="s">
        <v>88</v>
      </c>
      <c r="R31" t="s">
        <v>88</v>
      </c>
      <c r="S31" t="s">
        <v>88</v>
      </c>
      <c r="T31" t="s">
        <v>88</v>
      </c>
      <c r="U31" t="s">
        <v>20</v>
      </c>
    </row>
    <row r="32" spans="1:21" x14ac:dyDescent="0.45">
      <c r="A32" s="79">
        <v>79903396</v>
      </c>
      <c r="B32" s="72" t="str">
        <f t="shared" si="0"/>
        <v>7.990.339-6</v>
      </c>
      <c r="C32" s="73" t="s">
        <v>22</v>
      </c>
      <c r="D32" s="29" t="s">
        <v>660</v>
      </c>
      <c r="E32" s="29" t="s">
        <v>313</v>
      </c>
      <c r="F32" s="29" t="s">
        <v>250</v>
      </c>
      <c r="G32" s="49">
        <v>45397</v>
      </c>
      <c r="H32" s="49">
        <v>45443</v>
      </c>
      <c r="I32" s="29" t="s">
        <v>54</v>
      </c>
      <c r="J32" s="68" t="s">
        <v>65</v>
      </c>
      <c r="K32" s="24" t="s">
        <v>55</v>
      </c>
      <c r="L32" s="92">
        <v>45413</v>
      </c>
      <c r="M32" s="49">
        <v>45402</v>
      </c>
      <c r="N32" s="25">
        <f t="shared" si="1"/>
        <v>-11</v>
      </c>
      <c r="O32" s="29"/>
      <c r="P32" t="s">
        <v>88</v>
      </c>
      <c r="Q32" t="s">
        <v>88</v>
      </c>
      <c r="R32" t="s">
        <v>88</v>
      </c>
      <c r="S32" t="s">
        <v>88</v>
      </c>
      <c r="T32" t="s">
        <v>88</v>
      </c>
      <c r="U32" t="s">
        <v>20</v>
      </c>
    </row>
    <row r="33" spans="1:21" x14ac:dyDescent="0.45">
      <c r="A33" s="79">
        <v>180999000</v>
      </c>
      <c r="B33" s="72" t="str">
        <f t="shared" si="0"/>
        <v>18.099.900-0</v>
      </c>
      <c r="C33" s="73" t="s">
        <v>22</v>
      </c>
      <c r="D33" s="29" t="s">
        <v>412</v>
      </c>
      <c r="E33" s="29" t="s">
        <v>657</v>
      </c>
      <c r="F33" s="29" t="s">
        <v>348</v>
      </c>
      <c r="G33" s="49">
        <v>45415</v>
      </c>
      <c r="H33" s="49">
        <v>45416</v>
      </c>
      <c r="I33" s="29" t="s">
        <v>36</v>
      </c>
      <c r="J33" s="68" t="s">
        <v>36</v>
      </c>
      <c r="K33" s="24" t="s">
        <v>43</v>
      </c>
      <c r="L33" s="49">
        <v>45414</v>
      </c>
      <c r="M33" s="49">
        <v>45416</v>
      </c>
      <c r="N33" s="25">
        <f t="shared" si="1"/>
        <v>2</v>
      </c>
      <c r="O33" s="29"/>
      <c r="P33" t="s">
        <v>88</v>
      </c>
      <c r="Q33" t="s">
        <v>88</v>
      </c>
      <c r="R33" t="s">
        <v>88</v>
      </c>
      <c r="S33" t="s">
        <v>88</v>
      </c>
      <c r="T33" t="s">
        <v>88</v>
      </c>
      <c r="U33" t="s">
        <v>20</v>
      </c>
    </row>
    <row r="34" spans="1:21" x14ac:dyDescent="0.45">
      <c r="A34" s="79">
        <v>180999000</v>
      </c>
      <c r="B34" s="72" t="str">
        <f t="shared" si="0"/>
        <v>18.099.900-0</v>
      </c>
      <c r="C34" s="73" t="s">
        <v>22</v>
      </c>
      <c r="D34" s="29" t="s">
        <v>412</v>
      </c>
      <c r="E34" s="29" t="s">
        <v>657</v>
      </c>
      <c r="F34" s="29" t="s">
        <v>348</v>
      </c>
      <c r="G34" s="49">
        <v>45415</v>
      </c>
      <c r="H34" s="49">
        <v>45416</v>
      </c>
      <c r="I34" s="29" t="s">
        <v>36</v>
      </c>
      <c r="J34" s="68" t="s">
        <v>36</v>
      </c>
      <c r="K34" s="24" t="s">
        <v>47</v>
      </c>
      <c r="L34" s="49">
        <v>45414</v>
      </c>
      <c r="M34" s="49">
        <v>45416</v>
      </c>
      <c r="N34" s="25">
        <f t="shared" si="1"/>
        <v>2</v>
      </c>
      <c r="O34" s="29"/>
      <c r="P34" t="s">
        <v>88</v>
      </c>
      <c r="Q34" t="s">
        <v>88</v>
      </c>
      <c r="R34" t="s">
        <v>88</v>
      </c>
      <c r="S34" t="s">
        <v>88</v>
      </c>
      <c r="T34" t="s">
        <v>88</v>
      </c>
      <c r="U34" t="s">
        <v>20</v>
      </c>
    </row>
    <row r="35" spans="1:21" x14ac:dyDescent="0.45">
      <c r="A35" s="79">
        <v>83674768</v>
      </c>
      <c r="B35" s="72" t="str">
        <f t="shared" si="0"/>
        <v>8.367.476-8</v>
      </c>
      <c r="C35" s="73" t="s">
        <v>22</v>
      </c>
      <c r="D35" s="29" t="s">
        <v>384</v>
      </c>
      <c r="E35" s="29" t="s">
        <v>418</v>
      </c>
      <c r="F35" s="29" t="s">
        <v>638</v>
      </c>
      <c r="G35" s="49">
        <v>45414</v>
      </c>
      <c r="H35" s="49">
        <v>45419</v>
      </c>
      <c r="I35" s="29" t="s">
        <v>54</v>
      </c>
      <c r="J35" s="68" t="s">
        <v>22</v>
      </c>
      <c r="K35" s="24" t="s">
        <v>43</v>
      </c>
      <c r="L35" s="49">
        <v>45414</v>
      </c>
      <c r="M35" s="49">
        <v>45419</v>
      </c>
      <c r="N35" s="25">
        <f t="shared" si="1"/>
        <v>5</v>
      </c>
      <c r="O35" s="29"/>
      <c r="P35" t="s">
        <v>88</v>
      </c>
      <c r="Q35" t="s">
        <v>88</v>
      </c>
      <c r="R35" t="s">
        <v>88</v>
      </c>
      <c r="S35" t="s">
        <v>88</v>
      </c>
      <c r="T35" t="s">
        <v>88</v>
      </c>
      <c r="U35" t="s">
        <v>20</v>
      </c>
    </row>
    <row r="36" spans="1:21" x14ac:dyDescent="0.45">
      <c r="A36" s="79">
        <v>83674768</v>
      </c>
      <c r="B36" s="72" t="str">
        <f t="shared" si="0"/>
        <v>8.367.476-8</v>
      </c>
      <c r="C36" s="73" t="s">
        <v>22</v>
      </c>
      <c r="D36" s="29" t="s">
        <v>384</v>
      </c>
      <c r="E36" s="29" t="s">
        <v>418</v>
      </c>
      <c r="F36" s="29" t="s">
        <v>638</v>
      </c>
      <c r="G36" s="49">
        <v>45414</v>
      </c>
      <c r="H36" s="49">
        <v>45419</v>
      </c>
      <c r="I36" s="29" t="s">
        <v>54</v>
      </c>
      <c r="J36" s="68" t="s">
        <v>22</v>
      </c>
      <c r="K36" s="24" t="s">
        <v>47</v>
      </c>
      <c r="L36" s="49">
        <v>45414</v>
      </c>
      <c r="M36" s="49">
        <v>45419</v>
      </c>
      <c r="N36" s="25">
        <f t="shared" si="1"/>
        <v>5</v>
      </c>
      <c r="O36" s="29"/>
      <c r="P36" t="s">
        <v>88</v>
      </c>
      <c r="Q36" t="s">
        <v>88</v>
      </c>
      <c r="R36" t="s">
        <v>88</v>
      </c>
      <c r="S36" t="s">
        <v>88</v>
      </c>
      <c r="T36" t="s">
        <v>88</v>
      </c>
      <c r="U36" t="s">
        <v>20</v>
      </c>
    </row>
    <row r="37" spans="1:21" x14ac:dyDescent="0.45">
      <c r="A37" s="79">
        <v>56085734</v>
      </c>
      <c r="B37" s="72" t="str">
        <f t="shared" si="0"/>
        <v>5.608.573-4</v>
      </c>
      <c r="C37" s="73" t="s">
        <v>22</v>
      </c>
      <c r="D37" s="29" t="s">
        <v>812</v>
      </c>
      <c r="E37" s="29" t="s">
        <v>813</v>
      </c>
      <c r="F37" s="29" t="s">
        <v>348</v>
      </c>
      <c r="G37" s="49">
        <v>45411</v>
      </c>
      <c r="H37" s="49">
        <v>45427</v>
      </c>
      <c r="I37" s="29" t="s">
        <v>22</v>
      </c>
      <c r="J37" s="68" t="s">
        <v>56</v>
      </c>
      <c r="K37" s="24" t="s">
        <v>43</v>
      </c>
      <c r="L37" s="49">
        <v>45414</v>
      </c>
      <c r="M37" s="49">
        <v>45415</v>
      </c>
      <c r="N37" s="25">
        <f t="shared" si="1"/>
        <v>1</v>
      </c>
      <c r="O37" s="70" t="s">
        <v>14</v>
      </c>
      <c r="P37" t="s">
        <v>88</v>
      </c>
      <c r="Q37" t="s">
        <v>88</v>
      </c>
      <c r="R37" t="s">
        <v>88</v>
      </c>
      <c r="S37" t="s">
        <v>88</v>
      </c>
      <c r="T37" t="s">
        <v>88</v>
      </c>
      <c r="U37" t="s">
        <v>20</v>
      </c>
    </row>
    <row r="38" spans="1:21" x14ac:dyDescent="0.45">
      <c r="A38" s="79">
        <v>56085734</v>
      </c>
      <c r="B38" s="72" t="str">
        <f t="shared" si="0"/>
        <v>5.608.573-4</v>
      </c>
      <c r="C38" s="73" t="s">
        <v>22</v>
      </c>
      <c r="D38" s="29" t="s">
        <v>812</v>
      </c>
      <c r="E38" s="29" t="s">
        <v>813</v>
      </c>
      <c r="F38" s="29" t="s">
        <v>348</v>
      </c>
      <c r="G38" s="49">
        <v>45411</v>
      </c>
      <c r="H38" s="49">
        <v>45427</v>
      </c>
      <c r="I38" s="29" t="s">
        <v>22</v>
      </c>
      <c r="J38" s="68" t="s">
        <v>56</v>
      </c>
      <c r="K38" s="24" t="s">
        <v>47</v>
      </c>
      <c r="L38" s="92">
        <v>45413</v>
      </c>
      <c r="M38" s="49">
        <v>45427</v>
      </c>
      <c r="N38" s="25">
        <f t="shared" si="1"/>
        <v>14</v>
      </c>
      <c r="O38" s="70"/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20</v>
      </c>
    </row>
    <row r="39" spans="1:21" x14ac:dyDescent="0.45">
      <c r="A39" s="79">
        <v>56085734</v>
      </c>
      <c r="B39" s="72" t="str">
        <f t="shared" si="0"/>
        <v>5.608.573-4</v>
      </c>
      <c r="C39" s="73" t="s">
        <v>22</v>
      </c>
      <c r="D39" s="29" t="s">
        <v>812</v>
      </c>
      <c r="E39" s="29" t="s">
        <v>813</v>
      </c>
      <c r="F39" s="29" t="s">
        <v>348</v>
      </c>
      <c r="G39" s="49">
        <v>45411</v>
      </c>
      <c r="H39" s="49">
        <v>45427</v>
      </c>
      <c r="I39" s="29" t="s">
        <v>22</v>
      </c>
      <c r="J39" s="68" t="s">
        <v>56</v>
      </c>
      <c r="K39" s="24" t="s">
        <v>55</v>
      </c>
      <c r="L39" s="92">
        <v>45413</v>
      </c>
      <c r="M39" s="49">
        <v>45427</v>
      </c>
      <c r="N39" s="25">
        <f t="shared" si="1"/>
        <v>14</v>
      </c>
      <c r="O39" s="29"/>
      <c r="P39" t="s">
        <v>88</v>
      </c>
      <c r="Q39" t="s">
        <v>88</v>
      </c>
      <c r="R39" t="s">
        <v>88</v>
      </c>
      <c r="S39" t="s">
        <v>88</v>
      </c>
      <c r="T39" t="s">
        <v>88</v>
      </c>
      <c r="U39" t="s">
        <v>20</v>
      </c>
    </row>
    <row r="40" spans="1:21" x14ac:dyDescent="0.45">
      <c r="A40" s="79">
        <v>143724166</v>
      </c>
      <c r="B40" s="72" t="str">
        <f t="shared" si="0"/>
        <v>14.372.416-6</v>
      </c>
      <c r="C40" s="73" t="s">
        <v>22</v>
      </c>
      <c r="D40" s="29" t="s">
        <v>329</v>
      </c>
      <c r="E40" s="29" t="s">
        <v>573</v>
      </c>
      <c r="F40" s="29" t="s">
        <v>793</v>
      </c>
      <c r="G40" s="49">
        <v>45413</v>
      </c>
      <c r="H40" s="49">
        <v>45419</v>
      </c>
      <c r="I40" s="29" t="s">
        <v>54</v>
      </c>
      <c r="J40" s="68" t="s">
        <v>13</v>
      </c>
      <c r="K40" s="24" t="s">
        <v>43</v>
      </c>
      <c r="L40" s="49">
        <v>45413</v>
      </c>
      <c r="M40" s="49">
        <v>45419</v>
      </c>
      <c r="N40" s="25">
        <f t="shared" ref="N40:N71" si="2">+M40-L40</f>
        <v>6</v>
      </c>
      <c r="O40" s="29"/>
      <c r="P40" t="s">
        <v>88</v>
      </c>
      <c r="Q40" t="s">
        <v>88</v>
      </c>
      <c r="R40" t="s">
        <v>88</v>
      </c>
      <c r="S40" t="s">
        <v>88</v>
      </c>
      <c r="T40" t="s">
        <v>88</v>
      </c>
      <c r="U40" t="s">
        <v>20</v>
      </c>
    </row>
    <row r="41" spans="1:21" x14ac:dyDescent="0.45">
      <c r="A41" s="79">
        <v>117897680</v>
      </c>
      <c r="B41" s="72" t="str">
        <f t="shared" si="0"/>
        <v>11.789.768-0</v>
      </c>
      <c r="C41" s="73" t="s">
        <v>22</v>
      </c>
      <c r="D41" s="29" t="s">
        <v>873</v>
      </c>
      <c r="E41" s="29" t="s">
        <v>427</v>
      </c>
      <c r="F41" s="29" t="s">
        <v>835</v>
      </c>
      <c r="G41" s="49">
        <v>45395</v>
      </c>
      <c r="H41" s="49">
        <v>45415</v>
      </c>
      <c r="I41" s="29" t="s">
        <v>54</v>
      </c>
      <c r="J41" s="68" t="s">
        <v>22</v>
      </c>
      <c r="K41" s="24" t="s">
        <v>43</v>
      </c>
      <c r="L41" s="92">
        <v>45413</v>
      </c>
      <c r="M41" s="49">
        <v>45415</v>
      </c>
      <c r="N41" s="25">
        <f t="shared" si="2"/>
        <v>2</v>
      </c>
      <c r="O41" s="29"/>
      <c r="P41" t="s">
        <v>88</v>
      </c>
      <c r="Q41" t="s">
        <v>88</v>
      </c>
      <c r="R41" t="s">
        <v>88</v>
      </c>
      <c r="S41" t="s">
        <v>88</v>
      </c>
      <c r="T41" t="s">
        <v>88</v>
      </c>
      <c r="U41" t="s">
        <v>20</v>
      </c>
    </row>
    <row r="42" spans="1:21" x14ac:dyDescent="0.45">
      <c r="A42" s="79">
        <v>117897680</v>
      </c>
      <c r="B42" s="72" t="str">
        <f t="shared" si="0"/>
        <v>11.789.768-0</v>
      </c>
      <c r="C42" s="73" t="s">
        <v>22</v>
      </c>
      <c r="D42" s="29" t="s">
        <v>873</v>
      </c>
      <c r="E42" s="29" t="s">
        <v>427</v>
      </c>
      <c r="F42" s="29" t="s">
        <v>835</v>
      </c>
      <c r="G42" s="49">
        <v>45395</v>
      </c>
      <c r="H42" s="49">
        <v>45415</v>
      </c>
      <c r="I42" s="29" t="s">
        <v>54</v>
      </c>
      <c r="J42" s="68" t="s">
        <v>22</v>
      </c>
      <c r="K42" s="24" t="s">
        <v>47</v>
      </c>
      <c r="L42" s="92">
        <v>45413</v>
      </c>
      <c r="M42" s="49">
        <v>45415</v>
      </c>
      <c r="N42" s="25">
        <f t="shared" si="2"/>
        <v>2</v>
      </c>
      <c r="O42" s="29"/>
      <c r="P42" t="s">
        <v>88</v>
      </c>
      <c r="Q42" t="s">
        <v>88</v>
      </c>
      <c r="R42" t="s">
        <v>88</v>
      </c>
      <c r="S42" t="s">
        <v>88</v>
      </c>
      <c r="T42" t="s">
        <v>88</v>
      </c>
      <c r="U42" t="s">
        <v>20</v>
      </c>
    </row>
    <row r="43" spans="1:21" x14ac:dyDescent="0.45">
      <c r="A43" s="79">
        <v>117897680</v>
      </c>
      <c r="B43" s="72" t="str">
        <f t="shared" si="0"/>
        <v>11.789.768-0</v>
      </c>
      <c r="C43" s="73" t="s">
        <v>22</v>
      </c>
      <c r="D43" s="29" t="s">
        <v>873</v>
      </c>
      <c r="E43" s="29" t="s">
        <v>427</v>
      </c>
      <c r="F43" s="29" t="s">
        <v>835</v>
      </c>
      <c r="G43" s="49">
        <v>45395</v>
      </c>
      <c r="H43" s="49">
        <v>45415</v>
      </c>
      <c r="I43" s="29" t="s">
        <v>54</v>
      </c>
      <c r="J43" s="68" t="s">
        <v>22</v>
      </c>
      <c r="K43" s="24" t="s">
        <v>55</v>
      </c>
      <c r="L43" s="92">
        <v>45413</v>
      </c>
      <c r="M43" s="49">
        <v>45415</v>
      </c>
      <c r="N43" s="25">
        <f t="shared" si="2"/>
        <v>2</v>
      </c>
      <c r="O43" s="29"/>
      <c r="P43" t="s">
        <v>88</v>
      </c>
      <c r="Q43" t="s">
        <v>88</v>
      </c>
      <c r="R43" t="s">
        <v>88</v>
      </c>
      <c r="S43" t="s">
        <v>88</v>
      </c>
      <c r="T43" t="s">
        <v>88</v>
      </c>
      <c r="U43" t="s">
        <v>20</v>
      </c>
    </row>
    <row r="44" spans="1:21" x14ac:dyDescent="0.45">
      <c r="A44" s="79">
        <v>77213252</v>
      </c>
      <c r="B44" s="72" t="str">
        <f t="shared" si="0"/>
        <v>7.721.325-2</v>
      </c>
      <c r="C44" s="73" t="s">
        <v>22</v>
      </c>
      <c r="D44" s="29" t="s">
        <v>690</v>
      </c>
      <c r="E44" s="29" t="s">
        <v>938</v>
      </c>
      <c r="F44" s="29" t="s">
        <v>939</v>
      </c>
      <c r="G44" s="49">
        <v>45409</v>
      </c>
      <c r="H44" s="49">
        <v>45416</v>
      </c>
      <c r="I44" s="29" t="s">
        <v>54</v>
      </c>
      <c r="J44" s="68" t="s">
        <v>22</v>
      </c>
      <c r="K44" s="24" t="s">
        <v>43</v>
      </c>
      <c r="L44" s="92">
        <v>45413</v>
      </c>
      <c r="M44" s="49">
        <v>45416</v>
      </c>
      <c r="N44" s="25">
        <f t="shared" si="2"/>
        <v>3</v>
      </c>
      <c r="O44" s="29"/>
      <c r="P44" t="s">
        <v>88</v>
      </c>
      <c r="Q44" t="s">
        <v>88</v>
      </c>
      <c r="R44" t="s">
        <v>88</v>
      </c>
      <c r="S44" t="s">
        <v>88</v>
      </c>
      <c r="T44" t="s">
        <v>88</v>
      </c>
      <c r="U44" t="s">
        <v>20</v>
      </c>
    </row>
    <row r="45" spans="1:21" x14ac:dyDescent="0.45">
      <c r="A45" s="79">
        <v>77213252</v>
      </c>
      <c r="B45" s="72" t="str">
        <f t="shared" si="0"/>
        <v>7.721.325-2</v>
      </c>
      <c r="C45" s="73" t="s">
        <v>22</v>
      </c>
      <c r="D45" s="29" t="s">
        <v>690</v>
      </c>
      <c r="E45" s="29" t="s">
        <v>938</v>
      </c>
      <c r="F45" s="29" t="s">
        <v>939</v>
      </c>
      <c r="G45" s="49">
        <v>45409</v>
      </c>
      <c r="H45" s="49">
        <v>45416</v>
      </c>
      <c r="I45" s="29" t="s">
        <v>54</v>
      </c>
      <c r="J45" s="68" t="s">
        <v>22</v>
      </c>
      <c r="K45" s="24" t="s">
        <v>47</v>
      </c>
      <c r="L45" s="92">
        <v>45413</v>
      </c>
      <c r="M45" s="49">
        <v>45416</v>
      </c>
      <c r="N45" s="25">
        <f t="shared" si="2"/>
        <v>3</v>
      </c>
      <c r="O45" s="29"/>
      <c r="P45" t="s">
        <v>88</v>
      </c>
      <c r="Q45" t="s">
        <v>88</v>
      </c>
      <c r="R45" t="s">
        <v>88</v>
      </c>
      <c r="S45" t="s">
        <v>88</v>
      </c>
      <c r="T45" t="s">
        <v>88</v>
      </c>
      <c r="U45" t="s">
        <v>20</v>
      </c>
    </row>
    <row r="46" spans="1:21" x14ac:dyDescent="0.45">
      <c r="A46" s="79">
        <v>77213252</v>
      </c>
      <c r="B46" s="72" t="str">
        <f t="shared" si="0"/>
        <v>7.721.325-2</v>
      </c>
      <c r="C46" s="73" t="s">
        <v>22</v>
      </c>
      <c r="D46" s="29" t="s">
        <v>690</v>
      </c>
      <c r="E46" s="29" t="s">
        <v>938</v>
      </c>
      <c r="F46" s="29" t="s">
        <v>939</v>
      </c>
      <c r="G46" s="49">
        <v>45409</v>
      </c>
      <c r="H46" s="49">
        <v>45416</v>
      </c>
      <c r="I46" s="29" t="s">
        <v>54</v>
      </c>
      <c r="J46" s="68" t="s">
        <v>22</v>
      </c>
      <c r="K46" s="24" t="s">
        <v>55</v>
      </c>
      <c r="L46" s="92">
        <v>45413</v>
      </c>
      <c r="M46" s="49">
        <v>45416</v>
      </c>
      <c r="N46" s="25">
        <f t="shared" si="2"/>
        <v>3</v>
      </c>
      <c r="O46" s="29"/>
      <c r="P46" t="s">
        <v>88</v>
      </c>
      <c r="Q46" t="s">
        <v>88</v>
      </c>
      <c r="R46" t="s">
        <v>88</v>
      </c>
      <c r="S46" t="s">
        <v>88</v>
      </c>
      <c r="T46" t="s">
        <v>88</v>
      </c>
      <c r="U46" t="s">
        <v>20</v>
      </c>
    </row>
    <row r="47" spans="1:21" x14ac:dyDescent="0.45">
      <c r="A47" s="79">
        <v>125535453</v>
      </c>
      <c r="B47" s="72" t="str">
        <f t="shared" si="0"/>
        <v>12.553.545-3</v>
      </c>
      <c r="C47" s="73" t="s">
        <v>22</v>
      </c>
      <c r="D47" s="29" t="s">
        <v>953</v>
      </c>
      <c r="E47" s="29" t="s">
        <v>954</v>
      </c>
      <c r="F47" s="29" t="s">
        <v>725</v>
      </c>
      <c r="G47" s="49">
        <v>45385</v>
      </c>
      <c r="H47" s="49">
        <v>45419</v>
      </c>
      <c r="I47" s="29" t="s">
        <v>22</v>
      </c>
      <c r="J47" s="68" t="s">
        <v>30</v>
      </c>
      <c r="K47" s="24" t="s">
        <v>43</v>
      </c>
      <c r="L47" s="92">
        <v>45413</v>
      </c>
      <c r="M47" s="49">
        <v>45419</v>
      </c>
      <c r="N47" s="25">
        <f t="shared" si="2"/>
        <v>6</v>
      </c>
      <c r="O47" s="29"/>
      <c r="P47" t="s">
        <v>88</v>
      </c>
      <c r="Q47" t="s">
        <v>88</v>
      </c>
      <c r="R47" t="s">
        <v>88</v>
      </c>
      <c r="S47" t="s">
        <v>88</v>
      </c>
      <c r="T47" t="s">
        <v>88</v>
      </c>
      <c r="U47" t="s">
        <v>20</v>
      </c>
    </row>
    <row r="48" spans="1:21" x14ac:dyDescent="0.45">
      <c r="A48" s="79">
        <v>107118209</v>
      </c>
      <c r="B48" s="72" t="str">
        <f t="shared" si="0"/>
        <v>10.711.820-9</v>
      </c>
      <c r="C48" s="73" t="s">
        <v>22</v>
      </c>
      <c r="D48" s="29" t="s">
        <v>955</v>
      </c>
      <c r="E48" s="29" t="s">
        <v>328</v>
      </c>
      <c r="F48" s="29" t="s">
        <v>944</v>
      </c>
      <c r="G48" s="49">
        <v>45412</v>
      </c>
      <c r="H48" s="49">
        <v>45426</v>
      </c>
      <c r="I48" s="29" t="s">
        <v>22</v>
      </c>
      <c r="J48" s="68" t="s">
        <v>56</v>
      </c>
      <c r="K48" s="24" t="s">
        <v>43</v>
      </c>
      <c r="L48" s="92">
        <v>45413</v>
      </c>
      <c r="M48" s="49">
        <v>45426</v>
      </c>
      <c r="N48" s="25">
        <f t="shared" si="2"/>
        <v>13</v>
      </c>
      <c r="O48" s="29"/>
      <c r="P48" t="s">
        <v>88</v>
      </c>
      <c r="Q48" t="s">
        <v>88</v>
      </c>
      <c r="R48" t="s">
        <v>88</v>
      </c>
      <c r="S48" t="s">
        <v>88</v>
      </c>
      <c r="T48" t="s">
        <v>88</v>
      </c>
      <c r="U48" t="s">
        <v>20</v>
      </c>
    </row>
    <row r="49" spans="1:21" x14ac:dyDescent="0.45">
      <c r="A49" s="79">
        <v>53058140</v>
      </c>
      <c r="B49" s="72" t="str">
        <f t="shared" si="0"/>
        <v>5.305.814-0</v>
      </c>
      <c r="C49" s="73" t="s">
        <v>22</v>
      </c>
      <c r="D49" s="29" t="s">
        <v>307</v>
      </c>
      <c r="E49" s="29" t="s">
        <v>422</v>
      </c>
      <c r="F49" s="29" t="s">
        <v>250</v>
      </c>
      <c r="G49" s="49">
        <v>45398</v>
      </c>
      <c r="H49" s="49">
        <v>45420</v>
      </c>
      <c r="I49" s="29" t="s">
        <v>22</v>
      </c>
      <c r="J49" s="68" t="s">
        <v>19</v>
      </c>
      <c r="K49" s="24" t="s">
        <v>43</v>
      </c>
      <c r="L49" s="92">
        <v>45413</v>
      </c>
      <c r="M49" s="49">
        <v>45420</v>
      </c>
      <c r="N49" s="25">
        <f t="shared" si="2"/>
        <v>7</v>
      </c>
      <c r="O49" s="70" t="s">
        <v>14</v>
      </c>
      <c r="P49" t="s">
        <v>88</v>
      </c>
      <c r="Q49" t="s">
        <v>88</v>
      </c>
      <c r="R49" t="s">
        <v>88</v>
      </c>
      <c r="S49" t="s">
        <v>88</v>
      </c>
      <c r="T49" t="s">
        <v>88</v>
      </c>
      <c r="U49" t="s">
        <v>20</v>
      </c>
    </row>
    <row r="50" spans="1:21" x14ac:dyDescent="0.45">
      <c r="A50" s="79">
        <v>53058140</v>
      </c>
      <c r="B50" s="72" t="str">
        <f t="shared" si="0"/>
        <v>5.305.814-0</v>
      </c>
      <c r="C50" s="73" t="s">
        <v>22</v>
      </c>
      <c r="D50" s="29" t="s">
        <v>307</v>
      </c>
      <c r="E50" s="29" t="s">
        <v>422</v>
      </c>
      <c r="F50" s="29" t="s">
        <v>250</v>
      </c>
      <c r="G50" s="49">
        <v>45398</v>
      </c>
      <c r="H50" s="49">
        <v>45420</v>
      </c>
      <c r="I50" s="29" t="s">
        <v>22</v>
      </c>
      <c r="J50" s="68" t="s">
        <v>19</v>
      </c>
      <c r="K50" s="24" t="s">
        <v>47</v>
      </c>
      <c r="L50" s="92">
        <v>45413</v>
      </c>
      <c r="M50" s="49">
        <v>45420</v>
      </c>
      <c r="N50" s="25">
        <f t="shared" si="2"/>
        <v>7</v>
      </c>
      <c r="O50" s="70"/>
      <c r="P50" t="s">
        <v>88</v>
      </c>
      <c r="Q50" t="s">
        <v>88</v>
      </c>
      <c r="R50" t="s">
        <v>88</v>
      </c>
      <c r="S50" t="s">
        <v>88</v>
      </c>
      <c r="T50" t="s">
        <v>88</v>
      </c>
      <c r="U50" t="s">
        <v>20</v>
      </c>
    </row>
    <row r="51" spans="1:21" x14ac:dyDescent="0.45">
      <c r="A51" s="79">
        <v>117897680</v>
      </c>
      <c r="B51" s="72" t="str">
        <f t="shared" si="0"/>
        <v>11.789.768-0</v>
      </c>
      <c r="C51" s="73" t="s">
        <v>22</v>
      </c>
      <c r="D51" s="29" t="s">
        <v>873</v>
      </c>
      <c r="E51" s="29" t="s">
        <v>427</v>
      </c>
      <c r="F51" s="29" t="s">
        <v>835</v>
      </c>
      <c r="G51" s="49">
        <v>45395</v>
      </c>
      <c r="H51" s="49">
        <v>45419</v>
      </c>
      <c r="I51" s="29" t="s">
        <v>22</v>
      </c>
      <c r="J51" s="68" t="s">
        <v>26</v>
      </c>
      <c r="K51" s="24" t="s">
        <v>43</v>
      </c>
      <c r="L51" s="92">
        <v>45413</v>
      </c>
      <c r="M51" s="49">
        <v>45419</v>
      </c>
      <c r="N51" s="25">
        <f t="shared" si="2"/>
        <v>6</v>
      </c>
      <c r="O51" s="29"/>
      <c r="P51" t="s">
        <v>88</v>
      </c>
      <c r="Q51" t="s">
        <v>88</v>
      </c>
      <c r="R51" t="s">
        <v>88</v>
      </c>
      <c r="S51" t="s">
        <v>88</v>
      </c>
      <c r="T51" t="s">
        <v>88</v>
      </c>
      <c r="U51" t="s">
        <v>20</v>
      </c>
    </row>
    <row r="52" spans="1:21" x14ac:dyDescent="0.45">
      <c r="A52" s="79">
        <v>62124342</v>
      </c>
      <c r="B52" s="72" t="str">
        <f t="shared" si="0"/>
        <v>6.212.434-2</v>
      </c>
      <c r="C52" s="73" t="s">
        <v>22</v>
      </c>
      <c r="D52" s="29" t="s">
        <v>612</v>
      </c>
      <c r="E52" s="29" t="s">
        <v>391</v>
      </c>
      <c r="F52" s="29" t="s">
        <v>782</v>
      </c>
      <c r="G52" s="49">
        <v>45412</v>
      </c>
      <c r="H52" s="49">
        <v>45419</v>
      </c>
      <c r="I52" s="29" t="s">
        <v>22</v>
      </c>
      <c r="J52" s="68" t="s">
        <v>22</v>
      </c>
      <c r="K52" s="24" t="s">
        <v>43</v>
      </c>
      <c r="L52" s="92">
        <v>45413</v>
      </c>
      <c r="M52" s="49">
        <v>45419</v>
      </c>
      <c r="N52" s="25">
        <f t="shared" si="2"/>
        <v>6</v>
      </c>
      <c r="O52" s="29"/>
      <c r="P52" t="s">
        <v>88</v>
      </c>
      <c r="Q52" t="s">
        <v>88</v>
      </c>
      <c r="R52" t="s">
        <v>88</v>
      </c>
      <c r="S52" t="s">
        <v>88</v>
      </c>
      <c r="T52" t="s">
        <v>88</v>
      </c>
      <c r="U52" t="s">
        <v>20</v>
      </c>
    </row>
    <row r="53" spans="1:21" x14ac:dyDescent="0.45">
      <c r="A53" s="79">
        <v>62124342</v>
      </c>
      <c r="B53" s="72" t="str">
        <f t="shared" si="0"/>
        <v>6.212.434-2</v>
      </c>
      <c r="C53" s="73" t="s">
        <v>22</v>
      </c>
      <c r="D53" s="29" t="s">
        <v>612</v>
      </c>
      <c r="E53" s="29" t="s">
        <v>391</v>
      </c>
      <c r="F53" s="29" t="s">
        <v>782</v>
      </c>
      <c r="G53" s="49">
        <v>45412</v>
      </c>
      <c r="H53" s="49">
        <v>45419</v>
      </c>
      <c r="I53" s="29" t="s">
        <v>22</v>
      </c>
      <c r="J53" s="68" t="s">
        <v>22</v>
      </c>
      <c r="K53" s="24" t="s">
        <v>47</v>
      </c>
      <c r="L53" s="92">
        <v>45413</v>
      </c>
      <c r="M53" s="49">
        <v>45419</v>
      </c>
      <c r="N53" s="25">
        <f t="shared" si="2"/>
        <v>6</v>
      </c>
      <c r="O53" s="29"/>
      <c r="P53" t="s">
        <v>88</v>
      </c>
      <c r="Q53" t="s">
        <v>88</v>
      </c>
      <c r="R53" t="s">
        <v>88</v>
      </c>
      <c r="S53" t="s">
        <v>88</v>
      </c>
      <c r="T53" t="s">
        <v>88</v>
      </c>
      <c r="U53" t="s">
        <v>20</v>
      </c>
    </row>
    <row r="54" spans="1:21" x14ac:dyDescent="0.45">
      <c r="A54" s="79">
        <v>106549710</v>
      </c>
      <c r="B54" s="72" t="str">
        <f t="shared" si="0"/>
        <v>10.654.971-0</v>
      </c>
      <c r="C54" s="73" t="s">
        <v>22</v>
      </c>
      <c r="D54" s="29" t="s">
        <v>352</v>
      </c>
      <c r="E54" s="29" t="s">
        <v>486</v>
      </c>
      <c r="F54" s="29" t="s">
        <v>956</v>
      </c>
      <c r="G54" s="49">
        <v>45411</v>
      </c>
      <c r="H54" s="49">
        <v>45443</v>
      </c>
      <c r="I54" s="29" t="s">
        <v>22</v>
      </c>
      <c r="J54" s="68" t="s">
        <v>65</v>
      </c>
      <c r="K54" s="24" t="s">
        <v>47</v>
      </c>
      <c r="L54" s="49">
        <v>45416</v>
      </c>
      <c r="M54" s="49">
        <v>45443</v>
      </c>
      <c r="N54" s="25">
        <f t="shared" si="2"/>
        <v>27</v>
      </c>
      <c r="O54" s="29"/>
      <c r="P54" t="s">
        <v>88</v>
      </c>
      <c r="Q54" t="s">
        <v>88</v>
      </c>
      <c r="R54" t="s">
        <v>88</v>
      </c>
      <c r="S54" t="s">
        <v>88</v>
      </c>
      <c r="T54" t="s">
        <v>88</v>
      </c>
      <c r="U54" t="s">
        <v>20</v>
      </c>
    </row>
    <row r="55" spans="1:21" x14ac:dyDescent="0.45">
      <c r="A55" s="79">
        <v>106549710</v>
      </c>
      <c r="B55" s="72" t="str">
        <f t="shared" si="0"/>
        <v>10.654.971-0</v>
      </c>
      <c r="C55" s="73" t="s">
        <v>22</v>
      </c>
      <c r="D55" s="29" t="s">
        <v>352</v>
      </c>
      <c r="E55" s="29" t="s">
        <v>486</v>
      </c>
      <c r="F55" s="29" t="s">
        <v>956</v>
      </c>
      <c r="G55" s="49">
        <v>45411</v>
      </c>
      <c r="H55" s="49">
        <v>45443</v>
      </c>
      <c r="I55" s="29" t="s">
        <v>22</v>
      </c>
      <c r="J55" s="68" t="s">
        <v>65</v>
      </c>
      <c r="K55" s="24" t="s">
        <v>43</v>
      </c>
      <c r="L55" s="92">
        <v>45413</v>
      </c>
      <c r="M55" s="49">
        <v>45443</v>
      </c>
      <c r="N55" s="25">
        <f t="shared" si="2"/>
        <v>30</v>
      </c>
      <c r="O55" s="29"/>
      <c r="P55" t="s">
        <v>90</v>
      </c>
      <c r="Q55" t="s">
        <v>88</v>
      </c>
      <c r="R55" t="s">
        <v>88</v>
      </c>
      <c r="S55" t="s">
        <v>88</v>
      </c>
      <c r="T55" t="s">
        <v>88</v>
      </c>
      <c r="U55" t="s">
        <v>20</v>
      </c>
    </row>
    <row r="56" spans="1:21" x14ac:dyDescent="0.45">
      <c r="A56" s="79">
        <v>107936963</v>
      </c>
      <c r="B56" s="72" t="str">
        <f t="shared" si="0"/>
        <v>10.793.696-3</v>
      </c>
      <c r="C56" s="73" t="s">
        <v>22</v>
      </c>
      <c r="D56" s="29" t="s">
        <v>537</v>
      </c>
      <c r="E56" s="29" t="s">
        <v>957</v>
      </c>
      <c r="F56" s="29" t="s">
        <v>958</v>
      </c>
      <c r="G56" s="49">
        <v>45413</v>
      </c>
      <c r="H56" s="49">
        <v>45421</v>
      </c>
      <c r="I56" s="29" t="s">
        <v>22</v>
      </c>
      <c r="J56" s="68" t="s">
        <v>19</v>
      </c>
      <c r="K56" s="24" t="s">
        <v>43</v>
      </c>
      <c r="L56" s="92">
        <v>45413</v>
      </c>
      <c r="M56" s="49">
        <v>45421</v>
      </c>
      <c r="N56" s="25">
        <f t="shared" si="2"/>
        <v>8</v>
      </c>
      <c r="O56" s="29"/>
      <c r="P56" t="s">
        <v>88</v>
      </c>
      <c r="Q56" t="s">
        <v>88</v>
      </c>
      <c r="R56" t="s">
        <v>88</v>
      </c>
      <c r="S56" t="s">
        <v>88</v>
      </c>
      <c r="T56" t="s">
        <v>88</v>
      </c>
      <c r="U56" t="s">
        <v>20</v>
      </c>
    </row>
    <row r="57" spans="1:21" x14ac:dyDescent="0.45">
      <c r="A57" s="79">
        <v>107936963</v>
      </c>
      <c r="B57" s="72" t="str">
        <f t="shared" si="0"/>
        <v>10.793.696-3</v>
      </c>
      <c r="C57" s="73" t="s">
        <v>22</v>
      </c>
      <c r="D57" s="29" t="s">
        <v>537</v>
      </c>
      <c r="E57" s="29" t="s">
        <v>957</v>
      </c>
      <c r="F57" s="29" t="s">
        <v>958</v>
      </c>
      <c r="G57" s="49">
        <v>45413</v>
      </c>
      <c r="H57" s="49">
        <v>45421</v>
      </c>
      <c r="I57" s="29" t="s">
        <v>22</v>
      </c>
      <c r="J57" s="68" t="s">
        <v>19</v>
      </c>
      <c r="K57" s="24" t="s">
        <v>47</v>
      </c>
      <c r="L57" s="49">
        <v>45414</v>
      </c>
      <c r="M57" s="49">
        <v>45421</v>
      </c>
      <c r="N57" s="25">
        <f t="shared" si="2"/>
        <v>7</v>
      </c>
      <c r="O57" s="29"/>
      <c r="P57" t="s">
        <v>88</v>
      </c>
      <c r="Q57" t="s">
        <v>88</v>
      </c>
      <c r="R57" t="s">
        <v>88</v>
      </c>
      <c r="S57" t="s">
        <v>88</v>
      </c>
      <c r="T57" t="s">
        <v>88</v>
      </c>
      <c r="U57" t="s">
        <v>20</v>
      </c>
    </row>
    <row r="58" spans="1:21" x14ac:dyDescent="0.45">
      <c r="A58" s="79">
        <v>101267903</v>
      </c>
      <c r="B58" s="72" t="str">
        <f t="shared" si="0"/>
        <v>10.126.790-3</v>
      </c>
      <c r="C58" s="73" t="s">
        <v>22</v>
      </c>
      <c r="D58" s="29" t="s">
        <v>910</v>
      </c>
      <c r="E58" s="29" t="s">
        <v>558</v>
      </c>
      <c r="F58" s="29" t="s">
        <v>238</v>
      </c>
      <c r="G58" s="49">
        <v>45413</v>
      </c>
      <c r="H58" s="49">
        <v>45418</v>
      </c>
      <c r="I58" s="29" t="s">
        <v>22</v>
      </c>
      <c r="J58" s="68" t="s">
        <v>61</v>
      </c>
      <c r="K58" s="24" t="s">
        <v>47</v>
      </c>
      <c r="L58" s="92">
        <v>45413</v>
      </c>
      <c r="M58" s="49">
        <v>45418</v>
      </c>
      <c r="N58" s="25">
        <f t="shared" si="2"/>
        <v>5</v>
      </c>
      <c r="O58" s="29"/>
      <c r="P58" t="s">
        <v>88</v>
      </c>
      <c r="Q58" t="s">
        <v>88</v>
      </c>
      <c r="R58" t="s">
        <v>88</v>
      </c>
      <c r="S58" t="s">
        <v>88</v>
      </c>
      <c r="T58" t="s">
        <v>88</v>
      </c>
      <c r="U58" t="s">
        <v>20</v>
      </c>
    </row>
    <row r="59" spans="1:21" x14ac:dyDescent="0.45">
      <c r="A59" s="79">
        <v>101267903</v>
      </c>
      <c r="B59" s="72" t="str">
        <f t="shared" si="0"/>
        <v>10.126.790-3</v>
      </c>
      <c r="C59" s="73" t="s">
        <v>22</v>
      </c>
      <c r="D59" s="29" t="s">
        <v>910</v>
      </c>
      <c r="E59" s="29" t="s">
        <v>558</v>
      </c>
      <c r="F59" s="29" t="s">
        <v>238</v>
      </c>
      <c r="G59" s="49">
        <v>45413</v>
      </c>
      <c r="H59" s="49">
        <v>45418</v>
      </c>
      <c r="I59" s="29" t="s">
        <v>22</v>
      </c>
      <c r="J59" s="68" t="s">
        <v>61</v>
      </c>
      <c r="K59" s="24" t="s">
        <v>43</v>
      </c>
      <c r="L59" s="92">
        <v>45413</v>
      </c>
      <c r="M59" s="49">
        <v>45418</v>
      </c>
      <c r="N59" s="25">
        <f t="shared" si="2"/>
        <v>5</v>
      </c>
      <c r="O59" s="29"/>
      <c r="P59" t="s">
        <v>88</v>
      </c>
      <c r="Q59" t="s">
        <v>88</v>
      </c>
      <c r="R59" t="s">
        <v>88</v>
      </c>
      <c r="S59" t="s">
        <v>88</v>
      </c>
      <c r="T59" t="s">
        <v>88</v>
      </c>
      <c r="U59" t="s">
        <v>20</v>
      </c>
    </row>
    <row r="60" spans="1:21" x14ac:dyDescent="0.45">
      <c r="A60" s="79">
        <v>79751626</v>
      </c>
      <c r="B60" s="72" t="str">
        <f t="shared" si="0"/>
        <v>7.975.162-6</v>
      </c>
      <c r="C60" s="73" t="s">
        <v>22</v>
      </c>
      <c r="D60" s="29" t="s">
        <v>941</v>
      </c>
      <c r="E60" s="29" t="s">
        <v>736</v>
      </c>
      <c r="F60" s="29" t="s">
        <v>348</v>
      </c>
      <c r="G60" s="49">
        <v>45407</v>
      </c>
      <c r="H60" s="49">
        <v>45418</v>
      </c>
      <c r="I60" s="29" t="s">
        <v>22</v>
      </c>
      <c r="J60" s="68" t="s">
        <v>56</v>
      </c>
      <c r="K60" s="24" t="s">
        <v>43</v>
      </c>
      <c r="L60" s="92">
        <v>45413</v>
      </c>
      <c r="M60" s="49">
        <v>45418</v>
      </c>
      <c r="N60" s="25">
        <f t="shared" si="2"/>
        <v>5</v>
      </c>
      <c r="O60" s="29"/>
      <c r="P60" t="s">
        <v>88</v>
      </c>
      <c r="Q60" t="s">
        <v>88</v>
      </c>
      <c r="R60" t="s">
        <v>88</v>
      </c>
      <c r="S60" t="s">
        <v>88</v>
      </c>
      <c r="T60" t="s">
        <v>88</v>
      </c>
      <c r="U60" t="s">
        <v>20</v>
      </c>
    </row>
    <row r="61" spans="1:21" x14ac:dyDescent="0.45">
      <c r="A61" s="79">
        <v>79751626</v>
      </c>
      <c r="B61" s="72" t="str">
        <f t="shared" si="0"/>
        <v>7.975.162-6</v>
      </c>
      <c r="C61" s="73" t="s">
        <v>22</v>
      </c>
      <c r="D61" s="29" t="s">
        <v>941</v>
      </c>
      <c r="E61" s="29" t="s">
        <v>736</v>
      </c>
      <c r="F61" s="29" t="s">
        <v>348</v>
      </c>
      <c r="G61" s="49">
        <v>45407</v>
      </c>
      <c r="H61" s="49">
        <v>45418</v>
      </c>
      <c r="I61" s="29" t="s">
        <v>22</v>
      </c>
      <c r="J61" s="68" t="s">
        <v>56</v>
      </c>
      <c r="K61" s="24" t="s">
        <v>47</v>
      </c>
      <c r="L61" s="92">
        <v>45413</v>
      </c>
      <c r="M61" s="49">
        <v>45418</v>
      </c>
      <c r="N61" s="25">
        <f t="shared" si="2"/>
        <v>5</v>
      </c>
      <c r="O61" s="29"/>
      <c r="P61" t="s">
        <v>88</v>
      </c>
      <c r="Q61" t="s">
        <v>88</v>
      </c>
      <c r="R61" t="s">
        <v>88</v>
      </c>
      <c r="S61" t="s">
        <v>88</v>
      </c>
      <c r="T61" t="s">
        <v>88</v>
      </c>
      <c r="U61" t="s">
        <v>20</v>
      </c>
    </row>
    <row r="62" spans="1:21" x14ac:dyDescent="0.45">
      <c r="A62" s="79">
        <v>77213252</v>
      </c>
      <c r="B62" s="72" t="str">
        <f t="shared" si="0"/>
        <v>7.721.325-2</v>
      </c>
      <c r="C62" s="73" t="s">
        <v>22</v>
      </c>
      <c r="D62" s="29" t="s">
        <v>690</v>
      </c>
      <c r="E62" s="29" t="s">
        <v>938</v>
      </c>
      <c r="F62" s="29" t="s">
        <v>939</v>
      </c>
      <c r="G62" s="49">
        <v>45416</v>
      </c>
      <c r="H62" s="49">
        <v>45419</v>
      </c>
      <c r="I62" s="29" t="s">
        <v>22</v>
      </c>
      <c r="J62" s="68" t="s">
        <v>26</v>
      </c>
      <c r="K62" s="24" t="s">
        <v>43</v>
      </c>
      <c r="L62" s="92">
        <v>45413</v>
      </c>
      <c r="M62" s="49">
        <v>45419</v>
      </c>
      <c r="N62" s="25">
        <f t="shared" si="2"/>
        <v>6</v>
      </c>
      <c r="O62" s="29"/>
      <c r="P62" t="s">
        <v>88</v>
      </c>
      <c r="Q62" t="s">
        <v>88</v>
      </c>
      <c r="R62" t="s">
        <v>88</v>
      </c>
      <c r="S62" t="s">
        <v>88</v>
      </c>
      <c r="T62" t="s">
        <v>88</v>
      </c>
      <c r="U62" t="s">
        <v>20</v>
      </c>
    </row>
    <row r="63" spans="1:21" x14ac:dyDescent="0.45">
      <c r="A63" s="79">
        <v>77213252</v>
      </c>
      <c r="B63" s="72" t="str">
        <f t="shared" si="0"/>
        <v>7.721.325-2</v>
      </c>
      <c r="C63" s="73" t="s">
        <v>22</v>
      </c>
      <c r="D63" s="29" t="s">
        <v>690</v>
      </c>
      <c r="E63" s="29" t="s">
        <v>938</v>
      </c>
      <c r="F63" s="29" t="s">
        <v>939</v>
      </c>
      <c r="G63" s="49">
        <v>45416</v>
      </c>
      <c r="H63" s="49">
        <v>45419</v>
      </c>
      <c r="I63" s="29" t="s">
        <v>22</v>
      </c>
      <c r="J63" s="68" t="s">
        <v>26</v>
      </c>
      <c r="K63" s="24" t="s">
        <v>47</v>
      </c>
      <c r="L63" s="92">
        <v>45413</v>
      </c>
      <c r="M63" s="49">
        <v>45419</v>
      </c>
      <c r="N63" s="25">
        <f t="shared" si="2"/>
        <v>6</v>
      </c>
      <c r="O63" s="29"/>
      <c r="P63" t="s">
        <v>88</v>
      </c>
      <c r="Q63" t="s">
        <v>88</v>
      </c>
      <c r="R63" t="s">
        <v>88</v>
      </c>
      <c r="S63" t="s">
        <v>88</v>
      </c>
      <c r="T63" t="s">
        <v>88</v>
      </c>
      <c r="U63" t="s">
        <v>20</v>
      </c>
    </row>
    <row r="64" spans="1:21" x14ac:dyDescent="0.45">
      <c r="A64" s="79">
        <v>93792327</v>
      </c>
      <c r="B64" s="72" t="str">
        <f t="shared" si="0"/>
        <v>9.379.232-7</v>
      </c>
      <c r="C64" s="73" t="s">
        <v>22</v>
      </c>
      <c r="D64" s="29" t="s">
        <v>580</v>
      </c>
      <c r="E64" s="29" t="s">
        <v>457</v>
      </c>
      <c r="F64" s="29" t="s">
        <v>348</v>
      </c>
      <c r="G64" s="49">
        <v>45411</v>
      </c>
      <c r="H64" s="49">
        <v>45415</v>
      </c>
      <c r="I64" s="29" t="s">
        <v>22</v>
      </c>
      <c r="J64" s="68" t="s">
        <v>56</v>
      </c>
      <c r="K64" s="24" t="s">
        <v>43</v>
      </c>
      <c r="L64" s="92">
        <v>45413</v>
      </c>
      <c r="M64" s="49">
        <v>45415</v>
      </c>
      <c r="N64" s="25">
        <f t="shared" si="2"/>
        <v>2</v>
      </c>
      <c r="O64" s="29"/>
      <c r="P64" t="s">
        <v>88</v>
      </c>
      <c r="Q64" t="s">
        <v>88</v>
      </c>
      <c r="R64" t="s">
        <v>88</v>
      </c>
      <c r="S64" t="s">
        <v>88</v>
      </c>
      <c r="T64" t="s">
        <v>88</v>
      </c>
      <c r="U64" t="s">
        <v>20</v>
      </c>
    </row>
    <row r="65" spans="1:21" x14ac:dyDescent="0.45">
      <c r="A65" s="79">
        <v>93792327</v>
      </c>
      <c r="B65" s="72" t="str">
        <f t="shared" si="0"/>
        <v>9.379.232-7</v>
      </c>
      <c r="C65" s="73" t="s">
        <v>22</v>
      </c>
      <c r="D65" s="29" t="s">
        <v>580</v>
      </c>
      <c r="E65" s="29" t="s">
        <v>457</v>
      </c>
      <c r="F65" s="29" t="s">
        <v>348</v>
      </c>
      <c r="G65" s="49">
        <v>45411</v>
      </c>
      <c r="H65" s="49">
        <v>45415</v>
      </c>
      <c r="I65" s="29" t="s">
        <v>22</v>
      </c>
      <c r="J65" s="68" t="s">
        <v>56</v>
      </c>
      <c r="K65" s="24" t="s">
        <v>47</v>
      </c>
      <c r="L65" s="92">
        <v>45413</v>
      </c>
      <c r="M65" s="49">
        <v>45415</v>
      </c>
      <c r="N65" s="25">
        <f t="shared" si="2"/>
        <v>2</v>
      </c>
      <c r="O65" s="29"/>
      <c r="P65" t="s">
        <v>88</v>
      </c>
      <c r="Q65" t="s">
        <v>88</v>
      </c>
      <c r="R65" t="s">
        <v>88</v>
      </c>
      <c r="S65" t="s">
        <v>88</v>
      </c>
      <c r="T65" t="s">
        <v>88</v>
      </c>
      <c r="U65" t="s">
        <v>20</v>
      </c>
    </row>
    <row r="66" spans="1:21" x14ac:dyDescent="0.45">
      <c r="A66" s="79">
        <v>51196295</v>
      </c>
      <c r="B66" s="72" t="str">
        <f t="shared" si="0"/>
        <v>5.119.629-5</v>
      </c>
      <c r="C66" s="73" t="s">
        <v>22</v>
      </c>
      <c r="D66" s="29" t="s">
        <v>341</v>
      </c>
      <c r="E66" s="29" t="s">
        <v>282</v>
      </c>
      <c r="F66" s="29" t="s">
        <v>601</v>
      </c>
      <c r="G66" s="49">
        <v>45416</v>
      </c>
      <c r="H66" s="49">
        <v>45418</v>
      </c>
      <c r="I66" s="29" t="s">
        <v>54</v>
      </c>
      <c r="J66" s="68" t="s">
        <v>22</v>
      </c>
      <c r="K66" s="24" t="s">
        <v>43</v>
      </c>
      <c r="L66" s="49">
        <v>45416</v>
      </c>
      <c r="M66" s="49">
        <v>45418</v>
      </c>
      <c r="N66" s="25">
        <f t="shared" si="2"/>
        <v>2</v>
      </c>
      <c r="O66" s="29"/>
      <c r="P66" t="s">
        <v>88</v>
      </c>
      <c r="Q66" t="s">
        <v>88</v>
      </c>
      <c r="R66" t="s">
        <v>88</v>
      </c>
      <c r="S66" t="s">
        <v>88</v>
      </c>
      <c r="T66" t="s">
        <v>88</v>
      </c>
      <c r="U66" t="s">
        <v>20</v>
      </c>
    </row>
    <row r="67" spans="1:21" x14ac:dyDescent="0.45">
      <c r="A67" s="79">
        <v>61460063</v>
      </c>
      <c r="B67" s="72" t="str">
        <f t="shared" si="0"/>
        <v>6.146.006-3</v>
      </c>
      <c r="C67" s="73" t="s">
        <v>22</v>
      </c>
      <c r="D67" s="29" t="s">
        <v>959</v>
      </c>
      <c r="E67" s="29" t="s">
        <v>675</v>
      </c>
      <c r="F67" s="29" t="s">
        <v>960</v>
      </c>
      <c r="G67" s="49">
        <v>45415</v>
      </c>
      <c r="H67" s="49">
        <v>45418</v>
      </c>
      <c r="I67" s="29" t="s">
        <v>54</v>
      </c>
      <c r="J67" s="68" t="s">
        <v>26</v>
      </c>
      <c r="K67" s="24" t="s">
        <v>43</v>
      </c>
      <c r="L67" s="49">
        <v>45415</v>
      </c>
      <c r="M67" s="49">
        <v>45418</v>
      </c>
      <c r="N67" s="25">
        <f t="shared" si="2"/>
        <v>3</v>
      </c>
      <c r="O67" s="29"/>
      <c r="P67" t="s">
        <v>88</v>
      </c>
      <c r="Q67" t="s">
        <v>88</v>
      </c>
      <c r="R67" t="s">
        <v>88</v>
      </c>
      <c r="S67" t="s">
        <v>88</v>
      </c>
      <c r="T67" t="s">
        <v>88</v>
      </c>
      <c r="U67" t="s">
        <v>20</v>
      </c>
    </row>
    <row r="68" spans="1:21" x14ac:dyDescent="0.45">
      <c r="A68" s="79">
        <v>81354073</v>
      </c>
      <c r="B68" s="72" t="str">
        <f t="shared" si="0"/>
        <v>8.135.407-3</v>
      </c>
      <c r="C68" s="73" t="s">
        <v>22</v>
      </c>
      <c r="D68" s="29" t="s">
        <v>266</v>
      </c>
      <c r="E68" s="29" t="s">
        <v>439</v>
      </c>
      <c r="F68" s="29" t="s">
        <v>961</v>
      </c>
      <c r="G68" s="49">
        <v>45417</v>
      </c>
      <c r="H68" s="49">
        <v>45443</v>
      </c>
      <c r="I68" s="29" t="s">
        <v>54</v>
      </c>
      <c r="J68" s="68" t="s">
        <v>65</v>
      </c>
      <c r="K68" s="24" t="s">
        <v>43</v>
      </c>
      <c r="L68" s="49">
        <v>45417</v>
      </c>
      <c r="M68" s="49">
        <v>45443</v>
      </c>
      <c r="N68" s="25">
        <f t="shared" si="2"/>
        <v>26</v>
      </c>
      <c r="O68" s="29"/>
      <c r="P68" t="s">
        <v>88</v>
      </c>
      <c r="Q68" t="s">
        <v>88</v>
      </c>
      <c r="R68" t="s">
        <v>88</v>
      </c>
      <c r="S68" t="s">
        <v>88</v>
      </c>
      <c r="T68" t="s">
        <v>88</v>
      </c>
      <c r="U68" t="s">
        <v>20</v>
      </c>
    </row>
    <row r="69" spans="1:21" x14ac:dyDescent="0.45">
      <c r="A69" s="79">
        <v>81354073</v>
      </c>
      <c r="B69" s="72" t="str">
        <f t="shared" si="0"/>
        <v>8.135.407-3</v>
      </c>
      <c r="C69" s="73" t="s">
        <v>22</v>
      </c>
      <c r="D69" s="29" t="s">
        <v>266</v>
      </c>
      <c r="E69" s="29" t="s">
        <v>439</v>
      </c>
      <c r="F69" s="29" t="s">
        <v>961</v>
      </c>
      <c r="G69" s="49">
        <v>45417</v>
      </c>
      <c r="H69" s="49">
        <v>45443</v>
      </c>
      <c r="I69" s="29" t="s">
        <v>54</v>
      </c>
      <c r="J69" s="68" t="s">
        <v>65</v>
      </c>
      <c r="K69" s="24" t="s">
        <v>47</v>
      </c>
      <c r="L69" s="49">
        <v>45430</v>
      </c>
      <c r="M69" s="49">
        <v>45443</v>
      </c>
      <c r="N69" s="25">
        <f t="shared" si="2"/>
        <v>13</v>
      </c>
      <c r="O69" s="29"/>
      <c r="P69" t="s">
        <v>88</v>
      </c>
      <c r="Q69" t="s">
        <v>88</v>
      </c>
      <c r="R69" t="s">
        <v>88</v>
      </c>
      <c r="S69" t="s">
        <v>88</v>
      </c>
      <c r="T69" t="s">
        <v>88</v>
      </c>
      <c r="U69" t="s">
        <v>20</v>
      </c>
    </row>
    <row r="70" spans="1:21" x14ac:dyDescent="0.45">
      <c r="A70" s="79">
        <v>81354073</v>
      </c>
      <c r="B70" s="72" t="str">
        <f t="shared" si="0"/>
        <v>8.135.407-3</v>
      </c>
      <c r="C70" s="73" t="s">
        <v>22</v>
      </c>
      <c r="D70" s="29" t="s">
        <v>266</v>
      </c>
      <c r="E70" s="29" t="s">
        <v>439</v>
      </c>
      <c r="F70" s="29" t="s">
        <v>961</v>
      </c>
      <c r="G70" s="49">
        <v>45417</v>
      </c>
      <c r="H70" s="49">
        <v>45443</v>
      </c>
      <c r="I70" s="29" t="s">
        <v>54</v>
      </c>
      <c r="J70" s="68" t="s">
        <v>65</v>
      </c>
      <c r="K70" s="24" t="s">
        <v>55</v>
      </c>
      <c r="L70" s="49">
        <v>45417</v>
      </c>
      <c r="M70" s="49">
        <v>45443</v>
      </c>
      <c r="N70" s="25">
        <f t="shared" si="2"/>
        <v>26</v>
      </c>
      <c r="O70" s="29"/>
      <c r="P70" t="s">
        <v>132</v>
      </c>
      <c r="Q70" t="s">
        <v>88</v>
      </c>
      <c r="R70" t="s">
        <v>88</v>
      </c>
      <c r="S70" t="s">
        <v>88</v>
      </c>
      <c r="T70" t="s">
        <v>88</v>
      </c>
      <c r="U70" t="s">
        <v>20</v>
      </c>
    </row>
    <row r="71" spans="1:21" x14ac:dyDescent="0.45">
      <c r="A71" s="79">
        <v>82326634</v>
      </c>
      <c r="B71" s="72" t="str">
        <f t="shared" si="0"/>
        <v>8.232.663-4</v>
      </c>
      <c r="C71" s="73" t="s">
        <v>30</v>
      </c>
      <c r="D71" s="29" t="s">
        <v>962</v>
      </c>
      <c r="E71" s="29" t="s">
        <v>402</v>
      </c>
      <c r="F71" s="29" t="s">
        <v>250</v>
      </c>
      <c r="G71" s="49">
        <v>45416</v>
      </c>
      <c r="H71" s="49">
        <v>45420</v>
      </c>
      <c r="I71" s="29" t="s">
        <v>24</v>
      </c>
      <c r="J71" s="68" t="s">
        <v>13</v>
      </c>
      <c r="K71" s="24" t="s">
        <v>43</v>
      </c>
      <c r="L71" s="49">
        <v>45416</v>
      </c>
      <c r="M71" s="49">
        <v>45420</v>
      </c>
      <c r="N71" s="25">
        <f t="shared" si="2"/>
        <v>4</v>
      </c>
      <c r="O71" s="29"/>
      <c r="P71" t="s">
        <v>88</v>
      </c>
      <c r="Q71" t="s">
        <v>88</v>
      </c>
      <c r="R71" t="s">
        <v>88</v>
      </c>
      <c r="S71" t="s">
        <v>88</v>
      </c>
      <c r="T71" t="s">
        <v>88</v>
      </c>
      <c r="U71" t="s">
        <v>20</v>
      </c>
    </row>
    <row r="72" spans="1:21" x14ac:dyDescent="0.45">
      <c r="A72" s="79">
        <v>51854624</v>
      </c>
      <c r="B72" s="72" t="str">
        <f t="shared" ref="B72:B135" si="3">IF(LEN(A72)=8,MID(A72,1,1)&amp;"."&amp;MID(A72,2,3)&amp;"."&amp;MID(A72,5,3)&amp;"-"&amp;RIGHT(A72,1),IF(LEFT(RIGHT(A72,2),1)="-",MID(A72,1,1)&amp;"."&amp;MID(A72,2,3)&amp;"."&amp;MID(A72,5,3)&amp;"-"&amp;RIGHT(A72,1),MID(A72,1,2)&amp;"."&amp;MID(A72,3,3)&amp;"."&amp;MID(A72,6,3)&amp;"-"&amp;MID(A72,9,1)))</f>
        <v>5.185.462-4</v>
      </c>
      <c r="C72" s="73" t="s">
        <v>30</v>
      </c>
      <c r="D72" s="29" t="s">
        <v>963</v>
      </c>
      <c r="E72" s="29" t="s">
        <v>964</v>
      </c>
      <c r="F72" s="29" t="s">
        <v>380</v>
      </c>
      <c r="G72" s="49">
        <v>45415</v>
      </c>
      <c r="H72" s="49">
        <v>45421</v>
      </c>
      <c r="I72" s="29" t="s">
        <v>24</v>
      </c>
      <c r="J72" s="68" t="s">
        <v>24</v>
      </c>
      <c r="K72" s="24" t="s">
        <v>43</v>
      </c>
      <c r="L72" s="49">
        <v>45415</v>
      </c>
      <c r="M72" s="49">
        <v>45421</v>
      </c>
      <c r="N72" s="25">
        <f t="shared" ref="N72:N103" si="4">+M72-L72</f>
        <v>6</v>
      </c>
      <c r="O72" s="29"/>
      <c r="P72" t="s">
        <v>88</v>
      </c>
      <c r="Q72" t="s">
        <v>88</v>
      </c>
      <c r="R72" t="s">
        <v>88</v>
      </c>
      <c r="S72" t="s">
        <v>88</v>
      </c>
      <c r="T72" t="s">
        <v>88</v>
      </c>
      <c r="U72" t="s">
        <v>20</v>
      </c>
    </row>
    <row r="73" spans="1:21" x14ac:dyDescent="0.45">
      <c r="A73" s="79">
        <v>51854624</v>
      </c>
      <c r="B73" s="72" t="str">
        <f t="shared" si="3"/>
        <v>5.185.462-4</v>
      </c>
      <c r="C73" s="73" t="s">
        <v>30</v>
      </c>
      <c r="D73" s="29" t="s">
        <v>963</v>
      </c>
      <c r="E73" s="29" t="s">
        <v>964</v>
      </c>
      <c r="F73" s="29" t="s">
        <v>380</v>
      </c>
      <c r="G73" s="49">
        <v>45415</v>
      </c>
      <c r="H73" s="49">
        <v>45421</v>
      </c>
      <c r="I73" s="29" t="s">
        <v>24</v>
      </c>
      <c r="J73" s="68" t="s">
        <v>24</v>
      </c>
      <c r="K73" s="24" t="s">
        <v>47</v>
      </c>
      <c r="L73" s="49">
        <v>45415</v>
      </c>
      <c r="M73" s="49">
        <v>45421</v>
      </c>
      <c r="N73" s="25">
        <f t="shared" si="4"/>
        <v>6</v>
      </c>
      <c r="O73" s="29"/>
      <c r="P73" t="s">
        <v>88</v>
      </c>
      <c r="Q73" t="s">
        <v>88</v>
      </c>
      <c r="R73" t="s">
        <v>88</v>
      </c>
      <c r="S73" t="s">
        <v>88</v>
      </c>
      <c r="T73" t="s">
        <v>88</v>
      </c>
      <c r="U73" t="s">
        <v>20</v>
      </c>
    </row>
    <row r="74" spans="1:21" x14ac:dyDescent="0.45">
      <c r="A74" s="79">
        <v>51854624</v>
      </c>
      <c r="B74" s="72" t="str">
        <f t="shared" si="3"/>
        <v>5.185.462-4</v>
      </c>
      <c r="C74" s="73" t="s">
        <v>30</v>
      </c>
      <c r="D74" s="29" t="s">
        <v>963</v>
      </c>
      <c r="E74" s="29" t="s">
        <v>964</v>
      </c>
      <c r="F74" s="29" t="s">
        <v>380</v>
      </c>
      <c r="G74" s="49">
        <v>45415</v>
      </c>
      <c r="H74" s="49">
        <v>45421</v>
      </c>
      <c r="I74" s="29" t="s">
        <v>24</v>
      </c>
      <c r="J74" s="68" t="s">
        <v>24</v>
      </c>
      <c r="K74" s="24" t="s">
        <v>55</v>
      </c>
      <c r="L74" s="49">
        <v>45415</v>
      </c>
      <c r="M74" s="49">
        <v>45421</v>
      </c>
      <c r="N74" s="25">
        <f t="shared" si="4"/>
        <v>6</v>
      </c>
      <c r="O74" s="29"/>
      <c r="P74" t="s">
        <v>88</v>
      </c>
      <c r="Q74" t="s">
        <v>88</v>
      </c>
      <c r="R74" t="s">
        <v>88</v>
      </c>
      <c r="S74" t="s">
        <v>88</v>
      </c>
      <c r="T74" t="s">
        <v>88</v>
      </c>
      <c r="U74" t="s">
        <v>20</v>
      </c>
    </row>
    <row r="75" spans="1:21" x14ac:dyDescent="0.45">
      <c r="A75" s="79">
        <v>51148495</v>
      </c>
      <c r="B75" s="72" t="str">
        <f t="shared" si="3"/>
        <v>5.114.849-5</v>
      </c>
      <c r="C75" s="73" t="s">
        <v>30</v>
      </c>
      <c r="D75" s="29" t="s">
        <v>520</v>
      </c>
      <c r="E75" s="29" t="s">
        <v>559</v>
      </c>
      <c r="F75" s="29" t="s">
        <v>562</v>
      </c>
      <c r="G75" s="49">
        <v>45407</v>
      </c>
      <c r="H75" s="49">
        <v>45421</v>
      </c>
      <c r="I75" s="29" t="s">
        <v>48</v>
      </c>
      <c r="J75" s="68" t="s">
        <v>19</v>
      </c>
      <c r="K75" s="24" t="s">
        <v>43</v>
      </c>
      <c r="L75" s="92">
        <v>45413</v>
      </c>
      <c r="M75" s="49">
        <v>45421</v>
      </c>
      <c r="N75" s="25">
        <f t="shared" si="4"/>
        <v>8</v>
      </c>
      <c r="O75" s="29"/>
      <c r="P75" t="s">
        <v>88</v>
      </c>
      <c r="Q75" t="s">
        <v>88</v>
      </c>
      <c r="R75" t="s">
        <v>88</v>
      </c>
      <c r="S75" t="s">
        <v>88</v>
      </c>
      <c r="T75" t="s">
        <v>88</v>
      </c>
      <c r="U75" t="s">
        <v>20</v>
      </c>
    </row>
    <row r="76" spans="1:21" x14ac:dyDescent="0.45">
      <c r="A76" s="79">
        <v>51148495</v>
      </c>
      <c r="B76" s="72" t="str">
        <f t="shared" si="3"/>
        <v>5.114.849-5</v>
      </c>
      <c r="C76" s="73" t="s">
        <v>30</v>
      </c>
      <c r="D76" s="29" t="s">
        <v>520</v>
      </c>
      <c r="E76" s="29" t="s">
        <v>559</v>
      </c>
      <c r="F76" s="29" t="s">
        <v>562</v>
      </c>
      <c r="G76" s="49">
        <v>45407</v>
      </c>
      <c r="H76" s="49">
        <v>45421</v>
      </c>
      <c r="I76" s="29" t="s">
        <v>48</v>
      </c>
      <c r="J76" s="68" t="s">
        <v>19</v>
      </c>
      <c r="K76" s="24" t="s">
        <v>47</v>
      </c>
      <c r="L76" s="92">
        <v>45413</v>
      </c>
      <c r="M76" s="49">
        <v>45421</v>
      </c>
      <c r="N76" s="25">
        <f t="shared" si="4"/>
        <v>8</v>
      </c>
      <c r="O76" s="29"/>
      <c r="P76" t="s">
        <v>88</v>
      </c>
      <c r="Q76" t="s">
        <v>88</v>
      </c>
      <c r="R76" t="s">
        <v>88</v>
      </c>
      <c r="S76" t="s">
        <v>88</v>
      </c>
      <c r="T76" t="s">
        <v>88</v>
      </c>
      <c r="U76" t="s">
        <v>20</v>
      </c>
    </row>
    <row r="77" spans="1:21" x14ac:dyDescent="0.45">
      <c r="A77" s="79">
        <v>109025461</v>
      </c>
      <c r="B77" s="72" t="str">
        <f t="shared" si="3"/>
        <v>10.902.546-1</v>
      </c>
      <c r="C77" s="73" t="s">
        <v>30</v>
      </c>
      <c r="D77" s="29" t="s">
        <v>965</v>
      </c>
      <c r="E77" s="29" t="s">
        <v>363</v>
      </c>
      <c r="F77" s="29" t="s">
        <v>351</v>
      </c>
      <c r="G77" s="49">
        <v>45414</v>
      </c>
      <c r="H77" s="49">
        <v>45420</v>
      </c>
      <c r="I77" s="29" t="s">
        <v>24</v>
      </c>
      <c r="J77" s="68" t="s">
        <v>13</v>
      </c>
      <c r="K77" s="24" t="s">
        <v>43</v>
      </c>
      <c r="L77" s="49">
        <v>45414</v>
      </c>
      <c r="M77" s="49">
        <v>45420</v>
      </c>
      <c r="N77" s="25">
        <f t="shared" si="4"/>
        <v>6</v>
      </c>
      <c r="O77" s="29"/>
      <c r="P77" t="s">
        <v>88</v>
      </c>
      <c r="Q77" t="s">
        <v>88</v>
      </c>
      <c r="R77" t="s">
        <v>88</v>
      </c>
      <c r="S77" t="s">
        <v>88</v>
      </c>
      <c r="T77" t="s">
        <v>88</v>
      </c>
      <c r="U77" t="s">
        <v>20</v>
      </c>
    </row>
    <row r="78" spans="1:21" x14ac:dyDescent="0.45">
      <c r="A78" s="79">
        <v>109025461</v>
      </c>
      <c r="B78" s="72" t="str">
        <f t="shared" si="3"/>
        <v>10.902.546-1</v>
      </c>
      <c r="C78" s="73" t="s">
        <v>30</v>
      </c>
      <c r="D78" s="29" t="s">
        <v>965</v>
      </c>
      <c r="E78" s="29" t="s">
        <v>363</v>
      </c>
      <c r="F78" s="29" t="s">
        <v>351</v>
      </c>
      <c r="G78" s="49">
        <v>45414</v>
      </c>
      <c r="H78" s="49">
        <v>45420</v>
      </c>
      <c r="I78" s="29" t="s">
        <v>24</v>
      </c>
      <c r="J78" s="68" t="s">
        <v>13</v>
      </c>
      <c r="K78" s="24" t="s">
        <v>47</v>
      </c>
      <c r="L78" s="49">
        <v>45414</v>
      </c>
      <c r="M78" s="49">
        <v>45420</v>
      </c>
      <c r="N78" s="25">
        <f t="shared" si="4"/>
        <v>6</v>
      </c>
      <c r="O78" s="29"/>
      <c r="P78" t="s">
        <v>88</v>
      </c>
      <c r="Q78" t="s">
        <v>88</v>
      </c>
      <c r="R78" t="s">
        <v>88</v>
      </c>
      <c r="S78" t="s">
        <v>88</v>
      </c>
      <c r="T78" t="s">
        <v>88</v>
      </c>
      <c r="U78" t="s">
        <v>20</v>
      </c>
    </row>
    <row r="79" spans="1:21" x14ac:dyDescent="0.45">
      <c r="A79" s="79">
        <v>73279720</v>
      </c>
      <c r="B79" s="72" t="str">
        <f t="shared" si="3"/>
        <v>7.327.972-0</v>
      </c>
      <c r="C79" s="73" t="s">
        <v>30</v>
      </c>
      <c r="D79" s="29" t="s">
        <v>345</v>
      </c>
      <c r="E79" s="29" t="s">
        <v>325</v>
      </c>
      <c r="F79" s="29" t="s">
        <v>966</v>
      </c>
      <c r="G79" s="49">
        <v>45415</v>
      </c>
      <c r="H79" s="49">
        <v>45419</v>
      </c>
      <c r="I79" s="29" t="s">
        <v>24</v>
      </c>
      <c r="J79" s="68" t="s">
        <v>13</v>
      </c>
      <c r="K79" s="24" t="s">
        <v>43</v>
      </c>
      <c r="L79" s="49">
        <v>45415</v>
      </c>
      <c r="M79" s="49">
        <v>45419</v>
      </c>
      <c r="N79" s="25">
        <f t="shared" si="4"/>
        <v>4</v>
      </c>
      <c r="O79" s="29"/>
      <c r="P79" t="s">
        <v>88</v>
      </c>
      <c r="Q79" t="s">
        <v>88</v>
      </c>
      <c r="R79" t="s">
        <v>88</v>
      </c>
      <c r="S79" t="s">
        <v>88</v>
      </c>
      <c r="T79" t="s">
        <v>88</v>
      </c>
      <c r="U79" t="s">
        <v>20</v>
      </c>
    </row>
    <row r="80" spans="1:21" x14ac:dyDescent="0.45">
      <c r="A80" s="79">
        <v>73279720</v>
      </c>
      <c r="B80" s="72" t="str">
        <f t="shared" si="3"/>
        <v>7.327.972-0</v>
      </c>
      <c r="C80" s="73" t="s">
        <v>30</v>
      </c>
      <c r="D80" s="29" t="s">
        <v>345</v>
      </c>
      <c r="E80" s="29" t="s">
        <v>325</v>
      </c>
      <c r="F80" s="29" t="s">
        <v>966</v>
      </c>
      <c r="G80" s="49">
        <v>45415</v>
      </c>
      <c r="H80" s="49">
        <v>45419</v>
      </c>
      <c r="I80" s="29" t="s">
        <v>24</v>
      </c>
      <c r="J80" s="68" t="s">
        <v>13</v>
      </c>
      <c r="K80" s="24" t="s">
        <v>47</v>
      </c>
      <c r="L80" s="49">
        <v>45415</v>
      </c>
      <c r="M80" s="49">
        <v>45419</v>
      </c>
      <c r="N80" s="25">
        <f t="shared" si="4"/>
        <v>4</v>
      </c>
      <c r="O80" s="29"/>
      <c r="P80" t="s">
        <v>88</v>
      </c>
      <c r="Q80" t="s">
        <v>88</v>
      </c>
      <c r="R80" t="s">
        <v>88</v>
      </c>
      <c r="S80" t="s">
        <v>88</v>
      </c>
      <c r="T80" t="s">
        <v>88</v>
      </c>
      <c r="U80" t="s">
        <v>20</v>
      </c>
    </row>
    <row r="81" spans="1:21" x14ac:dyDescent="0.45">
      <c r="A81" s="79">
        <v>157840940</v>
      </c>
      <c r="B81" s="72" t="str">
        <f t="shared" si="3"/>
        <v>15.784.094-0</v>
      </c>
      <c r="C81" s="73" t="s">
        <v>38</v>
      </c>
      <c r="D81" s="29" t="s">
        <v>307</v>
      </c>
      <c r="E81" s="29" t="s">
        <v>313</v>
      </c>
      <c r="F81" s="29" t="s">
        <v>967</v>
      </c>
      <c r="G81" s="49">
        <v>45417</v>
      </c>
      <c r="H81" s="49">
        <v>45420</v>
      </c>
      <c r="I81" s="29" t="s">
        <v>36</v>
      </c>
      <c r="J81" s="68" t="s">
        <v>13</v>
      </c>
      <c r="K81" s="24" t="s">
        <v>47</v>
      </c>
      <c r="L81" s="92">
        <v>45413</v>
      </c>
      <c r="M81" s="49">
        <v>45420</v>
      </c>
      <c r="N81" s="25">
        <f t="shared" si="4"/>
        <v>7</v>
      </c>
      <c r="O81" s="29"/>
      <c r="P81" t="s">
        <v>88</v>
      </c>
      <c r="Q81" t="s">
        <v>88</v>
      </c>
      <c r="R81" t="s">
        <v>88</v>
      </c>
      <c r="S81" t="s">
        <v>88</v>
      </c>
      <c r="T81" t="s">
        <v>88</v>
      </c>
      <c r="U81" t="s">
        <v>20</v>
      </c>
    </row>
    <row r="82" spans="1:21" x14ac:dyDescent="0.45">
      <c r="A82" s="79">
        <v>47303737</v>
      </c>
      <c r="B82" s="72" t="str">
        <f t="shared" si="3"/>
        <v>4.730.373-7</v>
      </c>
      <c r="C82" s="73" t="s">
        <v>38</v>
      </c>
      <c r="D82" s="29" t="s">
        <v>278</v>
      </c>
      <c r="E82" s="29" t="s">
        <v>670</v>
      </c>
      <c r="F82" s="29" t="s">
        <v>944</v>
      </c>
      <c r="G82" s="49">
        <v>45408</v>
      </c>
      <c r="H82" s="49">
        <v>45422</v>
      </c>
      <c r="I82" s="29" t="s">
        <v>24</v>
      </c>
      <c r="J82" s="68" t="s">
        <v>24</v>
      </c>
      <c r="K82" s="24" t="s">
        <v>43</v>
      </c>
      <c r="L82" s="92">
        <v>45413</v>
      </c>
      <c r="M82" s="49">
        <v>45422</v>
      </c>
      <c r="N82" s="25">
        <f t="shared" si="4"/>
        <v>9</v>
      </c>
      <c r="O82" s="29"/>
      <c r="P82" t="s">
        <v>88</v>
      </c>
      <c r="Q82" t="s">
        <v>88</v>
      </c>
      <c r="R82" t="s">
        <v>88</v>
      </c>
      <c r="S82" t="s">
        <v>88</v>
      </c>
      <c r="T82" t="s">
        <v>88</v>
      </c>
      <c r="U82" t="s">
        <v>20</v>
      </c>
    </row>
    <row r="83" spans="1:21" x14ac:dyDescent="0.45">
      <c r="A83" s="79">
        <v>47303737</v>
      </c>
      <c r="B83" s="72" t="str">
        <f t="shared" si="3"/>
        <v>4.730.373-7</v>
      </c>
      <c r="C83" s="73" t="s">
        <v>38</v>
      </c>
      <c r="D83" s="29" t="s">
        <v>278</v>
      </c>
      <c r="E83" s="29" t="s">
        <v>670</v>
      </c>
      <c r="F83" s="29" t="s">
        <v>944</v>
      </c>
      <c r="G83" s="49">
        <v>45408</v>
      </c>
      <c r="H83" s="49">
        <v>45422</v>
      </c>
      <c r="I83" s="29" t="s">
        <v>24</v>
      </c>
      <c r="J83" s="68" t="s">
        <v>24</v>
      </c>
      <c r="K83" s="24" t="s">
        <v>47</v>
      </c>
      <c r="L83" s="49">
        <v>45413</v>
      </c>
      <c r="M83" s="49">
        <v>45422</v>
      </c>
      <c r="N83" s="25">
        <f t="shared" si="4"/>
        <v>9</v>
      </c>
      <c r="O83" s="29"/>
      <c r="P83" t="s">
        <v>88</v>
      </c>
      <c r="Q83" t="s">
        <v>88</v>
      </c>
      <c r="R83" t="s">
        <v>88</v>
      </c>
      <c r="S83" t="s">
        <v>88</v>
      </c>
      <c r="T83" t="s">
        <v>88</v>
      </c>
      <c r="U83" t="s">
        <v>20</v>
      </c>
    </row>
    <row r="84" spans="1:21" x14ac:dyDescent="0.45">
      <c r="A84" s="79">
        <v>123226593</v>
      </c>
      <c r="B84" s="72" t="str">
        <f t="shared" si="3"/>
        <v>12.322.659-3</v>
      </c>
      <c r="C84" s="73" t="s">
        <v>38</v>
      </c>
      <c r="D84" s="29" t="s">
        <v>612</v>
      </c>
      <c r="E84" s="29" t="s">
        <v>488</v>
      </c>
      <c r="F84" s="29" t="s">
        <v>968</v>
      </c>
      <c r="G84" s="49">
        <v>45415</v>
      </c>
      <c r="H84" s="49">
        <v>45420</v>
      </c>
      <c r="I84" s="29" t="s">
        <v>54</v>
      </c>
      <c r="J84" s="68" t="s">
        <v>24</v>
      </c>
      <c r="K84" s="24" t="s">
        <v>43</v>
      </c>
      <c r="L84" s="49">
        <v>45415</v>
      </c>
      <c r="M84" s="49">
        <v>45420</v>
      </c>
      <c r="N84" s="25">
        <f t="shared" si="4"/>
        <v>5</v>
      </c>
      <c r="O84" s="29"/>
      <c r="P84" t="s">
        <v>88</v>
      </c>
      <c r="Q84" t="s">
        <v>88</v>
      </c>
      <c r="R84" t="s">
        <v>88</v>
      </c>
      <c r="S84" t="s">
        <v>88</v>
      </c>
      <c r="T84" t="s">
        <v>88</v>
      </c>
      <c r="U84" t="s">
        <v>20</v>
      </c>
    </row>
    <row r="85" spans="1:21" x14ac:dyDescent="0.45">
      <c r="A85" s="79">
        <v>123226593</v>
      </c>
      <c r="B85" s="72" t="str">
        <f t="shared" si="3"/>
        <v>12.322.659-3</v>
      </c>
      <c r="C85" s="73" t="s">
        <v>38</v>
      </c>
      <c r="D85" s="29" t="s">
        <v>612</v>
      </c>
      <c r="E85" s="29" t="s">
        <v>488</v>
      </c>
      <c r="F85" s="29" t="s">
        <v>968</v>
      </c>
      <c r="G85" s="49">
        <v>45415</v>
      </c>
      <c r="H85" s="49">
        <v>45420</v>
      </c>
      <c r="I85" s="29" t="s">
        <v>54</v>
      </c>
      <c r="J85" s="68" t="s">
        <v>24</v>
      </c>
      <c r="K85" s="24" t="s">
        <v>47</v>
      </c>
      <c r="L85" s="49">
        <v>45415</v>
      </c>
      <c r="M85" s="49">
        <v>45420</v>
      </c>
      <c r="N85" s="25">
        <f t="shared" si="4"/>
        <v>5</v>
      </c>
      <c r="O85" s="29"/>
      <c r="P85" t="s">
        <v>88</v>
      </c>
      <c r="Q85" t="s">
        <v>88</v>
      </c>
      <c r="R85" t="s">
        <v>88</v>
      </c>
      <c r="S85" t="s">
        <v>88</v>
      </c>
      <c r="T85" t="s">
        <v>88</v>
      </c>
      <c r="U85" t="s">
        <v>20</v>
      </c>
    </row>
    <row r="86" spans="1:21" x14ac:dyDescent="0.45">
      <c r="A86" s="79">
        <v>194159374</v>
      </c>
      <c r="B86" s="72" t="str">
        <f t="shared" si="3"/>
        <v>19.415.937-4</v>
      </c>
      <c r="C86" s="73" t="s">
        <v>38</v>
      </c>
      <c r="D86" s="29" t="s">
        <v>704</v>
      </c>
      <c r="E86" s="29" t="s">
        <v>583</v>
      </c>
      <c r="F86" s="29" t="s">
        <v>601</v>
      </c>
      <c r="G86" s="49">
        <v>45417</v>
      </c>
      <c r="H86" s="49">
        <v>45422</v>
      </c>
      <c r="I86" s="29" t="s">
        <v>24</v>
      </c>
      <c r="J86" s="68" t="s">
        <v>69</v>
      </c>
      <c r="K86" s="24" t="s">
        <v>47</v>
      </c>
      <c r="L86" s="49">
        <v>45417</v>
      </c>
      <c r="M86" s="49">
        <v>45422</v>
      </c>
      <c r="N86" s="25">
        <f t="shared" si="4"/>
        <v>5</v>
      </c>
      <c r="O86" s="29"/>
      <c r="P86" t="s">
        <v>88</v>
      </c>
      <c r="Q86" t="s">
        <v>88</v>
      </c>
      <c r="R86" t="s">
        <v>88</v>
      </c>
      <c r="S86" t="s">
        <v>88</v>
      </c>
      <c r="T86" t="s">
        <v>88</v>
      </c>
      <c r="U86" t="s">
        <v>20</v>
      </c>
    </row>
    <row r="87" spans="1:21" x14ac:dyDescent="0.45">
      <c r="A87" s="79">
        <v>155305622</v>
      </c>
      <c r="B87" s="72" t="str">
        <f t="shared" si="3"/>
        <v>15.530.562-2</v>
      </c>
      <c r="C87" s="73" t="s">
        <v>16</v>
      </c>
      <c r="D87" s="29" t="s">
        <v>427</v>
      </c>
      <c r="E87" s="29" t="s">
        <v>574</v>
      </c>
      <c r="F87" s="29" t="s">
        <v>948</v>
      </c>
      <c r="G87" s="49">
        <v>45418</v>
      </c>
      <c r="H87" s="49">
        <v>45442</v>
      </c>
      <c r="I87" s="29" t="s">
        <v>36</v>
      </c>
      <c r="J87" s="68" t="s">
        <v>13</v>
      </c>
      <c r="K87" s="24" t="s">
        <v>35</v>
      </c>
      <c r="L87" s="49">
        <v>45418</v>
      </c>
      <c r="M87" s="49">
        <v>45442</v>
      </c>
      <c r="N87" s="25">
        <f t="shared" si="4"/>
        <v>24</v>
      </c>
      <c r="O87" s="29"/>
      <c r="P87" t="s">
        <v>88</v>
      </c>
      <c r="Q87" t="s">
        <v>88</v>
      </c>
      <c r="R87" t="s">
        <v>88</v>
      </c>
      <c r="S87" t="s">
        <v>88</v>
      </c>
      <c r="T87" t="s">
        <v>88</v>
      </c>
      <c r="U87" t="s">
        <v>20</v>
      </c>
    </row>
    <row r="88" spans="1:21" x14ac:dyDescent="0.45">
      <c r="A88" s="79">
        <v>72521188</v>
      </c>
      <c r="B88" s="72" t="str">
        <f t="shared" si="3"/>
        <v>7.252.118-8</v>
      </c>
      <c r="C88" s="73" t="s">
        <v>46</v>
      </c>
      <c r="D88" s="29" t="s">
        <v>969</v>
      </c>
      <c r="E88" s="29" t="s">
        <v>970</v>
      </c>
      <c r="F88" s="29" t="s">
        <v>971</v>
      </c>
      <c r="G88" s="49">
        <v>45419</v>
      </c>
      <c r="H88" s="49">
        <v>45425</v>
      </c>
      <c r="I88" s="29" t="s">
        <v>54</v>
      </c>
      <c r="J88" s="68" t="s">
        <v>13</v>
      </c>
      <c r="K88" s="24" t="s">
        <v>51</v>
      </c>
      <c r="L88" s="49">
        <v>45420</v>
      </c>
      <c r="M88" s="49">
        <v>45425</v>
      </c>
      <c r="N88" s="25">
        <f t="shared" si="4"/>
        <v>5</v>
      </c>
      <c r="O88" s="29"/>
      <c r="P88" t="s">
        <v>88</v>
      </c>
      <c r="Q88" t="s">
        <v>88</v>
      </c>
      <c r="R88" t="s">
        <v>88</v>
      </c>
      <c r="S88" t="s">
        <v>88</v>
      </c>
      <c r="T88" t="s">
        <v>88</v>
      </c>
      <c r="U88" t="s">
        <v>20</v>
      </c>
    </row>
    <row r="89" spans="1:21" x14ac:dyDescent="0.45">
      <c r="A89" s="79">
        <v>52472423</v>
      </c>
      <c r="B89" s="72" t="str">
        <f t="shared" si="3"/>
        <v>5.247.242-3</v>
      </c>
      <c r="C89" s="73" t="s">
        <v>46</v>
      </c>
      <c r="D89" s="29" t="s">
        <v>847</v>
      </c>
      <c r="E89" s="29" t="s">
        <v>381</v>
      </c>
      <c r="F89" s="29" t="s">
        <v>348</v>
      </c>
      <c r="G89" s="49">
        <v>45362</v>
      </c>
      <c r="H89" s="49">
        <v>45396</v>
      </c>
      <c r="I89" s="29" t="s">
        <v>54</v>
      </c>
      <c r="J89" s="68" t="s">
        <v>13</v>
      </c>
      <c r="K89" s="24" t="s">
        <v>47</v>
      </c>
      <c r="L89" s="49">
        <v>45415</v>
      </c>
      <c r="M89" s="49">
        <v>45426</v>
      </c>
      <c r="N89" s="25">
        <f t="shared" si="4"/>
        <v>11</v>
      </c>
      <c r="O89" s="29"/>
      <c r="P89" t="s">
        <v>88</v>
      </c>
      <c r="Q89" t="s">
        <v>88</v>
      </c>
      <c r="R89" t="s">
        <v>88</v>
      </c>
      <c r="S89" t="s">
        <v>88</v>
      </c>
      <c r="T89" t="s">
        <v>88</v>
      </c>
      <c r="U89" t="s">
        <v>20</v>
      </c>
    </row>
    <row r="90" spans="1:21" x14ac:dyDescent="0.45">
      <c r="A90" s="79">
        <v>59165917</v>
      </c>
      <c r="B90" s="72" t="str">
        <f t="shared" si="3"/>
        <v>5.916.591-7</v>
      </c>
      <c r="C90" s="73" t="s">
        <v>46</v>
      </c>
      <c r="D90" s="29" t="s">
        <v>245</v>
      </c>
      <c r="E90" s="29" t="s">
        <v>574</v>
      </c>
      <c r="F90" s="29" t="s">
        <v>972</v>
      </c>
      <c r="G90" s="49">
        <v>45412</v>
      </c>
      <c r="H90" s="49">
        <v>45422</v>
      </c>
      <c r="I90" s="29" t="s">
        <v>60</v>
      </c>
      <c r="J90" s="68" t="s">
        <v>13</v>
      </c>
      <c r="K90" s="24" t="s">
        <v>47</v>
      </c>
      <c r="L90" s="49">
        <v>45413</v>
      </c>
      <c r="M90" s="49">
        <v>45422</v>
      </c>
      <c r="N90" s="25">
        <f t="shared" si="4"/>
        <v>9</v>
      </c>
      <c r="O90" s="29"/>
      <c r="P90" t="s">
        <v>88</v>
      </c>
      <c r="Q90" t="s">
        <v>88</v>
      </c>
      <c r="R90" t="s">
        <v>88</v>
      </c>
      <c r="S90" t="s">
        <v>88</v>
      </c>
      <c r="T90" t="s">
        <v>88</v>
      </c>
      <c r="U90" t="s">
        <v>20</v>
      </c>
    </row>
    <row r="91" spans="1:21" x14ac:dyDescent="0.45">
      <c r="A91" s="79">
        <v>38228811</v>
      </c>
      <c r="B91" s="72" t="str">
        <f t="shared" si="3"/>
        <v>3.822.881-1</v>
      </c>
      <c r="C91" s="73" t="s">
        <v>46</v>
      </c>
      <c r="D91" s="29" t="s">
        <v>973</v>
      </c>
      <c r="E91" s="29" t="s">
        <v>306</v>
      </c>
      <c r="F91" s="29" t="s">
        <v>974</v>
      </c>
      <c r="G91" s="49">
        <v>45418</v>
      </c>
      <c r="H91" s="49">
        <v>45427</v>
      </c>
      <c r="I91" s="29" t="s">
        <v>54</v>
      </c>
      <c r="J91" s="68" t="s">
        <v>13</v>
      </c>
      <c r="K91" s="24" t="s">
        <v>47</v>
      </c>
      <c r="L91" s="49">
        <v>45419</v>
      </c>
      <c r="M91" s="49">
        <v>45427</v>
      </c>
      <c r="N91" s="25">
        <f t="shared" si="4"/>
        <v>8</v>
      </c>
      <c r="O91" s="29"/>
      <c r="P91" t="s">
        <v>88</v>
      </c>
      <c r="Q91" t="s">
        <v>88</v>
      </c>
      <c r="R91" t="s">
        <v>88</v>
      </c>
      <c r="S91" t="s">
        <v>88</v>
      </c>
      <c r="T91" t="s">
        <v>88</v>
      </c>
      <c r="U91" t="s">
        <v>20</v>
      </c>
    </row>
    <row r="92" spans="1:21" x14ac:dyDescent="0.45">
      <c r="A92" s="79">
        <v>94215412</v>
      </c>
      <c r="B92" s="72" t="str">
        <f t="shared" si="3"/>
        <v>9.421.541-2</v>
      </c>
      <c r="C92" s="73" t="s">
        <v>22</v>
      </c>
      <c r="D92" s="29" t="s">
        <v>352</v>
      </c>
      <c r="E92" s="29" t="s">
        <v>240</v>
      </c>
      <c r="F92" s="29" t="s">
        <v>975</v>
      </c>
      <c r="G92" s="49">
        <v>45418</v>
      </c>
      <c r="H92" s="49">
        <v>45427</v>
      </c>
      <c r="I92" s="29" t="s">
        <v>54</v>
      </c>
      <c r="J92" s="68" t="s">
        <v>22</v>
      </c>
      <c r="K92" s="24" t="s">
        <v>43</v>
      </c>
      <c r="L92" s="49">
        <v>45418</v>
      </c>
      <c r="M92" s="49">
        <v>45427</v>
      </c>
      <c r="N92" s="25">
        <f t="shared" si="4"/>
        <v>9</v>
      </c>
      <c r="O92" s="29"/>
      <c r="P92" t="s">
        <v>88</v>
      </c>
      <c r="Q92" t="s">
        <v>88</v>
      </c>
      <c r="R92" t="s">
        <v>88</v>
      </c>
      <c r="S92" t="s">
        <v>88</v>
      </c>
      <c r="T92" t="s">
        <v>88</v>
      </c>
      <c r="U92" t="s">
        <v>20</v>
      </c>
    </row>
    <row r="93" spans="1:21" x14ac:dyDescent="0.45">
      <c r="A93" s="79">
        <v>94215412</v>
      </c>
      <c r="B93" s="72" t="str">
        <f t="shared" si="3"/>
        <v>9.421.541-2</v>
      </c>
      <c r="C93" s="73" t="s">
        <v>22</v>
      </c>
      <c r="D93" s="29" t="s">
        <v>352</v>
      </c>
      <c r="E93" s="29" t="s">
        <v>240</v>
      </c>
      <c r="F93" s="29" t="s">
        <v>975</v>
      </c>
      <c r="G93" s="49">
        <v>45418</v>
      </c>
      <c r="H93" s="49">
        <v>45427</v>
      </c>
      <c r="I93" s="29" t="s">
        <v>54</v>
      </c>
      <c r="J93" s="68" t="s">
        <v>22</v>
      </c>
      <c r="K93" s="24" t="s">
        <v>47</v>
      </c>
      <c r="L93" s="49">
        <v>45418</v>
      </c>
      <c r="M93" s="49">
        <v>45427</v>
      </c>
      <c r="N93" s="25">
        <f t="shared" si="4"/>
        <v>9</v>
      </c>
      <c r="O93" s="29"/>
      <c r="P93" t="s">
        <v>88</v>
      </c>
      <c r="Q93" t="s">
        <v>88</v>
      </c>
      <c r="R93" t="s">
        <v>88</v>
      </c>
      <c r="S93" t="s">
        <v>88</v>
      </c>
      <c r="T93" t="s">
        <v>88</v>
      </c>
      <c r="U93" t="s">
        <v>20</v>
      </c>
    </row>
    <row r="94" spans="1:21" x14ac:dyDescent="0.45">
      <c r="A94" s="79">
        <v>94215412</v>
      </c>
      <c r="B94" s="72" t="str">
        <f t="shared" si="3"/>
        <v>9.421.541-2</v>
      </c>
      <c r="C94" s="73" t="s">
        <v>22</v>
      </c>
      <c r="D94" s="29" t="s">
        <v>352</v>
      </c>
      <c r="E94" s="29" t="s">
        <v>240</v>
      </c>
      <c r="F94" s="29" t="s">
        <v>975</v>
      </c>
      <c r="G94" s="49">
        <v>45418</v>
      </c>
      <c r="H94" s="49">
        <v>45423</v>
      </c>
      <c r="I94" s="29" t="s">
        <v>54</v>
      </c>
      <c r="J94" s="68" t="s">
        <v>22</v>
      </c>
      <c r="K94" s="24" t="s">
        <v>55</v>
      </c>
      <c r="L94" s="49">
        <v>45418</v>
      </c>
      <c r="M94" s="49">
        <v>45423</v>
      </c>
      <c r="N94" s="25">
        <f t="shared" si="4"/>
        <v>5</v>
      </c>
      <c r="O94" s="29"/>
      <c r="P94" t="s">
        <v>88</v>
      </c>
      <c r="Q94" t="s">
        <v>88</v>
      </c>
      <c r="R94" t="s">
        <v>88</v>
      </c>
      <c r="S94" t="s">
        <v>88</v>
      </c>
      <c r="T94" t="s">
        <v>88</v>
      </c>
      <c r="U94" t="s">
        <v>20</v>
      </c>
    </row>
    <row r="95" spans="1:21" x14ac:dyDescent="0.45">
      <c r="A95" s="79">
        <v>62177748</v>
      </c>
      <c r="B95" s="72" t="str">
        <f t="shared" si="3"/>
        <v>6.217.774-8</v>
      </c>
      <c r="C95" s="73" t="s">
        <v>22</v>
      </c>
      <c r="D95" s="29" t="s">
        <v>277</v>
      </c>
      <c r="E95" s="29" t="s">
        <v>976</v>
      </c>
      <c r="F95" s="29" t="s">
        <v>250</v>
      </c>
      <c r="G95" s="49">
        <v>45419</v>
      </c>
      <c r="H95" s="49">
        <v>45422</v>
      </c>
      <c r="I95" s="29" t="s">
        <v>54</v>
      </c>
      <c r="J95" s="68" t="s">
        <v>22</v>
      </c>
      <c r="K95" s="24" t="s">
        <v>43</v>
      </c>
      <c r="L95" s="49">
        <v>45419</v>
      </c>
      <c r="M95" s="49">
        <v>45422</v>
      </c>
      <c r="N95" s="25">
        <f t="shared" si="4"/>
        <v>3</v>
      </c>
      <c r="O95" s="29"/>
      <c r="P95" t="s">
        <v>88</v>
      </c>
      <c r="Q95" t="s">
        <v>88</v>
      </c>
      <c r="R95" t="s">
        <v>88</v>
      </c>
      <c r="S95" t="s">
        <v>88</v>
      </c>
      <c r="T95" t="s">
        <v>88</v>
      </c>
      <c r="U95" t="s">
        <v>20</v>
      </c>
    </row>
    <row r="96" spans="1:21" x14ac:dyDescent="0.45">
      <c r="A96" s="79">
        <v>62177748</v>
      </c>
      <c r="B96" s="72" t="str">
        <f t="shared" si="3"/>
        <v>6.217.774-8</v>
      </c>
      <c r="C96" s="73" t="s">
        <v>22</v>
      </c>
      <c r="D96" s="29" t="s">
        <v>277</v>
      </c>
      <c r="E96" s="29" t="s">
        <v>976</v>
      </c>
      <c r="F96" s="29" t="s">
        <v>250</v>
      </c>
      <c r="G96" s="49">
        <v>45419</v>
      </c>
      <c r="H96" s="49">
        <v>45422</v>
      </c>
      <c r="I96" s="29" t="s">
        <v>54</v>
      </c>
      <c r="J96" s="68" t="s">
        <v>22</v>
      </c>
      <c r="K96" s="24" t="s">
        <v>55</v>
      </c>
      <c r="L96" s="49">
        <v>45419</v>
      </c>
      <c r="M96" s="49">
        <v>45422</v>
      </c>
      <c r="N96" s="25">
        <f t="shared" si="4"/>
        <v>3</v>
      </c>
      <c r="O96" s="29"/>
      <c r="P96" t="s">
        <v>88</v>
      </c>
      <c r="Q96" t="s">
        <v>88</v>
      </c>
      <c r="R96" t="s">
        <v>88</v>
      </c>
      <c r="S96" t="s">
        <v>88</v>
      </c>
      <c r="T96" t="s">
        <v>88</v>
      </c>
      <c r="U96" t="s">
        <v>20</v>
      </c>
    </row>
    <row r="97" spans="1:21" x14ac:dyDescent="0.45">
      <c r="A97" s="79" t="s">
        <v>977</v>
      </c>
      <c r="B97" s="72" t="str">
        <f t="shared" si="3"/>
        <v>8.746.007-K</v>
      </c>
      <c r="C97" s="73" t="s">
        <v>22</v>
      </c>
      <c r="D97" s="29" t="s">
        <v>507</v>
      </c>
      <c r="E97" s="29" t="s">
        <v>277</v>
      </c>
      <c r="F97" s="29" t="s">
        <v>475</v>
      </c>
      <c r="G97" s="49">
        <v>45421</v>
      </c>
      <c r="H97" s="49">
        <v>45423</v>
      </c>
      <c r="I97" s="29" t="s">
        <v>54</v>
      </c>
      <c r="J97" s="68" t="s">
        <v>22</v>
      </c>
      <c r="K97" s="24" t="s">
        <v>43</v>
      </c>
      <c r="L97" s="49">
        <v>45421</v>
      </c>
      <c r="M97" s="49">
        <v>45423</v>
      </c>
      <c r="N97" s="25">
        <f t="shared" si="4"/>
        <v>2</v>
      </c>
      <c r="O97" s="29"/>
      <c r="P97" t="s">
        <v>88</v>
      </c>
      <c r="Q97" t="s">
        <v>88</v>
      </c>
      <c r="R97" t="s">
        <v>88</v>
      </c>
      <c r="S97" t="s">
        <v>88</v>
      </c>
      <c r="T97" t="s">
        <v>88</v>
      </c>
      <c r="U97" t="s">
        <v>20</v>
      </c>
    </row>
    <row r="98" spans="1:21" x14ac:dyDescent="0.45">
      <c r="A98" s="79">
        <v>113519290</v>
      </c>
      <c r="B98" s="72" t="str">
        <f t="shared" si="3"/>
        <v>11.351.929-0</v>
      </c>
      <c r="C98" s="68" t="s">
        <v>22</v>
      </c>
      <c r="D98" s="29" t="s">
        <v>631</v>
      </c>
      <c r="E98" s="29" t="s">
        <v>978</v>
      </c>
      <c r="F98" s="29" t="s">
        <v>979</v>
      </c>
      <c r="G98" s="49">
        <v>45421</v>
      </c>
      <c r="H98" s="49">
        <v>45423</v>
      </c>
      <c r="I98" s="29" t="s">
        <v>54</v>
      </c>
      <c r="J98" s="68" t="s">
        <v>13</v>
      </c>
      <c r="K98" s="24" t="s">
        <v>43</v>
      </c>
      <c r="L98" s="49">
        <v>45420</v>
      </c>
      <c r="M98" s="49">
        <v>45423</v>
      </c>
      <c r="N98" s="29">
        <f t="shared" si="4"/>
        <v>3</v>
      </c>
      <c r="O98" s="29"/>
      <c r="P98" t="s">
        <v>88</v>
      </c>
      <c r="Q98" t="s">
        <v>88</v>
      </c>
      <c r="R98" t="s">
        <v>88</v>
      </c>
      <c r="S98" t="s">
        <v>88</v>
      </c>
      <c r="T98" t="s">
        <v>88</v>
      </c>
      <c r="U98" t="s">
        <v>20</v>
      </c>
    </row>
    <row r="99" spans="1:21" x14ac:dyDescent="0.45">
      <c r="A99" s="79">
        <v>113519290</v>
      </c>
      <c r="B99" s="72" t="str">
        <f t="shared" si="3"/>
        <v>11.351.929-0</v>
      </c>
      <c r="C99" s="68" t="s">
        <v>22</v>
      </c>
      <c r="D99" s="29" t="s">
        <v>631</v>
      </c>
      <c r="E99" s="29" t="s">
        <v>978</v>
      </c>
      <c r="F99" s="29" t="s">
        <v>979</v>
      </c>
      <c r="G99" s="49">
        <v>45421</v>
      </c>
      <c r="H99" s="49">
        <v>45423</v>
      </c>
      <c r="I99" s="29" t="s">
        <v>54</v>
      </c>
      <c r="J99" s="68" t="s">
        <v>13</v>
      </c>
      <c r="K99" s="24" t="s">
        <v>47</v>
      </c>
      <c r="L99" s="49">
        <v>45420</v>
      </c>
      <c r="M99" s="49">
        <v>45423</v>
      </c>
      <c r="N99" s="25">
        <f t="shared" si="4"/>
        <v>3</v>
      </c>
      <c r="O99" s="29"/>
      <c r="P99" t="s">
        <v>88</v>
      </c>
      <c r="Q99" t="s">
        <v>88</v>
      </c>
      <c r="R99" t="s">
        <v>88</v>
      </c>
      <c r="S99" t="s">
        <v>88</v>
      </c>
      <c r="T99" t="s">
        <v>88</v>
      </c>
      <c r="U99" t="s">
        <v>20</v>
      </c>
    </row>
    <row r="100" spans="1:21" x14ac:dyDescent="0.45">
      <c r="A100" s="79">
        <v>98217509</v>
      </c>
      <c r="B100" s="72" t="str">
        <f t="shared" si="3"/>
        <v>9.821.750-9</v>
      </c>
      <c r="C100" s="73" t="s">
        <v>22</v>
      </c>
      <c r="D100" s="29" t="s">
        <v>488</v>
      </c>
      <c r="E100" s="29" t="s">
        <v>391</v>
      </c>
      <c r="F100" s="29" t="s">
        <v>966</v>
      </c>
      <c r="G100" s="49">
        <v>45421</v>
      </c>
      <c r="H100" s="49">
        <v>45422</v>
      </c>
      <c r="I100" s="29" t="s">
        <v>54</v>
      </c>
      <c r="J100" s="68" t="s">
        <v>24</v>
      </c>
      <c r="K100" s="24" t="s">
        <v>43</v>
      </c>
      <c r="L100" s="49">
        <v>45420</v>
      </c>
      <c r="M100" s="49">
        <v>45422</v>
      </c>
      <c r="N100" s="25">
        <f t="shared" si="4"/>
        <v>2</v>
      </c>
      <c r="O100" s="29"/>
      <c r="P100" t="s">
        <v>88</v>
      </c>
      <c r="Q100" t="s">
        <v>88</v>
      </c>
      <c r="R100" t="s">
        <v>88</v>
      </c>
      <c r="S100" t="s">
        <v>88</v>
      </c>
      <c r="T100" t="s">
        <v>88</v>
      </c>
      <c r="U100" t="s">
        <v>20</v>
      </c>
    </row>
    <row r="101" spans="1:21" x14ac:dyDescent="0.45">
      <c r="A101" s="79">
        <v>98217509</v>
      </c>
      <c r="B101" s="72" t="str">
        <f t="shared" si="3"/>
        <v>9.821.750-9</v>
      </c>
      <c r="C101" s="73" t="s">
        <v>22</v>
      </c>
      <c r="D101" s="29" t="s">
        <v>488</v>
      </c>
      <c r="E101" s="29" t="s">
        <v>391</v>
      </c>
      <c r="F101" s="29" t="s">
        <v>966</v>
      </c>
      <c r="G101" s="49">
        <v>45421</v>
      </c>
      <c r="H101" s="49">
        <v>45422</v>
      </c>
      <c r="I101" s="29" t="s">
        <v>54</v>
      </c>
      <c r="J101" s="68" t="s">
        <v>24</v>
      </c>
      <c r="K101" s="24" t="s">
        <v>47</v>
      </c>
      <c r="L101" s="49">
        <v>45420</v>
      </c>
      <c r="M101" s="49">
        <v>45422</v>
      </c>
      <c r="N101" s="25">
        <f t="shared" si="4"/>
        <v>2</v>
      </c>
      <c r="O101" s="29"/>
      <c r="P101" t="s">
        <v>88</v>
      </c>
      <c r="Q101" t="s">
        <v>88</v>
      </c>
      <c r="R101" t="s">
        <v>88</v>
      </c>
      <c r="S101" t="s">
        <v>88</v>
      </c>
      <c r="T101" t="s">
        <v>88</v>
      </c>
      <c r="U101" t="s">
        <v>20</v>
      </c>
    </row>
    <row r="102" spans="1:21" x14ac:dyDescent="0.45">
      <c r="A102" s="79">
        <v>62124342</v>
      </c>
      <c r="B102" s="72" t="str">
        <f t="shared" si="3"/>
        <v>6.212.434-2</v>
      </c>
      <c r="C102" s="73" t="s">
        <v>22</v>
      </c>
      <c r="D102" s="29" t="s">
        <v>612</v>
      </c>
      <c r="E102" s="29" t="s">
        <v>391</v>
      </c>
      <c r="F102" s="29" t="s">
        <v>782</v>
      </c>
      <c r="G102" s="49">
        <v>45412</v>
      </c>
      <c r="H102" s="49">
        <v>45422</v>
      </c>
      <c r="I102" s="29" t="s">
        <v>22</v>
      </c>
      <c r="J102" s="68" t="s">
        <v>19</v>
      </c>
      <c r="K102" s="24" t="s">
        <v>43</v>
      </c>
      <c r="L102" s="49">
        <v>45413</v>
      </c>
      <c r="M102" s="49">
        <v>45422</v>
      </c>
      <c r="N102" s="25">
        <f t="shared" si="4"/>
        <v>9</v>
      </c>
      <c r="O102" s="29"/>
      <c r="P102" t="s">
        <v>88</v>
      </c>
      <c r="Q102" t="s">
        <v>88</v>
      </c>
      <c r="R102" t="s">
        <v>88</v>
      </c>
      <c r="S102" t="s">
        <v>88</v>
      </c>
      <c r="T102" t="s">
        <v>88</v>
      </c>
      <c r="U102" t="s">
        <v>20</v>
      </c>
    </row>
    <row r="103" spans="1:21" x14ac:dyDescent="0.45">
      <c r="A103" s="79">
        <v>62124342</v>
      </c>
      <c r="B103" s="72" t="str">
        <f t="shared" si="3"/>
        <v>6.212.434-2</v>
      </c>
      <c r="C103" s="73" t="s">
        <v>22</v>
      </c>
      <c r="D103" s="29" t="s">
        <v>612</v>
      </c>
      <c r="E103" s="29" t="s">
        <v>391</v>
      </c>
      <c r="F103" s="29" t="s">
        <v>782</v>
      </c>
      <c r="G103" s="49">
        <v>45412</v>
      </c>
      <c r="H103" s="49">
        <v>45422</v>
      </c>
      <c r="I103" s="29" t="s">
        <v>22</v>
      </c>
      <c r="J103" s="68" t="s">
        <v>19</v>
      </c>
      <c r="K103" s="24" t="s">
        <v>47</v>
      </c>
      <c r="L103" s="49">
        <v>45421</v>
      </c>
      <c r="M103" s="49">
        <v>45422</v>
      </c>
      <c r="N103" s="25">
        <f t="shared" si="4"/>
        <v>1</v>
      </c>
      <c r="O103" s="29"/>
      <c r="P103" t="s">
        <v>88</v>
      </c>
      <c r="Q103" t="s">
        <v>88</v>
      </c>
      <c r="R103" t="s">
        <v>88</v>
      </c>
      <c r="S103" t="s">
        <v>88</v>
      </c>
      <c r="T103" t="s">
        <v>88</v>
      </c>
      <c r="U103" t="s">
        <v>20</v>
      </c>
    </row>
    <row r="104" spans="1:21" x14ac:dyDescent="0.45">
      <c r="A104" s="79">
        <v>62124342</v>
      </c>
      <c r="B104" s="72" t="str">
        <f t="shared" si="3"/>
        <v>6.212.434-2</v>
      </c>
      <c r="C104" s="73" t="s">
        <v>22</v>
      </c>
      <c r="D104" s="29" t="s">
        <v>612</v>
      </c>
      <c r="E104" s="29" t="s">
        <v>391</v>
      </c>
      <c r="F104" s="29" t="s">
        <v>782</v>
      </c>
      <c r="G104" s="49">
        <v>45412</v>
      </c>
      <c r="H104" s="49">
        <v>45422</v>
      </c>
      <c r="I104" s="29" t="s">
        <v>22</v>
      </c>
      <c r="J104" s="68" t="s">
        <v>19</v>
      </c>
      <c r="K104" s="24" t="s">
        <v>55</v>
      </c>
      <c r="L104" s="49">
        <v>45419</v>
      </c>
      <c r="M104" s="49">
        <v>45422</v>
      </c>
      <c r="N104" s="25">
        <f t="shared" ref="N104:N135" si="5">+M104-L104</f>
        <v>3</v>
      </c>
      <c r="O104" s="29"/>
      <c r="P104" t="s">
        <v>88</v>
      </c>
      <c r="Q104" t="s">
        <v>88</v>
      </c>
      <c r="R104" t="s">
        <v>88</v>
      </c>
      <c r="S104" t="s">
        <v>88</v>
      </c>
      <c r="T104" t="s">
        <v>88</v>
      </c>
      <c r="U104" t="s">
        <v>20</v>
      </c>
    </row>
    <row r="105" spans="1:21" x14ac:dyDescent="0.45">
      <c r="A105" s="79">
        <v>123792580</v>
      </c>
      <c r="B105" s="72" t="str">
        <f t="shared" si="3"/>
        <v>12.379.258-0</v>
      </c>
      <c r="C105" s="73" t="s">
        <v>22</v>
      </c>
      <c r="D105" s="29" t="s">
        <v>860</v>
      </c>
      <c r="E105" s="29" t="s">
        <v>980</v>
      </c>
      <c r="F105" s="29" t="s">
        <v>981</v>
      </c>
      <c r="G105" s="49">
        <v>45420</v>
      </c>
      <c r="H105" s="49">
        <v>45422</v>
      </c>
      <c r="I105" s="29" t="s">
        <v>22</v>
      </c>
      <c r="J105" s="68" t="s">
        <v>46</v>
      </c>
      <c r="K105" s="24" t="s">
        <v>43</v>
      </c>
      <c r="L105" s="49">
        <v>45413</v>
      </c>
      <c r="M105" s="49">
        <v>45422</v>
      </c>
      <c r="N105" s="25">
        <f t="shared" si="5"/>
        <v>9</v>
      </c>
      <c r="O105" s="29"/>
      <c r="P105" t="s">
        <v>88</v>
      </c>
      <c r="Q105" t="s">
        <v>88</v>
      </c>
      <c r="R105" t="s">
        <v>88</v>
      </c>
      <c r="S105" t="s">
        <v>88</v>
      </c>
      <c r="T105" t="s">
        <v>88</v>
      </c>
      <c r="U105" t="s">
        <v>20</v>
      </c>
    </row>
    <row r="106" spans="1:21" x14ac:dyDescent="0.45">
      <c r="A106" s="79">
        <v>47328640</v>
      </c>
      <c r="B106" s="72" t="str">
        <f t="shared" si="3"/>
        <v>4.732.864-0</v>
      </c>
      <c r="C106" s="73" t="s">
        <v>22</v>
      </c>
      <c r="D106" s="29" t="s">
        <v>471</v>
      </c>
      <c r="E106" s="29" t="s">
        <v>982</v>
      </c>
      <c r="F106" s="29" t="s">
        <v>983</v>
      </c>
      <c r="G106" s="49">
        <v>45419</v>
      </c>
      <c r="H106" s="49">
        <v>45423</v>
      </c>
      <c r="I106" s="29" t="s">
        <v>22</v>
      </c>
      <c r="J106" s="68" t="s">
        <v>13</v>
      </c>
      <c r="K106" s="24" t="s">
        <v>43</v>
      </c>
      <c r="L106" s="49">
        <v>45416</v>
      </c>
      <c r="M106" s="49">
        <v>45423</v>
      </c>
      <c r="N106" s="25">
        <f t="shared" si="5"/>
        <v>7</v>
      </c>
      <c r="O106" s="29"/>
      <c r="P106" t="s">
        <v>88</v>
      </c>
      <c r="Q106" t="s">
        <v>88</v>
      </c>
      <c r="R106" t="s">
        <v>88</v>
      </c>
      <c r="S106" t="s">
        <v>88</v>
      </c>
      <c r="T106" t="s">
        <v>88</v>
      </c>
      <c r="U106" t="s">
        <v>20</v>
      </c>
    </row>
    <row r="107" spans="1:21" x14ac:dyDescent="0.45">
      <c r="A107" s="79">
        <v>68574544</v>
      </c>
      <c r="B107" s="72" t="str">
        <f t="shared" si="3"/>
        <v>6.857.454-4</v>
      </c>
      <c r="C107" s="73" t="s">
        <v>22</v>
      </c>
      <c r="D107" s="29" t="s">
        <v>244</v>
      </c>
      <c r="E107" s="29" t="s">
        <v>367</v>
      </c>
      <c r="F107" s="29" t="s">
        <v>984</v>
      </c>
      <c r="G107" s="49">
        <v>45419</v>
      </c>
      <c r="H107" s="49">
        <v>45422</v>
      </c>
      <c r="I107" s="29" t="s">
        <v>22</v>
      </c>
      <c r="J107" s="68" t="s">
        <v>56</v>
      </c>
      <c r="K107" s="24" t="s">
        <v>43</v>
      </c>
      <c r="L107" s="49">
        <v>45419</v>
      </c>
      <c r="M107" s="49">
        <v>45422</v>
      </c>
      <c r="N107" s="25">
        <f t="shared" si="5"/>
        <v>3</v>
      </c>
      <c r="O107" s="29"/>
      <c r="P107" t="s">
        <v>88</v>
      </c>
      <c r="Q107" t="s">
        <v>88</v>
      </c>
      <c r="R107" t="s">
        <v>88</v>
      </c>
      <c r="S107" t="s">
        <v>88</v>
      </c>
      <c r="T107" t="s">
        <v>88</v>
      </c>
      <c r="U107" t="s">
        <v>20</v>
      </c>
    </row>
    <row r="108" spans="1:21" x14ac:dyDescent="0.45">
      <c r="A108" s="79">
        <v>68574544</v>
      </c>
      <c r="B108" s="72" t="str">
        <f t="shared" si="3"/>
        <v>6.857.454-4</v>
      </c>
      <c r="C108" s="73" t="s">
        <v>22</v>
      </c>
      <c r="D108" s="29" t="s">
        <v>244</v>
      </c>
      <c r="E108" s="29" t="s">
        <v>367</v>
      </c>
      <c r="F108" s="29" t="s">
        <v>984</v>
      </c>
      <c r="G108" s="49">
        <v>45419</v>
      </c>
      <c r="H108" s="49">
        <v>45422</v>
      </c>
      <c r="I108" s="29" t="s">
        <v>22</v>
      </c>
      <c r="J108" s="68" t="s">
        <v>56</v>
      </c>
      <c r="K108" s="24" t="s">
        <v>47</v>
      </c>
      <c r="L108" s="49">
        <v>45419</v>
      </c>
      <c r="M108" s="49">
        <v>45422</v>
      </c>
      <c r="N108" s="25">
        <f t="shared" si="5"/>
        <v>3</v>
      </c>
      <c r="O108" s="29"/>
      <c r="P108" t="s">
        <v>88</v>
      </c>
      <c r="Q108" t="s">
        <v>88</v>
      </c>
      <c r="R108" t="s">
        <v>88</v>
      </c>
      <c r="S108" t="s">
        <v>88</v>
      </c>
      <c r="T108" t="s">
        <v>88</v>
      </c>
      <c r="U108" t="s">
        <v>20</v>
      </c>
    </row>
    <row r="109" spans="1:21" x14ac:dyDescent="0.45">
      <c r="A109" s="79">
        <v>129757396</v>
      </c>
      <c r="B109" s="72" t="str">
        <f t="shared" si="3"/>
        <v>12.975.739-6</v>
      </c>
      <c r="C109" s="73" t="s">
        <v>22</v>
      </c>
      <c r="D109" s="29" t="s">
        <v>632</v>
      </c>
      <c r="E109" s="29" t="s">
        <v>457</v>
      </c>
      <c r="F109" s="29" t="s">
        <v>985</v>
      </c>
      <c r="G109" s="49">
        <v>45422</v>
      </c>
      <c r="H109" s="49">
        <v>45426</v>
      </c>
      <c r="I109" s="29" t="s">
        <v>22</v>
      </c>
      <c r="J109" s="68" t="s">
        <v>69</v>
      </c>
      <c r="K109" s="24" t="s">
        <v>47</v>
      </c>
      <c r="L109" s="49">
        <v>45416</v>
      </c>
      <c r="M109" s="49">
        <v>45426</v>
      </c>
      <c r="N109" s="25">
        <f t="shared" si="5"/>
        <v>10</v>
      </c>
      <c r="O109" s="29"/>
      <c r="P109" t="s">
        <v>88</v>
      </c>
      <c r="Q109" t="s">
        <v>88</v>
      </c>
      <c r="R109" t="s">
        <v>88</v>
      </c>
      <c r="S109" t="s">
        <v>88</v>
      </c>
      <c r="T109" t="s">
        <v>88</v>
      </c>
      <c r="U109" t="s">
        <v>20</v>
      </c>
    </row>
    <row r="110" spans="1:21" x14ac:dyDescent="0.45">
      <c r="A110" s="79" t="s">
        <v>986</v>
      </c>
      <c r="B110" s="72" t="str">
        <f t="shared" si="3"/>
        <v>5.883.579-K</v>
      </c>
      <c r="C110" s="73" t="s">
        <v>22</v>
      </c>
      <c r="D110" s="29" t="s">
        <v>632</v>
      </c>
      <c r="E110" s="29" t="s">
        <v>743</v>
      </c>
      <c r="F110" s="29" t="s">
        <v>987</v>
      </c>
      <c r="G110" s="49">
        <v>45419</v>
      </c>
      <c r="H110" s="49">
        <v>45435</v>
      </c>
      <c r="I110" s="29" t="s">
        <v>22</v>
      </c>
      <c r="J110" s="68" t="s">
        <v>56</v>
      </c>
      <c r="K110" s="24" t="s">
        <v>47</v>
      </c>
      <c r="L110" s="49">
        <v>45419</v>
      </c>
      <c r="M110" s="49">
        <v>45435</v>
      </c>
      <c r="N110" s="25">
        <f t="shared" si="5"/>
        <v>16</v>
      </c>
      <c r="O110" s="29"/>
      <c r="P110" t="s">
        <v>88</v>
      </c>
      <c r="Q110" t="s">
        <v>88</v>
      </c>
      <c r="R110" t="s">
        <v>88</v>
      </c>
      <c r="S110" t="s">
        <v>88</v>
      </c>
      <c r="T110" t="s">
        <v>88</v>
      </c>
      <c r="U110" t="s">
        <v>20</v>
      </c>
    </row>
    <row r="111" spans="1:21" x14ac:dyDescent="0.45">
      <c r="A111" s="79">
        <v>125535453</v>
      </c>
      <c r="B111" s="72" t="str">
        <f t="shared" si="3"/>
        <v>12.553.545-3</v>
      </c>
      <c r="C111" s="73" t="s">
        <v>22</v>
      </c>
      <c r="D111" s="29" t="s">
        <v>953</v>
      </c>
      <c r="E111" s="29" t="s">
        <v>954</v>
      </c>
      <c r="F111" s="29" t="s">
        <v>725</v>
      </c>
      <c r="G111" s="49">
        <v>45419</v>
      </c>
      <c r="H111" s="49">
        <v>45434</v>
      </c>
      <c r="I111" s="29" t="s">
        <v>22</v>
      </c>
      <c r="J111" s="68" t="s">
        <v>24</v>
      </c>
      <c r="K111" s="24" t="s">
        <v>43</v>
      </c>
      <c r="L111" s="49">
        <v>45413</v>
      </c>
      <c r="M111" s="49">
        <v>45434</v>
      </c>
      <c r="N111" s="25">
        <f t="shared" si="5"/>
        <v>21</v>
      </c>
      <c r="O111" s="29"/>
      <c r="P111" t="s">
        <v>88</v>
      </c>
      <c r="Q111" t="s">
        <v>88</v>
      </c>
      <c r="R111" t="s">
        <v>88</v>
      </c>
      <c r="S111" t="s">
        <v>88</v>
      </c>
      <c r="T111" t="s">
        <v>88</v>
      </c>
      <c r="U111" t="s">
        <v>20</v>
      </c>
    </row>
    <row r="112" spans="1:21" x14ac:dyDescent="0.45">
      <c r="A112" s="79">
        <v>46112849</v>
      </c>
      <c r="B112" s="72" t="str">
        <f t="shared" si="3"/>
        <v>4.611.284-9</v>
      </c>
      <c r="C112" s="73" t="s">
        <v>22</v>
      </c>
      <c r="D112" s="29" t="s">
        <v>869</v>
      </c>
      <c r="E112" s="29" t="s">
        <v>978</v>
      </c>
      <c r="F112" s="29" t="s">
        <v>988</v>
      </c>
      <c r="G112" s="49">
        <v>45423</v>
      </c>
      <c r="H112" s="49">
        <v>45426</v>
      </c>
      <c r="I112" s="29" t="s">
        <v>54</v>
      </c>
      <c r="J112" s="68" t="s">
        <v>22</v>
      </c>
      <c r="K112" s="24" t="s">
        <v>43</v>
      </c>
      <c r="L112" s="49">
        <v>45423</v>
      </c>
      <c r="M112" s="49">
        <v>45426</v>
      </c>
      <c r="N112" s="25">
        <f t="shared" si="5"/>
        <v>3</v>
      </c>
      <c r="O112" s="29"/>
      <c r="P112" t="s">
        <v>88</v>
      </c>
      <c r="Q112" t="s">
        <v>88</v>
      </c>
      <c r="R112" t="s">
        <v>88</v>
      </c>
      <c r="S112" t="s">
        <v>88</v>
      </c>
      <c r="T112" t="s">
        <v>88</v>
      </c>
      <c r="U112" t="s">
        <v>20</v>
      </c>
    </row>
    <row r="113" spans="1:21" x14ac:dyDescent="0.45">
      <c r="A113" s="79">
        <v>46112849</v>
      </c>
      <c r="B113" s="72" t="str">
        <f t="shared" si="3"/>
        <v>4.611.284-9</v>
      </c>
      <c r="C113" s="73" t="s">
        <v>22</v>
      </c>
      <c r="D113" s="29" t="s">
        <v>869</v>
      </c>
      <c r="E113" s="29" t="s">
        <v>978</v>
      </c>
      <c r="F113" s="29" t="s">
        <v>988</v>
      </c>
      <c r="G113" s="49">
        <v>45423</v>
      </c>
      <c r="H113" s="49">
        <v>45426</v>
      </c>
      <c r="I113" s="29" t="s">
        <v>54</v>
      </c>
      <c r="J113" s="68" t="s">
        <v>22</v>
      </c>
      <c r="K113" s="24" t="s">
        <v>47</v>
      </c>
      <c r="L113" s="49">
        <v>45423</v>
      </c>
      <c r="M113" s="49">
        <v>45426</v>
      </c>
      <c r="N113" s="25">
        <f t="shared" si="5"/>
        <v>3</v>
      </c>
      <c r="O113" s="29"/>
      <c r="P113" t="s">
        <v>88</v>
      </c>
      <c r="Q113" t="s">
        <v>88</v>
      </c>
      <c r="R113" t="s">
        <v>88</v>
      </c>
      <c r="S113" t="s">
        <v>88</v>
      </c>
      <c r="T113" t="s">
        <v>88</v>
      </c>
      <c r="U113" t="s">
        <v>20</v>
      </c>
    </row>
    <row r="114" spans="1:21" x14ac:dyDescent="0.45">
      <c r="A114" s="79">
        <v>46112849</v>
      </c>
      <c r="B114" s="72" t="str">
        <f t="shared" si="3"/>
        <v>4.611.284-9</v>
      </c>
      <c r="C114" s="73" t="s">
        <v>22</v>
      </c>
      <c r="D114" s="29" t="s">
        <v>869</v>
      </c>
      <c r="E114" s="29" t="s">
        <v>978</v>
      </c>
      <c r="F114" s="29" t="s">
        <v>988</v>
      </c>
      <c r="G114" s="49">
        <v>45423</v>
      </c>
      <c r="H114" s="49">
        <v>45426</v>
      </c>
      <c r="I114" s="29" t="s">
        <v>54</v>
      </c>
      <c r="J114" s="68" t="s">
        <v>22</v>
      </c>
      <c r="K114" s="24" t="s">
        <v>55</v>
      </c>
      <c r="L114" s="49">
        <v>45423</v>
      </c>
      <c r="M114" s="49">
        <v>45426</v>
      </c>
      <c r="N114" s="25">
        <f t="shared" si="5"/>
        <v>3</v>
      </c>
      <c r="O114" s="29"/>
      <c r="P114" t="s">
        <v>88</v>
      </c>
      <c r="Q114" t="s">
        <v>88</v>
      </c>
      <c r="R114" t="s">
        <v>88</v>
      </c>
      <c r="S114" t="s">
        <v>88</v>
      </c>
      <c r="T114" t="s">
        <v>88</v>
      </c>
      <c r="U114" t="s">
        <v>20</v>
      </c>
    </row>
    <row r="115" spans="1:21" x14ac:dyDescent="0.45">
      <c r="A115" s="79">
        <v>79432342</v>
      </c>
      <c r="B115" s="72" t="str">
        <f t="shared" si="3"/>
        <v>7.943.234-2</v>
      </c>
      <c r="C115" s="73" t="s">
        <v>22</v>
      </c>
      <c r="D115" s="29" t="s">
        <v>989</v>
      </c>
      <c r="E115" s="29" t="s">
        <v>990</v>
      </c>
      <c r="F115" s="29" t="s">
        <v>238</v>
      </c>
      <c r="G115" s="49">
        <v>45424</v>
      </c>
      <c r="H115" s="49">
        <v>45427</v>
      </c>
      <c r="I115" s="29" t="s">
        <v>54</v>
      </c>
      <c r="J115" s="68" t="s">
        <v>24</v>
      </c>
      <c r="K115" s="24" t="s">
        <v>43</v>
      </c>
      <c r="L115" s="49">
        <v>45424</v>
      </c>
      <c r="M115" s="49">
        <v>45427</v>
      </c>
      <c r="N115" s="25">
        <f t="shared" si="5"/>
        <v>3</v>
      </c>
      <c r="O115" s="29"/>
      <c r="P115" t="s">
        <v>88</v>
      </c>
      <c r="Q115" t="s">
        <v>88</v>
      </c>
      <c r="R115" t="s">
        <v>88</v>
      </c>
      <c r="S115" t="s">
        <v>88</v>
      </c>
      <c r="T115" t="s">
        <v>88</v>
      </c>
      <c r="U115" t="s">
        <v>20</v>
      </c>
    </row>
    <row r="116" spans="1:21" x14ac:dyDescent="0.45">
      <c r="A116" s="79">
        <v>79432342</v>
      </c>
      <c r="B116" s="72" t="str">
        <f t="shared" si="3"/>
        <v>7.943.234-2</v>
      </c>
      <c r="C116" s="73" t="s">
        <v>22</v>
      </c>
      <c r="D116" s="29" t="s">
        <v>989</v>
      </c>
      <c r="E116" s="29" t="s">
        <v>990</v>
      </c>
      <c r="F116" s="29" t="s">
        <v>238</v>
      </c>
      <c r="G116" s="49">
        <v>45424</v>
      </c>
      <c r="H116" s="49">
        <v>45427</v>
      </c>
      <c r="I116" s="29" t="s">
        <v>54</v>
      </c>
      <c r="J116" s="68" t="s">
        <v>24</v>
      </c>
      <c r="K116" s="24" t="s">
        <v>47</v>
      </c>
      <c r="L116" s="49">
        <v>45424</v>
      </c>
      <c r="M116" s="49">
        <v>45427</v>
      </c>
      <c r="N116" s="25">
        <f t="shared" si="5"/>
        <v>3</v>
      </c>
      <c r="O116" s="29"/>
      <c r="P116" t="s">
        <v>88</v>
      </c>
      <c r="Q116" t="s">
        <v>88</v>
      </c>
      <c r="R116" t="s">
        <v>88</v>
      </c>
      <c r="S116" t="s">
        <v>88</v>
      </c>
      <c r="T116" t="s">
        <v>88</v>
      </c>
      <c r="U116" t="s">
        <v>20</v>
      </c>
    </row>
    <row r="117" spans="1:21" x14ac:dyDescent="0.45">
      <c r="A117" s="79">
        <v>79432342</v>
      </c>
      <c r="B117" s="72" t="str">
        <f t="shared" si="3"/>
        <v>7.943.234-2</v>
      </c>
      <c r="C117" s="73" t="s">
        <v>22</v>
      </c>
      <c r="D117" s="29" t="s">
        <v>989</v>
      </c>
      <c r="E117" s="29" t="s">
        <v>990</v>
      </c>
      <c r="F117" s="29" t="s">
        <v>238</v>
      </c>
      <c r="G117" s="49">
        <v>45424</v>
      </c>
      <c r="H117" s="49">
        <v>45427</v>
      </c>
      <c r="I117" s="29" t="s">
        <v>54</v>
      </c>
      <c r="J117" s="68" t="s">
        <v>24</v>
      </c>
      <c r="K117" s="24" t="s">
        <v>55</v>
      </c>
      <c r="L117" s="49">
        <v>45424</v>
      </c>
      <c r="M117" s="49">
        <v>45427</v>
      </c>
      <c r="N117" s="25">
        <f t="shared" si="5"/>
        <v>3</v>
      </c>
      <c r="O117" s="29"/>
      <c r="P117" t="s">
        <v>88</v>
      </c>
      <c r="Q117" t="s">
        <v>88</v>
      </c>
      <c r="R117" t="s">
        <v>88</v>
      </c>
      <c r="S117" t="s">
        <v>88</v>
      </c>
      <c r="T117" t="s">
        <v>88</v>
      </c>
      <c r="U117" t="s">
        <v>20</v>
      </c>
    </row>
    <row r="118" spans="1:21" x14ac:dyDescent="0.45">
      <c r="A118" s="79">
        <v>284297288</v>
      </c>
      <c r="B118" s="72" t="str">
        <f t="shared" si="3"/>
        <v>28.429.728-8</v>
      </c>
      <c r="C118" s="73" t="s">
        <v>16</v>
      </c>
      <c r="D118" s="29" t="s">
        <v>991</v>
      </c>
      <c r="E118" s="29" t="s">
        <v>555</v>
      </c>
      <c r="F118" s="29" t="s">
        <v>992</v>
      </c>
      <c r="G118" s="49">
        <v>45422</v>
      </c>
      <c r="H118" s="49">
        <v>45442</v>
      </c>
      <c r="I118" s="29" t="s">
        <v>36</v>
      </c>
      <c r="J118" s="68" t="s">
        <v>13</v>
      </c>
      <c r="K118" s="24" t="s">
        <v>18</v>
      </c>
      <c r="L118" s="49">
        <v>45424</v>
      </c>
      <c r="M118" s="49">
        <v>45442</v>
      </c>
      <c r="N118" s="25">
        <f t="shared" si="5"/>
        <v>18</v>
      </c>
      <c r="O118" s="29"/>
      <c r="P118" t="s">
        <v>88</v>
      </c>
      <c r="Q118" t="s">
        <v>88</v>
      </c>
      <c r="R118" t="s">
        <v>88</v>
      </c>
      <c r="S118" t="s">
        <v>88</v>
      </c>
      <c r="T118" t="s">
        <v>88</v>
      </c>
      <c r="U118" t="s">
        <v>20</v>
      </c>
    </row>
    <row r="119" spans="1:21" x14ac:dyDescent="0.45">
      <c r="A119" s="79">
        <v>841704</v>
      </c>
      <c r="B119" s="72" t="str">
        <f t="shared" si="3"/>
        <v>84.170.4-</v>
      </c>
      <c r="C119" s="73" t="s">
        <v>16</v>
      </c>
      <c r="D119" s="29" t="s">
        <v>993</v>
      </c>
      <c r="E119" s="29" t="s">
        <v>994</v>
      </c>
      <c r="F119" s="29" t="s">
        <v>948</v>
      </c>
      <c r="G119" s="49">
        <v>45425</v>
      </c>
      <c r="H119" s="49">
        <v>45441</v>
      </c>
      <c r="I119" s="29" t="s">
        <v>36</v>
      </c>
      <c r="J119" s="68" t="s">
        <v>13</v>
      </c>
      <c r="K119" s="24" t="s">
        <v>55</v>
      </c>
      <c r="L119" s="49">
        <v>45425</v>
      </c>
      <c r="M119" s="49">
        <v>45441</v>
      </c>
      <c r="N119" s="25">
        <f t="shared" si="5"/>
        <v>16</v>
      </c>
      <c r="O119" s="29"/>
      <c r="P119" t="s">
        <v>88</v>
      </c>
      <c r="Q119" t="s">
        <v>88</v>
      </c>
      <c r="R119" t="s">
        <v>88</v>
      </c>
      <c r="S119" t="s">
        <v>88</v>
      </c>
      <c r="T119" t="s">
        <v>88</v>
      </c>
      <c r="U119" t="s">
        <v>20</v>
      </c>
    </row>
    <row r="120" spans="1:21" x14ac:dyDescent="0.45">
      <c r="A120" s="79">
        <v>841704</v>
      </c>
      <c r="B120" s="72" t="str">
        <f t="shared" si="3"/>
        <v>84.170.4-</v>
      </c>
      <c r="C120" s="73" t="s">
        <v>16</v>
      </c>
      <c r="D120" s="29" t="s">
        <v>993</v>
      </c>
      <c r="E120" s="29" t="s">
        <v>994</v>
      </c>
      <c r="F120" s="29" t="s">
        <v>948</v>
      </c>
      <c r="G120" s="49">
        <v>45425</v>
      </c>
      <c r="H120" s="49">
        <v>45441</v>
      </c>
      <c r="I120" s="29" t="s">
        <v>36</v>
      </c>
      <c r="J120" s="68" t="s">
        <v>13</v>
      </c>
      <c r="K120" s="24" t="s">
        <v>39</v>
      </c>
      <c r="L120" s="49">
        <v>45425</v>
      </c>
      <c r="M120" s="49">
        <v>45441</v>
      </c>
      <c r="N120" s="25">
        <f t="shared" si="5"/>
        <v>16</v>
      </c>
      <c r="O120" s="29"/>
      <c r="P120" t="s">
        <v>88</v>
      </c>
      <c r="Q120" t="s">
        <v>88</v>
      </c>
      <c r="R120" t="s">
        <v>88</v>
      </c>
      <c r="S120" t="s">
        <v>88</v>
      </c>
      <c r="T120" t="s">
        <v>88</v>
      </c>
      <c r="U120" t="s">
        <v>20</v>
      </c>
    </row>
    <row r="121" spans="1:21" x14ac:dyDescent="0.45">
      <c r="A121" s="79">
        <v>841318</v>
      </c>
      <c r="B121" s="72" t="str">
        <f t="shared" si="3"/>
        <v>84.131.8-</v>
      </c>
      <c r="C121" s="73" t="s">
        <v>16</v>
      </c>
      <c r="D121" s="29" t="s">
        <v>307</v>
      </c>
      <c r="E121" s="29" t="s">
        <v>507</v>
      </c>
      <c r="F121" s="29" t="s">
        <v>995</v>
      </c>
      <c r="G121" s="49">
        <v>45419</v>
      </c>
      <c r="H121" s="49">
        <v>45429</v>
      </c>
      <c r="I121" s="29" t="s">
        <v>36</v>
      </c>
      <c r="J121" s="68" t="s">
        <v>19</v>
      </c>
      <c r="K121" s="24" t="s">
        <v>47</v>
      </c>
      <c r="L121" s="49">
        <v>45425</v>
      </c>
      <c r="M121" s="49">
        <v>45429</v>
      </c>
      <c r="N121" s="25">
        <f t="shared" si="5"/>
        <v>4</v>
      </c>
      <c r="O121" s="29"/>
      <c r="P121" t="s">
        <v>88</v>
      </c>
      <c r="Q121" t="s">
        <v>88</v>
      </c>
      <c r="R121" t="s">
        <v>88</v>
      </c>
      <c r="S121" t="s">
        <v>88</v>
      </c>
      <c r="T121" t="s">
        <v>88</v>
      </c>
      <c r="U121" t="s">
        <v>20</v>
      </c>
    </row>
    <row r="122" spans="1:21" x14ac:dyDescent="0.45">
      <c r="A122" s="79">
        <v>284271327</v>
      </c>
      <c r="B122" s="72" t="str">
        <f t="shared" si="3"/>
        <v>28.427.132-7</v>
      </c>
      <c r="C122" s="73" t="s">
        <v>16</v>
      </c>
      <c r="D122" s="29" t="s">
        <v>427</v>
      </c>
      <c r="E122" s="29" t="s">
        <v>574</v>
      </c>
      <c r="F122" s="29" t="s">
        <v>996</v>
      </c>
      <c r="G122" s="49">
        <v>45418</v>
      </c>
      <c r="H122" s="49">
        <v>45439</v>
      </c>
      <c r="I122" s="29" t="s">
        <v>36</v>
      </c>
      <c r="J122" s="68" t="s">
        <v>13</v>
      </c>
      <c r="K122" s="24" t="s">
        <v>18</v>
      </c>
      <c r="L122" s="49">
        <v>45419</v>
      </c>
      <c r="M122" s="49">
        <v>45439</v>
      </c>
      <c r="N122" s="25">
        <f t="shared" si="5"/>
        <v>20</v>
      </c>
      <c r="O122" s="29"/>
      <c r="P122" t="s">
        <v>88</v>
      </c>
      <c r="Q122" t="s">
        <v>88</v>
      </c>
      <c r="R122" t="s">
        <v>88</v>
      </c>
      <c r="S122" t="s">
        <v>88</v>
      </c>
      <c r="T122" t="s">
        <v>88</v>
      </c>
      <c r="U122" t="s">
        <v>20</v>
      </c>
    </row>
    <row r="123" spans="1:21" x14ac:dyDescent="0.45">
      <c r="A123" s="79">
        <v>284271327</v>
      </c>
      <c r="B123" s="72" t="str">
        <f t="shared" si="3"/>
        <v>28.427.132-7</v>
      </c>
      <c r="C123" s="73" t="s">
        <v>16</v>
      </c>
      <c r="D123" s="29" t="s">
        <v>427</v>
      </c>
      <c r="E123" s="29" t="s">
        <v>574</v>
      </c>
      <c r="F123" s="29" t="s">
        <v>996</v>
      </c>
      <c r="G123" s="49">
        <v>45418</v>
      </c>
      <c r="H123" s="49">
        <v>45439</v>
      </c>
      <c r="I123" s="29" t="s">
        <v>36</v>
      </c>
      <c r="J123" s="68" t="s">
        <v>13</v>
      </c>
      <c r="K123" s="24" t="s">
        <v>55</v>
      </c>
      <c r="L123" s="49">
        <v>45425</v>
      </c>
      <c r="M123" s="49">
        <v>45439</v>
      </c>
      <c r="N123" s="25">
        <f t="shared" si="5"/>
        <v>14</v>
      </c>
      <c r="O123" s="29"/>
      <c r="P123" t="s">
        <v>88</v>
      </c>
      <c r="Q123" t="s">
        <v>88</v>
      </c>
      <c r="R123" t="s">
        <v>88</v>
      </c>
      <c r="S123" t="s">
        <v>88</v>
      </c>
      <c r="T123" t="s">
        <v>88</v>
      </c>
      <c r="U123" t="s">
        <v>20</v>
      </c>
    </row>
    <row r="124" spans="1:21" x14ac:dyDescent="0.45">
      <c r="A124" s="79">
        <v>841730</v>
      </c>
      <c r="B124" s="72" t="str">
        <f t="shared" si="3"/>
        <v>84.173.0-</v>
      </c>
      <c r="C124" s="73" t="s">
        <v>16</v>
      </c>
      <c r="D124" s="29" t="s">
        <v>422</v>
      </c>
      <c r="E124" s="29" t="s">
        <v>252</v>
      </c>
      <c r="F124" s="29" t="s">
        <v>948</v>
      </c>
      <c r="G124" s="49">
        <v>45425</v>
      </c>
      <c r="H124" s="49">
        <v>45441</v>
      </c>
      <c r="I124" s="29" t="s">
        <v>36</v>
      </c>
      <c r="J124" s="68" t="s">
        <v>13</v>
      </c>
      <c r="K124" s="24" t="s">
        <v>55</v>
      </c>
      <c r="L124" s="49">
        <v>45425</v>
      </c>
      <c r="M124" s="49">
        <v>45441</v>
      </c>
      <c r="N124" s="25">
        <f t="shared" si="5"/>
        <v>16</v>
      </c>
      <c r="O124" s="29"/>
      <c r="P124" t="s">
        <v>88</v>
      </c>
      <c r="Q124" t="s">
        <v>88</v>
      </c>
      <c r="R124" t="s">
        <v>88</v>
      </c>
      <c r="S124" t="s">
        <v>88</v>
      </c>
      <c r="T124" t="s">
        <v>88</v>
      </c>
      <c r="U124" t="s">
        <v>20</v>
      </c>
    </row>
    <row r="125" spans="1:21" x14ac:dyDescent="0.45">
      <c r="A125" s="79">
        <v>841730</v>
      </c>
      <c r="B125" s="72" t="str">
        <f t="shared" si="3"/>
        <v>84.173.0-</v>
      </c>
      <c r="C125" s="73" t="s">
        <v>16</v>
      </c>
      <c r="D125" s="29" t="s">
        <v>422</v>
      </c>
      <c r="E125" s="29" t="s">
        <v>252</v>
      </c>
      <c r="F125" s="29" t="s">
        <v>948</v>
      </c>
      <c r="G125" s="49">
        <v>45425</v>
      </c>
      <c r="H125" s="49">
        <v>45441</v>
      </c>
      <c r="I125" s="29" t="s">
        <v>36</v>
      </c>
      <c r="J125" s="68" t="s">
        <v>13</v>
      </c>
      <c r="K125" s="24" t="s">
        <v>39</v>
      </c>
      <c r="L125" s="49">
        <v>45425</v>
      </c>
      <c r="M125" s="49">
        <v>45441</v>
      </c>
      <c r="N125" s="25">
        <f t="shared" si="5"/>
        <v>16</v>
      </c>
      <c r="O125" s="29"/>
      <c r="P125" t="s">
        <v>88</v>
      </c>
      <c r="Q125" t="s">
        <v>88</v>
      </c>
      <c r="R125" t="s">
        <v>88</v>
      </c>
      <c r="S125" t="s">
        <v>88</v>
      </c>
      <c r="T125" t="s">
        <v>88</v>
      </c>
      <c r="U125" t="s">
        <v>20</v>
      </c>
    </row>
    <row r="126" spans="1:21" x14ac:dyDescent="0.45">
      <c r="A126" s="79" t="s">
        <v>997</v>
      </c>
      <c r="B126" s="72" t="str">
        <f t="shared" si="3"/>
        <v>12.187.718-K</v>
      </c>
      <c r="C126" s="73" t="s">
        <v>22</v>
      </c>
      <c r="D126" s="29" t="s">
        <v>998</v>
      </c>
      <c r="E126" s="29" t="s">
        <v>493</v>
      </c>
      <c r="F126" s="29" t="s">
        <v>939</v>
      </c>
      <c r="G126" s="49">
        <v>45422</v>
      </c>
      <c r="H126" s="49">
        <v>45425</v>
      </c>
      <c r="I126" s="29" t="s">
        <v>54</v>
      </c>
      <c r="J126" s="68" t="s">
        <v>22</v>
      </c>
      <c r="K126" s="24" t="s">
        <v>43</v>
      </c>
      <c r="L126" s="49">
        <v>45415</v>
      </c>
      <c r="M126" s="49">
        <v>45425</v>
      </c>
      <c r="N126" s="25">
        <f t="shared" si="5"/>
        <v>10</v>
      </c>
      <c r="O126" s="29"/>
      <c r="P126" t="s">
        <v>88</v>
      </c>
      <c r="Q126" t="s">
        <v>88</v>
      </c>
      <c r="R126" t="s">
        <v>88</v>
      </c>
      <c r="S126" t="s">
        <v>88</v>
      </c>
      <c r="T126" t="s">
        <v>88</v>
      </c>
      <c r="U126" t="s">
        <v>20</v>
      </c>
    </row>
    <row r="127" spans="1:21" x14ac:dyDescent="0.45">
      <c r="A127" s="79" t="s">
        <v>997</v>
      </c>
      <c r="B127" s="72" t="str">
        <f t="shared" si="3"/>
        <v>12.187.718-K</v>
      </c>
      <c r="C127" s="73" t="s">
        <v>22</v>
      </c>
      <c r="D127" s="29" t="s">
        <v>998</v>
      </c>
      <c r="E127" s="29" t="s">
        <v>493</v>
      </c>
      <c r="F127" s="29" t="s">
        <v>939</v>
      </c>
      <c r="G127" s="49">
        <v>45422</v>
      </c>
      <c r="H127" s="49">
        <v>45425</v>
      </c>
      <c r="I127" s="29" t="s">
        <v>54</v>
      </c>
      <c r="J127" s="68" t="s">
        <v>22</v>
      </c>
      <c r="K127" s="24" t="s">
        <v>47</v>
      </c>
      <c r="L127" s="49">
        <v>45423</v>
      </c>
      <c r="M127" s="49">
        <v>45425</v>
      </c>
      <c r="N127" s="25">
        <f t="shared" si="5"/>
        <v>2</v>
      </c>
      <c r="O127" s="29"/>
      <c r="P127" t="s">
        <v>88</v>
      </c>
      <c r="Q127" t="s">
        <v>88</v>
      </c>
      <c r="R127" t="s">
        <v>88</v>
      </c>
      <c r="S127" t="s">
        <v>88</v>
      </c>
      <c r="T127" t="s">
        <v>88</v>
      </c>
      <c r="U127" t="s">
        <v>20</v>
      </c>
    </row>
    <row r="128" spans="1:21" x14ac:dyDescent="0.45">
      <c r="A128" s="79">
        <v>88914104</v>
      </c>
      <c r="B128" s="72" t="str">
        <f t="shared" si="3"/>
        <v>8.891.410-4</v>
      </c>
      <c r="C128" s="73" t="s">
        <v>22</v>
      </c>
      <c r="D128" s="29" t="s">
        <v>978</v>
      </c>
      <c r="E128" s="29" t="s">
        <v>978</v>
      </c>
      <c r="F128" s="29" t="s">
        <v>287</v>
      </c>
      <c r="G128" s="49">
        <v>45424</v>
      </c>
      <c r="H128" s="49">
        <v>45435</v>
      </c>
      <c r="I128" s="29" t="s">
        <v>54</v>
      </c>
      <c r="J128" s="68" t="s">
        <v>13</v>
      </c>
      <c r="K128" s="24" t="s">
        <v>43</v>
      </c>
      <c r="L128" s="49">
        <v>45424</v>
      </c>
      <c r="M128" s="49">
        <v>45435</v>
      </c>
      <c r="N128" s="25">
        <f t="shared" si="5"/>
        <v>11</v>
      </c>
      <c r="O128" s="29"/>
      <c r="P128" t="s">
        <v>88</v>
      </c>
      <c r="Q128" t="s">
        <v>88</v>
      </c>
      <c r="R128" t="s">
        <v>88</v>
      </c>
      <c r="S128" t="s">
        <v>88</v>
      </c>
      <c r="T128" t="s">
        <v>88</v>
      </c>
      <c r="U128" t="s">
        <v>20</v>
      </c>
    </row>
    <row r="129" spans="1:21" x14ac:dyDescent="0.45">
      <c r="A129" s="79">
        <v>88914104</v>
      </c>
      <c r="B129" s="72" t="str">
        <f t="shared" si="3"/>
        <v>8.891.410-4</v>
      </c>
      <c r="C129" s="73" t="s">
        <v>22</v>
      </c>
      <c r="D129" s="29" t="s">
        <v>978</v>
      </c>
      <c r="E129" s="29" t="s">
        <v>978</v>
      </c>
      <c r="F129" s="29" t="s">
        <v>287</v>
      </c>
      <c r="G129" s="49">
        <v>45424</v>
      </c>
      <c r="H129" s="49">
        <v>45435</v>
      </c>
      <c r="I129" s="29" t="s">
        <v>54</v>
      </c>
      <c r="J129" s="68" t="s">
        <v>13</v>
      </c>
      <c r="K129" s="24" t="s">
        <v>47</v>
      </c>
      <c r="L129" s="49">
        <v>45424</v>
      </c>
      <c r="M129" s="49">
        <v>45435</v>
      </c>
      <c r="N129" s="25">
        <f t="shared" si="5"/>
        <v>11</v>
      </c>
      <c r="O129" s="29"/>
      <c r="P129" t="s">
        <v>88</v>
      </c>
      <c r="Q129" t="s">
        <v>88</v>
      </c>
      <c r="R129" t="s">
        <v>88</v>
      </c>
      <c r="S129" t="s">
        <v>88</v>
      </c>
      <c r="T129" t="s">
        <v>88</v>
      </c>
      <c r="U129" t="s">
        <v>20</v>
      </c>
    </row>
    <row r="130" spans="1:21" x14ac:dyDescent="0.45">
      <c r="A130" s="79">
        <v>140304247</v>
      </c>
      <c r="B130" s="72" t="str">
        <f t="shared" si="3"/>
        <v>14.030.424-7</v>
      </c>
      <c r="C130" s="73" t="s">
        <v>22</v>
      </c>
      <c r="D130" s="29" t="s">
        <v>561</v>
      </c>
      <c r="E130" s="29" t="s">
        <v>999</v>
      </c>
      <c r="F130" s="29" t="s">
        <v>1000</v>
      </c>
      <c r="G130" s="49">
        <v>45423</v>
      </c>
      <c r="H130" s="49">
        <v>45425</v>
      </c>
      <c r="I130" s="29" t="s">
        <v>36</v>
      </c>
      <c r="J130" s="68" t="s">
        <v>36</v>
      </c>
      <c r="K130" s="24" t="s">
        <v>43</v>
      </c>
      <c r="L130" s="49">
        <v>45424</v>
      </c>
      <c r="M130" s="49">
        <v>45425</v>
      </c>
      <c r="N130" s="25">
        <f t="shared" si="5"/>
        <v>1</v>
      </c>
      <c r="O130" s="29"/>
      <c r="P130" t="s">
        <v>88</v>
      </c>
      <c r="Q130" t="s">
        <v>88</v>
      </c>
      <c r="R130" t="s">
        <v>88</v>
      </c>
      <c r="S130" t="s">
        <v>88</v>
      </c>
      <c r="T130" t="s">
        <v>88</v>
      </c>
      <c r="U130" t="s">
        <v>20</v>
      </c>
    </row>
    <row r="131" spans="1:21" x14ac:dyDescent="0.45">
      <c r="A131" s="79">
        <v>140304247</v>
      </c>
      <c r="B131" s="72" t="str">
        <f t="shared" si="3"/>
        <v>14.030.424-7</v>
      </c>
      <c r="C131" s="73" t="s">
        <v>22</v>
      </c>
      <c r="D131" s="29" t="s">
        <v>561</v>
      </c>
      <c r="E131" s="29" t="s">
        <v>999</v>
      </c>
      <c r="F131" s="29" t="s">
        <v>1000</v>
      </c>
      <c r="G131" s="49">
        <v>45423</v>
      </c>
      <c r="H131" s="49">
        <v>45425</v>
      </c>
      <c r="I131" s="29" t="s">
        <v>36</v>
      </c>
      <c r="J131" s="68" t="s">
        <v>36</v>
      </c>
      <c r="K131" s="24" t="s">
        <v>47</v>
      </c>
      <c r="L131" s="49">
        <v>45423</v>
      </c>
      <c r="M131" s="49">
        <v>45425</v>
      </c>
      <c r="N131" s="25">
        <f t="shared" si="5"/>
        <v>2</v>
      </c>
      <c r="O131" s="29"/>
      <c r="P131" t="s">
        <v>88</v>
      </c>
      <c r="Q131" t="s">
        <v>88</v>
      </c>
      <c r="R131" t="s">
        <v>88</v>
      </c>
      <c r="S131" t="s">
        <v>88</v>
      </c>
      <c r="T131" t="s">
        <v>88</v>
      </c>
      <c r="U131" t="s">
        <v>20</v>
      </c>
    </row>
    <row r="132" spans="1:21" x14ac:dyDescent="0.45">
      <c r="A132" s="79">
        <v>415435827</v>
      </c>
      <c r="B132" s="72" t="str">
        <f t="shared" si="3"/>
        <v>41.543.582-7</v>
      </c>
      <c r="C132" s="73" t="s">
        <v>22</v>
      </c>
      <c r="D132" s="29" t="s">
        <v>1001</v>
      </c>
      <c r="E132" s="29" t="s">
        <v>1002</v>
      </c>
      <c r="F132" s="29" t="s">
        <v>250</v>
      </c>
      <c r="G132" s="49">
        <v>45424</v>
      </c>
      <c r="H132" s="49">
        <v>45436</v>
      </c>
      <c r="I132" s="29" t="s">
        <v>22</v>
      </c>
      <c r="J132" s="68" t="s">
        <v>13</v>
      </c>
      <c r="K132" s="24" t="s">
        <v>43</v>
      </c>
      <c r="L132" s="49">
        <v>45413</v>
      </c>
      <c r="M132" s="49">
        <v>45436</v>
      </c>
      <c r="N132" s="25">
        <f t="shared" si="5"/>
        <v>23</v>
      </c>
      <c r="O132" s="29"/>
      <c r="P132" t="s">
        <v>88</v>
      </c>
      <c r="Q132" t="s">
        <v>88</v>
      </c>
      <c r="R132" t="s">
        <v>88</v>
      </c>
      <c r="S132" t="s">
        <v>88</v>
      </c>
      <c r="T132" t="s">
        <v>88</v>
      </c>
      <c r="U132" t="s">
        <v>20</v>
      </c>
    </row>
    <row r="133" spans="1:21" x14ac:dyDescent="0.45">
      <c r="A133" s="79">
        <v>415435827</v>
      </c>
      <c r="B133" s="72" t="str">
        <f t="shared" si="3"/>
        <v>41.543.582-7</v>
      </c>
      <c r="C133" s="73" t="s">
        <v>22</v>
      </c>
      <c r="D133" s="29" t="s">
        <v>1001</v>
      </c>
      <c r="E133" s="29" t="s">
        <v>1002</v>
      </c>
      <c r="F133" s="29" t="s">
        <v>250</v>
      </c>
      <c r="G133" s="49">
        <v>45424</v>
      </c>
      <c r="H133" s="49">
        <v>45436</v>
      </c>
      <c r="I133" s="29" t="s">
        <v>22</v>
      </c>
      <c r="J133" s="68" t="s">
        <v>13</v>
      </c>
      <c r="K133" s="24" t="s">
        <v>47</v>
      </c>
      <c r="L133" s="49">
        <v>45416</v>
      </c>
      <c r="M133" s="49">
        <v>45436</v>
      </c>
      <c r="N133" s="25">
        <f t="shared" si="5"/>
        <v>20</v>
      </c>
      <c r="O133" s="29"/>
      <c r="P133" t="s">
        <v>88</v>
      </c>
      <c r="Q133" t="s">
        <v>88</v>
      </c>
      <c r="R133" t="s">
        <v>88</v>
      </c>
      <c r="S133" t="s">
        <v>88</v>
      </c>
      <c r="T133" t="s">
        <v>88</v>
      </c>
      <c r="U133" t="s">
        <v>20</v>
      </c>
    </row>
    <row r="134" spans="1:21" x14ac:dyDescent="0.45">
      <c r="A134" s="79">
        <v>277501171</v>
      </c>
      <c r="B134" s="72" t="str">
        <f t="shared" si="3"/>
        <v>27.750.117-1</v>
      </c>
      <c r="C134" s="73" t="s">
        <v>22</v>
      </c>
      <c r="D134" s="29" t="s">
        <v>1003</v>
      </c>
      <c r="E134" s="29" t="s">
        <v>1004</v>
      </c>
      <c r="F134" s="29" t="s">
        <v>601</v>
      </c>
      <c r="G134" s="49">
        <v>45422</v>
      </c>
      <c r="H134" s="49">
        <v>45429</v>
      </c>
      <c r="I134" s="29" t="s">
        <v>30</v>
      </c>
      <c r="J134" s="68" t="s">
        <v>13</v>
      </c>
      <c r="K134" s="24" t="s">
        <v>43</v>
      </c>
      <c r="L134" s="49">
        <v>45421</v>
      </c>
      <c r="M134" s="49">
        <v>45429</v>
      </c>
      <c r="N134" s="25">
        <f t="shared" si="5"/>
        <v>8</v>
      </c>
      <c r="O134" s="29"/>
      <c r="P134" t="s">
        <v>88</v>
      </c>
      <c r="Q134" t="s">
        <v>88</v>
      </c>
      <c r="R134" t="s">
        <v>88</v>
      </c>
      <c r="S134" t="s">
        <v>88</v>
      </c>
      <c r="T134" t="s">
        <v>88</v>
      </c>
      <c r="U134" t="s">
        <v>20</v>
      </c>
    </row>
    <row r="135" spans="1:21" x14ac:dyDescent="0.45">
      <c r="A135" s="79">
        <v>277501171</v>
      </c>
      <c r="B135" s="72" t="str">
        <f t="shared" si="3"/>
        <v>27.750.117-1</v>
      </c>
      <c r="C135" s="73" t="s">
        <v>22</v>
      </c>
      <c r="D135" s="29" t="s">
        <v>1003</v>
      </c>
      <c r="E135" s="29" t="s">
        <v>1004</v>
      </c>
      <c r="F135" s="29" t="s">
        <v>601</v>
      </c>
      <c r="G135" s="49">
        <v>45422</v>
      </c>
      <c r="H135" s="49">
        <v>45429</v>
      </c>
      <c r="I135" s="29" t="s">
        <v>30</v>
      </c>
      <c r="J135" s="68" t="s">
        <v>13</v>
      </c>
      <c r="K135" s="24" t="s">
        <v>47</v>
      </c>
      <c r="L135" s="49">
        <v>45421</v>
      </c>
      <c r="M135" s="49">
        <v>45429</v>
      </c>
      <c r="N135" s="25">
        <f t="shared" si="5"/>
        <v>8</v>
      </c>
      <c r="O135" s="29"/>
      <c r="P135" t="s">
        <v>88</v>
      </c>
      <c r="Q135" t="s">
        <v>88</v>
      </c>
      <c r="R135" t="s">
        <v>88</v>
      </c>
      <c r="S135" t="s">
        <v>88</v>
      </c>
      <c r="T135" t="s">
        <v>88</v>
      </c>
      <c r="U135" t="s">
        <v>20</v>
      </c>
    </row>
    <row r="136" spans="1:21" x14ac:dyDescent="0.45">
      <c r="A136" s="79">
        <v>40557571</v>
      </c>
      <c r="B136" s="72" t="str">
        <f t="shared" ref="B136:B199" si="6">IF(LEN(A136)=8,MID(A136,1,1)&amp;"."&amp;MID(A136,2,3)&amp;"."&amp;MID(A136,5,3)&amp;"-"&amp;RIGHT(A136,1),IF(LEFT(RIGHT(A136,2),1)="-",MID(A136,1,1)&amp;"."&amp;MID(A136,2,3)&amp;"."&amp;MID(A136,5,3)&amp;"-"&amp;RIGHT(A136,1),MID(A136,1,2)&amp;"."&amp;MID(A136,3,3)&amp;"."&amp;MID(A136,6,3)&amp;"-"&amp;MID(A136,9,1)))</f>
        <v>4.055.757-1</v>
      </c>
      <c r="C136" s="73" t="s">
        <v>22</v>
      </c>
      <c r="D136" s="29" t="s">
        <v>282</v>
      </c>
      <c r="E136" s="29" t="s">
        <v>993</v>
      </c>
      <c r="F136" s="29" t="s">
        <v>798</v>
      </c>
      <c r="G136" s="49">
        <v>45422</v>
      </c>
      <c r="H136" s="49">
        <v>45427</v>
      </c>
      <c r="I136" s="29" t="s">
        <v>22</v>
      </c>
      <c r="J136" s="68" t="s">
        <v>13</v>
      </c>
      <c r="K136" s="24" t="s">
        <v>43</v>
      </c>
      <c r="L136" s="49">
        <v>45423</v>
      </c>
      <c r="M136" s="49">
        <v>45427</v>
      </c>
      <c r="N136" s="25">
        <f t="shared" ref="N136:N161" si="7">+M136-L136</f>
        <v>4</v>
      </c>
      <c r="O136" s="29"/>
      <c r="P136" t="s">
        <v>88</v>
      </c>
      <c r="Q136" t="s">
        <v>88</v>
      </c>
      <c r="R136" t="s">
        <v>88</v>
      </c>
      <c r="S136" t="s">
        <v>88</v>
      </c>
      <c r="T136" t="s">
        <v>88</v>
      </c>
      <c r="U136" t="s">
        <v>20</v>
      </c>
    </row>
    <row r="137" spans="1:21" x14ac:dyDescent="0.45">
      <c r="A137" s="79" t="s">
        <v>1005</v>
      </c>
      <c r="B137" s="72" t="str">
        <f t="shared" si="6"/>
        <v>14.209.391-K</v>
      </c>
      <c r="C137" s="73" t="s">
        <v>22</v>
      </c>
      <c r="D137" s="29" t="s">
        <v>1006</v>
      </c>
      <c r="E137" s="29" t="s">
        <v>1007</v>
      </c>
      <c r="F137" s="29" t="s">
        <v>1008</v>
      </c>
      <c r="G137" s="49">
        <v>45422</v>
      </c>
      <c r="H137" s="49">
        <v>45443</v>
      </c>
      <c r="I137" s="29" t="s">
        <v>22</v>
      </c>
      <c r="J137" s="68" t="s">
        <v>65</v>
      </c>
      <c r="K137" s="24" t="s">
        <v>43</v>
      </c>
      <c r="L137" s="49">
        <v>45413</v>
      </c>
      <c r="M137" s="49">
        <v>45443</v>
      </c>
      <c r="N137" s="25">
        <f t="shared" si="7"/>
        <v>30</v>
      </c>
      <c r="O137" s="29"/>
      <c r="P137" t="s">
        <v>88</v>
      </c>
      <c r="Q137" t="s">
        <v>88</v>
      </c>
      <c r="R137" t="s">
        <v>88</v>
      </c>
      <c r="S137" t="s">
        <v>88</v>
      </c>
      <c r="T137" t="s">
        <v>88</v>
      </c>
      <c r="U137" t="s">
        <v>20</v>
      </c>
    </row>
    <row r="138" spans="1:21" x14ac:dyDescent="0.45">
      <c r="A138" s="79" t="s">
        <v>1005</v>
      </c>
      <c r="B138" s="72" t="str">
        <f t="shared" si="6"/>
        <v>14.209.391-K</v>
      </c>
      <c r="C138" s="73" t="s">
        <v>22</v>
      </c>
      <c r="D138" s="29" t="s">
        <v>1006</v>
      </c>
      <c r="E138" s="29" t="s">
        <v>1007</v>
      </c>
      <c r="F138" s="29" t="s">
        <v>1008</v>
      </c>
      <c r="G138" s="49">
        <v>45422</v>
      </c>
      <c r="H138" s="49">
        <v>45443</v>
      </c>
      <c r="I138" s="29" t="s">
        <v>22</v>
      </c>
      <c r="J138" s="68" t="s">
        <v>65</v>
      </c>
      <c r="K138" s="24" t="s">
        <v>55</v>
      </c>
      <c r="L138" s="49">
        <v>45413</v>
      </c>
      <c r="M138" s="49">
        <v>45443</v>
      </c>
      <c r="N138" s="25">
        <f t="shared" si="7"/>
        <v>30</v>
      </c>
      <c r="O138" s="29"/>
      <c r="P138" t="s">
        <v>88</v>
      </c>
      <c r="Q138" t="s">
        <v>88</v>
      </c>
      <c r="R138" t="s">
        <v>88</v>
      </c>
      <c r="S138" t="s">
        <v>88</v>
      </c>
      <c r="T138" t="s">
        <v>88</v>
      </c>
      <c r="U138" t="s">
        <v>20</v>
      </c>
    </row>
    <row r="139" spans="1:21" x14ac:dyDescent="0.45">
      <c r="A139" s="79">
        <v>143560864</v>
      </c>
      <c r="B139" s="72" t="str">
        <f t="shared" si="6"/>
        <v>14.356.086-4</v>
      </c>
      <c r="C139" s="73" t="s">
        <v>38</v>
      </c>
      <c r="D139" s="29" t="s">
        <v>352</v>
      </c>
      <c r="E139" s="29" t="s">
        <v>240</v>
      </c>
      <c r="F139" s="29" t="s">
        <v>351</v>
      </c>
      <c r="G139" s="49">
        <v>45425</v>
      </c>
      <c r="H139" s="49">
        <v>45436</v>
      </c>
      <c r="I139" s="29" t="s">
        <v>24</v>
      </c>
      <c r="J139" s="68" t="s">
        <v>13</v>
      </c>
      <c r="K139" s="24" t="s">
        <v>43</v>
      </c>
      <c r="L139" s="49">
        <v>45424</v>
      </c>
      <c r="M139" s="49">
        <v>45443</v>
      </c>
      <c r="N139" s="25">
        <f t="shared" si="7"/>
        <v>19</v>
      </c>
      <c r="O139" s="29"/>
      <c r="P139" t="s">
        <v>88</v>
      </c>
      <c r="Q139" t="s">
        <v>88</v>
      </c>
      <c r="R139" t="s">
        <v>88</v>
      </c>
      <c r="S139" t="s">
        <v>88</v>
      </c>
      <c r="T139" t="s">
        <v>88</v>
      </c>
      <c r="U139" t="s">
        <v>20</v>
      </c>
    </row>
    <row r="140" spans="1:21" x14ac:dyDescent="0.45">
      <c r="A140" s="79">
        <v>143560864</v>
      </c>
      <c r="B140" s="72" t="str">
        <f t="shared" si="6"/>
        <v>14.356.086-4</v>
      </c>
      <c r="C140" s="73" t="s">
        <v>38</v>
      </c>
      <c r="D140" s="29" t="s">
        <v>352</v>
      </c>
      <c r="E140" s="29" t="s">
        <v>240</v>
      </c>
      <c r="F140" s="29" t="s">
        <v>351</v>
      </c>
      <c r="G140" s="49">
        <v>45425</v>
      </c>
      <c r="H140" s="49">
        <v>45436</v>
      </c>
      <c r="I140" s="29" t="s">
        <v>24</v>
      </c>
      <c r="J140" s="68" t="s">
        <v>13</v>
      </c>
      <c r="K140" s="24" t="s">
        <v>47</v>
      </c>
      <c r="L140" s="49">
        <v>45424</v>
      </c>
      <c r="M140" s="49">
        <v>45443</v>
      </c>
      <c r="N140" s="29">
        <f t="shared" si="7"/>
        <v>19</v>
      </c>
      <c r="O140" s="29"/>
      <c r="P140" t="s">
        <v>88</v>
      </c>
      <c r="Q140" t="s">
        <v>88</v>
      </c>
      <c r="R140" t="s">
        <v>88</v>
      </c>
      <c r="S140" t="s">
        <v>88</v>
      </c>
      <c r="T140" t="s">
        <v>88</v>
      </c>
      <c r="U140" t="s">
        <v>20</v>
      </c>
    </row>
    <row r="141" spans="1:21" x14ac:dyDescent="0.45">
      <c r="A141" s="79">
        <v>49381646</v>
      </c>
      <c r="B141" s="72" t="str">
        <f t="shared" si="6"/>
        <v>4.938.164-6</v>
      </c>
      <c r="C141" s="73" t="s">
        <v>38</v>
      </c>
      <c r="D141" s="29" t="s">
        <v>1003</v>
      </c>
      <c r="E141" s="29" t="s">
        <v>670</v>
      </c>
      <c r="F141" s="29" t="s">
        <v>1009</v>
      </c>
      <c r="G141" s="49">
        <v>45421</v>
      </c>
      <c r="H141" s="49">
        <v>45428</v>
      </c>
      <c r="I141" s="29" t="s">
        <v>54</v>
      </c>
      <c r="J141" s="68" t="s">
        <v>24</v>
      </c>
      <c r="K141" s="24" t="s">
        <v>47</v>
      </c>
      <c r="L141" s="49">
        <v>45421</v>
      </c>
      <c r="M141" s="49">
        <v>45428</v>
      </c>
      <c r="N141" s="25">
        <f t="shared" si="7"/>
        <v>7</v>
      </c>
      <c r="O141" s="29"/>
      <c r="P141" t="s">
        <v>88</v>
      </c>
      <c r="Q141" t="s">
        <v>88</v>
      </c>
      <c r="R141" t="s">
        <v>88</v>
      </c>
      <c r="S141" t="s">
        <v>88</v>
      </c>
      <c r="T141" t="s">
        <v>88</v>
      </c>
      <c r="U141" t="s">
        <v>20</v>
      </c>
    </row>
    <row r="142" spans="1:21" x14ac:dyDescent="0.45">
      <c r="A142" s="79">
        <v>49381646</v>
      </c>
      <c r="B142" s="72" t="str">
        <f t="shared" si="6"/>
        <v>4.938.164-6</v>
      </c>
      <c r="C142" s="73" t="s">
        <v>38</v>
      </c>
      <c r="D142" s="29" t="s">
        <v>1003</v>
      </c>
      <c r="E142" s="29" t="s">
        <v>670</v>
      </c>
      <c r="F142" s="29" t="s">
        <v>1009</v>
      </c>
      <c r="G142" s="49">
        <v>45421</v>
      </c>
      <c r="H142" s="49">
        <v>45428</v>
      </c>
      <c r="I142" s="29" t="s">
        <v>54</v>
      </c>
      <c r="J142" s="68" t="s">
        <v>24</v>
      </c>
      <c r="K142" s="24" t="s">
        <v>43</v>
      </c>
      <c r="L142" s="49">
        <v>45421</v>
      </c>
      <c r="M142" s="49">
        <v>45428</v>
      </c>
      <c r="N142" s="25">
        <f t="shared" si="7"/>
        <v>7</v>
      </c>
      <c r="O142" s="29"/>
      <c r="P142" t="s">
        <v>88</v>
      </c>
      <c r="Q142" t="s">
        <v>88</v>
      </c>
      <c r="R142" t="s">
        <v>88</v>
      </c>
      <c r="S142" t="s">
        <v>88</v>
      </c>
      <c r="T142" t="s">
        <v>88</v>
      </c>
      <c r="U142" t="s">
        <v>20</v>
      </c>
    </row>
    <row r="143" spans="1:21" x14ac:dyDescent="0.45">
      <c r="A143" s="79">
        <v>86007479</v>
      </c>
      <c r="B143" s="72" t="str">
        <f t="shared" si="6"/>
        <v>8.600.747-9</v>
      </c>
      <c r="C143" s="73" t="s">
        <v>38</v>
      </c>
      <c r="D143" s="29" t="s">
        <v>282</v>
      </c>
      <c r="E143" s="29" t="s">
        <v>339</v>
      </c>
      <c r="F143" s="29" t="s">
        <v>271</v>
      </c>
      <c r="G143" s="49">
        <v>45419</v>
      </c>
      <c r="H143" s="49">
        <v>45443</v>
      </c>
      <c r="I143" s="29" t="s">
        <v>66</v>
      </c>
      <c r="J143" s="68"/>
      <c r="K143" s="24" t="s">
        <v>43</v>
      </c>
      <c r="L143" s="49">
        <v>45420</v>
      </c>
      <c r="M143" s="49">
        <v>45443</v>
      </c>
      <c r="N143" s="25">
        <f t="shared" si="7"/>
        <v>23</v>
      </c>
      <c r="O143" s="29" t="s">
        <v>14</v>
      </c>
      <c r="P143" t="s">
        <v>88</v>
      </c>
      <c r="Q143" t="s">
        <v>88</v>
      </c>
      <c r="R143" t="s">
        <v>88</v>
      </c>
      <c r="S143" t="s">
        <v>88</v>
      </c>
      <c r="T143" t="s">
        <v>88</v>
      </c>
      <c r="U143" t="s">
        <v>20</v>
      </c>
    </row>
    <row r="144" spans="1:21" x14ac:dyDescent="0.45">
      <c r="A144" s="79">
        <v>119857244</v>
      </c>
      <c r="B144" s="72" t="str">
        <f t="shared" si="6"/>
        <v>11.985.724-4</v>
      </c>
      <c r="C144" s="73" t="s">
        <v>38</v>
      </c>
      <c r="D144" s="29" t="s">
        <v>1010</v>
      </c>
      <c r="E144" s="29" t="s">
        <v>851</v>
      </c>
      <c r="F144" s="29" t="s">
        <v>489</v>
      </c>
      <c r="G144" s="49">
        <v>45425</v>
      </c>
      <c r="H144" s="49">
        <v>45426</v>
      </c>
      <c r="I144" s="29" t="s">
        <v>54</v>
      </c>
      <c r="J144" s="68" t="s">
        <v>26</v>
      </c>
      <c r="K144" s="24" t="s">
        <v>47</v>
      </c>
      <c r="L144" s="49">
        <v>45424</v>
      </c>
      <c r="M144" s="49">
        <v>45443</v>
      </c>
      <c r="N144" s="25">
        <f t="shared" si="7"/>
        <v>19</v>
      </c>
      <c r="O144" s="29"/>
      <c r="P144" t="s">
        <v>88</v>
      </c>
      <c r="Q144" t="s">
        <v>88</v>
      </c>
      <c r="R144" t="s">
        <v>88</v>
      </c>
      <c r="S144" t="s">
        <v>88</v>
      </c>
      <c r="T144" t="s">
        <v>88</v>
      </c>
      <c r="U144" t="s">
        <v>20</v>
      </c>
    </row>
    <row r="145" spans="1:21" x14ac:dyDescent="0.45">
      <c r="A145" s="79">
        <v>87561798</v>
      </c>
      <c r="B145" s="72" t="str">
        <f t="shared" si="6"/>
        <v>8.756.179-8</v>
      </c>
      <c r="C145" s="73" t="s">
        <v>38</v>
      </c>
      <c r="D145" s="29" t="s">
        <v>561</v>
      </c>
      <c r="E145" s="29" t="s">
        <v>295</v>
      </c>
      <c r="F145" s="29" t="s">
        <v>362</v>
      </c>
      <c r="G145" s="49">
        <v>45411</v>
      </c>
      <c r="H145" s="49">
        <v>45432</v>
      </c>
      <c r="I145" s="29" t="s">
        <v>24</v>
      </c>
      <c r="J145" s="68" t="s">
        <v>24</v>
      </c>
      <c r="K145" s="24" t="s">
        <v>43</v>
      </c>
      <c r="L145" s="49">
        <v>45424</v>
      </c>
      <c r="M145" s="49">
        <v>45432</v>
      </c>
      <c r="N145" s="25">
        <f t="shared" si="7"/>
        <v>8</v>
      </c>
      <c r="O145" s="29"/>
      <c r="P145" t="s">
        <v>88</v>
      </c>
      <c r="Q145" t="s">
        <v>88</v>
      </c>
      <c r="R145" t="s">
        <v>88</v>
      </c>
      <c r="S145" t="s">
        <v>88</v>
      </c>
      <c r="T145" t="s">
        <v>88</v>
      </c>
      <c r="U145" t="s">
        <v>20</v>
      </c>
    </row>
    <row r="146" spans="1:21" x14ac:dyDescent="0.45">
      <c r="A146" s="79">
        <v>109596876</v>
      </c>
      <c r="B146" s="72" t="str">
        <f t="shared" si="6"/>
        <v>10.959.687-6</v>
      </c>
      <c r="C146" s="73" t="s">
        <v>38</v>
      </c>
      <c r="D146" s="29" t="s">
        <v>1011</v>
      </c>
      <c r="E146" s="29" t="s">
        <v>267</v>
      </c>
      <c r="F146" s="29" t="s">
        <v>308</v>
      </c>
      <c r="G146" s="49">
        <v>45422</v>
      </c>
      <c r="H146" s="49">
        <v>45439</v>
      </c>
      <c r="I146" s="29" t="s">
        <v>24</v>
      </c>
      <c r="J146" s="68" t="s">
        <v>13</v>
      </c>
      <c r="K146" s="24" t="s">
        <v>43</v>
      </c>
      <c r="L146" s="49">
        <v>45421</v>
      </c>
      <c r="M146" s="49">
        <v>45439</v>
      </c>
      <c r="N146" s="25">
        <f t="shared" si="7"/>
        <v>18</v>
      </c>
      <c r="O146" s="29"/>
      <c r="P146" t="s">
        <v>88</v>
      </c>
      <c r="Q146" t="s">
        <v>88</v>
      </c>
      <c r="R146" t="s">
        <v>88</v>
      </c>
      <c r="S146" t="s">
        <v>88</v>
      </c>
      <c r="T146" t="s">
        <v>88</v>
      </c>
      <c r="U146" t="s">
        <v>20</v>
      </c>
    </row>
    <row r="147" spans="1:21" x14ac:dyDescent="0.45">
      <c r="A147" s="79">
        <v>109596876</v>
      </c>
      <c r="B147" s="72" t="str">
        <f t="shared" si="6"/>
        <v>10.959.687-6</v>
      </c>
      <c r="C147" s="73" t="s">
        <v>38</v>
      </c>
      <c r="D147" s="29" t="s">
        <v>1011</v>
      </c>
      <c r="E147" s="29" t="s">
        <v>267</v>
      </c>
      <c r="F147" s="29" t="s">
        <v>308</v>
      </c>
      <c r="G147" s="49">
        <v>45422</v>
      </c>
      <c r="H147" s="49">
        <v>45439</v>
      </c>
      <c r="I147" s="29" t="s">
        <v>24</v>
      </c>
      <c r="J147" s="68" t="s">
        <v>13</v>
      </c>
      <c r="K147" s="24" t="s">
        <v>43</v>
      </c>
      <c r="L147" s="49">
        <v>45421</v>
      </c>
      <c r="M147" s="49">
        <v>45439</v>
      </c>
      <c r="N147" s="25">
        <f t="shared" si="7"/>
        <v>18</v>
      </c>
      <c r="O147" s="29"/>
      <c r="P147" t="s">
        <v>88</v>
      </c>
      <c r="Q147" t="s">
        <v>88</v>
      </c>
      <c r="R147" t="s">
        <v>88</v>
      </c>
      <c r="S147" t="s">
        <v>88</v>
      </c>
      <c r="T147" t="s">
        <v>88</v>
      </c>
      <c r="U147" t="s">
        <v>20</v>
      </c>
    </row>
    <row r="148" spans="1:21" x14ac:dyDescent="0.45">
      <c r="A148" s="79">
        <v>87319822</v>
      </c>
      <c r="B148" s="72" t="str">
        <f t="shared" si="6"/>
        <v>8.731.982-2</v>
      </c>
      <c r="C148" s="73" t="s">
        <v>30</v>
      </c>
      <c r="D148" s="29" t="s">
        <v>1012</v>
      </c>
      <c r="E148" s="29" t="s">
        <v>1013</v>
      </c>
      <c r="F148" s="29" t="s">
        <v>386</v>
      </c>
      <c r="G148" s="49">
        <v>45419</v>
      </c>
      <c r="H148" s="49">
        <v>45443</v>
      </c>
      <c r="I148" s="29" t="s">
        <v>24</v>
      </c>
      <c r="J148" s="68" t="s">
        <v>65</v>
      </c>
      <c r="K148" s="24" t="s">
        <v>43</v>
      </c>
      <c r="L148" s="49">
        <v>45422</v>
      </c>
      <c r="M148" s="49">
        <v>45443</v>
      </c>
      <c r="N148" s="25">
        <f t="shared" si="7"/>
        <v>21</v>
      </c>
      <c r="O148" s="29"/>
      <c r="P148" t="s">
        <v>88</v>
      </c>
      <c r="Q148" t="s">
        <v>88</v>
      </c>
      <c r="R148" t="s">
        <v>88</v>
      </c>
      <c r="S148" t="s">
        <v>88</v>
      </c>
      <c r="T148" t="s">
        <v>88</v>
      </c>
      <c r="U148" t="s">
        <v>20</v>
      </c>
    </row>
    <row r="149" spans="1:21" x14ac:dyDescent="0.45">
      <c r="A149" s="79">
        <v>87319822</v>
      </c>
      <c r="B149" s="72" t="str">
        <f t="shared" si="6"/>
        <v>8.731.982-2</v>
      </c>
      <c r="C149" s="73" t="s">
        <v>30</v>
      </c>
      <c r="D149" s="29" t="s">
        <v>1012</v>
      </c>
      <c r="E149" s="29" t="s">
        <v>1013</v>
      </c>
      <c r="F149" s="29" t="s">
        <v>386</v>
      </c>
      <c r="G149" s="49">
        <v>45419</v>
      </c>
      <c r="H149" s="49">
        <v>45443</v>
      </c>
      <c r="I149" s="29" t="s">
        <v>24</v>
      </c>
      <c r="J149" s="68" t="s">
        <v>65</v>
      </c>
      <c r="K149" s="24" t="s">
        <v>47</v>
      </c>
      <c r="L149" s="49">
        <v>45419</v>
      </c>
      <c r="M149" s="49">
        <v>45443</v>
      </c>
      <c r="N149" s="25">
        <f t="shared" si="7"/>
        <v>24</v>
      </c>
      <c r="O149" s="97" t="s">
        <v>14</v>
      </c>
      <c r="P149" t="s">
        <v>88</v>
      </c>
      <c r="Q149" t="s">
        <v>88</v>
      </c>
      <c r="R149" t="s">
        <v>88</v>
      </c>
      <c r="S149" t="s">
        <v>88</v>
      </c>
      <c r="T149" t="s">
        <v>88</v>
      </c>
      <c r="U149" t="s">
        <v>20</v>
      </c>
    </row>
    <row r="150" spans="1:21" x14ac:dyDescent="0.45">
      <c r="A150" s="79">
        <v>87319822</v>
      </c>
      <c r="B150" s="72" t="str">
        <f t="shared" si="6"/>
        <v>8.731.982-2</v>
      </c>
      <c r="C150" s="73" t="s">
        <v>30</v>
      </c>
      <c r="D150" s="29" t="s">
        <v>1012</v>
      </c>
      <c r="E150" s="29" t="s">
        <v>1013</v>
      </c>
      <c r="F150" s="29" t="s">
        <v>386</v>
      </c>
      <c r="G150" s="49">
        <v>45419</v>
      </c>
      <c r="H150" s="49">
        <v>45443</v>
      </c>
      <c r="I150" s="29" t="s">
        <v>24</v>
      </c>
      <c r="J150" s="68" t="s">
        <v>65</v>
      </c>
      <c r="K150" s="24" t="s">
        <v>55</v>
      </c>
      <c r="L150" s="49">
        <v>45421</v>
      </c>
      <c r="M150" s="49">
        <v>45443</v>
      </c>
      <c r="N150" s="25">
        <f t="shared" si="7"/>
        <v>22</v>
      </c>
      <c r="O150" s="29"/>
      <c r="P150" t="s">
        <v>132</v>
      </c>
      <c r="Q150" t="s">
        <v>88</v>
      </c>
      <c r="R150" t="s">
        <v>88</v>
      </c>
      <c r="S150" t="s">
        <v>88</v>
      </c>
      <c r="T150" t="s">
        <v>88</v>
      </c>
      <c r="U150" t="s">
        <v>20</v>
      </c>
    </row>
    <row r="151" spans="1:21" x14ac:dyDescent="0.45">
      <c r="A151" s="79">
        <v>57591811</v>
      </c>
      <c r="B151" s="72" t="str">
        <f t="shared" si="6"/>
        <v>5.759.181-1</v>
      </c>
      <c r="C151" s="73" t="s">
        <v>30</v>
      </c>
      <c r="D151" s="29" t="s">
        <v>1014</v>
      </c>
      <c r="E151" s="29" t="s">
        <v>677</v>
      </c>
      <c r="F151" s="29" t="s">
        <v>1015</v>
      </c>
      <c r="G151" s="49">
        <v>45423</v>
      </c>
      <c r="H151" s="49">
        <v>45427</v>
      </c>
      <c r="I151" s="29" t="s">
        <v>24</v>
      </c>
      <c r="J151" s="68" t="s">
        <v>46</v>
      </c>
      <c r="K151" s="24" t="s">
        <v>43</v>
      </c>
      <c r="L151" s="49">
        <v>45423</v>
      </c>
      <c r="M151" s="49">
        <v>45427</v>
      </c>
      <c r="N151" s="25">
        <f t="shared" si="7"/>
        <v>4</v>
      </c>
      <c r="O151" s="29"/>
      <c r="P151" t="s">
        <v>88</v>
      </c>
      <c r="Q151" t="s">
        <v>88</v>
      </c>
      <c r="R151" t="s">
        <v>88</v>
      </c>
      <c r="S151" t="s">
        <v>88</v>
      </c>
      <c r="T151" t="s">
        <v>88</v>
      </c>
      <c r="U151" t="s">
        <v>20</v>
      </c>
    </row>
    <row r="152" spans="1:21" x14ac:dyDescent="0.45">
      <c r="A152" s="79">
        <v>93618025</v>
      </c>
      <c r="B152" s="72" t="str">
        <f t="shared" si="6"/>
        <v>9.361.802-5</v>
      </c>
      <c r="C152" s="73" t="s">
        <v>30</v>
      </c>
      <c r="D152" s="29" t="s">
        <v>1016</v>
      </c>
      <c r="E152" s="29" t="s">
        <v>660</v>
      </c>
      <c r="F152" s="29" t="s">
        <v>1017</v>
      </c>
      <c r="G152" s="49">
        <v>45421</v>
      </c>
      <c r="H152" s="49">
        <v>45427</v>
      </c>
      <c r="I152" s="29" t="s">
        <v>24</v>
      </c>
      <c r="J152" s="68" t="s">
        <v>13</v>
      </c>
      <c r="K152" s="24" t="s">
        <v>43</v>
      </c>
      <c r="L152" s="49">
        <v>45423</v>
      </c>
      <c r="M152" s="49">
        <v>45427</v>
      </c>
      <c r="N152" s="25">
        <f t="shared" si="7"/>
        <v>4</v>
      </c>
      <c r="O152" s="29"/>
      <c r="P152" t="s">
        <v>88</v>
      </c>
      <c r="Q152" t="s">
        <v>88</v>
      </c>
      <c r="R152" t="s">
        <v>88</v>
      </c>
      <c r="S152" t="s">
        <v>88</v>
      </c>
      <c r="T152" t="s">
        <v>88</v>
      </c>
      <c r="U152" t="s">
        <v>20</v>
      </c>
    </row>
    <row r="153" spans="1:21" x14ac:dyDescent="0.45">
      <c r="A153" s="79">
        <v>66070581</v>
      </c>
      <c r="B153" s="72" t="str">
        <f t="shared" si="6"/>
        <v>6.607.058-1</v>
      </c>
      <c r="C153" s="73" t="s">
        <v>30</v>
      </c>
      <c r="D153" s="29" t="s">
        <v>381</v>
      </c>
      <c r="E153" s="29" t="s">
        <v>429</v>
      </c>
      <c r="F153" s="29" t="s">
        <v>654</v>
      </c>
      <c r="G153" s="49">
        <v>45420</v>
      </c>
      <c r="H153" s="49">
        <v>45427</v>
      </c>
      <c r="I153" s="29" t="s">
        <v>24</v>
      </c>
      <c r="J153" s="68" t="s">
        <v>13</v>
      </c>
      <c r="K153" s="24" t="s">
        <v>43</v>
      </c>
      <c r="L153" s="49">
        <v>45420</v>
      </c>
      <c r="M153" s="49">
        <v>45427</v>
      </c>
      <c r="N153" s="25">
        <f t="shared" si="7"/>
        <v>7</v>
      </c>
      <c r="O153" s="29"/>
      <c r="P153" t="s">
        <v>88</v>
      </c>
      <c r="Q153" t="s">
        <v>88</v>
      </c>
      <c r="R153" t="s">
        <v>88</v>
      </c>
      <c r="S153" t="s">
        <v>88</v>
      </c>
      <c r="T153" t="s">
        <v>88</v>
      </c>
      <c r="U153" t="s">
        <v>20</v>
      </c>
    </row>
    <row r="154" spans="1:21" x14ac:dyDescent="0.45">
      <c r="A154" s="79">
        <v>53549799</v>
      </c>
      <c r="B154" s="72" t="str">
        <f t="shared" si="6"/>
        <v>5.354.979-9</v>
      </c>
      <c r="C154" s="73" t="s">
        <v>30</v>
      </c>
      <c r="D154" s="29" t="s">
        <v>282</v>
      </c>
      <c r="E154" s="29" t="s">
        <v>749</v>
      </c>
      <c r="F154" s="29" t="s">
        <v>638</v>
      </c>
      <c r="G154" s="49">
        <v>45421</v>
      </c>
      <c r="H154" s="49">
        <v>45426</v>
      </c>
      <c r="I154" s="29" t="s">
        <v>24</v>
      </c>
      <c r="J154" s="68" t="s">
        <v>13</v>
      </c>
      <c r="K154" s="24" t="s">
        <v>43</v>
      </c>
      <c r="L154" s="49">
        <v>45425</v>
      </c>
      <c r="M154" s="49">
        <v>45426</v>
      </c>
      <c r="N154" s="25">
        <f t="shared" si="7"/>
        <v>1</v>
      </c>
      <c r="O154" s="29"/>
      <c r="P154" t="s">
        <v>88</v>
      </c>
      <c r="Q154" t="s">
        <v>88</v>
      </c>
      <c r="R154" t="s">
        <v>88</v>
      </c>
      <c r="S154" t="s">
        <v>88</v>
      </c>
      <c r="T154" t="s">
        <v>88</v>
      </c>
      <c r="U154" t="s">
        <v>20</v>
      </c>
    </row>
    <row r="155" spans="1:21" x14ac:dyDescent="0.45">
      <c r="A155" s="79">
        <v>53549799</v>
      </c>
      <c r="B155" s="72" t="str">
        <f t="shared" si="6"/>
        <v>5.354.979-9</v>
      </c>
      <c r="C155" s="73" t="s">
        <v>30</v>
      </c>
      <c r="D155" s="29" t="s">
        <v>282</v>
      </c>
      <c r="E155" s="29" t="s">
        <v>749</v>
      </c>
      <c r="F155" s="29" t="s">
        <v>638</v>
      </c>
      <c r="G155" s="49">
        <v>45421</v>
      </c>
      <c r="H155" s="49">
        <v>45426</v>
      </c>
      <c r="I155" s="29" t="s">
        <v>24</v>
      </c>
      <c r="J155" s="68" t="s">
        <v>13</v>
      </c>
      <c r="K155" s="24" t="s">
        <v>47</v>
      </c>
      <c r="L155" s="49">
        <v>45425</v>
      </c>
      <c r="M155" s="49">
        <v>45426</v>
      </c>
      <c r="N155" s="25">
        <f t="shared" si="7"/>
        <v>1</v>
      </c>
      <c r="O155" s="29"/>
      <c r="P155" t="s">
        <v>88</v>
      </c>
      <c r="Q155" t="s">
        <v>88</v>
      </c>
      <c r="R155" t="s">
        <v>88</v>
      </c>
      <c r="S155" t="s">
        <v>88</v>
      </c>
      <c r="T155" t="s">
        <v>88</v>
      </c>
      <c r="U155" t="s">
        <v>20</v>
      </c>
    </row>
    <row r="156" spans="1:21" x14ac:dyDescent="0.45">
      <c r="A156" s="79">
        <v>53549799</v>
      </c>
      <c r="B156" s="72" t="str">
        <f t="shared" si="6"/>
        <v>5.354.979-9</v>
      </c>
      <c r="C156" s="73" t="s">
        <v>30</v>
      </c>
      <c r="D156" s="29" t="s">
        <v>282</v>
      </c>
      <c r="E156" s="29" t="s">
        <v>749</v>
      </c>
      <c r="F156" s="29" t="s">
        <v>638</v>
      </c>
      <c r="G156" s="49">
        <v>45421</v>
      </c>
      <c r="H156" s="49">
        <v>45426</v>
      </c>
      <c r="I156" s="29" t="s">
        <v>24</v>
      </c>
      <c r="J156" s="68" t="s">
        <v>13</v>
      </c>
      <c r="K156" s="24" t="s">
        <v>55</v>
      </c>
      <c r="L156" s="49">
        <v>45425</v>
      </c>
      <c r="M156" s="49">
        <v>45426</v>
      </c>
      <c r="N156" s="25">
        <f t="shared" si="7"/>
        <v>1</v>
      </c>
      <c r="O156" s="29"/>
      <c r="P156" t="s">
        <v>88</v>
      </c>
      <c r="Q156" t="s">
        <v>88</v>
      </c>
      <c r="R156" t="s">
        <v>88</v>
      </c>
      <c r="S156" t="s">
        <v>88</v>
      </c>
      <c r="T156" t="s">
        <v>88</v>
      </c>
      <c r="U156" t="s">
        <v>20</v>
      </c>
    </row>
    <row r="157" spans="1:21" x14ac:dyDescent="0.45">
      <c r="A157" s="79">
        <v>56497773</v>
      </c>
      <c r="B157" s="72" t="str">
        <f t="shared" si="6"/>
        <v>5.649.777-3</v>
      </c>
      <c r="C157" s="73" t="s">
        <v>30</v>
      </c>
      <c r="D157" s="29" t="s">
        <v>736</v>
      </c>
      <c r="E157" s="29" t="s">
        <v>1018</v>
      </c>
      <c r="F157" s="29" t="s">
        <v>348</v>
      </c>
      <c r="G157" s="49">
        <v>45422</v>
      </c>
      <c r="H157" s="49">
        <v>45429</v>
      </c>
      <c r="I157" s="29" t="s">
        <v>24</v>
      </c>
      <c r="J157" s="68" t="s">
        <v>24</v>
      </c>
      <c r="K157" s="24" t="s">
        <v>43</v>
      </c>
      <c r="L157" s="49">
        <v>45422</v>
      </c>
      <c r="M157" s="49">
        <v>45429</v>
      </c>
      <c r="N157" s="25">
        <f t="shared" si="7"/>
        <v>7</v>
      </c>
      <c r="O157" s="29"/>
      <c r="P157" t="s">
        <v>88</v>
      </c>
      <c r="Q157" t="s">
        <v>88</v>
      </c>
      <c r="R157" t="s">
        <v>88</v>
      </c>
      <c r="S157" t="s">
        <v>88</v>
      </c>
      <c r="T157" t="s">
        <v>88</v>
      </c>
      <c r="U157" t="s">
        <v>20</v>
      </c>
    </row>
    <row r="158" spans="1:21" x14ac:dyDescent="0.45">
      <c r="A158" s="79">
        <v>56497773</v>
      </c>
      <c r="B158" s="72" t="str">
        <f t="shared" si="6"/>
        <v>5.649.777-3</v>
      </c>
      <c r="C158" s="73" t="s">
        <v>30</v>
      </c>
      <c r="D158" s="29" t="s">
        <v>736</v>
      </c>
      <c r="E158" s="29" t="s">
        <v>1018</v>
      </c>
      <c r="F158" s="29" t="s">
        <v>348</v>
      </c>
      <c r="G158" s="49">
        <v>45422</v>
      </c>
      <c r="H158" s="49">
        <v>45429</v>
      </c>
      <c r="I158" s="29" t="s">
        <v>24</v>
      </c>
      <c r="J158" s="68" t="s">
        <v>24</v>
      </c>
      <c r="K158" s="24" t="s">
        <v>47</v>
      </c>
      <c r="L158" s="49">
        <v>45422</v>
      </c>
      <c r="M158" s="49">
        <v>45429</v>
      </c>
      <c r="N158" s="25">
        <f t="shared" si="7"/>
        <v>7</v>
      </c>
      <c r="O158" s="29"/>
      <c r="P158" t="s">
        <v>88</v>
      </c>
      <c r="Q158" t="s">
        <v>88</v>
      </c>
      <c r="R158" t="s">
        <v>88</v>
      </c>
      <c r="S158" t="s">
        <v>88</v>
      </c>
      <c r="T158" t="s">
        <v>88</v>
      </c>
      <c r="U158" t="s">
        <v>20</v>
      </c>
    </row>
    <row r="159" spans="1:21" x14ac:dyDescent="0.45">
      <c r="A159" s="79">
        <v>56497773</v>
      </c>
      <c r="B159" s="72" t="str">
        <f t="shared" si="6"/>
        <v>5.649.777-3</v>
      </c>
      <c r="C159" s="73" t="s">
        <v>30</v>
      </c>
      <c r="D159" s="29" t="s">
        <v>736</v>
      </c>
      <c r="E159" s="29" t="s">
        <v>1018</v>
      </c>
      <c r="F159" s="29" t="s">
        <v>348</v>
      </c>
      <c r="G159" s="49">
        <v>45422</v>
      </c>
      <c r="H159" s="49">
        <v>45429</v>
      </c>
      <c r="I159" s="29" t="s">
        <v>24</v>
      </c>
      <c r="J159" s="68" t="s">
        <v>24</v>
      </c>
      <c r="K159" s="24" t="s">
        <v>55</v>
      </c>
      <c r="L159" s="49">
        <v>45422</v>
      </c>
      <c r="M159" s="49">
        <v>45429</v>
      </c>
      <c r="N159" s="25">
        <f t="shared" si="7"/>
        <v>7</v>
      </c>
      <c r="O159" s="29"/>
      <c r="P159" t="s">
        <v>88</v>
      </c>
      <c r="Q159" t="s">
        <v>88</v>
      </c>
      <c r="R159" t="s">
        <v>88</v>
      </c>
      <c r="S159" t="s">
        <v>88</v>
      </c>
      <c r="T159" t="s">
        <v>88</v>
      </c>
      <c r="U159" t="s">
        <v>20</v>
      </c>
    </row>
    <row r="160" spans="1:21" x14ac:dyDescent="0.45">
      <c r="A160" s="79">
        <v>131280289</v>
      </c>
      <c r="B160" s="72" t="str">
        <f t="shared" si="6"/>
        <v>13.128.028-9</v>
      </c>
      <c r="C160" s="73" t="s">
        <v>46</v>
      </c>
      <c r="D160" s="29" t="s">
        <v>341</v>
      </c>
      <c r="E160" s="29" t="s">
        <v>267</v>
      </c>
      <c r="F160" s="29" t="s">
        <v>1019</v>
      </c>
      <c r="G160" s="49">
        <v>45426</v>
      </c>
      <c r="H160" s="49">
        <v>45443</v>
      </c>
      <c r="I160" s="29" t="s">
        <v>66</v>
      </c>
      <c r="J160" s="68" t="s">
        <v>65</v>
      </c>
      <c r="K160" s="24" t="s">
        <v>47</v>
      </c>
      <c r="L160" s="49">
        <v>45428</v>
      </c>
      <c r="M160" s="49">
        <v>45439</v>
      </c>
      <c r="N160" s="25">
        <f t="shared" si="7"/>
        <v>11</v>
      </c>
      <c r="O160" s="29"/>
      <c r="P160" t="s">
        <v>88</v>
      </c>
      <c r="Q160" t="s">
        <v>88</v>
      </c>
      <c r="R160" t="s">
        <v>88</v>
      </c>
      <c r="S160" t="s">
        <v>88</v>
      </c>
      <c r="T160" t="s">
        <v>88</v>
      </c>
      <c r="U160" t="s">
        <v>20</v>
      </c>
    </row>
    <row r="161" spans="1:21" x14ac:dyDescent="0.45">
      <c r="A161" s="79">
        <v>131280289</v>
      </c>
      <c r="B161" s="72" t="str">
        <f t="shared" si="6"/>
        <v>13.128.028-9</v>
      </c>
      <c r="C161" s="73" t="s">
        <v>46</v>
      </c>
      <c r="D161" s="29" t="s">
        <v>341</v>
      </c>
      <c r="E161" s="29" t="s">
        <v>267</v>
      </c>
      <c r="F161" s="29" t="s">
        <v>1019</v>
      </c>
      <c r="G161" s="49">
        <v>45426</v>
      </c>
      <c r="H161" s="49">
        <v>45443</v>
      </c>
      <c r="I161" s="29" t="s">
        <v>66</v>
      </c>
      <c r="J161" s="68" t="s">
        <v>65</v>
      </c>
      <c r="K161" s="24" t="s">
        <v>43</v>
      </c>
      <c r="L161" s="49">
        <v>45423</v>
      </c>
      <c r="M161" s="49">
        <v>45443</v>
      </c>
      <c r="N161" s="25">
        <f t="shared" si="7"/>
        <v>20</v>
      </c>
      <c r="O161" s="29"/>
      <c r="P161" t="s">
        <v>88</v>
      </c>
      <c r="Q161" t="s">
        <v>88</v>
      </c>
      <c r="R161" t="s">
        <v>88</v>
      </c>
      <c r="S161" t="s">
        <v>88</v>
      </c>
      <c r="T161" t="s">
        <v>88</v>
      </c>
      <c r="U161" t="s">
        <v>20</v>
      </c>
    </row>
    <row r="162" spans="1:21" x14ac:dyDescent="0.45">
      <c r="A162" s="79">
        <v>131280289</v>
      </c>
      <c r="B162" s="72" t="str">
        <f t="shared" si="6"/>
        <v>13.128.028-9</v>
      </c>
      <c r="C162" s="73" t="s">
        <v>46</v>
      </c>
      <c r="D162" s="29" t="s">
        <v>341</v>
      </c>
      <c r="E162" s="29" t="s">
        <v>267</v>
      </c>
      <c r="F162" s="29" t="s">
        <v>1019</v>
      </c>
      <c r="G162" s="49">
        <v>45426</v>
      </c>
      <c r="H162" s="49">
        <v>45443</v>
      </c>
      <c r="I162" s="29" t="s">
        <v>66</v>
      </c>
      <c r="J162" s="68" t="s">
        <v>65</v>
      </c>
      <c r="K162" s="24"/>
      <c r="L162" s="49">
        <v>45423</v>
      </c>
      <c r="M162" s="49">
        <v>45443</v>
      </c>
      <c r="N162" s="25"/>
      <c r="O162" s="29"/>
      <c r="P162" t="s">
        <v>122</v>
      </c>
      <c r="Q162" t="s">
        <v>88</v>
      </c>
      <c r="R162" t="s">
        <v>88</v>
      </c>
      <c r="S162" t="s">
        <v>88</v>
      </c>
      <c r="T162" t="s">
        <v>88</v>
      </c>
      <c r="U162" t="s">
        <v>20</v>
      </c>
    </row>
    <row r="163" spans="1:21" x14ac:dyDescent="0.45">
      <c r="A163" s="79">
        <v>62930969</v>
      </c>
      <c r="B163" s="72" t="str">
        <f t="shared" si="6"/>
        <v>6.293.096-9</v>
      </c>
      <c r="C163" s="73" t="s">
        <v>46</v>
      </c>
      <c r="D163" s="29" t="s">
        <v>534</v>
      </c>
      <c r="E163" s="29" t="s">
        <v>810</v>
      </c>
      <c r="F163" s="29" t="s">
        <v>654</v>
      </c>
      <c r="G163" s="49">
        <v>45426</v>
      </c>
      <c r="H163" s="49">
        <v>45428</v>
      </c>
      <c r="I163" s="29" t="s">
        <v>54</v>
      </c>
      <c r="J163" s="68" t="s">
        <v>19</v>
      </c>
      <c r="K163" s="24" t="s">
        <v>47</v>
      </c>
      <c r="L163" s="49">
        <v>45426</v>
      </c>
      <c r="M163" s="49">
        <v>45428</v>
      </c>
      <c r="N163" s="25">
        <f t="shared" ref="N163:N194" si="8">+M163-L163</f>
        <v>2</v>
      </c>
      <c r="O163" s="29"/>
      <c r="P163" t="s">
        <v>88</v>
      </c>
      <c r="Q163" t="s">
        <v>88</v>
      </c>
      <c r="R163" t="s">
        <v>88</v>
      </c>
      <c r="S163" t="s">
        <v>88</v>
      </c>
      <c r="T163" t="s">
        <v>88</v>
      </c>
      <c r="U163" t="s">
        <v>20</v>
      </c>
    </row>
    <row r="164" spans="1:21" x14ac:dyDescent="0.45">
      <c r="A164" s="79">
        <v>56861092</v>
      </c>
      <c r="B164" s="72" t="str">
        <f t="shared" si="6"/>
        <v>5.686.109-2</v>
      </c>
      <c r="C164" s="73" t="s">
        <v>46</v>
      </c>
      <c r="D164" s="29" t="s">
        <v>375</v>
      </c>
      <c r="E164" s="29" t="s">
        <v>1020</v>
      </c>
      <c r="F164" s="29" t="s">
        <v>1021</v>
      </c>
      <c r="G164" s="49">
        <v>45422</v>
      </c>
      <c r="H164" s="49">
        <v>45441</v>
      </c>
      <c r="I164" s="29" t="s">
        <v>60</v>
      </c>
      <c r="J164" s="68" t="s">
        <v>65</v>
      </c>
      <c r="K164" s="24" t="s">
        <v>47</v>
      </c>
      <c r="L164" s="49">
        <v>45427</v>
      </c>
      <c r="M164" s="49">
        <v>45441</v>
      </c>
      <c r="N164" s="25">
        <f t="shared" si="8"/>
        <v>14</v>
      </c>
      <c r="O164" s="29"/>
      <c r="P164" t="s">
        <v>88</v>
      </c>
      <c r="Q164" t="s">
        <v>88</v>
      </c>
      <c r="R164" t="s">
        <v>88</v>
      </c>
      <c r="S164" t="s">
        <v>88</v>
      </c>
      <c r="T164" t="s">
        <v>88</v>
      </c>
      <c r="U164" t="s">
        <v>20</v>
      </c>
    </row>
    <row r="165" spans="1:21" x14ac:dyDescent="0.45">
      <c r="A165" s="79">
        <v>41228350</v>
      </c>
      <c r="B165" s="72" t="str">
        <f t="shared" si="6"/>
        <v>4.122.835-0</v>
      </c>
      <c r="C165" s="73" t="s">
        <v>22</v>
      </c>
      <c r="D165" s="29" t="s">
        <v>1022</v>
      </c>
      <c r="E165" s="29" t="s">
        <v>352</v>
      </c>
      <c r="F165" s="29" t="s">
        <v>1023</v>
      </c>
      <c r="G165" s="49">
        <v>45428</v>
      </c>
      <c r="H165" s="49">
        <v>45432</v>
      </c>
      <c r="I165" s="29" t="s">
        <v>54</v>
      </c>
      <c r="J165" s="68" t="s">
        <v>56</v>
      </c>
      <c r="K165" s="24" t="s">
        <v>43</v>
      </c>
      <c r="L165" s="49">
        <v>45428</v>
      </c>
      <c r="M165" s="49">
        <v>45432</v>
      </c>
      <c r="N165" s="25">
        <f t="shared" si="8"/>
        <v>4</v>
      </c>
      <c r="O165" s="29"/>
      <c r="P165" t="s">
        <v>88</v>
      </c>
      <c r="Q165" t="s">
        <v>88</v>
      </c>
      <c r="R165" t="s">
        <v>88</v>
      </c>
      <c r="S165" t="s">
        <v>88</v>
      </c>
      <c r="T165" t="s">
        <v>88</v>
      </c>
      <c r="U165" t="s">
        <v>20</v>
      </c>
    </row>
    <row r="166" spans="1:21" x14ac:dyDescent="0.45">
      <c r="A166" s="79">
        <v>41228350</v>
      </c>
      <c r="B166" s="72" t="str">
        <f t="shared" si="6"/>
        <v>4.122.835-0</v>
      </c>
      <c r="C166" s="73" t="s">
        <v>22</v>
      </c>
      <c r="D166" s="29" t="s">
        <v>1022</v>
      </c>
      <c r="E166" s="29" t="s">
        <v>352</v>
      </c>
      <c r="F166" s="29" t="s">
        <v>1023</v>
      </c>
      <c r="G166" s="49">
        <v>45428</v>
      </c>
      <c r="H166" s="49">
        <v>45432</v>
      </c>
      <c r="I166" s="29" t="s">
        <v>54</v>
      </c>
      <c r="J166" s="68" t="s">
        <v>56</v>
      </c>
      <c r="K166" s="24" t="s">
        <v>47</v>
      </c>
      <c r="L166" s="49">
        <v>45428</v>
      </c>
      <c r="M166" s="49">
        <v>45432</v>
      </c>
      <c r="N166" s="25">
        <f t="shared" si="8"/>
        <v>4</v>
      </c>
      <c r="O166" s="29"/>
      <c r="P166" t="s">
        <v>88</v>
      </c>
      <c r="Q166" t="s">
        <v>88</v>
      </c>
      <c r="R166" t="s">
        <v>88</v>
      </c>
      <c r="S166" t="s">
        <v>88</v>
      </c>
      <c r="T166" t="s">
        <v>88</v>
      </c>
      <c r="U166" t="s">
        <v>20</v>
      </c>
    </row>
    <row r="167" spans="1:21" x14ac:dyDescent="0.45">
      <c r="A167" s="79">
        <v>41228350</v>
      </c>
      <c r="B167" s="72" t="str">
        <f t="shared" si="6"/>
        <v>4.122.835-0</v>
      </c>
      <c r="C167" s="73" t="s">
        <v>22</v>
      </c>
      <c r="D167" s="29" t="s">
        <v>1022</v>
      </c>
      <c r="E167" s="29" t="s">
        <v>352</v>
      </c>
      <c r="F167" s="29" t="s">
        <v>1023</v>
      </c>
      <c r="G167" s="49">
        <v>45428</v>
      </c>
      <c r="H167" s="49">
        <v>45432</v>
      </c>
      <c r="I167" s="29" t="s">
        <v>54</v>
      </c>
      <c r="J167" s="68" t="s">
        <v>56</v>
      </c>
      <c r="K167" s="24" t="s">
        <v>55</v>
      </c>
      <c r="L167" s="49">
        <v>45428</v>
      </c>
      <c r="M167" s="49">
        <v>45432</v>
      </c>
      <c r="N167" s="25">
        <f t="shared" si="8"/>
        <v>4</v>
      </c>
      <c r="O167" s="29"/>
      <c r="P167" t="s">
        <v>88</v>
      </c>
      <c r="Q167" t="s">
        <v>88</v>
      </c>
      <c r="R167" t="s">
        <v>88</v>
      </c>
      <c r="S167" t="s">
        <v>88</v>
      </c>
      <c r="T167" t="s">
        <v>88</v>
      </c>
      <c r="U167" t="s">
        <v>20</v>
      </c>
    </row>
    <row r="168" spans="1:21" x14ac:dyDescent="0.45">
      <c r="A168" s="79">
        <v>115712180</v>
      </c>
      <c r="B168" s="72" t="str">
        <f t="shared" si="6"/>
        <v>11.571.218-0</v>
      </c>
      <c r="C168" s="73" t="s">
        <v>22</v>
      </c>
      <c r="D168" s="29" t="s">
        <v>684</v>
      </c>
      <c r="E168" s="29" t="s">
        <v>1024</v>
      </c>
      <c r="F168" s="29" t="s">
        <v>601</v>
      </c>
      <c r="G168" s="49">
        <v>45425</v>
      </c>
      <c r="H168" s="49">
        <v>45439</v>
      </c>
      <c r="I168" s="29" t="s">
        <v>54</v>
      </c>
      <c r="J168" s="68" t="s">
        <v>13</v>
      </c>
      <c r="K168" s="24" t="s">
        <v>43</v>
      </c>
      <c r="L168" s="49">
        <v>45425</v>
      </c>
      <c r="M168" s="49">
        <v>45439</v>
      </c>
      <c r="N168" s="25">
        <f t="shared" si="8"/>
        <v>14</v>
      </c>
      <c r="O168" s="29"/>
      <c r="P168" t="s">
        <v>98</v>
      </c>
      <c r="Q168" t="s">
        <v>88</v>
      </c>
      <c r="R168" t="s">
        <v>88</v>
      </c>
      <c r="S168" t="s">
        <v>88</v>
      </c>
      <c r="T168" t="s">
        <v>88</v>
      </c>
      <c r="U168" t="s">
        <v>14</v>
      </c>
    </row>
    <row r="169" spans="1:21" x14ac:dyDescent="0.45">
      <c r="A169" s="79" t="s">
        <v>1025</v>
      </c>
      <c r="B169" s="72" t="str">
        <f t="shared" si="6"/>
        <v>6.358.049-K</v>
      </c>
      <c r="C169" s="73" t="s">
        <v>22</v>
      </c>
      <c r="D169" s="29" t="s">
        <v>422</v>
      </c>
      <c r="E169" s="29" t="s">
        <v>240</v>
      </c>
      <c r="F169" s="29" t="s">
        <v>1026</v>
      </c>
      <c r="G169" s="49">
        <v>45427</v>
      </c>
      <c r="H169" s="49">
        <v>45429</v>
      </c>
      <c r="I169" s="29" t="s">
        <v>54</v>
      </c>
      <c r="J169" s="68" t="s">
        <v>26</v>
      </c>
      <c r="K169" s="24" t="s">
        <v>43</v>
      </c>
      <c r="L169" s="49">
        <v>45427</v>
      </c>
      <c r="M169" s="49">
        <v>45429</v>
      </c>
      <c r="N169" s="25">
        <f t="shared" si="8"/>
        <v>2</v>
      </c>
      <c r="O169" s="29"/>
      <c r="P169" t="s">
        <v>88</v>
      </c>
      <c r="Q169" t="s">
        <v>88</v>
      </c>
      <c r="R169" t="s">
        <v>88</v>
      </c>
      <c r="S169" t="s">
        <v>88</v>
      </c>
      <c r="T169" t="s">
        <v>88</v>
      </c>
      <c r="U169" t="s">
        <v>20</v>
      </c>
    </row>
    <row r="170" spans="1:21" x14ac:dyDescent="0.45">
      <c r="A170" s="79" t="s">
        <v>1025</v>
      </c>
      <c r="B170" s="72" t="str">
        <f t="shared" si="6"/>
        <v>6.358.049-K</v>
      </c>
      <c r="C170" s="73" t="s">
        <v>22</v>
      </c>
      <c r="D170" s="29" t="s">
        <v>422</v>
      </c>
      <c r="E170" s="29" t="s">
        <v>240</v>
      </c>
      <c r="F170" s="29" t="s">
        <v>1026</v>
      </c>
      <c r="G170" s="49">
        <v>45427</v>
      </c>
      <c r="H170" s="49">
        <v>45429</v>
      </c>
      <c r="I170" s="29" t="s">
        <v>54</v>
      </c>
      <c r="J170" s="68" t="s">
        <v>26</v>
      </c>
      <c r="K170" s="24" t="s">
        <v>47</v>
      </c>
      <c r="L170" s="49">
        <v>45427</v>
      </c>
      <c r="M170" s="49">
        <v>45429</v>
      </c>
      <c r="N170" s="25">
        <f t="shared" si="8"/>
        <v>2</v>
      </c>
      <c r="O170" s="29"/>
      <c r="P170" t="s">
        <v>88</v>
      </c>
      <c r="Q170" t="s">
        <v>88</v>
      </c>
      <c r="R170" t="s">
        <v>88</v>
      </c>
      <c r="S170" t="s">
        <v>88</v>
      </c>
      <c r="T170" t="s">
        <v>88</v>
      </c>
      <c r="U170" t="s">
        <v>20</v>
      </c>
    </row>
    <row r="171" spans="1:21" x14ac:dyDescent="0.45">
      <c r="A171" s="79">
        <v>72935918</v>
      </c>
      <c r="B171" s="72" t="str">
        <f t="shared" si="6"/>
        <v>7.293.591-8</v>
      </c>
      <c r="C171" s="73" t="s">
        <v>22</v>
      </c>
      <c r="D171" s="29" t="s">
        <v>558</v>
      </c>
      <c r="E171" s="29" t="s">
        <v>573</v>
      </c>
      <c r="F171" s="29" t="s">
        <v>1027</v>
      </c>
      <c r="G171" s="49">
        <v>45426</v>
      </c>
      <c r="H171" s="49">
        <v>45430</v>
      </c>
      <c r="I171" s="29" t="s">
        <v>54</v>
      </c>
      <c r="J171" s="68" t="s">
        <v>56</v>
      </c>
      <c r="K171" s="24" t="s">
        <v>43</v>
      </c>
      <c r="L171" s="49">
        <v>45426</v>
      </c>
      <c r="M171" s="49">
        <v>45430</v>
      </c>
      <c r="N171" s="25">
        <f t="shared" si="8"/>
        <v>4</v>
      </c>
      <c r="O171" s="29"/>
      <c r="P171" t="s">
        <v>88</v>
      </c>
      <c r="Q171" t="s">
        <v>88</v>
      </c>
      <c r="R171" t="s">
        <v>88</v>
      </c>
      <c r="S171" t="s">
        <v>88</v>
      </c>
      <c r="T171" t="s">
        <v>88</v>
      </c>
      <c r="U171" t="s">
        <v>20</v>
      </c>
    </row>
    <row r="172" spans="1:21" x14ac:dyDescent="0.45">
      <c r="A172" s="79">
        <v>72935918</v>
      </c>
      <c r="B172" s="72" t="str">
        <f t="shared" si="6"/>
        <v>7.293.591-8</v>
      </c>
      <c r="C172" s="73" t="s">
        <v>22</v>
      </c>
      <c r="D172" s="29" t="s">
        <v>558</v>
      </c>
      <c r="E172" s="29" t="s">
        <v>573</v>
      </c>
      <c r="F172" s="29" t="s">
        <v>1027</v>
      </c>
      <c r="G172" s="49">
        <v>45426</v>
      </c>
      <c r="H172" s="49">
        <v>45430</v>
      </c>
      <c r="I172" s="29" t="s">
        <v>54</v>
      </c>
      <c r="J172" s="68" t="s">
        <v>56</v>
      </c>
      <c r="K172" s="24" t="s">
        <v>47</v>
      </c>
      <c r="L172" s="49">
        <v>45426</v>
      </c>
      <c r="M172" s="49">
        <v>45430</v>
      </c>
      <c r="N172" s="25">
        <f t="shared" si="8"/>
        <v>4</v>
      </c>
      <c r="O172" s="29"/>
      <c r="P172" t="s">
        <v>88</v>
      </c>
      <c r="Q172" t="s">
        <v>88</v>
      </c>
      <c r="R172" t="s">
        <v>88</v>
      </c>
      <c r="S172" t="s">
        <v>88</v>
      </c>
      <c r="T172" t="s">
        <v>88</v>
      </c>
      <c r="U172" t="s">
        <v>20</v>
      </c>
    </row>
    <row r="173" spans="1:21" x14ac:dyDescent="0.45">
      <c r="A173" s="79">
        <v>172224318</v>
      </c>
      <c r="B173" s="72" t="str">
        <f t="shared" si="6"/>
        <v>17.222.431-8</v>
      </c>
      <c r="C173" s="73" t="s">
        <v>22</v>
      </c>
      <c r="D173" s="29" t="s">
        <v>1028</v>
      </c>
      <c r="E173" s="29" t="s">
        <v>1029</v>
      </c>
      <c r="F173" s="29" t="s">
        <v>1030</v>
      </c>
      <c r="G173" s="49">
        <v>45430</v>
      </c>
      <c r="H173" s="49">
        <v>45431</v>
      </c>
      <c r="I173" s="29" t="s">
        <v>22</v>
      </c>
      <c r="J173" s="68" t="s">
        <v>66</v>
      </c>
      <c r="K173" s="24" t="s">
        <v>43</v>
      </c>
      <c r="L173" s="49">
        <v>45428</v>
      </c>
      <c r="M173" s="49">
        <v>45431</v>
      </c>
      <c r="N173" s="25">
        <f t="shared" si="8"/>
        <v>3</v>
      </c>
      <c r="O173" s="29"/>
      <c r="P173" t="s">
        <v>88</v>
      </c>
      <c r="Q173" t="s">
        <v>88</v>
      </c>
      <c r="R173" t="s">
        <v>88</v>
      </c>
      <c r="S173" t="s">
        <v>88</v>
      </c>
      <c r="T173" t="s">
        <v>88</v>
      </c>
      <c r="U173" t="s">
        <v>20</v>
      </c>
    </row>
    <row r="174" spans="1:21" x14ac:dyDescent="0.45">
      <c r="A174" s="79">
        <v>172224318</v>
      </c>
      <c r="B174" s="72" t="str">
        <f t="shared" si="6"/>
        <v>17.222.431-8</v>
      </c>
      <c r="C174" s="73" t="s">
        <v>22</v>
      </c>
      <c r="D174" s="29" t="s">
        <v>1028</v>
      </c>
      <c r="E174" s="29" t="s">
        <v>1029</v>
      </c>
      <c r="F174" s="29" t="s">
        <v>1030</v>
      </c>
      <c r="G174" s="49">
        <v>45430</v>
      </c>
      <c r="H174" s="49">
        <v>45431</v>
      </c>
      <c r="I174" s="29" t="s">
        <v>22</v>
      </c>
      <c r="J174" s="68" t="s">
        <v>66</v>
      </c>
      <c r="K174" s="24" t="s">
        <v>47</v>
      </c>
      <c r="L174" s="49">
        <v>45428</v>
      </c>
      <c r="M174" s="49">
        <v>45431</v>
      </c>
      <c r="N174" s="25">
        <f t="shared" si="8"/>
        <v>3</v>
      </c>
      <c r="O174" s="29"/>
      <c r="P174" t="s">
        <v>88</v>
      </c>
      <c r="Q174" t="s">
        <v>88</v>
      </c>
      <c r="R174" t="s">
        <v>88</v>
      </c>
      <c r="S174" t="s">
        <v>88</v>
      </c>
      <c r="T174" t="s">
        <v>88</v>
      </c>
      <c r="U174" t="s">
        <v>20</v>
      </c>
    </row>
    <row r="175" spans="1:21" x14ac:dyDescent="0.45">
      <c r="A175" s="79">
        <v>97243409</v>
      </c>
      <c r="B175" s="72" t="str">
        <f t="shared" si="6"/>
        <v>9.724.340-9</v>
      </c>
      <c r="C175" s="73" t="s">
        <v>22</v>
      </c>
      <c r="D175" s="29" t="s">
        <v>249</v>
      </c>
      <c r="E175" s="29" t="s">
        <v>617</v>
      </c>
      <c r="F175" s="29" t="s">
        <v>971</v>
      </c>
      <c r="G175" s="49">
        <v>45428</v>
      </c>
      <c r="H175" s="49">
        <v>45429</v>
      </c>
      <c r="I175" s="29" t="s">
        <v>54</v>
      </c>
      <c r="J175" s="68" t="s">
        <v>19</v>
      </c>
      <c r="K175" s="24" t="s">
        <v>43</v>
      </c>
      <c r="L175" s="49">
        <v>45428</v>
      </c>
      <c r="M175" s="49">
        <v>45429</v>
      </c>
      <c r="N175" s="25">
        <f t="shared" si="8"/>
        <v>1</v>
      </c>
      <c r="O175" s="29"/>
      <c r="P175" t="s">
        <v>88</v>
      </c>
      <c r="Q175" t="s">
        <v>88</v>
      </c>
      <c r="R175" t="s">
        <v>88</v>
      </c>
      <c r="S175" t="s">
        <v>88</v>
      </c>
      <c r="T175" t="s">
        <v>88</v>
      </c>
      <c r="U175" t="s">
        <v>20</v>
      </c>
    </row>
    <row r="176" spans="1:21" x14ac:dyDescent="0.45">
      <c r="A176" s="79">
        <v>97243409</v>
      </c>
      <c r="B176" s="72" t="str">
        <f t="shared" si="6"/>
        <v>9.724.340-9</v>
      </c>
      <c r="C176" s="73" t="s">
        <v>22</v>
      </c>
      <c r="D176" s="29" t="s">
        <v>249</v>
      </c>
      <c r="E176" s="29" t="s">
        <v>617</v>
      </c>
      <c r="F176" s="29" t="s">
        <v>971</v>
      </c>
      <c r="G176" s="49">
        <v>45428</v>
      </c>
      <c r="H176" s="49">
        <v>45429</v>
      </c>
      <c r="I176" s="29" t="s">
        <v>54</v>
      </c>
      <c r="J176" s="68" t="s">
        <v>19</v>
      </c>
      <c r="K176" s="24" t="s">
        <v>47</v>
      </c>
      <c r="L176" s="49">
        <v>45428</v>
      </c>
      <c r="M176" s="49">
        <v>45429</v>
      </c>
      <c r="N176" s="25">
        <f t="shared" si="8"/>
        <v>1</v>
      </c>
      <c r="O176" s="29"/>
      <c r="P176" t="s">
        <v>88</v>
      </c>
      <c r="Q176" t="s">
        <v>88</v>
      </c>
      <c r="R176" t="s">
        <v>88</v>
      </c>
      <c r="S176" t="s">
        <v>88</v>
      </c>
      <c r="T176" t="s">
        <v>88</v>
      </c>
      <c r="U176" t="s">
        <v>20</v>
      </c>
    </row>
    <row r="177" spans="1:21" x14ac:dyDescent="0.45">
      <c r="A177" s="79">
        <v>97243409</v>
      </c>
      <c r="B177" s="72" t="str">
        <f t="shared" si="6"/>
        <v>9.724.340-9</v>
      </c>
      <c r="C177" s="73" t="s">
        <v>22</v>
      </c>
      <c r="D177" s="29" t="s">
        <v>249</v>
      </c>
      <c r="E177" s="29" t="s">
        <v>617</v>
      </c>
      <c r="F177" s="29" t="s">
        <v>971</v>
      </c>
      <c r="G177" s="49">
        <v>45428</v>
      </c>
      <c r="H177" s="49">
        <v>45429</v>
      </c>
      <c r="I177" s="29" t="s">
        <v>54</v>
      </c>
      <c r="J177" s="68" t="s">
        <v>19</v>
      </c>
      <c r="K177" s="24" t="s">
        <v>55</v>
      </c>
      <c r="L177" s="49">
        <v>45428</v>
      </c>
      <c r="M177" s="49">
        <v>45429</v>
      </c>
      <c r="N177" s="25">
        <f t="shared" si="8"/>
        <v>1</v>
      </c>
      <c r="O177" s="29"/>
      <c r="P177" t="s">
        <v>88</v>
      </c>
      <c r="Q177" t="s">
        <v>88</v>
      </c>
      <c r="R177" t="s">
        <v>88</v>
      </c>
      <c r="S177" t="s">
        <v>88</v>
      </c>
      <c r="T177" t="s">
        <v>88</v>
      </c>
      <c r="U177" t="s">
        <v>20</v>
      </c>
    </row>
    <row r="178" spans="1:21" x14ac:dyDescent="0.45">
      <c r="A178" s="79">
        <v>163046555</v>
      </c>
      <c r="B178" s="72" t="str">
        <f t="shared" si="6"/>
        <v>16.304.655-5</v>
      </c>
      <c r="C178" s="73" t="s">
        <v>22</v>
      </c>
      <c r="D178" s="29" t="s">
        <v>537</v>
      </c>
      <c r="E178" s="29" t="s">
        <v>1031</v>
      </c>
      <c r="F178" s="29" t="s">
        <v>885</v>
      </c>
      <c r="G178" s="49">
        <v>45425</v>
      </c>
      <c r="H178" s="49">
        <v>45431</v>
      </c>
      <c r="I178" s="29" t="s">
        <v>54</v>
      </c>
      <c r="J178" s="68" t="s">
        <v>69</v>
      </c>
      <c r="K178" s="24" t="s">
        <v>47</v>
      </c>
      <c r="L178" s="49">
        <v>45425</v>
      </c>
      <c r="M178" s="49">
        <v>45431</v>
      </c>
      <c r="N178" s="25">
        <f t="shared" si="8"/>
        <v>6</v>
      </c>
      <c r="O178" s="29"/>
      <c r="P178" t="s">
        <v>88</v>
      </c>
      <c r="Q178" t="s">
        <v>88</v>
      </c>
      <c r="R178" t="s">
        <v>88</v>
      </c>
      <c r="S178" t="s">
        <v>88</v>
      </c>
      <c r="T178" t="s">
        <v>88</v>
      </c>
      <c r="U178" t="s">
        <v>20</v>
      </c>
    </row>
    <row r="179" spans="1:21" x14ac:dyDescent="0.45">
      <c r="A179" s="79">
        <v>163046555</v>
      </c>
      <c r="B179" s="72" t="str">
        <f t="shared" si="6"/>
        <v>16.304.655-5</v>
      </c>
      <c r="C179" s="73" t="s">
        <v>22</v>
      </c>
      <c r="D179" s="29" t="s">
        <v>537</v>
      </c>
      <c r="E179" s="29" t="s">
        <v>1031</v>
      </c>
      <c r="F179" s="29" t="s">
        <v>885</v>
      </c>
      <c r="G179" s="49">
        <v>45425</v>
      </c>
      <c r="H179" s="49">
        <v>45431</v>
      </c>
      <c r="I179" s="29" t="s">
        <v>54</v>
      </c>
      <c r="J179" s="68" t="s">
        <v>69</v>
      </c>
      <c r="K179" s="24" t="s">
        <v>43</v>
      </c>
      <c r="L179" s="49">
        <v>45425</v>
      </c>
      <c r="M179" s="49">
        <v>45431</v>
      </c>
      <c r="N179" s="25">
        <f t="shared" si="8"/>
        <v>6</v>
      </c>
      <c r="O179" s="29"/>
      <c r="P179" t="s">
        <v>88</v>
      </c>
      <c r="Q179" t="s">
        <v>88</v>
      </c>
      <c r="R179" t="s">
        <v>88</v>
      </c>
      <c r="S179" t="s">
        <v>88</v>
      </c>
      <c r="T179" t="s">
        <v>88</v>
      </c>
      <c r="U179" t="s">
        <v>20</v>
      </c>
    </row>
    <row r="180" spans="1:21" x14ac:dyDescent="0.45">
      <c r="A180" s="79">
        <v>163046555</v>
      </c>
      <c r="B180" s="72" t="str">
        <f t="shared" si="6"/>
        <v>16.304.655-5</v>
      </c>
      <c r="C180" s="73" t="s">
        <v>22</v>
      </c>
      <c r="D180" s="29" t="s">
        <v>537</v>
      </c>
      <c r="E180" s="29" t="s">
        <v>1031</v>
      </c>
      <c r="F180" s="29" t="s">
        <v>885</v>
      </c>
      <c r="G180" s="49">
        <v>45425</v>
      </c>
      <c r="H180" s="49">
        <v>45431</v>
      </c>
      <c r="I180" s="29" t="s">
        <v>54</v>
      </c>
      <c r="J180" s="68" t="s">
        <v>69</v>
      </c>
      <c r="K180" s="24" t="s">
        <v>55</v>
      </c>
      <c r="L180" s="49">
        <v>45425</v>
      </c>
      <c r="M180" s="49">
        <v>45431</v>
      </c>
      <c r="N180" s="25">
        <f t="shared" si="8"/>
        <v>6</v>
      </c>
      <c r="O180" s="29"/>
      <c r="P180" t="s">
        <v>88</v>
      </c>
      <c r="Q180" t="s">
        <v>88</v>
      </c>
      <c r="R180" t="s">
        <v>88</v>
      </c>
      <c r="S180" t="s">
        <v>88</v>
      </c>
      <c r="T180" t="s">
        <v>88</v>
      </c>
      <c r="U180" t="s">
        <v>20</v>
      </c>
    </row>
    <row r="181" spans="1:21" x14ac:dyDescent="0.45">
      <c r="A181" s="79" t="s">
        <v>1032</v>
      </c>
      <c r="B181" s="72" t="str">
        <f t="shared" si="6"/>
        <v>5.389.903-K</v>
      </c>
      <c r="C181" s="73" t="s">
        <v>22</v>
      </c>
      <c r="D181" s="29" t="s">
        <v>583</v>
      </c>
      <c r="E181" s="29" t="s">
        <v>1033</v>
      </c>
      <c r="F181" s="29" t="s">
        <v>562</v>
      </c>
      <c r="G181" s="49">
        <v>45426</v>
      </c>
      <c r="H181" s="49">
        <v>45434</v>
      </c>
      <c r="I181" s="29" t="s">
        <v>22</v>
      </c>
      <c r="J181" s="68" t="s">
        <v>24</v>
      </c>
      <c r="K181" s="24" t="s">
        <v>43</v>
      </c>
      <c r="L181" s="49">
        <v>45423</v>
      </c>
      <c r="M181" s="49">
        <v>45434</v>
      </c>
      <c r="N181" s="25">
        <f t="shared" si="8"/>
        <v>11</v>
      </c>
      <c r="O181" s="29"/>
      <c r="P181" t="s">
        <v>88</v>
      </c>
      <c r="Q181" t="s">
        <v>88</v>
      </c>
      <c r="R181" t="s">
        <v>88</v>
      </c>
      <c r="S181" t="s">
        <v>88</v>
      </c>
      <c r="T181" t="s">
        <v>88</v>
      </c>
      <c r="U181" t="s">
        <v>20</v>
      </c>
    </row>
    <row r="182" spans="1:21" x14ac:dyDescent="0.45">
      <c r="A182" s="79">
        <v>92869261</v>
      </c>
      <c r="B182" s="72" t="str">
        <f t="shared" si="6"/>
        <v>9.286.926-1</v>
      </c>
      <c r="C182" s="73" t="s">
        <v>22</v>
      </c>
      <c r="D182" s="29" t="s">
        <v>1034</v>
      </c>
      <c r="E182" s="29" t="s">
        <v>366</v>
      </c>
      <c r="F182" s="29" t="s">
        <v>468</v>
      </c>
      <c r="G182" s="49">
        <v>45428</v>
      </c>
      <c r="H182" s="49">
        <v>45430</v>
      </c>
      <c r="I182" s="29" t="s">
        <v>30</v>
      </c>
      <c r="J182" s="68" t="s">
        <v>24</v>
      </c>
      <c r="K182" s="24" t="s">
        <v>43</v>
      </c>
      <c r="L182" s="49">
        <v>45426</v>
      </c>
      <c r="M182" s="49">
        <v>45430</v>
      </c>
      <c r="N182" s="25">
        <f t="shared" si="8"/>
        <v>4</v>
      </c>
      <c r="O182" s="29"/>
      <c r="P182" t="s">
        <v>88</v>
      </c>
      <c r="Q182" t="s">
        <v>88</v>
      </c>
      <c r="R182" t="s">
        <v>88</v>
      </c>
      <c r="S182" t="s">
        <v>88</v>
      </c>
      <c r="T182" t="s">
        <v>88</v>
      </c>
      <c r="U182" t="s">
        <v>20</v>
      </c>
    </row>
    <row r="183" spans="1:21" x14ac:dyDescent="0.45">
      <c r="A183" s="79">
        <v>92869261</v>
      </c>
      <c r="B183" s="72" t="str">
        <f t="shared" si="6"/>
        <v>9.286.926-1</v>
      </c>
      <c r="C183" s="73" t="s">
        <v>22</v>
      </c>
      <c r="D183" s="29" t="s">
        <v>1034</v>
      </c>
      <c r="E183" s="29" t="s">
        <v>366</v>
      </c>
      <c r="F183" s="29" t="s">
        <v>468</v>
      </c>
      <c r="G183" s="49">
        <v>45428</v>
      </c>
      <c r="H183" s="49">
        <v>45430</v>
      </c>
      <c r="I183" s="29" t="s">
        <v>30</v>
      </c>
      <c r="J183" s="68" t="s">
        <v>24</v>
      </c>
      <c r="K183" s="24" t="s">
        <v>47</v>
      </c>
      <c r="L183" s="49">
        <v>45426</v>
      </c>
      <c r="M183" s="49">
        <v>45430</v>
      </c>
      <c r="N183" s="25">
        <f t="shared" si="8"/>
        <v>4</v>
      </c>
      <c r="O183" s="29"/>
      <c r="P183" t="s">
        <v>88</v>
      </c>
      <c r="Q183" t="s">
        <v>88</v>
      </c>
      <c r="R183" t="s">
        <v>88</v>
      </c>
      <c r="S183" t="s">
        <v>88</v>
      </c>
      <c r="T183" t="s">
        <v>88</v>
      </c>
      <c r="U183" t="s">
        <v>20</v>
      </c>
    </row>
    <row r="184" spans="1:21" x14ac:dyDescent="0.45">
      <c r="A184" s="79">
        <v>93350448</v>
      </c>
      <c r="B184" s="72" t="str">
        <f t="shared" si="6"/>
        <v>9.335.044-8</v>
      </c>
      <c r="C184" s="73" t="s">
        <v>22</v>
      </c>
      <c r="D184" s="29" t="s">
        <v>705</v>
      </c>
      <c r="E184" s="29" t="s">
        <v>705</v>
      </c>
      <c r="F184" s="29" t="s">
        <v>348</v>
      </c>
      <c r="G184" s="49">
        <v>45428</v>
      </c>
      <c r="H184" s="49">
        <v>45430</v>
      </c>
      <c r="I184" s="29" t="s">
        <v>22</v>
      </c>
      <c r="J184" s="68" t="s">
        <v>56</v>
      </c>
      <c r="K184" s="24" t="s">
        <v>43</v>
      </c>
      <c r="L184" s="49">
        <v>45426</v>
      </c>
      <c r="M184" s="49">
        <v>45430</v>
      </c>
      <c r="N184" s="25">
        <f t="shared" si="8"/>
        <v>4</v>
      </c>
      <c r="O184" s="29"/>
      <c r="P184" t="s">
        <v>88</v>
      </c>
      <c r="Q184" t="s">
        <v>88</v>
      </c>
      <c r="R184" t="s">
        <v>88</v>
      </c>
      <c r="S184" t="s">
        <v>88</v>
      </c>
      <c r="T184" t="s">
        <v>88</v>
      </c>
      <c r="U184" t="s">
        <v>20</v>
      </c>
    </row>
    <row r="185" spans="1:21" x14ac:dyDescent="0.45">
      <c r="A185" s="79">
        <v>94215412</v>
      </c>
      <c r="B185" s="72" t="str">
        <f t="shared" si="6"/>
        <v>9.421.541-2</v>
      </c>
      <c r="C185" s="73" t="s">
        <v>22</v>
      </c>
      <c r="D185" s="29" t="s">
        <v>352</v>
      </c>
      <c r="E185" s="29" t="s">
        <v>240</v>
      </c>
      <c r="F185" s="29" t="s">
        <v>975</v>
      </c>
      <c r="G185" s="49">
        <v>45418</v>
      </c>
      <c r="H185" s="49">
        <v>45427</v>
      </c>
      <c r="I185" s="29" t="s">
        <v>54</v>
      </c>
      <c r="J185" s="68" t="s">
        <v>13</v>
      </c>
      <c r="K185" s="24" t="s">
        <v>43</v>
      </c>
      <c r="L185" s="49">
        <v>45418</v>
      </c>
      <c r="M185" s="49">
        <v>45441</v>
      </c>
      <c r="N185" s="25">
        <f t="shared" si="8"/>
        <v>23</v>
      </c>
      <c r="O185" s="29"/>
      <c r="P185" t="s">
        <v>88</v>
      </c>
      <c r="Q185" t="s">
        <v>88</v>
      </c>
      <c r="R185" t="s">
        <v>88</v>
      </c>
      <c r="S185" t="s">
        <v>88</v>
      </c>
      <c r="T185" t="s">
        <v>88</v>
      </c>
      <c r="U185" t="s">
        <v>20</v>
      </c>
    </row>
    <row r="186" spans="1:21" x14ac:dyDescent="0.45">
      <c r="A186" s="79">
        <v>94215412</v>
      </c>
      <c r="B186" s="72" t="str">
        <f t="shared" si="6"/>
        <v>9.421.541-2</v>
      </c>
      <c r="C186" s="73" t="s">
        <v>22</v>
      </c>
      <c r="D186" s="29" t="s">
        <v>352</v>
      </c>
      <c r="E186" s="29" t="s">
        <v>240</v>
      </c>
      <c r="F186" s="29" t="s">
        <v>975</v>
      </c>
      <c r="G186" s="49">
        <v>45418</v>
      </c>
      <c r="H186" s="49">
        <v>45427</v>
      </c>
      <c r="I186" s="29" t="s">
        <v>54</v>
      </c>
      <c r="J186" s="68" t="s">
        <v>13</v>
      </c>
      <c r="K186" s="24" t="s">
        <v>47</v>
      </c>
      <c r="L186" s="49">
        <v>45418</v>
      </c>
      <c r="M186" s="49">
        <v>45441</v>
      </c>
      <c r="N186" s="25">
        <f t="shared" si="8"/>
        <v>23</v>
      </c>
      <c r="O186" s="29"/>
      <c r="P186" t="s">
        <v>88</v>
      </c>
      <c r="Q186" t="s">
        <v>88</v>
      </c>
      <c r="R186" t="s">
        <v>88</v>
      </c>
      <c r="S186" t="s">
        <v>88</v>
      </c>
      <c r="T186" t="s">
        <v>88</v>
      </c>
      <c r="U186" t="s">
        <v>20</v>
      </c>
    </row>
    <row r="187" spans="1:21" x14ac:dyDescent="0.45">
      <c r="A187" s="79">
        <v>204881898</v>
      </c>
      <c r="B187" s="72" t="str">
        <f t="shared" si="6"/>
        <v>20.488.189-8</v>
      </c>
      <c r="C187" s="73" t="s">
        <v>22</v>
      </c>
      <c r="D187" s="29" t="s">
        <v>537</v>
      </c>
      <c r="E187" s="29" t="s">
        <v>288</v>
      </c>
      <c r="F187" s="29" t="s">
        <v>1035</v>
      </c>
      <c r="G187" s="49">
        <v>45428</v>
      </c>
      <c r="H187" s="49">
        <v>45435</v>
      </c>
      <c r="I187" s="29" t="s">
        <v>22</v>
      </c>
      <c r="J187" s="68" t="s">
        <v>13</v>
      </c>
      <c r="K187" s="24" t="s">
        <v>43</v>
      </c>
      <c r="L187" s="49">
        <v>45425</v>
      </c>
      <c r="M187" s="49">
        <v>45435</v>
      </c>
      <c r="N187" s="25">
        <f t="shared" si="8"/>
        <v>10</v>
      </c>
      <c r="O187" s="29"/>
      <c r="P187" t="s">
        <v>88</v>
      </c>
      <c r="Q187" t="s">
        <v>88</v>
      </c>
      <c r="R187" t="s">
        <v>88</v>
      </c>
      <c r="S187" t="s">
        <v>88</v>
      </c>
      <c r="T187" t="s">
        <v>88</v>
      </c>
      <c r="U187" t="s">
        <v>20</v>
      </c>
    </row>
    <row r="188" spans="1:21" x14ac:dyDescent="0.45">
      <c r="A188" s="79">
        <v>204881898</v>
      </c>
      <c r="B188" s="72" t="str">
        <f t="shared" si="6"/>
        <v>20.488.189-8</v>
      </c>
      <c r="C188" s="73" t="s">
        <v>22</v>
      </c>
      <c r="D188" s="29" t="s">
        <v>537</v>
      </c>
      <c r="E188" s="29" t="s">
        <v>288</v>
      </c>
      <c r="F188" s="29" t="s">
        <v>1035</v>
      </c>
      <c r="G188" s="49">
        <v>45428</v>
      </c>
      <c r="H188" s="49">
        <v>45435</v>
      </c>
      <c r="I188" s="29" t="s">
        <v>22</v>
      </c>
      <c r="J188" s="68" t="s">
        <v>13</v>
      </c>
      <c r="K188" s="24" t="s">
        <v>47</v>
      </c>
      <c r="L188" s="49">
        <v>45425</v>
      </c>
      <c r="M188" s="49">
        <v>45435</v>
      </c>
      <c r="N188" s="25">
        <f t="shared" si="8"/>
        <v>10</v>
      </c>
      <c r="O188" s="29"/>
      <c r="P188" t="s">
        <v>88</v>
      </c>
      <c r="Q188" t="s">
        <v>88</v>
      </c>
      <c r="R188" t="s">
        <v>88</v>
      </c>
      <c r="S188" t="s">
        <v>88</v>
      </c>
      <c r="T188" t="s">
        <v>88</v>
      </c>
      <c r="U188" t="s">
        <v>20</v>
      </c>
    </row>
    <row r="189" spans="1:21" x14ac:dyDescent="0.45">
      <c r="A189" s="79">
        <v>81313237</v>
      </c>
      <c r="B189" s="72" t="str">
        <f t="shared" si="6"/>
        <v>8.131.323-7</v>
      </c>
      <c r="C189" s="73" t="s">
        <v>22</v>
      </c>
      <c r="D189" s="29" t="s">
        <v>1036</v>
      </c>
      <c r="E189" s="29" t="s">
        <v>364</v>
      </c>
      <c r="F189" s="29" t="s">
        <v>308</v>
      </c>
      <c r="G189" s="49">
        <v>45430</v>
      </c>
      <c r="H189" s="49">
        <v>45436</v>
      </c>
      <c r="I189" s="29" t="s">
        <v>54</v>
      </c>
      <c r="J189" s="68" t="s">
        <v>13</v>
      </c>
      <c r="K189" s="24" t="s">
        <v>43</v>
      </c>
      <c r="L189" s="49">
        <v>45430</v>
      </c>
      <c r="M189" s="49">
        <v>45436</v>
      </c>
      <c r="N189" s="25">
        <f t="shared" si="8"/>
        <v>6</v>
      </c>
      <c r="O189" s="29"/>
      <c r="P189" t="s">
        <v>88</v>
      </c>
      <c r="Q189" t="s">
        <v>88</v>
      </c>
      <c r="R189" t="s">
        <v>88</v>
      </c>
      <c r="S189" t="s">
        <v>88</v>
      </c>
      <c r="T189" t="s">
        <v>88</v>
      </c>
      <c r="U189" t="s">
        <v>20</v>
      </c>
    </row>
    <row r="190" spans="1:21" x14ac:dyDescent="0.45">
      <c r="A190" s="79">
        <v>77286632</v>
      </c>
      <c r="B190" s="72" t="str">
        <f t="shared" si="6"/>
        <v>7.728.663-2</v>
      </c>
      <c r="C190" s="73" t="s">
        <v>22</v>
      </c>
      <c r="D190" s="29" t="s">
        <v>1037</v>
      </c>
      <c r="E190" s="29" t="s">
        <v>282</v>
      </c>
      <c r="F190" s="29" t="s">
        <v>250</v>
      </c>
      <c r="G190" s="49">
        <v>45429</v>
      </c>
      <c r="H190" s="49">
        <v>45434</v>
      </c>
      <c r="I190" s="29" t="s">
        <v>54</v>
      </c>
      <c r="J190" s="68" t="s">
        <v>22</v>
      </c>
      <c r="K190" s="24" t="s">
        <v>43</v>
      </c>
      <c r="L190" s="49">
        <v>45429</v>
      </c>
      <c r="M190" s="49">
        <v>45434</v>
      </c>
      <c r="N190" s="25">
        <f t="shared" si="8"/>
        <v>5</v>
      </c>
      <c r="O190" s="29"/>
      <c r="P190" t="s">
        <v>98</v>
      </c>
      <c r="Q190" t="s">
        <v>88</v>
      </c>
      <c r="R190" t="s">
        <v>88</v>
      </c>
      <c r="S190" t="s">
        <v>88</v>
      </c>
      <c r="T190" t="s">
        <v>88</v>
      </c>
      <c r="U190" t="s">
        <v>14</v>
      </c>
    </row>
    <row r="191" spans="1:21" x14ac:dyDescent="0.45">
      <c r="A191" s="79">
        <v>77286632</v>
      </c>
      <c r="B191" s="72" t="str">
        <f t="shared" si="6"/>
        <v>7.728.663-2</v>
      </c>
      <c r="C191" s="73" t="s">
        <v>22</v>
      </c>
      <c r="D191" s="29" t="s">
        <v>1037</v>
      </c>
      <c r="E191" s="29" t="s">
        <v>282</v>
      </c>
      <c r="F191" s="29" t="s">
        <v>250</v>
      </c>
      <c r="G191" s="49">
        <v>45429</v>
      </c>
      <c r="H191" s="49">
        <v>45434</v>
      </c>
      <c r="I191" s="29" t="s">
        <v>54</v>
      </c>
      <c r="J191" s="68" t="s">
        <v>22</v>
      </c>
      <c r="K191" s="24" t="s">
        <v>47</v>
      </c>
      <c r="L191" s="49">
        <v>45429</v>
      </c>
      <c r="M191" s="49">
        <v>45434</v>
      </c>
      <c r="N191" s="25">
        <f t="shared" si="8"/>
        <v>5</v>
      </c>
      <c r="O191" s="29"/>
      <c r="P191" t="s">
        <v>88</v>
      </c>
      <c r="Q191" t="s">
        <v>88</v>
      </c>
      <c r="R191" t="s">
        <v>88</v>
      </c>
      <c r="S191" t="s">
        <v>88</v>
      </c>
      <c r="T191" t="s">
        <v>88</v>
      </c>
      <c r="U191" t="s">
        <v>20</v>
      </c>
    </row>
    <row r="192" spans="1:21" x14ac:dyDescent="0.45">
      <c r="A192" s="79">
        <v>77286632</v>
      </c>
      <c r="B192" s="72" t="str">
        <f t="shared" si="6"/>
        <v>7.728.663-2</v>
      </c>
      <c r="C192" s="73" t="s">
        <v>22</v>
      </c>
      <c r="D192" s="29" t="s">
        <v>1037</v>
      </c>
      <c r="E192" s="29" t="s">
        <v>282</v>
      </c>
      <c r="F192" s="29" t="s">
        <v>250</v>
      </c>
      <c r="G192" s="49">
        <v>45429</v>
      </c>
      <c r="H192" s="49">
        <v>45434</v>
      </c>
      <c r="I192" s="29" t="s">
        <v>54</v>
      </c>
      <c r="J192" s="68" t="s">
        <v>22</v>
      </c>
      <c r="K192" s="24" t="s">
        <v>55</v>
      </c>
      <c r="L192" s="49">
        <v>45429</v>
      </c>
      <c r="M192" s="49">
        <v>45434</v>
      </c>
      <c r="N192" s="25">
        <f t="shared" si="8"/>
        <v>5</v>
      </c>
      <c r="O192" s="29"/>
      <c r="P192" t="s">
        <v>88</v>
      </c>
      <c r="Q192" t="s">
        <v>88</v>
      </c>
      <c r="R192" t="s">
        <v>88</v>
      </c>
      <c r="S192" t="s">
        <v>88</v>
      </c>
      <c r="T192" t="s">
        <v>88</v>
      </c>
      <c r="U192" t="s">
        <v>20</v>
      </c>
    </row>
    <row r="193" spans="1:21" x14ac:dyDescent="0.45">
      <c r="A193" s="79">
        <v>219222181</v>
      </c>
      <c r="B193" s="72" t="str">
        <f t="shared" si="6"/>
        <v>21.922.218-1</v>
      </c>
      <c r="C193" s="73" t="s">
        <v>22</v>
      </c>
      <c r="D193" s="29" t="s">
        <v>1034</v>
      </c>
      <c r="E193" s="29" t="s">
        <v>307</v>
      </c>
      <c r="F193" s="29" t="s">
        <v>1038</v>
      </c>
      <c r="G193" s="49">
        <v>45431</v>
      </c>
      <c r="H193" s="49">
        <v>45439</v>
      </c>
      <c r="I193" s="29" t="s">
        <v>54</v>
      </c>
      <c r="J193" s="68" t="s">
        <v>61</v>
      </c>
      <c r="K193" s="24" t="s">
        <v>43</v>
      </c>
      <c r="L193" s="49">
        <v>45431</v>
      </c>
      <c r="M193" s="49">
        <v>45439</v>
      </c>
      <c r="N193" s="25">
        <f t="shared" si="8"/>
        <v>8</v>
      </c>
      <c r="O193" s="29"/>
      <c r="P193" t="s">
        <v>88</v>
      </c>
      <c r="Q193" t="s">
        <v>88</v>
      </c>
      <c r="R193" t="s">
        <v>88</v>
      </c>
      <c r="S193" t="s">
        <v>88</v>
      </c>
      <c r="T193" t="s">
        <v>88</v>
      </c>
      <c r="U193" t="s">
        <v>20</v>
      </c>
    </row>
    <row r="194" spans="1:21" x14ac:dyDescent="0.45">
      <c r="A194" s="79">
        <v>219222181</v>
      </c>
      <c r="B194" s="72" t="str">
        <f t="shared" si="6"/>
        <v>21.922.218-1</v>
      </c>
      <c r="C194" s="73" t="s">
        <v>22</v>
      </c>
      <c r="D194" s="29" t="s">
        <v>1034</v>
      </c>
      <c r="E194" s="29" t="s">
        <v>307</v>
      </c>
      <c r="F194" s="29" t="s">
        <v>1038</v>
      </c>
      <c r="G194" s="49">
        <v>45431</v>
      </c>
      <c r="H194" s="49">
        <v>45439</v>
      </c>
      <c r="I194" s="29" t="s">
        <v>54</v>
      </c>
      <c r="J194" s="68" t="s">
        <v>61</v>
      </c>
      <c r="K194" s="24" t="s">
        <v>47</v>
      </c>
      <c r="L194" s="49">
        <v>45431</v>
      </c>
      <c r="M194" s="49">
        <v>45439</v>
      </c>
      <c r="N194" s="25">
        <f t="shared" si="8"/>
        <v>8</v>
      </c>
      <c r="O194" s="29"/>
      <c r="P194" t="s">
        <v>88</v>
      </c>
      <c r="Q194" t="s">
        <v>88</v>
      </c>
      <c r="R194" t="s">
        <v>88</v>
      </c>
      <c r="S194" t="s">
        <v>88</v>
      </c>
      <c r="T194" t="s">
        <v>88</v>
      </c>
      <c r="U194" t="s">
        <v>20</v>
      </c>
    </row>
    <row r="195" spans="1:21" x14ac:dyDescent="0.45">
      <c r="A195" s="79">
        <v>115712780</v>
      </c>
      <c r="B195" s="72" t="str">
        <f t="shared" si="6"/>
        <v>11.571.278-0</v>
      </c>
      <c r="C195" s="73" t="s">
        <v>22</v>
      </c>
      <c r="D195" s="29" t="s">
        <v>684</v>
      </c>
      <c r="E195" s="29" t="s">
        <v>1024</v>
      </c>
      <c r="F195" s="29" t="s">
        <v>601</v>
      </c>
      <c r="G195" s="49">
        <v>45426</v>
      </c>
      <c r="H195" s="49">
        <v>45432</v>
      </c>
      <c r="I195" s="29" t="s">
        <v>54</v>
      </c>
      <c r="J195" s="68" t="s">
        <v>56</v>
      </c>
      <c r="K195" s="24" t="s">
        <v>43</v>
      </c>
      <c r="L195" s="49">
        <v>45426</v>
      </c>
      <c r="M195" s="49">
        <v>45432</v>
      </c>
      <c r="N195" s="25">
        <f t="shared" ref="N195:N226" si="9">+M195-L195</f>
        <v>6</v>
      </c>
      <c r="O195" s="29"/>
      <c r="P195" t="s">
        <v>88</v>
      </c>
      <c r="Q195" t="s">
        <v>88</v>
      </c>
      <c r="R195" t="s">
        <v>88</v>
      </c>
      <c r="S195" t="s">
        <v>88</v>
      </c>
      <c r="T195" t="s">
        <v>88</v>
      </c>
      <c r="U195" t="s">
        <v>20</v>
      </c>
    </row>
    <row r="196" spans="1:21" x14ac:dyDescent="0.45">
      <c r="A196" s="79">
        <v>140613290</v>
      </c>
      <c r="B196" s="72" t="str">
        <f t="shared" si="6"/>
        <v>14.061.329-0</v>
      </c>
      <c r="C196" s="73" t="s">
        <v>22</v>
      </c>
      <c r="D196" s="29" t="s">
        <v>435</v>
      </c>
      <c r="E196" s="29" t="s">
        <v>498</v>
      </c>
      <c r="F196" s="29" t="s">
        <v>1039</v>
      </c>
      <c r="G196" s="49">
        <v>45430</v>
      </c>
      <c r="H196" s="49">
        <v>45436</v>
      </c>
      <c r="I196" s="29" t="s">
        <v>22</v>
      </c>
      <c r="J196" s="68" t="s">
        <v>26</v>
      </c>
      <c r="K196" s="24" t="s">
        <v>43</v>
      </c>
      <c r="L196" s="49">
        <v>45422</v>
      </c>
      <c r="M196" s="49">
        <v>45436</v>
      </c>
      <c r="N196" s="25">
        <f t="shared" si="9"/>
        <v>14</v>
      </c>
      <c r="O196" s="29"/>
      <c r="P196" t="s">
        <v>88</v>
      </c>
      <c r="Q196" t="s">
        <v>88</v>
      </c>
      <c r="R196" t="s">
        <v>88</v>
      </c>
      <c r="S196" t="s">
        <v>88</v>
      </c>
      <c r="T196" t="s">
        <v>88</v>
      </c>
      <c r="U196" t="s">
        <v>20</v>
      </c>
    </row>
    <row r="197" spans="1:21" x14ac:dyDescent="0.45">
      <c r="A197" s="79">
        <v>140613290</v>
      </c>
      <c r="B197" s="72" t="str">
        <f t="shared" si="6"/>
        <v>14.061.329-0</v>
      </c>
      <c r="C197" s="73" t="s">
        <v>22</v>
      </c>
      <c r="D197" s="29" t="s">
        <v>435</v>
      </c>
      <c r="E197" s="29" t="s">
        <v>498</v>
      </c>
      <c r="F197" s="29" t="s">
        <v>1039</v>
      </c>
      <c r="G197" s="49">
        <v>45430</v>
      </c>
      <c r="H197" s="49">
        <v>45436</v>
      </c>
      <c r="I197" s="29" t="s">
        <v>22</v>
      </c>
      <c r="J197" s="68" t="s">
        <v>26</v>
      </c>
      <c r="K197" s="24" t="s">
        <v>47</v>
      </c>
      <c r="L197" s="49">
        <v>45425</v>
      </c>
      <c r="M197" s="49">
        <v>45436</v>
      </c>
      <c r="N197" s="25">
        <f t="shared" si="9"/>
        <v>11</v>
      </c>
      <c r="O197" s="29"/>
      <c r="P197" t="s">
        <v>88</v>
      </c>
      <c r="Q197" t="s">
        <v>88</v>
      </c>
      <c r="R197" t="s">
        <v>88</v>
      </c>
      <c r="S197" t="s">
        <v>88</v>
      </c>
      <c r="T197" t="s">
        <v>88</v>
      </c>
      <c r="U197" t="s">
        <v>20</v>
      </c>
    </row>
    <row r="198" spans="1:21" x14ac:dyDescent="0.45">
      <c r="A198" s="79">
        <v>140613290</v>
      </c>
      <c r="B198" s="72" t="str">
        <f t="shared" si="6"/>
        <v>14.061.329-0</v>
      </c>
      <c r="C198" s="73" t="s">
        <v>22</v>
      </c>
      <c r="D198" s="29" t="s">
        <v>435</v>
      </c>
      <c r="E198" s="29" t="s">
        <v>498</v>
      </c>
      <c r="F198" s="29" t="s">
        <v>1039</v>
      </c>
      <c r="G198" s="49">
        <v>45430</v>
      </c>
      <c r="H198" s="49">
        <v>45436</v>
      </c>
      <c r="I198" s="29" t="s">
        <v>22</v>
      </c>
      <c r="J198" s="68" t="s">
        <v>26</v>
      </c>
      <c r="K198" s="24" t="s">
        <v>55</v>
      </c>
      <c r="L198" s="49">
        <v>45422</v>
      </c>
      <c r="M198" s="49">
        <v>45436</v>
      </c>
      <c r="N198" s="25">
        <f t="shared" si="9"/>
        <v>14</v>
      </c>
      <c r="O198" s="29"/>
      <c r="P198" t="s">
        <v>132</v>
      </c>
      <c r="Q198" t="s">
        <v>88</v>
      </c>
      <c r="R198" t="s">
        <v>88</v>
      </c>
      <c r="S198" t="s">
        <v>88</v>
      </c>
      <c r="T198" t="s">
        <v>88</v>
      </c>
      <c r="U198" t="s">
        <v>20</v>
      </c>
    </row>
    <row r="199" spans="1:21" x14ac:dyDescent="0.45">
      <c r="A199" s="79">
        <v>159748820</v>
      </c>
      <c r="B199" s="72" t="str">
        <f t="shared" si="6"/>
        <v>15.974.882-0</v>
      </c>
      <c r="C199" s="73" t="s">
        <v>22</v>
      </c>
      <c r="D199" s="29" t="s">
        <v>1040</v>
      </c>
      <c r="E199" s="29" t="s">
        <v>1041</v>
      </c>
      <c r="F199" s="29" t="s">
        <v>1042</v>
      </c>
      <c r="G199" s="49">
        <v>45430</v>
      </c>
      <c r="H199" s="49">
        <v>45439</v>
      </c>
      <c r="I199" s="29" t="s">
        <v>22</v>
      </c>
      <c r="J199" s="68" t="s">
        <v>13</v>
      </c>
      <c r="K199" s="24" t="s">
        <v>43</v>
      </c>
      <c r="L199" s="49">
        <v>45429</v>
      </c>
      <c r="M199" s="49">
        <v>45436</v>
      </c>
      <c r="N199" s="25">
        <f t="shared" si="9"/>
        <v>7</v>
      </c>
      <c r="O199" s="29"/>
      <c r="P199" t="s">
        <v>88</v>
      </c>
      <c r="Q199" t="s">
        <v>88</v>
      </c>
      <c r="R199" t="s">
        <v>88</v>
      </c>
      <c r="S199" t="s">
        <v>88</v>
      </c>
      <c r="T199" t="s">
        <v>88</v>
      </c>
      <c r="U199" t="s">
        <v>20</v>
      </c>
    </row>
    <row r="200" spans="1:21" x14ac:dyDescent="0.45">
      <c r="A200" s="79">
        <v>88969359</v>
      </c>
      <c r="B200" s="72" t="str">
        <f t="shared" ref="B200:B263" si="10">IF(LEN(A200)=8,MID(A200,1,1)&amp;"."&amp;MID(A200,2,3)&amp;"."&amp;MID(A200,5,3)&amp;"-"&amp;RIGHT(A200,1),IF(LEFT(RIGHT(A200,2),1)="-",MID(A200,1,1)&amp;"."&amp;MID(A200,2,3)&amp;"."&amp;MID(A200,5,3)&amp;"-"&amp;RIGHT(A200,1),MID(A200,1,2)&amp;"."&amp;MID(A200,3,3)&amp;"."&amp;MID(A200,6,3)&amp;"-"&amp;MID(A200,9,1)))</f>
        <v>8.896.935-9</v>
      </c>
      <c r="C200" s="73" t="s">
        <v>22</v>
      </c>
      <c r="D200" s="29" t="s">
        <v>281</v>
      </c>
      <c r="E200" s="29" t="s">
        <v>341</v>
      </c>
      <c r="F200" s="29" t="s">
        <v>939</v>
      </c>
      <c r="G200" s="49">
        <v>45430</v>
      </c>
      <c r="H200" s="49">
        <v>45435</v>
      </c>
      <c r="I200" s="29" t="s">
        <v>22</v>
      </c>
      <c r="J200" s="68" t="s">
        <v>26</v>
      </c>
      <c r="K200" s="24" t="s">
        <v>43</v>
      </c>
      <c r="L200" s="49">
        <v>45413</v>
      </c>
      <c r="M200" s="49">
        <v>45435</v>
      </c>
      <c r="N200" s="25">
        <f t="shared" si="9"/>
        <v>22</v>
      </c>
      <c r="O200" s="29"/>
      <c r="P200" t="s">
        <v>88</v>
      </c>
      <c r="Q200" t="s">
        <v>88</v>
      </c>
      <c r="R200" t="s">
        <v>88</v>
      </c>
      <c r="S200" t="s">
        <v>88</v>
      </c>
      <c r="T200" t="s">
        <v>88</v>
      </c>
      <c r="U200" t="s">
        <v>20</v>
      </c>
    </row>
    <row r="201" spans="1:21" x14ac:dyDescent="0.45">
      <c r="A201" s="79">
        <v>88969359</v>
      </c>
      <c r="B201" s="72" t="str">
        <f t="shared" si="10"/>
        <v>8.896.935-9</v>
      </c>
      <c r="C201" s="73" t="s">
        <v>22</v>
      </c>
      <c r="D201" s="29" t="s">
        <v>281</v>
      </c>
      <c r="E201" s="29" t="s">
        <v>341</v>
      </c>
      <c r="F201" s="29" t="s">
        <v>939</v>
      </c>
      <c r="G201" s="49">
        <v>45430</v>
      </c>
      <c r="H201" s="49">
        <v>45435</v>
      </c>
      <c r="I201" s="29" t="s">
        <v>22</v>
      </c>
      <c r="J201" s="68" t="s">
        <v>26</v>
      </c>
      <c r="K201" s="24" t="s">
        <v>47</v>
      </c>
      <c r="L201" s="49">
        <v>45426</v>
      </c>
      <c r="M201" s="49">
        <v>45435</v>
      </c>
      <c r="N201" s="25">
        <f t="shared" si="9"/>
        <v>9</v>
      </c>
      <c r="O201" s="29"/>
      <c r="P201" t="s">
        <v>88</v>
      </c>
      <c r="Q201" t="s">
        <v>88</v>
      </c>
      <c r="R201" t="s">
        <v>88</v>
      </c>
      <c r="S201" t="s">
        <v>88</v>
      </c>
      <c r="T201" t="s">
        <v>88</v>
      </c>
      <c r="U201" t="s">
        <v>20</v>
      </c>
    </row>
    <row r="202" spans="1:21" x14ac:dyDescent="0.45">
      <c r="A202" s="79">
        <v>103052874</v>
      </c>
      <c r="B202" s="72" t="str">
        <f t="shared" si="10"/>
        <v>10.305.287-4</v>
      </c>
      <c r="C202" s="73" t="s">
        <v>46</v>
      </c>
      <c r="D202" s="29" t="s">
        <v>929</v>
      </c>
      <c r="E202" s="29" t="s">
        <v>329</v>
      </c>
      <c r="F202" s="29" t="s">
        <v>669</v>
      </c>
      <c r="G202" s="49">
        <v>45434</v>
      </c>
      <c r="H202" s="49">
        <v>45437</v>
      </c>
      <c r="I202" s="29" t="s">
        <v>54</v>
      </c>
      <c r="J202" s="68" t="s">
        <v>13</v>
      </c>
      <c r="K202" s="24" t="s">
        <v>47</v>
      </c>
      <c r="L202" s="49">
        <v>45432</v>
      </c>
      <c r="M202" s="49">
        <v>45437</v>
      </c>
      <c r="N202" s="25">
        <f t="shared" si="9"/>
        <v>5</v>
      </c>
      <c r="O202" s="29"/>
      <c r="P202" t="s">
        <v>88</v>
      </c>
      <c r="Q202" t="s">
        <v>88</v>
      </c>
      <c r="R202" t="s">
        <v>88</v>
      </c>
      <c r="S202" t="s">
        <v>88</v>
      </c>
      <c r="T202" t="s">
        <v>88</v>
      </c>
      <c r="U202" t="s">
        <v>20</v>
      </c>
    </row>
    <row r="203" spans="1:21" x14ac:dyDescent="0.45">
      <c r="A203" s="79">
        <v>56497773</v>
      </c>
      <c r="B203" s="72" t="str">
        <f t="shared" si="10"/>
        <v>5.649.777-3</v>
      </c>
      <c r="C203" s="73" t="s">
        <v>46</v>
      </c>
      <c r="D203" s="29" t="s">
        <v>736</v>
      </c>
      <c r="E203" s="29" t="s">
        <v>1018</v>
      </c>
      <c r="F203" s="29" t="s">
        <v>348</v>
      </c>
      <c r="G203" s="49">
        <v>45431</v>
      </c>
      <c r="H203" s="49">
        <v>45436</v>
      </c>
      <c r="I203" s="29" t="s">
        <v>24</v>
      </c>
      <c r="J203" s="68" t="s">
        <v>69</v>
      </c>
      <c r="K203" s="24" t="s">
        <v>43</v>
      </c>
      <c r="L203" s="49">
        <v>45422</v>
      </c>
      <c r="M203" s="49">
        <v>45436</v>
      </c>
      <c r="N203" s="25">
        <f t="shared" si="9"/>
        <v>14</v>
      </c>
      <c r="O203" s="29"/>
      <c r="P203" t="s">
        <v>88</v>
      </c>
      <c r="Q203" t="s">
        <v>88</v>
      </c>
      <c r="R203" t="s">
        <v>88</v>
      </c>
      <c r="S203" t="s">
        <v>88</v>
      </c>
      <c r="T203" t="s">
        <v>88</v>
      </c>
      <c r="U203" t="s">
        <v>20</v>
      </c>
    </row>
    <row r="204" spans="1:21" x14ac:dyDescent="0.45">
      <c r="A204" s="79">
        <v>76626936</v>
      </c>
      <c r="B204" s="72" t="str">
        <f t="shared" si="10"/>
        <v>7.662.693-6</v>
      </c>
      <c r="C204" s="73" t="s">
        <v>46</v>
      </c>
      <c r="D204" s="29" t="s">
        <v>310</v>
      </c>
      <c r="E204" s="29" t="s">
        <v>561</v>
      </c>
      <c r="F204" s="29" t="s">
        <v>1043</v>
      </c>
      <c r="G204" s="49">
        <v>45432</v>
      </c>
      <c r="H204" s="49">
        <v>45439</v>
      </c>
      <c r="I204" s="29" t="s">
        <v>54</v>
      </c>
      <c r="J204" s="68" t="s">
        <v>13</v>
      </c>
      <c r="K204" s="24" t="s">
        <v>51</v>
      </c>
      <c r="L204" s="49">
        <v>45431</v>
      </c>
      <c r="M204" s="49">
        <v>45439</v>
      </c>
      <c r="N204" s="25">
        <f t="shared" si="9"/>
        <v>8</v>
      </c>
      <c r="O204" s="29"/>
      <c r="P204" t="s">
        <v>88</v>
      </c>
      <c r="Q204" t="s">
        <v>88</v>
      </c>
      <c r="R204" t="s">
        <v>88</v>
      </c>
      <c r="S204" t="s">
        <v>88</v>
      </c>
      <c r="T204" t="s">
        <v>88</v>
      </c>
      <c r="U204" t="s">
        <v>20</v>
      </c>
    </row>
    <row r="205" spans="1:21" x14ac:dyDescent="0.45">
      <c r="A205" s="79">
        <v>81313237</v>
      </c>
      <c r="B205" s="72" t="str">
        <f t="shared" si="10"/>
        <v>8.131.323-7</v>
      </c>
      <c r="C205" s="73" t="s">
        <v>46</v>
      </c>
      <c r="D205" s="29" t="s">
        <v>1036</v>
      </c>
      <c r="E205" s="29" t="s">
        <v>364</v>
      </c>
      <c r="F205" s="29" t="s">
        <v>308</v>
      </c>
      <c r="G205" s="49">
        <v>45433</v>
      </c>
      <c r="H205" s="49">
        <v>45436</v>
      </c>
      <c r="I205" s="29" t="s">
        <v>22</v>
      </c>
      <c r="J205" s="68" t="s">
        <v>13</v>
      </c>
      <c r="K205" s="24" t="s">
        <v>43</v>
      </c>
      <c r="L205" s="49">
        <v>45430</v>
      </c>
      <c r="M205" s="49">
        <v>45436</v>
      </c>
      <c r="N205" s="25">
        <f t="shared" si="9"/>
        <v>6</v>
      </c>
      <c r="O205" s="29"/>
      <c r="P205" t="s">
        <v>88</v>
      </c>
      <c r="Q205" t="s">
        <v>88</v>
      </c>
      <c r="R205" t="s">
        <v>88</v>
      </c>
      <c r="S205" t="s">
        <v>88</v>
      </c>
      <c r="T205" t="s">
        <v>88</v>
      </c>
      <c r="U205" t="s">
        <v>20</v>
      </c>
    </row>
    <row r="206" spans="1:21" x14ac:dyDescent="0.45">
      <c r="A206" s="79">
        <v>55673845</v>
      </c>
      <c r="B206" s="72" t="str">
        <f t="shared" si="10"/>
        <v>5.567.384-5</v>
      </c>
      <c r="C206" s="73" t="s">
        <v>46</v>
      </c>
      <c r="D206" s="29" t="s">
        <v>422</v>
      </c>
      <c r="E206" s="29" t="s">
        <v>863</v>
      </c>
      <c r="F206" s="29" t="s">
        <v>250</v>
      </c>
      <c r="G206" s="49">
        <v>45432</v>
      </c>
      <c r="H206" s="49">
        <v>45441</v>
      </c>
      <c r="I206" s="29" t="s">
        <v>54</v>
      </c>
      <c r="J206" s="68" t="s">
        <v>13</v>
      </c>
      <c r="K206" s="24" t="s">
        <v>47</v>
      </c>
      <c r="L206" s="49">
        <v>45432</v>
      </c>
      <c r="M206" s="49">
        <v>45441</v>
      </c>
      <c r="N206" s="25">
        <f t="shared" si="9"/>
        <v>9</v>
      </c>
      <c r="O206" s="29"/>
      <c r="P206" t="s">
        <v>88</v>
      </c>
      <c r="Q206" t="s">
        <v>88</v>
      </c>
      <c r="R206" t="s">
        <v>88</v>
      </c>
      <c r="S206" t="s">
        <v>88</v>
      </c>
      <c r="T206" t="s">
        <v>88</v>
      </c>
      <c r="U206" t="s">
        <v>20</v>
      </c>
    </row>
    <row r="207" spans="1:21" x14ac:dyDescent="0.45">
      <c r="A207" s="79">
        <v>54273304</v>
      </c>
      <c r="B207" s="72" t="str">
        <f t="shared" si="10"/>
        <v>5.427.330-4</v>
      </c>
      <c r="C207" s="73" t="s">
        <v>46</v>
      </c>
      <c r="D207" s="29" t="s">
        <v>347</v>
      </c>
      <c r="E207" s="29" t="s">
        <v>1044</v>
      </c>
      <c r="F207" s="29" t="s">
        <v>638</v>
      </c>
      <c r="G207" s="49">
        <v>45433</v>
      </c>
      <c r="H207" s="49">
        <v>45436</v>
      </c>
      <c r="I207" s="29" t="s">
        <v>22</v>
      </c>
      <c r="J207" s="68" t="s">
        <v>13</v>
      </c>
      <c r="K207" s="24" t="s">
        <v>23</v>
      </c>
      <c r="L207" s="49">
        <v>45434</v>
      </c>
      <c r="M207" s="49">
        <v>45436</v>
      </c>
      <c r="N207" s="25">
        <f t="shared" si="9"/>
        <v>2</v>
      </c>
      <c r="O207" s="29"/>
      <c r="P207" t="s">
        <v>88</v>
      </c>
      <c r="Q207" t="s">
        <v>88</v>
      </c>
      <c r="R207" t="s">
        <v>88</v>
      </c>
      <c r="S207" t="s">
        <v>88</v>
      </c>
      <c r="T207" t="s">
        <v>88</v>
      </c>
      <c r="U207" t="s">
        <v>20</v>
      </c>
    </row>
    <row r="208" spans="1:21" x14ac:dyDescent="0.45">
      <c r="A208" s="79">
        <v>284297288</v>
      </c>
      <c r="B208" s="72" t="str">
        <f t="shared" si="10"/>
        <v>28.429.728-8</v>
      </c>
      <c r="C208" s="73" t="s">
        <v>16</v>
      </c>
      <c r="D208" s="29" t="s">
        <v>991</v>
      </c>
      <c r="E208" s="29" t="s">
        <v>555</v>
      </c>
      <c r="F208" s="29" t="s">
        <v>1045</v>
      </c>
      <c r="G208" s="49">
        <v>45423</v>
      </c>
      <c r="H208" s="49">
        <v>45443</v>
      </c>
      <c r="I208" s="29" t="s">
        <v>36</v>
      </c>
      <c r="J208" s="68" t="s">
        <v>65</v>
      </c>
      <c r="K208" s="24" t="s">
        <v>18</v>
      </c>
      <c r="L208" s="49">
        <v>45424</v>
      </c>
      <c r="M208" s="49">
        <v>45443</v>
      </c>
      <c r="N208" s="25">
        <f t="shared" si="9"/>
        <v>19</v>
      </c>
      <c r="O208" s="29"/>
      <c r="P208" t="s">
        <v>88</v>
      </c>
      <c r="Q208" t="s">
        <v>88</v>
      </c>
      <c r="R208" t="s">
        <v>88</v>
      </c>
      <c r="S208" t="s">
        <v>88</v>
      </c>
      <c r="T208" t="s">
        <v>88</v>
      </c>
      <c r="U208" t="s">
        <v>20</v>
      </c>
    </row>
    <row r="209" spans="1:21" x14ac:dyDescent="0.45">
      <c r="A209" s="79">
        <v>93247965</v>
      </c>
      <c r="B209" s="72" t="str">
        <f t="shared" si="10"/>
        <v>9.324.796-5</v>
      </c>
      <c r="C209" s="73" t="s">
        <v>22</v>
      </c>
      <c r="D209" s="29" t="s">
        <v>488</v>
      </c>
      <c r="E209" s="29" t="s">
        <v>338</v>
      </c>
      <c r="F209" s="29" t="s">
        <v>901</v>
      </c>
      <c r="G209" s="49">
        <v>45434</v>
      </c>
      <c r="H209" s="49">
        <v>45443</v>
      </c>
      <c r="I209" s="29" t="s">
        <v>54</v>
      </c>
      <c r="J209" s="68" t="s">
        <v>65</v>
      </c>
      <c r="K209" s="24" t="s">
        <v>43</v>
      </c>
      <c r="L209" s="49">
        <v>45434</v>
      </c>
      <c r="M209" s="49">
        <v>45443</v>
      </c>
      <c r="N209" s="25">
        <f t="shared" si="9"/>
        <v>9</v>
      </c>
      <c r="O209" s="29"/>
      <c r="P209" t="s">
        <v>88</v>
      </c>
      <c r="Q209" t="s">
        <v>88</v>
      </c>
      <c r="R209" t="s">
        <v>88</v>
      </c>
      <c r="S209" t="s">
        <v>88</v>
      </c>
      <c r="T209" t="s">
        <v>88</v>
      </c>
      <c r="U209" t="s">
        <v>20</v>
      </c>
    </row>
    <row r="210" spans="1:21" x14ac:dyDescent="0.45">
      <c r="A210" s="79">
        <v>93247965</v>
      </c>
      <c r="B210" s="72" t="str">
        <f t="shared" si="10"/>
        <v>9.324.796-5</v>
      </c>
      <c r="C210" s="73" t="s">
        <v>22</v>
      </c>
      <c r="D210" s="29" t="s">
        <v>488</v>
      </c>
      <c r="E210" s="29" t="s">
        <v>338</v>
      </c>
      <c r="F210" s="29" t="s">
        <v>901</v>
      </c>
      <c r="G210" s="49">
        <v>45434</v>
      </c>
      <c r="H210" s="49">
        <v>45443</v>
      </c>
      <c r="I210" s="29" t="s">
        <v>54</v>
      </c>
      <c r="J210" s="68" t="s">
        <v>65</v>
      </c>
      <c r="K210" s="24" t="s">
        <v>47</v>
      </c>
      <c r="L210" s="49">
        <v>45434</v>
      </c>
      <c r="M210" s="49">
        <v>45443</v>
      </c>
      <c r="N210" s="25">
        <f t="shared" si="9"/>
        <v>9</v>
      </c>
      <c r="O210" s="29"/>
      <c r="P210" t="s">
        <v>88</v>
      </c>
      <c r="Q210" t="s">
        <v>88</v>
      </c>
      <c r="R210" t="s">
        <v>88</v>
      </c>
      <c r="S210" t="s">
        <v>88</v>
      </c>
      <c r="T210" t="s">
        <v>88</v>
      </c>
      <c r="U210" t="s">
        <v>20</v>
      </c>
    </row>
    <row r="211" spans="1:21" x14ac:dyDescent="0.45">
      <c r="A211" s="79">
        <v>93247965</v>
      </c>
      <c r="B211" s="72" t="str">
        <f t="shared" si="10"/>
        <v>9.324.796-5</v>
      </c>
      <c r="C211" s="73" t="s">
        <v>22</v>
      </c>
      <c r="D211" s="29" t="s">
        <v>488</v>
      </c>
      <c r="E211" s="29" t="s">
        <v>338</v>
      </c>
      <c r="F211" s="29" t="s">
        <v>901</v>
      </c>
      <c r="G211" s="49">
        <v>45434</v>
      </c>
      <c r="H211" s="49">
        <v>45443</v>
      </c>
      <c r="I211" s="29" t="s">
        <v>54</v>
      </c>
      <c r="J211" s="68" t="s">
        <v>65</v>
      </c>
      <c r="K211" s="24" t="s">
        <v>55</v>
      </c>
      <c r="L211" s="49">
        <v>45434</v>
      </c>
      <c r="M211" s="49">
        <v>45443</v>
      </c>
      <c r="N211" s="25">
        <f t="shared" si="9"/>
        <v>9</v>
      </c>
      <c r="O211" s="29"/>
      <c r="P211" t="s">
        <v>88</v>
      </c>
      <c r="Q211" t="s">
        <v>88</v>
      </c>
      <c r="R211" t="s">
        <v>88</v>
      </c>
      <c r="S211" t="s">
        <v>88</v>
      </c>
      <c r="T211" t="s">
        <v>88</v>
      </c>
      <c r="U211" t="s">
        <v>20</v>
      </c>
    </row>
    <row r="212" spans="1:21" x14ac:dyDescent="0.45">
      <c r="A212" s="79" t="s">
        <v>1046</v>
      </c>
      <c r="B212" s="72" t="str">
        <f t="shared" si="10"/>
        <v>5.246.577-K</v>
      </c>
      <c r="C212" s="73" t="s">
        <v>22</v>
      </c>
      <c r="D212" s="29" t="s">
        <v>547</v>
      </c>
      <c r="E212" s="29" t="s">
        <v>488</v>
      </c>
      <c r="F212" s="29" t="s">
        <v>1047</v>
      </c>
      <c r="G212" s="49">
        <v>45435</v>
      </c>
      <c r="H212" s="49">
        <v>45441</v>
      </c>
      <c r="I212" s="29" t="s">
        <v>54</v>
      </c>
      <c r="J212" s="68" t="s">
        <v>26</v>
      </c>
      <c r="K212" s="24" t="s">
        <v>43</v>
      </c>
      <c r="L212" s="49">
        <v>45435</v>
      </c>
      <c r="M212" s="49">
        <v>45441</v>
      </c>
      <c r="N212" s="25">
        <f t="shared" si="9"/>
        <v>6</v>
      </c>
      <c r="O212" s="29"/>
      <c r="P212" t="s">
        <v>88</v>
      </c>
      <c r="Q212" t="s">
        <v>88</v>
      </c>
      <c r="R212" t="s">
        <v>88</v>
      </c>
      <c r="S212" t="s">
        <v>88</v>
      </c>
      <c r="T212" t="s">
        <v>88</v>
      </c>
      <c r="U212" t="s">
        <v>20</v>
      </c>
    </row>
    <row r="213" spans="1:21" x14ac:dyDescent="0.45">
      <c r="A213" s="79" t="s">
        <v>1046</v>
      </c>
      <c r="B213" s="72" t="str">
        <f t="shared" si="10"/>
        <v>5.246.577-K</v>
      </c>
      <c r="C213" s="73" t="s">
        <v>22</v>
      </c>
      <c r="D213" s="29" t="s">
        <v>547</v>
      </c>
      <c r="E213" s="29" t="s">
        <v>488</v>
      </c>
      <c r="F213" s="29" t="s">
        <v>1047</v>
      </c>
      <c r="G213" s="49">
        <v>45435</v>
      </c>
      <c r="H213" s="49">
        <v>45441</v>
      </c>
      <c r="I213" s="29" t="s">
        <v>54</v>
      </c>
      <c r="J213" s="68" t="s">
        <v>26</v>
      </c>
      <c r="K213" s="24" t="s">
        <v>47</v>
      </c>
      <c r="L213" s="49">
        <v>45435</v>
      </c>
      <c r="M213" s="49">
        <v>45441</v>
      </c>
      <c r="N213" s="25">
        <f t="shared" si="9"/>
        <v>6</v>
      </c>
      <c r="O213" s="29"/>
      <c r="P213" t="s">
        <v>88</v>
      </c>
      <c r="Q213" t="s">
        <v>88</v>
      </c>
      <c r="R213" t="s">
        <v>88</v>
      </c>
      <c r="S213" t="s">
        <v>88</v>
      </c>
      <c r="T213" t="s">
        <v>88</v>
      </c>
      <c r="U213" t="s">
        <v>20</v>
      </c>
    </row>
    <row r="214" spans="1:21" x14ac:dyDescent="0.45">
      <c r="A214" s="79" t="s">
        <v>1046</v>
      </c>
      <c r="B214" s="72" t="str">
        <f t="shared" si="10"/>
        <v>5.246.577-K</v>
      </c>
      <c r="C214" s="73" t="s">
        <v>22</v>
      </c>
      <c r="D214" s="29" t="s">
        <v>547</v>
      </c>
      <c r="E214" s="29" t="s">
        <v>488</v>
      </c>
      <c r="F214" s="29" t="s">
        <v>1047</v>
      </c>
      <c r="G214" s="49">
        <v>45435</v>
      </c>
      <c r="H214" s="49">
        <v>45441</v>
      </c>
      <c r="I214" s="29" t="s">
        <v>54</v>
      </c>
      <c r="J214" s="68" t="s">
        <v>26</v>
      </c>
      <c r="K214" s="24" t="s">
        <v>55</v>
      </c>
      <c r="L214" s="49">
        <v>45435</v>
      </c>
      <c r="M214" s="49">
        <v>45441</v>
      </c>
      <c r="N214" s="25">
        <f t="shared" si="9"/>
        <v>6</v>
      </c>
      <c r="O214" s="29"/>
      <c r="P214" t="s">
        <v>88</v>
      </c>
      <c r="Q214" t="s">
        <v>88</v>
      </c>
      <c r="R214" t="s">
        <v>88</v>
      </c>
      <c r="S214" t="s">
        <v>88</v>
      </c>
      <c r="T214" t="s">
        <v>88</v>
      </c>
      <c r="U214" t="s">
        <v>20</v>
      </c>
    </row>
    <row r="215" spans="1:21" x14ac:dyDescent="0.45">
      <c r="A215" s="79">
        <v>48683940</v>
      </c>
      <c r="B215" s="72" t="str">
        <f t="shared" si="10"/>
        <v>4.868.394-0</v>
      </c>
      <c r="C215" s="73" t="s">
        <v>22</v>
      </c>
      <c r="D215" s="29" t="s">
        <v>1048</v>
      </c>
      <c r="E215" s="29" t="s">
        <v>946</v>
      </c>
      <c r="F215" s="29" t="s">
        <v>1049</v>
      </c>
      <c r="G215" s="49">
        <v>45435</v>
      </c>
      <c r="H215" s="49">
        <v>45436</v>
      </c>
      <c r="I215" s="29" t="s">
        <v>54</v>
      </c>
      <c r="J215" s="68" t="s">
        <v>13</v>
      </c>
      <c r="K215" s="24" t="s">
        <v>43</v>
      </c>
      <c r="L215" s="49">
        <v>45435</v>
      </c>
      <c r="M215" s="49">
        <v>45436</v>
      </c>
      <c r="N215" s="25">
        <f t="shared" si="9"/>
        <v>1</v>
      </c>
      <c r="O215" s="29"/>
      <c r="P215" t="s">
        <v>88</v>
      </c>
      <c r="Q215" t="s">
        <v>88</v>
      </c>
      <c r="R215" t="s">
        <v>88</v>
      </c>
      <c r="S215" t="s">
        <v>88</v>
      </c>
      <c r="T215" t="s">
        <v>88</v>
      </c>
      <c r="U215" t="s">
        <v>20</v>
      </c>
    </row>
    <row r="216" spans="1:21" x14ac:dyDescent="0.45">
      <c r="A216" s="79" t="s">
        <v>1050</v>
      </c>
      <c r="B216" s="72" t="str">
        <f t="shared" si="10"/>
        <v>15.591.887-K</v>
      </c>
      <c r="C216" s="73" t="s">
        <v>22</v>
      </c>
      <c r="D216" s="29" t="s">
        <v>325</v>
      </c>
      <c r="E216" s="29" t="s">
        <v>873</v>
      </c>
      <c r="F216" s="29" t="s">
        <v>966</v>
      </c>
      <c r="G216" s="49">
        <v>45429</v>
      </c>
      <c r="H216" s="49">
        <v>45443</v>
      </c>
      <c r="I216" s="29" t="s">
        <v>54</v>
      </c>
      <c r="J216" s="68" t="s">
        <v>65</v>
      </c>
      <c r="K216" s="24" t="s">
        <v>43</v>
      </c>
      <c r="L216" s="49">
        <v>45429</v>
      </c>
      <c r="M216" s="49">
        <v>45443</v>
      </c>
      <c r="N216" s="25">
        <f t="shared" si="9"/>
        <v>14</v>
      </c>
      <c r="O216" s="29"/>
      <c r="P216" t="s">
        <v>88</v>
      </c>
      <c r="Q216" t="s">
        <v>88</v>
      </c>
      <c r="R216" t="s">
        <v>88</v>
      </c>
      <c r="S216" t="s">
        <v>88</v>
      </c>
      <c r="T216" t="s">
        <v>88</v>
      </c>
      <c r="U216" t="s">
        <v>20</v>
      </c>
    </row>
    <row r="217" spans="1:21" x14ac:dyDescent="0.45">
      <c r="A217" s="79" t="s">
        <v>1050</v>
      </c>
      <c r="B217" s="72" t="str">
        <f t="shared" si="10"/>
        <v>15.591.887-K</v>
      </c>
      <c r="C217" s="73" t="s">
        <v>22</v>
      </c>
      <c r="D217" s="29" t="s">
        <v>325</v>
      </c>
      <c r="E217" s="29" t="s">
        <v>873</v>
      </c>
      <c r="F217" s="29" t="s">
        <v>966</v>
      </c>
      <c r="G217" s="49">
        <v>45429</v>
      </c>
      <c r="H217" s="49">
        <v>45443</v>
      </c>
      <c r="I217" s="29" t="s">
        <v>54</v>
      </c>
      <c r="J217" s="68" t="s">
        <v>65</v>
      </c>
      <c r="K217" s="24" t="s">
        <v>47</v>
      </c>
      <c r="L217" s="49">
        <v>45432</v>
      </c>
      <c r="M217" s="49">
        <v>45443</v>
      </c>
      <c r="N217" s="25">
        <f t="shared" si="9"/>
        <v>11</v>
      </c>
      <c r="O217" s="29"/>
      <c r="P217" t="s">
        <v>88</v>
      </c>
      <c r="Q217" t="s">
        <v>88</v>
      </c>
      <c r="R217" t="s">
        <v>88</v>
      </c>
      <c r="S217" t="s">
        <v>88</v>
      </c>
      <c r="T217" t="s">
        <v>88</v>
      </c>
      <c r="U217" t="s">
        <v>20</v>
      </c>
    </row>
    <row r="218" spans="1:21" x14ac:dyDescent="0.45">
      <c r="A218" s="79" t="s">
        <v>1050</v>
      </c>
      <c r="B218" s="72" t="str">
        <f t="shared" si="10"/>
        <v>15.591.887-K</v>
      </c>
      <c r="C218" s="73" t="s">
        <v>22</v>
      </c>
      <c r="D218" s="29" t="s">
        <v>325</v>
      </c>
      <c r="E218" s="29" t="s">
        <v>873</v>
      </c>
      <c r="F218" s="29" t="s">
        <v>966</v>
      </c>
      <c r="G218" s="49">
        <v>45429</v>
      </c>
      <c r="H218" s="49">
        <v>45443</v>
      </c>
      <c r="I218" s="29" t="s">
        <v>54</v>
      </c>
      <c r="J218" s="68" t="s">
        <v>65</v>
      </c>
      <c r="K218" s="24" t="s">
        <v>51</v>
      </c>
      <c r="L218" s="49">
        <v>45429</v>
      </c>
      <c r="M218" s="49">
        <v>45443</v>
      </c>
      <c r="N218" s="25">
        <f t="shared" si="9"/>
        <v>14</v>
      </c>
      <c r="O218" s="29"/>
      <c r="P218" t="s">
        <v>88</v>
      </c>
      <c r="Q218" t="s">
        <v>88</v>
      </c>
      <c r="R218" t="s">
        <v>88</v>
      </c>
      <c r="S218" t="s">
        <v>88</v>
      </c>
      <c r="T218" t="s">
        <v>88</v>
      </c>
      <c r="U218" t="s">
        <v>20</v>
      </c>
    </row>
    <row r="219" spans="1:21" x14ac:dyDescent="0.45">
      <c r="A219" s="79">
        <v>219222181</v>
      </c>
      <c r="B219" s="72" t="str">
        <f t="shared" si="10"/>
        <v>21.922.218-1</v>
      </c>
      <c r="C219" s="73" t="s">
        <v>22</v>
      </c>
      <c r="D219" s="29" t="s">
        <v>1034</v>
      </c>
      <c r="E219" s="29" t="s">
        <v>307</v>
      </c>
      <c r="F219" s="29" t="s">
        <v>1038</v>
      </c>
      <c r="G219" s="49">
        <v>45431</v>
      </c>
      <c r="H219" s="49">
        <v>45439</v>
      </c>
      <c r="I219" s="29" t="s">
        <v>54</v>
      </c>
      <c r="J219" s="68" t="s">
        <v>65</v>
      </c>
      <c r="K219" s="24" t="s">
        <v>43</v>
      </c>
      <c r="L219" s="49">
        <v>45431</v>
      </c>
      <c r="M219" s="49">
        <v>45443</v>
      </c>
      <c r="N219" s="25">
        <f t="shared" si="9"/>
        <v>12</v>
      </c>
      <c r="O219" s="29"/>
      <c r="P219" t="s">
        <v>88</v>
      </c>
      <c r="Q219" t="s">
        <v>88</v>
      </c>
      <c r="R219" t="s">
        <v>88</v>
      </c>
      <c r="S219" t="s">
        <v>88</v>
      </c>
      <c r="T219" t="s">
        <v>88</v>
      </c>
      <c r="U219" t="s">
        <v>20</v>
      </c>
    </row>
    <row r="220" spans="1:21" x14ac:dyDescent="0.45">
      <c r="A220" s="79">
        <v>116822458</v>
      </c>
      <c r="B220" s="72" t="str">
        <f t="shared" si="10"/>
        <v>11.682.245-8</v>
      </c>
      <c r="C220" s="73" t="s">
        <v>22</v>
      </c>
      <c r="D220" s="29" t="s">
        <v>273</v>
      </c>
      <c r="E220" s="29" t="s">
        <v>274</v>
      </c>
      <c r="F220" s="29" t="s">
        <v>275</v>
      </c>
      <c r="G220" s="49">
        <v>45435</v>
      </c>
      <c r="H220" s="49">
        <v>45436</v>
      </c>
      <c r="I220" s="29" t="s">
        <v>56</v>
      </c>
      <c r="J220" s="68" t="s">
        <v>19</v>
      </c>
      <c r="K220" s="24" t="s">
        <v>43</v>
      </c>
      <c r="L220" s="49">
        <v>45435</v>
      </c>
      <c r="M220" s="49">
        <v>45436</v>
      </c>
      <c r="N220" s="25">
        <f t="shared" si="9"/>
        <v>1</v>
      </c>
      <c r="O220" s="29"/>
      <c r="P220" t="s">
        <v>88</v>
      </c>
      <c r="Q220" t="s">
        <v>88</v>
      </c>
      <c r="R220" t="s">
        <v>88</v>
      </c>
      <c r="S220" t="s">
        <v>88</v>
      </c>
      <c r="T220" t="s">
        <v>88</v>
      </c>
      <c r="U220" t="s">
        <v>20</v>
      </c>
    </row>
    <row r="221" spans="1:21" x14ac:dyDescent="0.45">
      <c r="A221" s="79">
        <v>116822458</v>
      </c>
      <c r="B221" s="72" t="str">
        <f t="shared" si="10"/>
        <v>11.682.245-8</v>
      </c>
      <c r="C221" s="73" t="s">
        <v>22</v>
      </c>
      <c r="D221" s="29" t="s">
        <v>273</v>
      </c>
      <c r="E221" s="29" t="s">
        <v>274</v>
      </c>
      <c r="F221" s="29" t="s">
        <v>275</v>
      </c>
      <c r="G221" s="49">
        <v>45435</v>
      </c>
      <c r="H221" s="82">
        <v>45436</v>
      </c>
      <c r="I221" s="50" t="s">
        <v>56</v>
      </c>
      <c r="J221" s="100" t="s">
        <v>19</v>
      </c>
      <c r="K221" s="98" t="s">
        <v>47</v>
      </c>
      <c r="L221" s="49">
        <v>45435</v>
      </c>
      <c r="M221" s="49">
        <v>45436</v>
      </c>
      <c r="N221" s="76">
        <f t="shared" si="9"/>
        <v>1</v>
      </c>
      <c r="O221" s="50"/>
      <c r="P221" t="s">
        <v>88</v>
      </c>
      <c r="Q221" t="s">
        <v>88</v>
      </c>
      <c r="R221" t="s">
        <v>88</v>
      </c>
      <c r="S221" t="s">
        <v>88</v>
      </c>
      <c r="T221" t="s">
        <v>88</v>
      </c>
      <c r="U221" t="s">
        <v>20</v>
      </c>
    </row>
    <row r="222" spans="1:21" x14ac:dyDescent="0.45">
      <c r="A222" s="79">
        <v>216141717</v>
      </c>
      <c r="B222" s="21" t="str">
        <f t="shared" si="10"/>
        <v>21.614.171-7</v>
      </c>
      <c r="C222" s="73" t="s">
        <v>22</v>
      </c>
      <c r="D222" s="29" t="s">
        <v>887</v>
      </c>
      <c r="E222" s="29" t="s">
        <v>860</v>
      </c>
      <c r="F222" s="29" t="s">
        <v>1051</v>
      </c>
      <c r="G222" s="49">
        <v>45434</v>
      </c>
      <c r="H222" s="49">
        <v>45440</v>
      </c>
      <c r="I222" s="29" t="s">
        <v>36</v>
      </c>
      <c r="J222" s="68" t="s">
        <v>13</v>
      </c>
      <c r="K222" s="24" t="s">
        <v>47</v>
      </c>
      <c r="L222" s="49">
        <v>45436</v>
      </c>
      <c r="M222" s="49">
        <v>45440</v>
      </c>
      <c r="N222" s="99">
        <f t="shared" si="9"/>
        <v>4</v>
      </c>
      <c r="O222" s="29"/>
      <c r="P222" t="s">
        <v>88</v>
      </c>
      <c r="Q222" t="s">
        <v>88</v>
      </c>
      <c r="R222" t="s">
        <v>88</v>
      </c>
      <c r="S222" t="s">
        <v>88</v>
      </c>
      <c r="T222" t="s">
        <v>88</v>
      </c>
      <c r="U222" t="s">
        <v>20</v>
      </c>
    </row>
    <row r="223" spans="1:21" x14ac:dyDescent="0.45">
      <c r="A223" s="79">
        <v>123004620</v>
      </c>
      <c r="B223" s="21" t="str">
        <f t="shared" si="10"/>
        <v>12.300.462-0</v>
      </c>
      <c r="C223" s="73" t="s">
        <v>22</v>
      </c>
      <c r="D223" s="29" t="s">
        <v>1052</v>
      </c>
      <c r="E223" s="29" t="s">
        <v>384</v>
      </c>
      <c r="F223" s="29" t="s">
        <v>250</v>
      </c>
      <c r="G223" s="49">
        <v>45433</v>
      </c>
      <c r="H223" s="49">
        <v>45436</v>
      </c>
      <c r="I223" s="29" t="s">
        <v>46</v>
      </c>
      <c r="J223" s="68" t="s">
        <v>56</v>
      </c>
      <c r="K223" s="24" t="s">
        <v>43</v>
      </c>
      <c r="L223" s="49">
        <v>45432</v>
      </c>
      <c r="M223" s="49">
        <v>45436</v>
      </c>
      <c r="N223" s="99">
        <f t="shared" si="9"/>
        <v>4</v>
      </c>
      <c r="O223" s="29"/>
      <c r="P223" t="s">
        <v>88</v>
      </c>
      <c r="Q223" t="s">
        <v>88</v>
      </c>
      <c r="R223" t="s">
        <v>88</v>
      </c>
      <c r="S223" t="s">
        <v>88</v>
      </c>
      <c r="T223" t="s">
        <v>88</v>
      </c>
      <c r="U223" t="s">
        <v>20</v>
      </c>
    </row>
    <row r="224" spans="1:21" x14ac:dyDescent="0.45">
      <c r="A224" s="79">
        <v>123004620</v>
      </c>
      <c r="B224" s="21" t="str">
        <f t="shared" si="10"/>
        <v>12.300.462-0</v>
      </c>
      <c r="C224" s="73" t="s">
        <v>22</v>
      </c>
      <c r="D224" s="29" t="s">
        <v>1052</v>
      </c>
      <c r="E224" s="29" t="s">
        <v>384</v>
      </c>
      <c r="F224" s="29" t="s">
        <v>250</v>
      </c>
      <c r="G224" s="49">
        <v>45433</v>
      </c>
      <c r="H224" s="49">
        <v>45436</v>
      </c>
      <c r="I224" s="29" t="s">
        <v>46</v>
      </c>
      <c r="J224" s="68" t="s">
        <v>56</v>
      </c>
      <c r="K224" s="24" t="s">
        <v>47</v>
      </c>
      <c r="L224" s="49">
        <v>45432</v>
      </c>
      <c r="M224" s="49">
        <v>45436</v>
      </c>
      <c r="N224" s="99">
        <f t="shared" si="9"/>
        <v>4</v>
      </c>
      <c r="O224" s="29"/>
      <c r="P224" t="s">
        <v>88</v>
      </c>
      <c r="Q224" t="s">
        <v>88</v>
      </c>
      <c r="R224" t="s">
        <v>88</v>
      </c>
      <c r="S224" t="s">
        <v>88</v>
      </c>
      <c r="T224" t="s">
        <v>88</v>
      </c>
      <c r="U224" t="s">
        <v>20</v>
      </c>
    </row>
    <row r="225" spans="1:21" x14ac:dyDescent="0.45">
      <c r="A225" s="79">
        <v>75927959</v>
      </c>
      <c r="B225" s="29" t="str">
        <f t="shared" si="10"/>
        <v>7.592.795-9</v>
      </c>
      <c r="C225" s="73" t="s">
        <v>22</v>
      </c>
      <c r="D225" s="29" t="s">
        <v>417</v>
      </c>
      <c r="E225" s="29" t="s">
        <v>422</v>
      </c>
      <c r="F225" s="29" t="s">
        <v>1053</v>
      </c>
      <c r="G225" s="49">
        <v>45434</v>
      </c>
      <c r="H225" s="49">
        <v>45437</v>
      </c>
      <c r="I225" s="29" t="s">
        <v>54</v>
      </c>
      <c r="J225" s="68" t="s">
        <v>22</v>
      </c>
      <c r="K225" s="24" t="s">
        <v>43</v>
      </c>
      <c r="L225" s="49">
        <v>45434</v>
      </c>
      <c r="M225" s="49">
        <v>45437</v>
      </c>
      <c r="N225" s="99">
        <f t="shared" si="9"/>
        <v>3</v>
      </c>
      <c r="O225" s="29"/>
      <c r="P225" t="s">
        <v>88</v>
      </c>
      <c r="Q225" t="s">
        <v>88</v>
      </c>
      <c r="R225" t="s">
        <v>88</v>
      </c>
      <c r="S225" t="s">
        <v>88</v>
      </c>
      <c r="T225" t="s">
        <v>88</v>
      </c>
      <c r="U225" t="s">
        <v>20</v>
      </c>
    </row>
    <row r="226" spans="1:21" x14ac:dyDescent="0.45">
      <c r="A226" s="79">
        <v>75927959</v>
      </c>
      <c r="B226" s="29" t="str">
        <f t="shared" si="10"/>
        <v>7.592.795-9</v>
      </c>
      <c r="C226" s="73" t="s">
        <v>22</v>
      </c>
      <c r="D226" s="29" t="s">
        <v>417</v>
      </c>
      <c r="E226" s="29" t="s">
        <v>422</v>
      </c>
      <c r="F226" s="29" t="s">
        <v>1053</v>
      </c>
      <c r="G226" s="49">
        <v>45434</v>
      </c>
      <c r="H226" s="49">
        <v>45437</v>
      </c>
      <c r="I226" s="29" t="s">
        <v>54</v>
      </c>
      <c r="J226" s="68" t="s">
        <v>22</v>
      </c>
      <c r="K226" s="24" t="s">
        <v>47</v>
      </c>
      <c r="L226" s="49">
        <v>45434</v>
      </c>
      <c r="M226" s="49">
        <v>45437</v>
      </c>
      <c r="N226" s="99">
        <f t="shared" si="9"/>
        <v>3</v>
      </c>
      <c r="O226" s="29"/>
      <c r="P226" t="s">
        <v>88</v>
      </c>
      <c r="Q226" t="s">
        <v>88</v>
      </c>
      <c r="R226" t="s">
        <v>88</v>
      </c>
      <c r="S226" t="s">
        <v>88</v>
      </c>
      <c r="T226" t="s">
        <v>88</v>
      </c>
      <c r="U226" t="s">
        <v>20</v>
      </c>
    </row>
    <row r="227" spans="1:21" x14ac:dyDescent="0.45">
      <c r="A227" s="79">
        <v>144033965</v>
      </c>
      <c r="B227" s="29" t="str">
        <f t="shared" si="10"/>
        <v>14.403.396-5</v>
      </c>
      <c r="C227" s="73" t="s">
        <v>22</v>
      </c>
      <c r="D227" s="29" t="s">
        <v>1054</v>
      </c>
      <c r="E227" s="29" t="s">
        <v>1055</v>
      </c>
      <c r="F227" s="29" t="s">
        <v>586</v>
      </c>
      <c r="G227" s="49">
        <v>45437</v>
      </c>
      <c r="H227" s="49">
        <v>45440</v>
      </c>
      <c r="I227" s="29" t="s">
        <v>54</v>
      </c>
      <c r="J227" s="68" t="s">
        <v>22</v>
      </c>
      <c r="K227" s="24" t="s">
        <v>43</v>
      </c>
      <c r="L227" s="49">
        <v>45437</v>
      </c>
      <c r="M227" s="49">
        <v>45440</v>
      </c>
      <c r="N227" s="99">
        <f t="shared" ref="N227:N253" si="11">+M227-L227</f>
        <v>3</v>
      </c>
      <c r="O227" s="29"/>
      <c r="P227" t="s">
        <v>88</v>
      </c>
      <c r="Q227" t="s">
        <v>88</v>
      </c>
      <c r="R227" t="s">
        <v>88</v>
      </c>
      <c r="S227" t="s">
        <v>88</v>
      </c>
      <c r="T227" t="s">
        <v>88</v>
      </c>
      <c r="U227" t="s">
        <v>20</v>
      </c>
    </row>
    <row r="228" spans="1:21" x14ac:dyDescent="0.45">
      <c r="A228" s="79">
        <v>144033965</v>
      </c>
      <c r="B228" s="29" t="str">
        <f t="shared" si="10"/>
        <v>14.403.396-5</v>
      </c>
      <c r="C228" s="73" t="s">
        <v>22</v>
      </c>
      <c r="D228" s="29" t="s">
        <v>1054</v>
      </c>
      <c r="E228" s="29" t="s">
        <v>1055</v>
      </c>
      <c r="F228" s="29" t="s">
        <v>586</v>
      </c>
      <c r="G228" s="49">
        <v>45437</v>
      </c>
      <c r="H228" s="49">
        <v>45440</v>
      </c>
      <c r="I228" s="29" t="s">
        <v>54</v>
      </c>
      <c r="J228" s="68" t="s">
        <v>22</v>
      </c>
      <c r="K228" s="24" t="s">
        <v>47</v>
      </c>
      <c r="L228" s="49">
        <v>45437</v>
      </c>
      <c r="M228" s="49">
        <v>45440</v>
      </c>
      <c r="N228" s="99">
        <f t="shared" si="11"/>
        <v>3</v>
      </c>
      <c r="O228" s="29"/>
      <c r="P228" t="s">
        <v>88</v>
      </c>
      <c r="Q228" t="s">
        <v>88</v>
      </c>
      <c r="R228" t="s">
        <v>88</v>
      </c>
      <c r="S228" t="s">
        <v>88</v>
      </c>
      <c r="T228" t="s">
        <v>88</v>
      </c>
      <c r="U228" t="s">
        <v>20</v>
      </c>
    </row>
    <row r="229" spans="1:21" x14ac:dyDescent="0.45">
      <c r="A229" s="79">
        <v>144033965</v>
      </c>
      <c r="B229" s="29" t="str">
        <f t="shared" si="10"/>
        <v>14.403.396-5</v>
      </c>
      <c r="C229" s="73" t="s">
        <v>22</v>
      </c>
      <c r="D229" s="29" t="s">
        <v>1054</v>
      </c>
      <c r="E229" s="29" t="s">
        <v>1055</v>
      </c>
      <c r="F229" s="29" t="s">
        <v>586</v>
      </c>
      <c r="G229" s="49">
        <v>45437</v>
      </c>
      <c r="H229" s="49">
        <v>45440</v>
      </c>
      <c r="I229" s="29" t="s">
        <v>54</v>
      </c>
      <c r="J229" s="68" t="s">
        <v>22</v>
      </c>
      <c r="K229" s="24" t="s">
        <v>55</v>
      </c>
      <c r="L229" s="49">
        <v>45437</v>
      </c>
      <c r="M229" s="49">
        <v>45440</v>
      </c>
      <c r="N229" s="99">
        <f t="shared" si="11"/>
        <v>3</v>
      </c>
      <c r="O229" s="29"/>
      <c r="P229" t="s">
        <v>88</v>
      </c>
      <c r="Q229" t="s">
        <v>88</v>
      </c>
      <c r="R229" t="s">
        <v>88</v>
      </c>
      <c r="S229" t="s">
        <v>88</v>
      </c>
      <c r="T229" t="s">
        <v>88</v>
      </c>
      <c r="U229" t="s">
        <v>20</v>
      </c>
    </row>
    <row r="230" spans="1:21" x14ac:dyDescent="0.45">
      <c r="A230" s="79">
        <v>49605153</v>
      </c>
      <c r="B230" s="29" t="str">
        <f t="shared" si="10"/>
        <v>4.960.515-3</v>
      </c>
      <c r="C230" s="73" t="s">
        <v>22</v>
      </c>
      <c r="D230" s="29" t="s">
        <v>488</v>
      </c>
      <c r="E230" s="29" t="s">
        <v>1056</v>
      </c>
      <c r="F230" s="29" t="s">
        <v>944</v>
      </c>
      <c r="G230" s="49">
        <v>45437</v>
      </c>
      <c r="H230" s="49">
        <v>45441</v>
      </c>
      <c r="I230" s="29" t="s">
        <v>54</v>
      </c>
      <c r="J230" s="68" t="s">
        <v>22</v>
      </c>
      <c r="K230" s="24" t="s">
        <v>43</v>
      </c>
      <c r="L230" s="49">
        <v>45437</v>
      </c>
      <c r="M230" s="49">
        <v>45443</v>
      </c>
      <c r="N230" s="99">
        <f t="shared" si="11"/>
        <v>6</v>
      </c>
      <c r="O230" s="29"/>
      <c r="P230" t="s">
        <v>88</v>
      </c>
      <c r="Q230" t="s">
        <v>88</v>
      </c>
      <c r="R230" t="s">
        <v>88</v>
      </c>
      <c r="S230" t="s">
        <v>88</v>
      </c>
      <c r="T230" t="s">
        <v>88</v>
      </c>
      <c r="U230" t="s">
        <v>20</v>
      </c>
    </row>
    <row r="231" spans="1:21" x14ac:dyDescent="0.45">
      <c r="A231" s="79">
        <v>82468110</v>
      </c>
      <c r="B231" s="29" t="str">
        <f t="shared" si="10"/>
        <v>8.246.811-0</v>
      </c>
      <c r="C231" s="73" t="s">
        <v>22</v>
      </c>
      <c r="D231" s="29" t="s">
        <v>625</v>
      </c>
      <c r="E231" s="29" t="s">
        <v>422</v>
      </c>
      <c r="F231" s="29" t="s">
        <v>1057</v>
      </c>
      <c r="G231" s="49">
        <v>45439</v>
      </c>
      <c r="H231" s="49">
        <v>45443</v>
      </c>
      <c r="I231" s="29" t="s">
        <v>60</v>
      </c>
      <c r="J231" s="68" t="s">
        <v>65</v>
      </c>
      <c r="K231" s="24" t="s">
        <v>43</v>
      </c>
      <c r="L231" s="49">
        <v>45439</v>
      </c>
      <c r="M231" s="49">
        <v>45443</v>
      </c>
      <c r="N231" s="99">
        <f t="shared" si="11"/>
        <v>4</v>
      </c>
      <c r="O231" s="29"/>
      <c r="P231" t="s">
        <v>88</v>
      </c>
      <c r="Q231" t="s">
        <v>88</v>
      </c>
      <c r="R231" t="s">
        <v>88</v>
      </c>
      <c r="S231" t="s">
        <v>88</v>
      </c>
      <c r="T231" t="s">
        <v>88</v>
      </c>
      <c r="U231" t="s">
        <v>20</v>
      </c>
    </row>
    <row r="232" spans="1:21" x14ac:dyDescent="0.45">
      <c r="A232" s="79">
        <v>82468110</v>
      </c>
      <c r="B232" s="29" t="str">
        <f t="shared" si="10"/>
        <v>8.246.811-0</v>
      </c>
      <c r="C232" s="73" t="s">
        <v>22</v>
      </c>
      <c r="D232" s="49" t="s">
        <v>625</v>
      </c>
      <c r="E232" s="29" t="s">
        <v>422</v>
      </c>
      <c r="F232" s="29" t="s">
        <v>1057</v>
      </c>
      <c r="G232" s="49">
        <v>45439</v>
      </c>
      <c r="H232" s="49">
        <v>45443</v>
      </c>
      <c r="I232" s="29" t="s">
        <v>60</v>
      </c>
      <c r="J232" s="68" t="s">
        <v>65</v>
      </c>
      <c r="K232" s="24" t="s">
        <v>47</v>
      </c>
      <c r="L232" s="49">
        <v>45439</v>
      </c>
      <c r="M232" s="49">
        <v>45443</v>
      </c>
      <c r="N232" s="99">
        <f t="shared" si="11"/>
        <v>4</v>
      </c>
      <c r="O232" s="29"/>
      <c r="P232" t="s">
        <v>88</v>
      </c>
      <c r="Q232" t="s">
        <v>88</v>
      </c>
      <c r="R232" t="s">
        <v>88</v>
      </c>
      <c r="S232" t="s">
        <v>88</v>
      </c>
      <c r="T232" t="s">
        <v>88</v>
      </c>
      <c r="U232" t="s">
        <v>20</v>
      </c>
    </row>
    <row r="233" spans="1:21" x14ac:dyDescent="0.45">
      <c r="A233" s="79">
        <v>82468110</v>
      </c>
      <c r="B233" s="29" t="str">
        <f t="shared" si="10"/>
        <v>8.246.811-0</v>
      </c>
      <c r="C233" s="73" t="s">
        <v>22</v>
      </c>
      <c r="D233" s="29" t="s">
        <v>625</v>
      </c>
      <c r="E233" s="29" t="s">
        <v>422</v>
      </c>
      <c r="F233" s="29" t="s">
        <v>1057</v>
      </c>
      <c r="G233" s="49">
        <v>45439</v>
      </c>
      <c r="H233" s="49">
        <v>45443</v>
      </c>
      <c r="I233" s="29" t="s">
        <v>60</v>
      </c>
      <c r="J233" s="68" t="s">
        <v>65</v>
      </c>
      <c r="K233" s="24" t="s">
        <v>55</v>
      </c>
      <c r="L233" s="49">
        <v>45439</v>
      </c>
      <c r="M233" s="49">
        <v>45443</v>
      </c>
      <c r="N233" s="99">
        <f t="shared" si="11"/>
        <v>4</v>
      </c>
      <c r="O233" s="29"/>
      <c r="P233" t="s">
        <v>88</v>
      </c>
      <c r="Q233" t="s">
        <v>88</v>
      </c>
      <c r="R233" t="s">
        <v>88</v>
      </c>
      <c r="S233" t="s">
        <v>88</v>
      </c>
      <c r="T233" t="s">
        <v>88</v>
      </c>
      <c r="U233" t="s">
        <v>20</v>
      </c>
    </row>
    <row r="234" spans="1:21" x14ac:dyDescent="0.45">
      <c r="A234" s="79">
        <v>140609366</v>
      </c>
      <c r="B234" s="29" t="str">
        <f t="shared" si="10"/>
        <v>14.060.936-6</v>
      </c>
      <c r="C234" s="73" t="s">
        <v>22</v>
      </c>
      <c r="D234" s="29" t="s">
        <v>369</v>
      </c>
      <c r="E234" s="29" t="s">
        <v>558</v>
      </c>
      <c r="F234" s="29" t="s">
        <v>897</v>
      </c>
      <c r="G234" s="49">
        <v>45438</v>
      </c>
      <c r="H234" s="49">
        <v>45443</v>
      </c>
      <c r="I234" s="29" t="s">
        <v>54</v>
      </c>
      <c r="J234" s="68" t="s">
        <v>65</v>
      </c>
      <c r="K234" s="24" t="s">
        <v>43</v>
      </c>
      <c r="L234" s="49">
        <v>45437</v>
      </c>
      <c r="M234" s="49">
        <v>45443</v>
      </c>
      <c r="N234" s="99">
        <f t="shared" si="11"/>
        <v>6</v>
      </c>
      <c r="O234" s="29"/>
      <c r="P234" t="s">
        <v>88</v>
      </c>
      <c r="Q234" t="s">
        <v>88</v>
      </c>
      <c r="R234" t="s">
        <v>88</v>
      </c>
      <c r="S234" t="s">
        <v>88</v>
      </c>
      <c r="T234" t="s">
        <v>88</v>
      </c>
      <c r="U234" t="s">
        <v>20</v>
      </c>
    </row>
    <row r="235" spans="1:21" x14ac:dyDescent="0.45">
      <c r="A235" s="79">
        <v>140609366</v>
      </c>
      <c r="B235" s="29" t="str">
        <f t="shared" si="10"/>
        <v>14.060.936-6</v>
      </c>
      <c r="C235" s="73" t="s">
        <v>22</v>
      </c>
      <c r="D235" s="29" t="s">
        <v>369</v>
      </c>
      <c r="E235" s="29" t="s">
        <v>558</v>
      </c>
      <c r="F235" s="29" t="s">
        <v>897</v>
      </c>
      <c r="G235" s="49">
        <v>45438</v>
      </c>
      <c r="H235" s="49">
        <v>45443</v>
      </c>
      <c r="I235" s="29" t="s">
        <v>54</v>
      </c>
      <c r="J235" s="68" t="s">
        <v>65</v>
      </c>
      <c r="K235" s="24" t="s">
        <v>47</v>
      </c>
      <c r="L235" s="49">
        <v>45437</v>
      </c>
      <c r="M235" s="49">
        <v>45443</v>
      </c>
      <c r="N235" s="99">
        <f t="shared" si="11"/>
        <v>6</v>
      </c>
      <c r="O235" s="29"/>
      <c r="P235" t="s">
        <v>88</v>
      </c>
      <c r="Q235" t="s">
        <v>88</v>
      </c>
      <c r="R235" t="s">
        <v>88</v>
      </c>
      <c r="S235" t="s">
        <v>88</v>
      </c>
      <c r="T235" t="s">
        <v>88</v>
      </c>
      <c r="U235" t="s">
        <v>20</v>
      </c>
    </row>
    <row r="236" spans="1:21" x14ac:dyDescent="0.45">
      <c r="A236" s="79">
        <v>140609366</v>
      </c>
      <c r="B236" s="29" t="str">
        <f t="shared" si="10"/>
        <v>14.060.936-6</v>
      </c>
      <c r="C236" s="73" t="s">
        <v>22</v>
      </c>
      <c r="D236" s="29" t="s">
        <v>369</v>
      </c>
      <c r="E236" s="29" t="s">
        <v>558</v>
      </c>
      <c r="F236" s="29" t="s">
        <v>897</v>
      </c>
      <c r="G236" s="49">
        <v>45438</v>
      </c>
      <c r="H236" s="49">
        <v>45443</v>
      </c>
      <c r="I236" s="29" t="s">
        <v>54</v>
      </c>
      <c r="J236" s="68" t="s">
        <v>65</v>
      </c>
      <c r="K236" s="24" t="s">
        <v>55</v>
      </c>
      <c r="L236" s="49">
        <v>45437</v>
      </c>
      <c r="M236" s="49">
        <v>45443</v>
      </c>
      <c r="N236" s="99">
        <f t="shared" si="11"/>
        <v>6</v>
      </c>
      <c r="O236" s="29"/>
      <c r="P236" t="s">
        <v>88</v>
      </c>
      <c r="Q236" t="s">
        <v>88</v>
      </c>
      <c r="R236" t="s">
        <v>88</v>
      </c>
      <c r="S236" t="s">
        <v>88</v>
      </c>
      <c r="T236" t="s">
        <v>88</v>
      </c>
      <c r="U236" t="s">
        <v>20</v>
      </c>
    </row>
    <row r="237" spans="1:21" x14ac:dyDescent="0.45">
      <c r="A237" s="79">
        <v>60810877</v>
      </c>
      <c r="B237" s="29" t="str">
        <f t="shared" si="10"/>
        <v>6.081.087-7</v>
      </c>
      <c r="C237" s="73" t="s">
        <v>30</v>
      </c>
      <c r="D237" s="29" t="s">
        <v>422</v>
      </c>
      <c r="E237" s="29" t="s">
        <v>1041</v>
      </c>
      <c r="F237" s="29" t="s">
        <v>966</v>
      </c>
      <c r="G237" s="49">
        <v>45428</v>
      </c>
      <c r="H237" s="49">
        <v>45441</v>
      </c>
      <c r="I237" s="29" t="s">
        <v>30</v>
      </c>
      <c r="J237" s="68" t="s">
        <v>19</v>
      </c>
      <c r="K237" s="24" t="s">
        <v>43</v>
      </c>
      <c r="L237" s="49">
        <v>45429</v>
      </c>
      <c r="M237" s="49">
        <v>45441</v>
      </c>
      <c r="N237" s="99">
        <f t="shared" si="11"/>
        <v>12</v>
      </c>
      <c r="O237" s="29"/>
      <c r="P237" t="s">
        <v>88</v>
      </c>
      <c r="Q237" t="s">
        <v>88</v>
      </c>
      <c r="R237" t="s">
        <v>88</v>
      </c>
      <c r="S237" t="s">
        <v>88</v>
      </c>
      <c r="T237" t="s">
        <v>88</v>
      </c>
      <c r="U237" t="s">
        <v>20</v>
      </c>
    </row>
    <row r="238" spans="1:21" x14ac:dyDescent="0.45">
      <c r="A238" s="79">
        <v>60810877</v>
      </c>
      <c r="B238" s="29" t="str">
        <f t="shared" si="10"/>
        <v>6.081.087-7</v>
      </c>
      <c r="C238" s="73" t="s">
        <v>30</v>
      </c>
      <c r="D238" s="29" t="s">
        <v>422</v>
      </c>
      <c r="E238" s="29" t="s">
        <v>1041</v>
      </c>
      <c r="F238" s="29" t="s">
        <v>966</v>
      </c>
      <c r="G238" s="49">
        <v>45428</v>
      </c>
      <c r="H238" s="49">
        <v>45441</v>
      </c>
      <c r="I238" s="29" t="s">
        <v>30</v>
      </c>
      <c r="J238" s="68" t="s">
        <v>19</v>
      </c>
      <c r="K238" s="24" t="s">
        <v>55</v>
      </c>
      <c r="L238" s="49">
        <v>45432</v>
      </c>
      <c r="M238" s="49">
        <v>45441</v>
      </c>
      <c r="N238" s="99">
        <f t="shared" si="11"/>
        <v>9</v>
      </c>
      <c r="O238" s="29"/>
      <c r="P238" t="s">
        <v>88</v>
      </c>
      <c r="Q238" t="s">
        <v>88</v>
      </c>
      <c r="R238" t="s">
        <v>88</v>
      </c>
      <c r="S238" t="s">
        <v>88</v>
      </c>
      <c r="T238" t="s">
        <v>88</v>
      </c>
      <c r="U238" t="s">
        <v>20</v>
      </c>
    </row>
    <row r="239" spans="1:21" x14ac:dyDescent="0.45">
      <c r="A239" s="79" t="s">
        <v>1058</v>
      </c>
      <c r="B239" s="29" t="str">
        <f t="shared" si="10"/>
        <v>9.390.964-K</v>
      </c>
      <c r="C239" s="73" t="s">
        <v>30</v>
      </c>
      <c r="D239" s="29" t="s">
        <v>1044</v>
      </c>
      <c r="E239" s="29" t="s">
        <v>736</v>
      </c>
      <c r="F239" s="29" t="s">
        <v>348</v>
      </c>
      <c r="G239" s="49">
        <v>45436</v>
      </c>
      <c r="H239" s="49">
        <v>45441</v>
      </c>
      <c r="I239" s="29" t="s">
        <v>24</v>
      </c>
      <c r="J239" s="68" t="s">
        <v>13</v>
      </c>
      <c r="K239" s="24" t="s">
        <v>43</v>
      </c>
      <c r="L239" s="49">
        <v>45436</v>
      </c>
      <c r="M239" s="49">
        <v>45441</v>
      </c>
      <c r="N239" s="99">
        <f t="shared" si="11"/>
        <v>5</v>
      </c>
      <c r="O239" s="29"/>
      <c r="P239" t="s">
        <v>88</v>
      </c>
      <c r="Q239" t="s">
        <v>88</v>
      </c>
      <c r="R239" t="s">
        <v>88</v>
      </c>
      <c r="S239" t="s">
        <v>88</v>
      </c>
      <c r="T239" t="s">
        <v>88</v>
      </c>
      <c r="U239" t="s">
        <v>20</v>
      </c>
    </row>
    <row r="240" spans="1:21" x14ac:dyDescent="0.45">
      <c r="A240" s="79" t="s">
        <v>1058</v>
      </c>
      <c r="B240" s="29" t="str">
        <f t="shared" si="10"/>
        <v>9.390.964-K</v>
      </c>
      <c r="C240" s="73" t="s">
        <v>30</v>
      </c>
      <c r="D240" s="29" t="s">
        <v>1044</v>
      </c>
      <c r="E240" s="29" t="s">
        <v>736</v>
      </c>
      <c r="F240" s="29" t="s">
        <v>348</v>
      </c>
      <c r="G240" s="49">
        <v>45436</v>
      </c>
      <c r="H240" s="49">
        <v>45441</v>
      </c>
      <c r="I240" s="29" t="s">
        <v>24</v>
      </c>
      <c r="J240" s="68" t="s">
        <v>13</v>
      </c>
      <c r="K240" s="24" t="s">
        <v>47</v>
      </c>
      <c r="L240" s="49">
        <v>45436</v>
      </c>
      <c r="M240" s="49">
        <v>45441</v>
      </c>
      <c r="N240" s="99">
        <f t="shared" si="11"/>
        <v>5</v>
      </c>
      <c r="O240" s="29"/>
      <c r="P240" t="s">
        <v>88</v>
      </c>
      <c r="Q240" t="s">
        <v>88</v>
      </c>
      <c r="R240" t="s">
        <v>88</v>
      </c>
      <c r="S240" t="s">
        <v>88</v>
      </c>
      <c r="T240" t="s">
        <v>88</v>
      </c>
      <c r="U240" t="s">
        <v>20</v>
      </c>
    </row>
    <row r="241" spans="1:21" x14ac:dyDescent="0.45">
      <c r="A241" s="79">
        <v>61407022</v>
      </c>
      <c r="B241" s="29" t="str">
        <f t="shared" si="10"/>
        <v>6.140.702-2</v>
      </c>
      <c r="C241" s="73" t="s">
        <v>30</v>
      </c>
      <c r="D241" s="29" t="s">
        <v>266</v>
      </c>
      <c r="E241" s="29" t="s">
        <v>536</v>
      </c>
      <c r="F241" s="29" t="s">
        <v>1059</v>
      </c>
      <c r="G241" s="49">
        <v>45437</v>
      </c>
      <c r="H241" s="49">
        <v>45443</v>
      </c>
      <c r="I241" s="29" t="s">
        <v>24</v>
      </c>
      <c r="J241" s="68" t="s">
        <v>65</v>
      </c>
      <c r="K241" s="24" t="s">
        <v>43</v>
      </c>
      <c r="L241" s="49">
        <v>45438</v>
      </c>
      <c r="M241" s="49">
        <v>45443</v>
      </c>
      <c r="N241" s="99">
        <f t="shared" si="11"/>
        <v>5</v>
      </c>
      <c r="O241" s="29"/>
      <c r="P241" t="s">
        <v>88</v>
      </c>
      <c r="Q241" t="s">
        <v>88</v>
      </c>
      <c r="R241" t="s">
        <v>88</v>
      </c>
      <c r="S241" t="s">
        <v>88</v>
      </c>
      <c r="T241" t="s">
        <v>88</v>
      </c>
      <c r="U241" t="s">
        <v>20</v>
      </c>
    </row>
    <row r="242" spans="1:21" x14ac:dyDescent="0.45">
      <c r="A242" s="79">
        <v>61407022</v>
      </c>
      <c r="B242" s="29" t="str">
        <f t="shared" si="10"/>
        <v>6.140.702-2</v>
      </c>
      <c r="C242" s="73" t="s">
        <v>30</v>
      </c>
      <c r="D242" s="29" t="s">
        <v>266</v>
      </c>
      <c r="E242" s="29" t="s">
        <v>536</v>
      </c>
      <c r="F242" s="29" t="s">
        <v>1059</v>
      </c>
      <c r="G242" s="49">
        <v>45437</v>
      </c>
      <c r="H242" s="49">
        <v>45443</v>
      </c>
      <c r="I242" s="29" t="s">
        <v>24</v>
      </c>
      <c r="J242" s="68" t="s">
        <v>65</v>
      </c>
      <c r="K242" s="24" t="s">
        <v>47</v>
      </c>
      <c r="L242" s="49">
        <v>45437</v>
      </c>
      <c r="M242" s="49">
        <v>45443</v>
      </c>
      <c r="N242" s="99">
        <f t="shared" si="11"/>
        <v>6</v>
      </c>
      <c r="O242" s="29"/>
      <c r="P242" t="s">
        <v>88</v>
      </c>
      <c r="Q242" t="s">
        <v>88</v>
      </c>
      <c r="R242" t="s">
        <v>88</v>
      </c>
      <c r="S242" t="s">
        <v>88</v>
      </c>
      <c r="T242" t="s">
        <v>88</v>
      </c>
      <c r="U242" t="s">
        <v>20</v>
      </c>
    </row>
    <row r="243" spans="1:21" x14ac:dyDescent="0.45">
      <c r="A243" s="79">
        <v>61407022</v>
      </c>
      <c r="B243" s="29" t="str">
        <f t="shared" si="10"/>
        <v>6.140.702-2</v>
      </c>
      <c r="C243" s="73" t="s">
        <v>30</v>
      </c>
      <c r="D243" s="29" t="s">
        <v>266</v>
      </c>
      <c r="E243" s="29" t="s">
        <v>536</v>
      </c>
      <c r="F243" s="29" t="s">
        <v>1059</v>
      </c>
      <c r="G243" s="49">
        <v>45437</v>
      </c>
      <c r="H243" s="49">
        <v>45443</v>
      </c>
      <c r="I243" s="29" t="s">
        <v>24</v>
      </c>
      <c r="J243" s="68" t="s">
        <v>65</v>
      </c>
      <c r="K243" s="24" t="s">
        <v>55</v>
      </c>
      <c r="L243" s="49">
        <v>45437</v>
      </c>
      <c r="M243" s="49">
        <v>45443</v>
      </c>
      <c r="N243" s="99">
        <f t="shared" si="11"/>
        <v>6</v>
      </c>
      <c r="O243" s="29"/>
      <c r="P243" t="s">
        <v>88</v>
      </c>
      <c r="Q243" t="s">
        <v>88</v>
      </c>
      <c r="R243" t="s">
        <v>88</v>
      </c>
      <c r="S243" t="s">
        <v>88</v>
      </c>
      <c r="T243" t="s">
        <v>88</v>
      </c>
      <c r="U243" t="s">
        <v>20</v>
      </c>
    </row>
    <row r="244" spans="1:21" x14ac:dyDescent="0.45">
      <c r="A244" s="79">
        <v>70343010</v>
      </c>
      <c r="B244" s="29" t="str">
        <f t="shared" si="10"/>
        <v>7.034.301-0</v>
      </c>
      <c r="C244" s="73" t="s">
        <v>30</v>
      </c>
      <c r="D244" s="29" t="s">
        <v>627</v>
      </c>
      <c r="E244" s="29" t="s">
        <v>869</v>
      </c>
      <c r="F244" s="29" t="s">
        <v>475</v>
      </c>
      <c r="G244" s="49">
        <v>45435</v>
      </c>
      <c r="H244" s="49">
        <v>45439</v>
      </c>
      <c r="I244" s="29" t="s">
        <v>24</v>
      </c>
      <c r="J244" s="68" t="s">
        <v>24</v>
      </c>
      <c r="K244" s="24" t="s">
        <v>43</v>
      </c>
      <c r="L244" s="49">
        <v>45435</v>
      </c>
      <c r="M244" s="49">
        <v>45439</v>
      </c>
      <c r="N244" s="99">
        <f t="shared" si="11"/>
        <v>4</v>
      </c>
      <c r="O244" s="29"/>
      <c r="P244" t="s">
        <v>88</v>
      </c>
      <c r="Q244" t="s">
        <v>88</v>
      </c>
      <c r="R244" t="s">
        <v>88</v>
      </c>
      <c r="S244" t="s">
        <v>88</v>
      </c>
      <c r="T244" t="s">
        <v>88</v>
      </c>
      <c r="U244" t="s">
        <v>20</v>
      </c>
    </row>
    <row r="245" spans="1:21" x14ac:dyDescent="0.45">
      <c r="A245" s="79">
        <v>76420742</v>
      </c>
      <c r="B245" s="29" t="str">
        <f t="shared" si="10"/>
        <v>7.642.074-2</v>
      </c>
      <c r="C245" s="22" t="s">
        <v>22</v>
      </c>
      <c r="D245" s="29" t="s">
        <v>240</v>
      </c>
      <c r="E245" s="29" t="s">
        <v>887</v>
      </c>
      <c r="F245" s="29" t="s">
        <v>629</v>
      </c>
      <c r="G245" s="49">
        <v>45435</v>
      </c>
      <c r="H245" s="49">
        <v>45443</v>
      </c>
      <c r="I245" s="29" t="s">
        <v>22</v>
      </c>
      <c r="J245" s="68" t="s">
        <v>65</v>
      </c>
      <c r="K245" s="24" t="s">
        <v>18</v>
      </c>
      <c r="L245" s="49">
        <v>45413</v>
      </c>
      <c r="M245" s="49">
        <v>45443</v>
      </c>
      <c r="N245" s="99">
        <f t="shared" si="11"/>
        <v>30</v>
      </c>
      <c r="O245" s="29"/>
      <c r="P245" t="s">
        <v>88</v>
      </c>
      <c r="Q245" t="s">
        <v>88</v>
      </c>
      <c r="R245" t="s">
        <v>88</v>
      </c>
      <c r="S245" t="s">
        <v>88</v>
      </c>
      <c r="T245" t="s">
        <v>88</v>
      </c>
      <c r="U245" t="s">
        <v>20</v>
      </c>
    </row>
    <row r="246" spans="1:21" x14ac:dyDescent="0.45">
      <c r="A246" s="79">
        <v>100196921</v>
      </c>
      <c r="B246" s="29" t="str">
        <f t="shared" si="10"/>
        <v>10.019.692-1</v>
      </c>
      <c r="C246" s="22" t="s">
        <v>22</v>
      </c>
      <c r="D246" s="29" t="s">
        <v>303</v>
      </c>
      <c r="E246" s="29" t="s">
        <v>1060</v>
      </c>
      <c r="F246" s="29" t="s">
        <v>348</v>
      </c>
      <c r="G246" s="49">
        <v>45434</v>
      </c>
      <c r="H246" s="49">
        <v>45443</v>
      </c>
      <c r="I246" s="29" t="s">
        <v>30</v>
      </c>
      <c r="J246" s="68" t="s">
        <v>65</v>
      </c>
      <c r="K246" s="24" t="s">
        <v>43</v>
      </c>
      <c r="L246" s="49">
        <v>45436</v>
      </c>
      <c r="M246" s="49">
        <v>45443</v>
      </c>
      <c r="N246" s="99">
        <f t="shared" si="11"/>
        <v>7</v>
      </c>
      <c r="O246" s="29"/>
      <c r="P246" t="s">
        <v>88</v>
      </c>
      <c r="Q246" t="s">
        <v>88</v>
      </c>
      <c r="R246" t="s">
        <v>88</v>
      </c>
      <c r="S246" t="s">
        <v>88</v>
      </c>
      <c r="T246" t="s">
        <v>88</v>
      </c>
      <c r="U246" t="s">
        <v>20</v>
      </c>
    </row>
    <row r="247" spans="1:21" x14ac:dyDescent="0.45">
      <c r="A247" s="79">
        <v>100196921</v>
      </c>
      <c r="B247" s="29" t="str">
        <f t="shared" si="10"/>
        <v>10.019.692-1</v>
      </c>
      <c r="C247" s="22" t="s">
        <v>22</v>
      </c>
      <c r="D247" s="29" t="s">
        <v>303</v>
      </c>
      <c r="E247" s="29" t="s">
        <v>1060</v>
      </c>
      <c r="F247" s="29" t="s">
        <v>348</v>
      </c>
      <c r="G247" s="49">
        <v>45434</v>
      </c>
      <c r="H247" s="49">
        <v>45443</v>
      </c>
      <c r="I247" s="29" t="s">
        <v>30</v>
      </c>
      <c r="J247" s="68" t="s">
        <v>65</v>
      </c>
      <c r="K247" s="24" t="s">
        <v>47</v>
      </c>
      <c r="L247" s="49">
        <v>45436</v>
      </c>
      <c r="M247" s="49">
        <v>45443</v>
      </c>
      <c r="N247" s="99">
        <f t="shared" si="11"/>
        <v>7</v>
      </c>
      <c r="O247" s="29"/>
      <c r="P247" t="s">
        <v>88</v>
      </c>
      <c r="Q247" t="s">
        <v>88</v>
      </c>
      <c r="R247" t="s">
        <v>88</v>
      </c>
      <c r="S247" t="s">
        <v>88</v>
      </c>
      <c r="T247" t="s">
        <v>88</v>
      </c>
      <c r="U247" t="s">
        <v>20</v>
      </c>
    </row>
    <row r="248" spans="1:21" x14ac:dyDescent="0.45">
      <c r="A248" s="79">
        <v>61050981</v>
      </c>
      <c r="B248" s="29" t="str">
        <f t="shared" si="10"/>
        <v>6.105.098-1</v>
      </c>
      <c r="C248" s="22" t="s">
        <v>22</v>
      </c>
      <c r="D248" s="29" t="s">
        <v>277</v>
      </c>
      <c r="E248" s="29" t="s">
        <v>345</v>
      </c>
      <c r="F248" s="29" t="s">
        <v>1061</v>
      </c>
      <c r="G248" s="49">
        <v>45436</v>
      </c>
      <c r="H248" s="49">
        <v>45439</v>
      </c>
      <c r="I248" s="29" t="s">
        <v>22</v>
      </c>
      <c r="J248" s="68" t="s">
        <v>56</v>
      </c>
      <c r="K248" s="24" t="s">
        <v>43</v>
      </c>
      <c r="L248" s="49">
        <v>45437</v>
      </c>
      <c r="M248" s="49">
        <v>45439</v>
      </c>
      <c r="N248" s="99">
        <f t="shared" si="11"/>
        <v>2</v>
      </c>
      <c r="O248" s="29"/>
      <c r="P248" t="s">
        <v>88</v>
      </c>
      <c r="Q248" t="s">
        <v>88</v>
      </c>
      <c r="R248" t="s">
        <v>88</v>
      </c>
      <c r="S248" t="s">
        <v>88</v>
      </c>
      <c r="T248" t="s">
        <v>88</v>
      </c>
      <c r="U248" t="s">
        <v>20</v>
      </c>
    </row>
    <row r="249" spans="1:21" x14ac:dyDescent="0.45">
      <c r="A249" s="79">
        <v>284399072</v>
      </c>
      <c r="B249" s="29" t="str">
        <f t="shared" si="10"/>
        <v>28.439.907-2</v>
      </c>
      <c r="C249" s="22" t="s">
        <v>16</v>
      </c>
      <c r="D249" s="29" t="s">
        <v>1062</v>
      </c>
      <c r="E249" s="29" t="s">
        <v>249</v>
      </c>
      <c r="F249" s="29" t="s">
        <v>1063</v>
      </c>
      <c r="G249" s="49">
        <v>45435</v>
      </c>
      <c r="H249" s="49">
        <v>45443</v>
      </c>
      <c r="I249" s="29" t="s">
        <v>36</v>
      </c>
      <c r="J249" s="68" t="s">
        <v>65</v>
      </c>
      <c r="K249" s="24" t="s">
        <v>18</v>
      </c>
      <c r="L249" s="49">
        <v>45439</v>
      </c>
      <c r="M249" s="49">
        <v>45443</v>
      </c>
      <c r="N249" s="99">
        <f t="shared" si="11"/>
        <v>4</v>
      </c>
      <c r="O249" s="29"/>
      <c r="P249" t="s">
        <v>88</v>
      </c>
      <c r="Q249" t="s">
        <v>88</v>
      </c>
      <c r="R249" t="s">
        <v>88</v>
      </c>
      <c r="S249" t="s">
        <v>88</v>
      </c>
      <c r="T249" t="s">
        <v>88</v>
      </c>
      <c r="U249" t="s">
        <v>20</v>
      </c>
    </row>
    <row r="250" spans="1:21" x14ac:dyDescent="0.45">
      <c r="A250" s="79">
        <v>284401581</v>
      </c>
      <c r="B250" s="29" t="str">
        <f t="shared" si="10"/>
        <v>28.440.158-1</v>
      </c>
      <c r="C250" s="22" t="s">
        <v>16</v>
      </c>
      <c r="D250" s="29" t="s">
        <v>1064</v>
      </c>
      <c r="E250" s="29" t="s">
        <v>902</v>
      </c>
      <c r="F250" s="29" t="s">
        <v>1065</v>
      </c>
      <c r="G250" s="49">
        <v>45436</v>
      </c>
      <c r="H250" s="49">
        <v>45443</v>
      </c>
      <c r="I250" s="29" t="s">
        <v>36</v>
      </c>
      <c r="J250" s="68" t="s">
        <v>65</v>
      </c>
      <c r="K250" s="24" t="s">
        <v>18</v>
      </c>
      <c r="L250" s="49">
        <v>45435</v>
      </c>
      <c r="M250" s="49">
        <v>45443</v>
      </c>
      <c r="N250" s="99">
        <f t="shared" si="11"/>
        <v>8</v>
      </c>
      <c r="O250" s="29"/>
      <c r="P250" t="s">
        <v>88</v>
      </c>
      <c r="Q250" t="s">
        <v>88</v>
      </c>
      <c r="R250" t="s">
        <v>88</v>
      </c>
      <c r="S250" t="s">
        <v>88</v>
      </c>
      <c r="T250" t="s">
        <v>88</v>
      </c>
      <c r="U250" t="s">
        <v>20</v>
      </c>
    </row>
    <row r="251" spans="1:21" x14ac:dyDescent="0.45">
      <c r="A251" s="79">
        <v>284401581</v>
      </c>
      <c r="B251" s="29" t="str">
        <f t="shared" si="10"/>
        <v>28.440.158-1</v>
      </c>
      <c r="C251" s="22" t="s">
        <v>16</v>
      </c>
      <c r="D251" s="29" t="s">
        <v>1064</v>
      </c>
      <c r="E251" s="29" t="s">
        <v>902</v>
      </c>
      <c r="F251" s="29" t="s">
        <v>1065</v>
      </c>
      <c r="G251" s="49">
        <v>45436</v>
      </c>
      <c r="H251" s="49">
        <v>45443</v>
      </c>
      <c r="I251" s="29" t="s">
        <v>36</v>
      </c>
      <c r="J251" s="68" t="s">
        <v>65</v>
      </c>
      <c r="K251" s="24" t="s">
        <v>47</v>
      </c>
      <c r="L251" s="49">
        <v>45437</v>
      </c>
      <c r="M251" s="49">
        <v>45443</v>
      </c>
      <c r="N251" s="99">
        <f t="shared" si="11"/>
        <v>6</v>
      </c>
      <c r="O251" s="29"/>
      <c r="P251" t="s">
        <v>88</v>
      </c>
      <c r="Q251" t="s">
        <v>88</v>
      </c>
      <c r="R251" t="s">
        <v>88</v>
      </c>
      <c r="S251" t="s">
        <v>88</v>
      </c>
      <c r="T251" t="s">
        <v>88</v>
      </c>
      <c r="U251" t="s">
        <v>20</v>
      </c>
    </row>
    <row r="252" spans="1:21" x14ac:dyDescent="0.45">
      <c r="A252" s="79">
        <v>284401581</v>
      </c>
      <c r="B252" s="29" t="str">
        <f t="shared" si="10"/>
        <v>28.440.158-1</v>
      </c>
      <c r="C252" s="22" t="s">
        <v>16</v>
      </c>
      <c r="D252" s="29" t="s">
        <v>1064</v>
      </c>
      <c r="E252" s="29" t="s">
        <v>902</v>
      </c>
      <c r="F252" s="29" t="s">
        <v>1065</v>
      </c>
      <c r="G252" s="49">
        <v>45436</v>
      </c>
      <c r="H252" s="49">
        <v>45443</v>
      </c>
      <c r="I252" s="29" t="s">
        <v>36</v>
      </c>
      <c r="J252" s="68" t="s">
        <v>65</v>
      </c>
      <c r="K252" s="24" t="s">
        <v>55</v>
      </c>
      <c r="L252" s="49">
        <v>45435</v>
      </c>
      <c r="M252" s="49">
        <v>45443</v>
      </c>
      <c r="N252" s="99">
        <f t="shared" si="11"/>
        <v>8</v>
      </c>
      <c r="O252" s="29"/>
      <c r="P252" t="s">
        <v>88</v>
      </c>
      <c r="Q252" t="s">
        <v>88</v>
      </c>
      <c r="R252" t="s">
        <v>88</v>
      </c>
      <c r="S252" t="s">
        <v>88</v>
      </c>
      <c r="T252" t="s">
        <v>88</v>
      </c>
      <c r="U252" t="s">
        <v>20</v>
      </c>
    </row>
    <row r="253" spans="1:21" x14ac:dyDescent="0.45">
      <c r="A253" s="79">
        <v>279968441</v>
      </c>
      <c r="B253" s="29" t="str">
        <f t="shared" si="10"/>
        <v>27.996.844-1</v>
      </c>
      <c r="C253" s="22" t="s">
        <v>10</v>
      </c>
      <c r="D253" s="29" t="s">
        <v>1066</v>
      </c>
      <c r="E253" s="29" t="s">
        <v>946</v>
      </c>
      <c r="F253" s="29" t="s">
        <v>1067</v>
      </c>
      <c r="G253" s="49">
        <v>45435</v>
      </c>
      <c r="H253" s="49">
        <v>45443</v>
      </c>
      <c r="I253" s="29" t="s">
        <v>36</v>
      </c>
      <c r="J253" s="68" t="s">
        <v>65</v>
      </c>
      <c r="K253" s="24" t="s">
        <v>43</v>
      </c>
      <c r="L253" s="49">
        <v>45435</v>
      </c>
      <c r="M253" s="49">
        <v>45443</v>
      </c>
      <c r="N253" s="99">
        <f t="shared" si="11"/>
        <v>8</v>
      </c>
      <c r="O253" s="29"/>
      <c r="P253" t="s">
        <v>88</v>
      </c>
      <c r="Q253" t="s">
        <v>88</v>
      </c>
      <c r="R253" t="s">
        <v>88</v>
      </c>
      <c r="S253" t="s">
        <v>88</v>
      </c>
      <c r="T253" t="s">
        <v>88</v>
      </c>
      <c r="U253" t="s">
        <v>20</v>
      </c>
    </row>
    <row r="254" spans="1:21" x14ac:dyDescent="0.45">
      <c r="A254" s="79">
        <v>239536379</v>
      </c>
      <c r="B254" s="29" t="str">
        <f t="shared" si="10"/>
        <v>23.953.637-9</v>
      </c>
      <c r="C254" s="22" t="s">
        <v>10</v>
      </c>
      <c r="D254" s="29" t="s">
        <v>723</v>
      </c>
      <c r="E254" s="29" t="s">
        <v>1068</v>
      </c>
      <c r="F254" s="29" t="s">
        <v>258</v>
      </c>
      <c r="G254" s="49">
        <v>45436</v>
      </c>
      <c r="H254" s="49">
        <v>45443</v>
      </c>
      <c r="I254" s="29" t="s">
        <v>54</v>
      </c>
      <c r="J254" s="68" t="s">
        <v>65</v>
      </c>
      <c r="K254" s="24" t="s">
        <v>43</v>
      </c>
      <c r="L254" s="49">
        <v>45436</v>
      </c>
      <c r="M254" s="49">
        <v>45443</v>
      </c>
      <c r="N254" s="99">
        <v>4</v>
      </c>
      <c r="O254" s="29"/>
      <c r="P254" t="s">
        <v>88</v>
      </c>
      <c r="Q254" t="s">
        <v>88</v>
      </c>
      <c r="R254" t="s">
        <v>88</v>
      </c>
      <c r="S254" t="s">
        <v>88</v>
      </c>
      <c r="T254" t="s">
        <v>88</v>
      </c>
      <c r="U254" t="s">
        <v>20</v>
      </c>
    </row>
    <row r="255" spans="1:21" x14ac:dyDescent="0.45">
      <c r="A255" s="79">
        <v>77286632</v>
      </c>
      <c r="B255" s="72" t="str">
        <f t="shared" si="10"/>
        <v>7.728.663-2</v>
      </c>
      <c r="C255" s="73" t="s">
        <v>22</v>
      </c>
      <c r="D255" s="29" t="s">
        <v>1037</v>
      </c>
      <c r="E255" s="29" t="s">
        <v>282</v>
      </c>
      <c r="F255" s="29" t="s">
        <v>250</v>
      </c>
      <c r="G255" s="49">
        <v>45434</v>
      </c>
      <c r="H255" s="49">
        <v>45442</v>
      </c>
      <c r="I255" s="29" t="s">
        <v>22</v>
      </c>
      <c r="J255" s="68" t="s">
        <v>24</v>
      </c>
      <c r="K255" s="24" t="s">
        <v>47</v>
      </c>
      <c r="L255" s="49">
        <v>45430</v>
      </c>
      <c r="M255" s="49">
        <v>45442</v>
      </c>
      <c r="N255" s="99">
        <f t="shared" ref="N255:N301" si="12">+M255-L255</f>
        <v>12</v>
      </c>
      <c r="O255" s="29"/>
      <c r="P255" t="s">
        <v>88</v>
      </c>
      <c r="Q255" t="s">
        <v>88</v>
      </c>
      <c r="R255" t="s">
        <v>88</v>
      </c>
      <c r="S255" t="s">
        <v>88</v>
      </c>
      <c r="T255" t="s">
        <v>88</v>
      </c>
      <c r="U255" t="s">
        <v>20</v>
      </c>
    </row>
    <row r="256" spans="1:21" x14ac:dyDescent="0.45">
      <c r="A256" s="79">
        <v>77286632</v>
      </c>
      <c r="B256" s="72" t="str">
        <f t="shared" si="10"/>
        <v>7.728.663-2</v>
      </c>
      <c r="C256" s="73" t="s">
        <v>22</v>
      </c>
      <c r="D256" s="29" t="s">
        <v>1037</v>
      </c>
      <c r="E256" s="29" t="s">
        <v>282</v>
      </c>
      <c r="F256" s="29" t="s">
        <v>250</v>
      </c>
      <c r="G256" s="49">
        <v>45434</v>
      </c>
      <c r="H256" s="49">
        <v>45442</v>
      </c>
      <c r="I256" s="29" t="s">
        <v>22</v>
      </c>
      <c r="J256" s="68" t="s">
        <v>24</v>
      </c>
      <c r="K256" s="24" t="s">
        <v>43</v>
      </c>
      <c r="L256" s="49">
        <v>45430</v>
      </c>
      <c r="M256" s="49">
        <v>45442</v>
      </c>
      <c r="N256" s="99">
        <f t="shared" si="12"/>
        <v>12</v>
      </c>
      <c r="O256" s="29"/>
      <c r="P256" t="s">
        <v>88</v>
      </c>
      <c r="Q256" t="s">
        <v>88</v>
      </c>
      <c r="R256" t="s">
        <v>88</v>
      </c>
      <c r="S256" t="s">
        <v>88</v>
      </c>
      <c r="T256" t="s">
        <v>88</v>
      </c>
      <c r="U256" t="s">
        <v>20</v>
      </c>
    </row>
    <row r="257" spans="1:21" x14ac:dyDescent="0.45">
      <c r="A257" s="79">
        <v>79432342</v>
      </c>
      <c r="B257" s="29" t="str">
        <f t="shared" si="10"/>
        <v>7.943.234-2</v>
      </c>
      <c r="C257" s="22" t="s">
        <v>38</v>
      </c>
      <c r="D257" s="29" t="s">
        <v>989</v>
      </c>
      <c r="E257" s="29" t="s">
        <v>990</v>
      </c>
      <c r="F257" s="29" t="s">
        <v>238</v>
      </c>
      <c r="G257" s="49">
        <v>45434</v>
      </c>
      <c r="H257" s="49">
        <v>45443</v>
      </c>
      <c r="I257" s="29" t="s">
        <v>24</v>
      </c>
      <c r="J257" s="68" t="s">
        <v>65</v>
      </c>
      <c r="K257" s="24" t="s">
        <v>43</v>
      </c>
      <c r="L257" s="49">
        <v>45425</v>
      </c>
      <c r="M257" s="49">
        <v>45443</v>
      </c>
      <c r="N257" s="99">
        <f t="shared" si="12"/>
        <v>18</v>
      </c>
      <c r="O257" s="29"/>
      <c r="P257" t="s">
        <v>88</v>
      </c>
      <c r="Q257" t="s">
        <v>88</v>
      </c>
      <c r="R257" t="s">
        <v>88</v>
      </c>
      <c r="S257" t="s">
        <v>88</v>
      </c>
      <c r="T257" t="s">
        <v>88</v>
      </c>
      <c r="U257" t="s">
        <v>20</v>
      </c>
    </row>
    <row r="258" spans="1:21" x14ac:dyDescent="0.45">
      <c r="A258" s="79">
        <v>85577905</v>
      </c>
      <c r="B258" s="29" t="str">
        <f t="shared" si="10"/>
        <v>8.557.790-5</v>
      </c>
      <c r="C258" s="22" t="s">
        <v>38</v>
      </c>
      <c r="D258" s="29" t="s">
        <v>328</v>
      </c>
      <c r="E258" s="29" t="s">
        <v>318</v>
      </c>
      <c r="F258" s="29" t="s">
        <v>1069</v>
      </c>
      <c r="G258" s="49">
        <v>45439</v>
      </c>
      <c r="H258" s="49">
        <v>45440</v>
      </c>
      <c r="I258" s="29" t="s">
        <v>24</v>
      </c>
      <c r="J258" s="68" t="s">
        <v>24</v>
      </c>
      <c r="K258" s="24" t="s">
        <v>43</v>
      </c>
      <c r="L258" s="49">
        <v>45439</v>
      </c>
      <c r="M258" s="49">
        <v>45440</v>
      </c>
      <c r="N258" s="99">
        <f t="shared" si="12"/>
        <v>1</v>
      </c>
      <c r="O258" s="29"/>
      <c r="P258" t="s">
        <v>88</v>
      </c>
      <c r="Q258" t="s">
        <v>88</v>
      </c>
      <c r="R258" t="s">
        <v>88</v>
      </c>
      <c r="S258" t="s">
        <v>88</v>
      </c>
      <c r="T258" t="s">
        <v>88</v>
      </c>
      <c r="U258" t="s">
        <v>20</v>
      </c>
    </row>
    <row r="259" spans="1:21" x14ac:dyDescent="0.45">
      <c r="A259" s="79">
        <v>85577905</v>
      </c>
      <c r="B259" s="29" t="str">
        <f t="shared" si="10"/>
        <v>8.557.790-5</v>
      </c>
      <c r="C259" s="22" t="s">
        <v>38</v>
      </c>
      <c r="D259" s="29" t="s">
        <v>328</v>
      </c>
      <c r="E259" s="29" t="s">
        <v>318</v>
      </c>
      <c r="F259" s="29" t="s">
        <v>1069</v>
      </c>
      <c r="G259" s="49">
        <v>45439</v>
      </c>
      <c r="H259" s="49">
        <v>45440</v>
      </c>
      <c r="I259" s="29" t="s">
        <v>24</v>
      </c>
      <c r="J259" s="68" t="s">
        <v>24</v>
      </c>
      <c r="K259" s="24" t="s">
        <v>47</v>
      </c>
      <c r="L259" s="49">
        <v>45439</v>
      </c>
      <c r="M259" s="49">
        <v>45440</v>
      </c>
      <c r="N259" s="99">
        <f t="shared" si="12"/>
        <v>1</v>
      </c>
      <c r="O259" s="29"/>
      <c r="P259" t="s">
        <v>88</v>
      </c>
      <c r="Q259" t="s">
        <v>88</v>
      </c>
      <c r="R259" t="s">
        <v>88</v>
      </c>
      <c r="S259" t="s">
        <v>88</v>
      </c>
      <c r="T259" t="s">
        <v>88</v>
      </c>
      <c r="U259" t="s">
        <v>20</v>
      </c>
    </row>
    <row r="260" spans="1:21" x14ac:dyDescent="0.45">
      <c r="A260" s="79">
        <v>86007479</v>
      </c>
      <c r="B260" s="29" t="str">
        <f t="shared" si="10"/>
        <v>8.600.747-9</v>
      </c>
      <c r="C260" s="22" t="s">
        <v>38</v>
      </c>
      <c r="D260" s="29" t="s">
        <v>282</v>
      </c>
      <c r="E260" s="29" t="s">
        <v>339</v>
      </c>
      <c r="F260" s="29" t="s">
        <v>271</v>
      </c>
      <c r="G260" s="49">
        <v>45421</v>
      </c>
      <c r="H260" s="49">
        <v>45442</v>
      </c>
      <c r="I260" s="29" t="s">
        <v>54</v>
      </c>
      <c r="J260" s="68" t="s">
        <v>66</v>
      </c>
      <c r="K260" s="24" t="s">
        <v>43</v>
      </c>
      <c r="L260" s="49">
        <v>45434</v>
      </c>
      <c r="M260" s="49">
        <v>45442</v>
      </c>
      <c r="N260" s="99">
        <f t="shared" si="12"/>
        <v>8</v>
      </c>
      <c r="O260" s="29"/>
      <c r="P260" t="s">
        <v>88</v>
      </c>
      <c r="Q260" t="s">
        <v>88</v>
      </c>
      <c r="R260" t="s">
        <v>88</v>
      </c>
      <c r="S260" t="s">
        <v>88</v>
      </c>
      <c r="T260" t="s">
        <v>88</v>
      </c>
      <c r="U260" t="s">
        <v>20</v>
      </c>
    </row>
    <row r="261" spans="1:21" x14ac:dyDescent="0.45">
      <c r="A261" s="79">
        <v>50442128</v>
      </c>
      <c r="B261" s="29" t="str">
        <f t="shared" si="10"/>
        <v>5.044.212-8</v>
      </c>
      <c r="C261" s="22" t="s">
        <v>38</v>
      </c>
      <c r="D261" s="29" t="s">
        <v>285</v>
      </c>
      <c r="E261" s="29" t="s">
        <v>561</v>
      </c>
      <c r="F261" s="29" t="s">
        <v>1070</v>
      </c>
      <c r="G261" s="49">
        <v>45432</v>
      </c>
      <c r="H261" s="49">
        <v>45442</v>
      </c>
      <c r="I261" s="29" t="s">
        <v>24</v>
      </c>
      <c r="J261" s="68" t="s">
        <v>65</v>
      </c>
      <c r="K261" s="24" t="s">
        <v>43</v>
      </c>
      <c r="L261" s="49">
        <v>45430</v>
      </c>
      <c r="M261" s="49">
        <v>45442</v>
      </c>
      <c r="N261" s="99">
        <f t="shared" si="12"/>
        <v>12</v>
      </c>
      <c r="O261" s="29"/>
      <c r="P261" t="s">
        <v>88</v>
      </c>
      <c r="Q261" t="s">
        <v>88</v>
      </c>
      <c r="R261" t="s">
        <v>88</v>
      </c>
      <c r="S261" t="s">
        <v>88</v>
      </c>
      <c r="T261" t="s">
        <v>88</v>
      </c>
      <c r="U261" t="s">
        <v>20</v>
      </c>
    </row>
    <row r="262" spans="1:21" x14ac:dyDescent="0.45">
      <c r="A262" s="79">
        <v>75968000</v>
      </c>
      <c r="B262" s="29" t="str">
        <f t="shared" si="10"/>
        <v>7.596.800-0</v>
      </c>
      <c r="C262" s="22" t="s">
        <v>38</v>
      </c>
      <c r="D262" s="29" t="s">
        <v>282</v>
      </c>
      <c r="E262" s="29" t="s">
        <v>465</v>
      </c>
      <c r="F262" s="29" t="s">
        <v>1071</v>
      </c>
      <c r="G262" s="49">
        <v>45439</v>
      </c>
      <c r="H262" s="49">
        <v>45442</v>
      </c>
      <c r="I262" s="29" t="s">
        <v>24</v>
      </c>
      <c r="J262" s="68" t="s">
        <v>65</v>
      </c>
      <c r="K262" s="24" t="s">
        <v>43</v>
      </c>
      <c r="L262" s="49">
        <v>45439</v>
      </c>
      <c r="M262" s="49">
        <v>45442</v>
      </c>
      <c r="N262" s="99">
        <f t="shared" si="12"/>
        <v>3</v>
      </c>
      <c r="O262" s="29"/>
      <c r="P262" t="s">
        <v>88</v>
      </c>
      <c r="Q262" t="s">
        <v>88</v>
      </c>
      <c r="R262" t="s">
        <v>88</v>
      </c>
      <c r="S262" t="s">
        <v>88</v>
      </c>
      <c r="T262" t="s">
        <v>88</v>
      </c>
      <c r="U262" t="s">
        <v>20</v>
      </c>
    </row>
    <row r="263" spans="1:21" x14ac:dyDescent="0.45">
      <c r="A263" s="79">
        <v>75968000</v>
      </c>
      <c r="B263" s="29" t="str">
        <f t="shared" si="10"/>
        <v>7.596.800-0</v>
      </c>
      <c r="C263" s="22" t="s">
        <v>38</v>
      </c>
      <c r="D263" s="29" t="s">
        <v>282</v>
      </c>
      <c r="E263" s="29" t="s">
        <v>465</v>
      </c>
      <c r="F263" s="29" t="s">
        <v>1071</v>
      </c>
      <c r="G263" s="49">
        <v>45439</v>
      </c>
      <c r="H263" s="49">
        <v>45442</v>
      </c>
      <c r="I263" s="29" t="s">
        <v>24</v>
      </c>
      <c r="J263" s="68" t="s">
        <v>65</v>
      </c>
      <c r="K263" s="24" t="s">
        <v>47</v>
      </c>
      <c r="L263" s="49">
        <v>45439</v>
      </c>
      <c r="M263" s="49">
        <v>45442</v>
      </c>
      <c r="N263" s="99">
        <f t="shared" si="12"/>
        <v>3</v>
      </c>
      <c r="O263" s="29"/>
      <c r="P263" t="s">
        <v>88</v>
      </c>
      <c r="Q263" t="s">
        <v>88</v>
      </c>
      <c r="R263" t="s">
        <v>88</v>
      </c>
      <c r="S263" t="s">
        <v>88</v>
      </c>
      <c r="T263" t="s">
        <v>88</v>
      </c>
      <c r="U263" t="s">
        <v>20</v>
      </c>
    </row>
    <row r="264" spans="1:21" x14ac:dyDescent="0.45">
      <c r="A264" s="79">
        <v>106061068</v>
      </c>
      <c r="B264" s="29" t="str">
        <f t="shared" ref="B264:B327" si="13">IF(LEN(A264)=8,MID(A264,1,1)&amp;"."&amp;MID(A264,2,3)&amp;"."&amp;MID(A264,5,3)&amp;"-"&amp;RIGHT(A264,1),IF(LEFT(RIGHT(A264,2),1)="-",MID(A264,1,1)&amp;"."&amp;MID(A264,2,3)&amp;"."&amp;MID(A264,5,3)&amp;"-"&amp;RIGHT(A264,1),MID(A264,1,2)&amp;"."&amp;MID(A264,3,3)&amp;"."&amp;MID(A264,6,3)&amp;"-"&amp;MID(A264,9,1)))</f>
        <v>10.606.106-8</v>
      </c>
      <c r="C264" s="22" t="s">
        <v>38</v>
      </c>
      <c r="D264" s="29" t="s">
        <v>328</v>
      </c>
      <c r="E264" s="29" t="s">
        <v>383</v>
      </c>
      <c r="F264" s="29" t="s">
        <v>246</v>
      </c>
      <c r="G264" s="49">
        <v>45435</v>
      </c>
      <c r="H264" s="49">
        <v>45440</v>
      </c>
      <c r="I264" s="29" t="s">
        <v>46</v>
      </c>
      <c r="J264" s="68" t="s">
        <v>65</v>
      </c>
      <c r="K264" s="24" t="s">
        <v>43</v>
      </c>
      <c r="L264" s="49">
        <v>45435</v>
      </c>
      <c r="M264" s="49">
        <v>45440</v>
      </c>
      <c r="N264" s="99">
        <f t="shared" si="12"/>
        <v>5</v>
      </c>
      <c r="O264" s="29"/>
      <c r="P264" t="s">
        <v>88</v>
      </c>
      <c r="Q264" t="s">
        <v>88</v>
      </c>
      <c r="R264" t="s">
        <v>88</v>
      </c>
      <c r="S264" t="s">
        <v>88</v>
      </c>
      <c r="T264" t="s">
        <v>88</v>
      </c>
      <c r="U264" t="s">
        <v>20</v>
      </c>
    </row>
    <row r="265" spans="1:21" x14ac:dyDescent="0.45">
      <c r="A265" s="79">
        <v>168077882</v>
      </c>
      <c r="B265" s="72" t="str">
        <f t="shared" si="13"/>
        <v>16.807.788-2</v>
      </c>
      <c r="C265" s="73" t="s">
        <v>22</v>
      </c>
      <c r="D265" s="29" t="s">
        <v>905</v>
      </c>
      <c r="E265" s="29" t="s">
        <v>699</v>
      </c>
      <c r="F265" s="29" t="s">
        <v>952</v>
      </c>
      <c r="G265" s="49">
        <v>45438</v>
      </c>
      <c r="H265" s="49">
        <v>45442</v>
      </c>
      <c r="I265" s="29" t="s">
        <v>22</v>
      </c>
      <c r="J265" s="68" t="s">
        <v>56</v>
      </c>
      <c r="K265" s="24" t="s">
        <v>43</v>
      </c>
      <c r="L265" s="49">
        <v>45438</v>
      </c>
      <c r="M265" s="49">
        <v>45442</v>
      </c>
      <c r="N265" s="99">
        <f t="shared" si="12"/>
        <v>4</v>
      </c>
      <c r="O265" s="29"/>
      <c r="P265" t="s">
        <v>88</v>
      </c>
      <c r="Q265" t="s">
        <v>88</v>
      </c>
      <c r="R265" t="s">
        <v>88</v>
      </c>
      <c r="S265" t="s">
        <v>88</v>
      </c>
      <c r="T265" t="s">
        <v>88</v>
      </c>
      <c r="U265" t="s">
        <v>20</v>
      </c>
    </row>
    <row r="266" spans="1:21" x14ac:dyDescent="0.45">
      <c r="A266" s="79">
        <v>67507460</v>
      </c>
      <c r="B266" s="29" t="str">
        <f t="shared" si="13"/>
        <v>6.750.746-0</v>
      </c>
      <c r="C266" s="22" t="s">
        <v>22</v>
      </c>
      <c r="D266" s="29" t="s">
        <v>555</v>
      </c>
      <c r="E266" s="29" t="s">
        <v>249</v>
      </c>
      <c r="F266" s="29" t="s">
        <v>475</v>
      </c>
      <c r="G266" s="49">
        <v>45438</v>
      </c>
      <c r="H266" s="49">
        <v>45442</v>
      </c>
      <c r="I266" s="29" t="s">
        <v>22</v>
      </c>
      <c r="J266" s="68" t="s">
        <v>61</v>
      </c>
      <c r="K266" s="24" t="s">
        <v>43</v>
      </c>
      <c r="L266" s="49">
        <v>45427</v>
      </c>
      <c r="M266" s="49">
        <v>45442</v>
      </c>
      <c r="N266" s="99">
        <f t="shared" si="12"/>
        <v>15</v>
      </c>
      <c r="O266" s="29"/>
      <c r="P266" t="s">
        <v>88</v>
      </c>
      <c r="Q266" t="s">
        <v>88</v>
      </c>
      <c r="R266" t="s">
        <v>88</v>
      </c>
      <c r="S266" t="s">
        <v>88</v>
      </c>
      <c r="T266" t="s">
        <v>88</v>
      </c>
      <c r="U266" t="s">
        <v>20</v>
      </c>
    </row>
    <row r="267" spans="1:21" x14ac:dyDescent="0.45">
      <c r="A267" s="79">
        <v>67507460</v>
      </c>
      <c r="B267" s="29" t="str">
        <f t="shared" si="13"/>
        <v>6.750.746-0</v>
      </c>
      <c r="C267" s="22" t="s">
        <v>22</v>
      </c>
      <c r="D267" s="29" t="s">
        <v>555</v>
      </c>
      <c r="E267" s="29" t="s">
        <v>249</v>
      </c>
      <c r="F267" s="29" t="s">
        <v>475</v>
      </c>
      <c r="G267" s="49">
        <v>45438</v>
      </c>
      <c r="H267" s="49">
        <v>45442</v>
      </c>
      <c r="I267" s="29" t="s">
        <v>22</v>
      </c>
      <c r="J267" s="68" t="s">
        <v>61</v>
      </c>
      <c r="K267" s="24" t="s">
        <v>47</v>
      </c>
      <c r="L267" s="49">
        <v>45434</v>
      </c>
      <c r="M267" s="49">
        <v>45442</v>
      </c>
      <c r="N267" s="99">
        <f t="shared" si="12"/>
        <v>8</v>
      </c>
      <c r="O267" s="29"/>
      <c r="P267" t="s">
        <v>88</v>
      </c>
      <c r="Q267" t="s">
        <v>88</v>
      </c>
      <c r="R267" t="s">
        <v>88</v>
      </c>
      <c r="S267" t="s">
        <v>88</v>
      </c>
      <c r="T267" t="s">
        <v>88</v>
      </c>
      <c r="U267" t="s">
        <v>20</v>
      </c>
    </row>
    <row r="268" spans="1:21" x14ac:dyDescent="0.45">
      <c r="A268" s="79">
        <v>185794105</v>
      </c>
      <c r="B268" s="29" t="str">
        <f t="shared" si="13"/>
        <v>18.579.410-5</v>
      </c>
      <c r="C268" s="22" t="s">
        <v>22</v>
      </c>
      <c r="D268" s="29" t="s">
        <v>1072</v>
      </c>
      <c r="E268" s="29" t="s">
        <v>1073</v>
      </c>
      <c r="F268" s="29" t="s">
        <v>1074</v>
      </c>
      <c r="G268" s="49">
        <v>45436</v>
      </c>
      <c r="H268" s="49">
        <v>45439</v>
      </c>
      <c r="I268" s="29" t="s">
        <v>22</v>
      </c>
      <c r="J268" s="68" t="s">
        <v>56</v>
      </c>
      <c r="K268" s="24" t="s">
        <v>43</v>
      </c>
      <c r="L268" s="49">
        <v>45434</v>
      </c>
      <c r="M268" s="49">
        <v>45439</v>
      </c>
      <c r="N268" s="99">
        <f t="shared" si="12"/>
        <v>5</v>
      </c>
      <c r="O268" s="29"/>
      <c r="P268" t="s">
        <v>88</v>
      </c>
      <c r="Q268" t="s">
        <v>88</v>
      </c>
      <c r="R268" t="s">
        <v>88</v>
      </c>
      <c r="S268" t="s">
        <v>88</v>
      </c>
      <c r="T268" t="s">
        <v>88</v>
      </c>
      <c r="U268" t="s">
        <v>20</v>
      </c>
    </row>
    <row r="269" spans="1:21" x14ac:dyDescent="0.45">
      <c r="A269" s="79">
        <v>159922936</v>
      </c>
      <c r="B269" s="29" t="str">
        <f t="shared" si="13"/>
        <v>15.992.293-6</v>
      </c>
      <c r="C269" s="22" t="s">
        <v>46</v>
      </c>
      <c r="D269" s="29" t="s">
        <v>344</v>
      </c>
      <c r="E269" s="29" t="s">
        <v>344</v>
      </c>
      <c r="F269" s="29" t="s">
        <v>380</v>
      </c>
      <c r="G269" s="49">
        <v>45433</v>
      </c>
      <c r="H269" s="49">
        <v>45443</v>
      </c>
      <c r="I269" s="29" t="s">
        <v>54</v>
      </c>
      <c r="J269" s="68" t="s">
        <v>65</v>
      </c>
      <c r="K269" s="24" t="s">
        <v>43</v>
      </c>
      <c r="L269" s="49">
        <v>45440</v>
      </c>
      <c r="M269" s="49">
        <v>45443</v>
      </c>
      <c r="N269" s="99">
        <f t="shared" si="12"/>
        <v>3</v>
      </c>
      <c r="O269" s="29"/>
      <c r="P269" t="s">
        <v>88</v>
      </c>
      <c r="Q269" t="s">
        <v>88</v>
      </c>
      <c r="R269" t="s">
        <v>88</v>
      </c>
      <c r="S269" t="s">
        <v>88</v>
      </c>
      <c r="T269" t="s">
        <v>88</v>
      </c>
      <c r="U269" t="s">
        <v>20</v>
      </c>
    </row>
    <row r="270" spans="1:21" x14ac:dyDescent="0.45">
      <c r="A270" s="79">
        <v>48068855</v>
      </c>
      <c r="B270" s="29" t="str">
        <f t="shared" si="13"/>
        <v>4.806.885-5</v>
      </c>
      <c r="C270" s="22" t="s">
        <v>46</v>
      </c>
      <c r="D270" s="29" t="s">
        <v>498</v>
      </c>
      <c r="E270" s="29" t="s">
        <v>868</v>
      </c>
      <c r="F270" s="29" t="s">
        <v>430</v>
      </c>
      <c r="G270" s="49">
        <v>45442</v>
      </c>
      <c r="H270" s="49">
        <v>45443</v>
      </c>
      <c r="I270" s="29" t="s">
        <v>61</v>
      </c>
      <c r="J270" s="68" t="s">
        <v>65</v>
      </c>
      <c r="K270" s="24" t="s">
        <v>43</v>
      </c>
      <c r="L270" s="49">
        <v>45435</v>
      </c>
      <c r="M270" s="49">
        <v>45443</v>
      </c>
      <c r="N270" s="99">
        <f t="shared" si="12"/>
        <v>8</v>
      </c>
      <c r="O270" s="29"/>
      <c r="P270" t="s">
        <v>88</v>
      </c>
      <c r="Q270" t="s">
        <v>88</v>
      </c>
      <c r="R270" t="s">
        <v>88</v>
      </c>
      <c r="S270" t="s">
        <v>88</v>
      </c>
      <c r="T270" t="s">
        <v>88</v>
      </c>
      <c r="U270" t="s">
        <v>20</v>
      </c>
    </row>
    <row r="271" spans="1:21" x14ac:dyDescent="0.45">
      <c r="A271" s="79">
        <v>93247965</v>
      </c>
      <c r="B271" s="29" t="str">
        <f t="shared" si="13"/>
        <v>9.324.796-5</v>
      </c>
      <c r="C271" s="22" t="s">
        <v>22</v>
      </c>
      <c r="D271" s="29" t="s">
        <v>488</v>
      </c>
      <c r="E271" s="29" t="s">
        <v>338</v>
      </c>
      <c r="F271" s="29" t="s">
        <v>362</v>
      </c>
      <c r="G271" s="49">
        <v>45434</v>
      </c>
      <c r="H271" s="49">
        <v>45443</v>
      </c>
      <c r="I271" s="29" t="s">
        <v>54</v>
      </c>
      <c r="J271" s="68" t="s">
        <v>65</v>
      </c>
      <c r="K271" s="24" t="s">
        <v>43</v>
      </c>
      <c r="L271" s="49">
        <v>45434</v>
      </c>
      <c r="M271" s="49">
        <v>45443</v>
      </c>
      <c r="N271" s="99">
        <f t="shared" si="12"/>
        <v>9</v>
      </c>
      <c r="O271" s="29"/>
      <c r="P271" t="s">
        <v>88</v>
      </c>
      <c r="Q271" t="s">
        <v>88</v>
      </c>
      <c r="R271" t="s">
        <v>88</v>
      </c>
      <c r="S271" t="s">
        <v>88</v>
      </c>
      <c r="T271" t="s">
        <v>88</v>
      </c>
      <c r="U271" t="s">
        <v>20</v>
      </c>
    </row>
    <row r="272" spans="1:21" x14ac:dyDescent="0.45">
      <c r="A272" s="79">
        <v>93247965</v>
      </c>
      <c r="B272" s="29" t="str">
        <f t="shared" si="13"/>
        <v>9.324.796-5</v>
      </c>
      <c r="C272" s="22" t="s">
        <v>22</v>
      </c>
      <c r="D272" s="29" t="s">
        <v>488</v>
      </c>
      <c r="E272" s="29" t="s">
        <v>338</v>
      </c>
      <c r="F272" s="29" t="s">
        <v>362</v>
      </c>
      <c r="G272" s="49">
        <v>45434</v>
      </c>
      <c r="H272" s="49">
        <v>45443</v>
      </c>
      <c r="I272" s="29" t="s">
        <v>54</v>
      </c>
      <c r="J272" s="68" t="s">
        <v>65</v>
      </c>
      <c r="K272" s="24" t="s">
        <v>47</v>
      </c>
      <c r="L272" s="49">
        <v>45434</v>
      </c>
      <c r="M272" s="49">
        <v>45443</v>
      </c>
      <c r="N272" s="99">
        <f t="shared" si="12"/>
        <v>9</v>
      </c>
      <c r="O272" s="29"/>
      <c r="P272" t="s">
        <v>88</v>
      </c>
      <c r="Q272" t="s">
        <v>88</v>
      </c>
      <c r="R272" t="s">
        <v>88</v>
      </c>
      <c r="S272" t="s">
        <v>88</v>
      </c>
      <c r="T272" t="s">
        <v>88</v>
      </c>
      <c r="U272" t="s">
        <v>20</v>
      </c>
    </row>
    <row r="273" spans="1:21" x14ac:dyDescent="0.45">
      <c r="A273" s="79">
        <v>93247965</v>
      </c>
      <c r="B273" s="29" t="str">
        <f t="shared" si="13"/>
        <v>9.324.796-5</v>
      </c>
      <c r="C273" s="22" t="s">
        <v>22</v>
      </c>
      <c r="D273" s="29" t="s">
        <v>488</v>
      </c>
      <c r="E273" s="29" t="s">
        <v>338</v>
      </c>
      <c r="F273" s="29" t="s">
        <v>362</v>
      </c>
      <c r="G273" s="49">
        <v>45434</v>
      </c>
      <c r="H273" s="49">
        <v>45443</v>
      </c>
      <c r="I273" s="29" t="s">
        <v>54</v>
      </c>
      <c r="J273" s="68" t="s">
        <v>65</v>
      </c>
      <c r="K273" s="24" t="s">
        <v>55</v>
      </c>
      <c r="L273" s="49">
        <v>45434</v>
      </c>
      <c r="M273" s="49">
        <v>45443</v>
      </c>
      <c r="N273" s="99">
        <f t="shared" si="12"/>
        <v>9</v>
      </c>
      <c r="O273" s="29"/>
      <c r="P273" t="s">
        <v>88</v>
      </c>
      <c r="Q273" t="s">
        <v>88</v>
      </c>
      <c r="R273" t="s">
        <v>88</v>
      </c>
      <c r="S273" t="s">
        <v>88</v>
      </c>
      <c r="T273" t="s">
        <v>88</v>
      </c>
      <c r="U273" t="s">
        <v>20</v>
      </c>
    </row>
    <row r="274" spans="1:21" x14ac:dyDescent="0.45">
      <c r="A274" s="79">
        <v>411949931</v>
      </c>
      <c r="B274" s="29" t="str">
        <f t="shared" si="13"/>
        <v>41.194.993-1</v>
      </c>
      <c r="C274" s="22" t="s">
        <v>22</v>
      </c>
      <c r="D274" s="29" t="s">
        <v>1075</v>
      </c>
      <c r="E274" s="29" t="s">
        <v>1076</v>
      </c>
      <c r="F274" s="29" t="s">
        <v>1077</v>
      </c>
      <c r="G274" s="49">
        <v>45442</v>
      </c>
      <c r="H274" s="49">
        <v>45443</v>
      </c>
      <c r="I274" s="29" t="s">
        <v>54</v>
      </c>
      <c r="J274" s="68" t="s">
        <v>65</v>
      </c>
      <c r="K274" s="24" t="s">
        <v>43</v>
      </c>
      <c r="L274" s="49">
        <v>45442</v>
      </c>
      <c r="M274" s="49">
        <v>45443</v>
      </c>
      <c r="N274" s="99">
        <f t="shared" si="12"/>
        <v>1</v>
      </c>
      <c r="O274" s="29" t="s">
        <v>14</v>
      </c>
      <c r="P274" t="s">
        <v>88</v>
      </c>
      <c r="Q274" t="s">
        <v>88</v>
      </c>
      <c r="R274" t="s">
        <v>88</v>
      </c>
      <c r="S274" t="s">
        <v>88</v>
      </c>
      <c r="T274" t="s">
        <v>88</v>
      </c>
      <c r="U274" t="s">
        <v>20</v>
      </c>
    </row>
    <row r="275" spans="1:21" x14ac:dyDescent="0.45">
      <c r="A275" s="79">
        <v>411949931</v>
      </c>
      <c r="B275" s="29" t="str">
        <f t="shared" si="13"/>
        <v>41.194.993-1</v>
      </c>
      <c r="C275" s="22" t="s">
        <v>22</v>
      </c>
      <c r="D275" s="29" t="s">
        <v>1075</v>
      </c>
      <c r="E275" s="29" t="s">
        <v>1076</v>
      </c>
      <c r="F275" s="29" t="s">
        <v>1077</v>
      </c>
      <c r="G275" s="49">
        <v>45442</v>
      </c>
      <c r="H275" s="49">
        <v>45443</v>
      </c>
      <c r="I275" s="29" t="s">
        <v>54</v>
      </c>
      <c r="J275" s="68" t="s">
        <v>65</v>
      </c>
      <c r="K275" s="24" t="s">
        <v>47</v>
      </c>
      <c r="L275" s="49">
        <v>45441</v>
      </c>
      <c r="M275" s="49">
        <v>45443</v>
      </c>
      <c r="N275" s="99">
        <f t="shared" si="12"/>
        <v>2</v>
      </c>
      <c r="O275" s="29"/>
      <c r="P275" t="s">
        <v>88</v>
      </c>
      <c r="Q275" t="s">
        <v>88</v>
      </c>
      <c r="R275" t="s">
        <v>88</v>
      </c>
      <c r="S275" t="s">
        <v>88</v>
      </c>
      <c r="T275" t="s">
        <v>88</v>
      </c>
      <c r="U275" t="s">
        <v>20</v>
      </c>
    </row>
    <row r="276" spans="1:21" x14ac:dyDescent="0.45">
      <c r="A276" s="79">
        <v>85413171</v>
      </c>
      <c r="B276" s="29" t="str">
        <f t="shared" si="13"/>
        <v>8.541.317-1</v>
      </c>
      <c r="C276" s="22" t="s">
        <v>22</v>
      </c>
      <c r="D276" s="29" t="s">
        <v>788</v>
      </c>
      <c r="E276" s="29" t="s">
        <v>439</v>
      </c>
      <c r="F276" s="29" t="s">
        <v>1026</v>
      </c>
      <c r="G276" s="49">
        <v>45440</v>
      </c>
      <c r="H276" s="49">
        <v>45443</v>
      </c>
      <c r="I276" s="29" t="s">
        <v>54</v>
      </c>
      <c r="J276" s="68" t="s">
        <v>65</v>
      </c>
      <c r="K276" s="24" t="s">
        <v>43</v>
      </c>
      <c r="L276" s="49">
        <v>45440</v>
      </c>
      <c r="M276" s="49">
        <v>45443</v>
      </c>
      <c r="N276" s="99">
        <f t="shared" si="12"/>
        <v>3</v>
      </c>
      <c r="O276" s="29"/>
      <c r="P276" t="s">
        <v>88</v>
      </c>
      <c r="Q276" t="s">
        <v>88</v>
      </c>
      <c r="R276" t="s">
        <v>88</v>
      </c>
      <c r="S276" t="s">
        <v>88</v>
      </c>
      <c r="T276" t="s">
        <v>88</v>
      </c>
      <c r="U276" t="s">
        <v>20</v>
      </c>
    </row>
    <row r="277" spans="1:21" x14ac:dyDescent="0.45">
      <c r="A277" s="79">
        <v>85413171</v>
      </c>
      <c r="B277" s="29" t="str">
        <f t="shared" si="13"/>
        <v>8.541.317-1</v>
      </c>
      <c r="C277" s="22" t="s">
        <v>22</v>
      </c>
      <c r="D277" s="29" t="s">
        <v>788</v>
      </c>
      <c r="E277" s="29" t="s">
        <v>439</v>
      </c>
      <c r="F277" s="29" t="s">
        <v>1026</v>
      </c>
      <c r="G277" s="49">
        <v>45440</v>
      </c>
      <c r="H277" s="49">
        <v>45443</v>
      </c>
      <c r="I277" s="29" t="s">
        <v>54</v>
      </c>
      <c r="J277" s="68" t="s">
        <v>65</v>
      </c>
      <c r="K277" s="24" t="s">
        <v>47</v>
      </c>
      <c r="L277" s="49">
        <v>45440</v>
      </c>
      <c r="M277" s="49">
        <v>45443</v>
      </c>
      <c r="N277" s="99">
        <f t="shared" si="12"/>
        <v>3</v>
      </c>
      <c r="O277" s="29"/>
      <c r="P277" t="s">
        <v>88</v>
      </c>
      <c r="Q277" t="s">
        <v>88</v>
      </c>
      <c r="R277" t="s">
        <v>88</v>
      </c>
      <c r="S277" t="s">
        <v>88</v>
      </c>
      <c r="T277" t="s">
        <v>88</v>
      </c>
      <c r="U277" t="s">
        <v>20</v>
      </c>
    </row>
    <row r="278" spans="1:21" x14ac:dyDescent="0.45">
      <c r="A278" s="79">
        <v>85413171</v>
      </c>
      <c r="B278" s="29" t="str">
        <f t="shared" si="13"/>
        <v>8.541.317-1</v>
      </c>
      <c r="C278" s="22" t="s">
        <v>22</v>
      </c>
      <c r="D278" s="29" t="s">
        <v>788</v>
      </c>
      <c r="E278" s="29" t="s">
        <v>439</v>
      </c>
      <c r="F278" s="29" t="s">
        <v>1026</v>
      </c>
      <c r="G278" s="49">
        <v>45440</v>
      </c>
      <c r="H278" s="49">
        <v>45443</v>
      </c>
      <c r="I278" s="29" t="s">
        <v>54</v>
      </c>
      <c r="J278" s="68" t="s">
        <v>65</v>
      </c>
      <c r="K278" s="24" t="s">
        <v>55</v>
      </c>
      <c r="L278" s="49">
        <v>45440</v>
      </c>
      <c r="M278" s="49">
        <v>45443</v>
      </c>
      <c r="N278" s="99">
        <f t="shared" si="12"/>
        <v>3</v>
      </c>
      <c r="O278" s="29"/>
      <c r="P278" t="s">
        <v>88</v>
      </c>
      <c r="Q278" t="s">
        <v>88</v>
      </c>
      <c r="R278" t="s">
        <v>88</v>
      </c>
      <c r="S278" t="s">
        <v>88</v>
      </c>
      <c r="T278" t="s">
        <v>88</v>
      </c>
      <c r="U278" t="s">
        <v>20</v>
      </c>
    </row>
    <row r="279" spans="1:21" x14ac:dyDescent="0.45">
      <c r="A279" s="79" t="s">
        <v>1050</v>
      </c>
      <c r="B279" s="29" t="str">
        <f t="shared" si="13"/>
        <v>15.591.887-K</v>
      </c>
      <c r="C279" s="22" t="s">
        <v>22</v>
      </c>
      <c r="D279" s="29" t="s">
        <v>325</v>
      </c>
      <c r="E279" s="29" t="s">
        <v>873</v>
      </c>
      <c r="F279" s="29" t="s">
        <v>966</v>
      </c>
      <c r="G279" s="49">
        <v>45429</v>
      </c>
      <c r="H279" s="49">
        <v>45443</v>
      </c>
      <c r="I279" s="29" t="s">
        <v>54</v>
      </c>
      <c r="J279" s="68" t="s">
        <v>65</v>
      </c>
      <c r="K279" s="24" t="s">
        <v>43</v>
      </c>
      <c r="L279" s="49">
        <v>45429</v>
      </c>
      <c r="M279" s="49">
        <v>45443</v>
      </c>
      <c r="N279" s="99">
        <f t="shared" si="12"/>
        <v>14</v>
      </c>
      <c r="O279" s="29"/>
      <c r="P279" t="s">
        <v>88</v>
      </c>
      <c r="Q279" t="s">
        <v>88</v>
      </c>
      <c r="R279" t="s">
        <v>88</v>
      </c>
      <c r="S279" t="s">
        <v>88</v>
      </c>
      <c r="T279" t="s">
        <v>88</v>
      </c>
      <c r="U279" t="s">
        <v>20</v>
      </c>
    </row>
    <row r="280" spans="1:21" x14ac:dyDescent="0.45">
      <c r="A280" s="79" t="s">
        <v>1050</v>
      </c>
      <c r="B280" s="29" t="str">
        <f t="shared" si="13"/>
        <v>15.591.887-K</v>
      </c>
      <c r="C280" s="22" t="s">
        <v>22</v>
      </c>
      <c r="D280" s="29" t="s">
        <v>325</v>
      </c>
      <c r="E280" s="29" t="s">
        <v>873</v>
      </c>
      <c r="F280" s="29" t="s">
        <v>966</v>
      </c>
      <c r="G280" s="49">
        <v>45429</v>
      </c>
      <c r="H280" s="49">
        <v>45443</v>
      </c>
      <c r="I280" s="29" t="s">
        <v>54</v>
      </c>
      <c r="J280" s="68" t="s">
        <v>65</v>
      </c>
      <c r="K280" s="24" t="s">
        <v>47</v>
      </c>
      <c r="L280" s="49">
        <v>45432</v>
      </c>
      <c r="M280" s="49">
        <v>45443</v>
      </c>
      <c r="N280" s="99">
        <f t="shared" si="12"/>
        <v>11</v>
      </c>
      <c r="O280" s="29"/>
      <c r="P280" t="s">
        <v>88</v>
      </c>
      <c r="Q280" t="s">
        <v>88</v>
      </c>
      <c r="R280" t="s">
        <v>88</v>
      </c>
      <c r="S280" t="s">
        <v>88</v>
      </c>
      <c r="T280" t="s">
        <v>88</v>
      </c>
      <c r="U280" t="s">
        <v>20</v>
      </c>
    </row>
    <row r="281" spans="1:21" x14ac:dyDescent="0.45">
      <c r="A281" s="79" t="s">
        <v>1050</v>
      </c>
      <c r="B281" s="29" t="str">
        <f t="shared" si="13"/>
        <v>15.591.887-K</v>
      </c>
      <c r="C281" s="22" t="s">
        <v>22</v>
      </c>
      <c r="D281" s="29" t="s">
        <v>325</v>
      </c>
      <c r="E281" s="29" t="s">
        <v>873</v>
      </c>
      <c r="F281" s="29" t="s">
        <v>966</v>
      </c>
      <c r="G281" s="49">
        <v>45429</v>
      </c>
      <c r="H281" s="49">
        <v>45443</v>
      </c>
      <c r="I281" s="29" t="s">
        <v>54</v>
      </c>
      <c r="J281" s="68" t="s">
        <v>65</v>
      </c>
      <c r="K281" s="24" t="s">
        <v>55</v>
      </c>
      <c r="L281" s="49">
        <v>45429</v>
      </c>
      <c r="M281" s="49">
        <v>45443</v>
      </c>
      <c r="N281" s="99">
        <f t="shared" si="12"/>
        <v>14</v>
      </c>
      <c r="O281" s="29"/>
      <c r="P281" t="s">
        <v>88</v>
      </c>
      <c r="Q281" t="s">
        <v>88</v>
      </c>
      <c r="R281" t="s">
        <v>88</v>
      </c>
      <c r="S281" t="s">
        <v>88</v>
      </c>
      <c r="T281" t="s">
        <v>88</v>
      </c>
      <c r="U281" t="s">
        <v>20</v>
      </c>
    </row>
    <row r="282" spans="1:21" x14ac:dyDescent="0.45">
      <c r="A282" s="79">
        <v>90584839</v>
      </c>
      <c r="B282" s="29" t="str">
        <f t="shared" si="13"/>
        <v>9.058.483-9</v>
      </c>
      <c r="C282" s="22" t="s">
        <v>22</v>
      </c>
      <c r="D282" s="29" t="s">
        <v>1078</v>
      </c>
      <c r="E282" s="29" t="s">
        <v>393</v>
      </c>
      <c r="F282" s="29" t="s">
        <v>250</v>
      </c>
      <c r="G282" s="49">
        <v>45440</v>
      </c>
      <c r="H282" s="49">
        <v>45443</v>
      </c>
      <c r="I282" s="29" t="s">
        <v>54</v>
      </c>
      <c r="J282" s="68" t="s">
        <v>65</v>
      </c>
      <c r="K282" s="24" t="s">
        <v>43</v>
      </c>
      <c r="L282" s="49">
        <v>45439</v>
      </c>
      <c r="M282" s="49">
        <v>45443</v>
      </c>
      <c r="N282" s="99">
        <f t="shared" si="12"/>
        <v>4</v>
      </c>
      <c r="O282" s="29"/>
      <c r="P282" t="s">
        <v>88</v>
      </c>
      <c r="Q282" t="s">
        <v>88</v>
      </c>
      <c r="R282" t="s">
        <v>88</v>
      </c>
      <c r="S282" t="s">
        <v>88</v>
      </c>
      <c r="T282" t="s">
        <v>88</v>
      </c>
      <c r="U282" t="s">
        <v>20</v>
      </c>
    </row>
    <row r="283" spans="1:21" x14ac:dyDescent="0.45">
      <c r="A283" s="79">
        <v>90584839</v>
      </c>
      <c r="B283" s="29" t="str">
        <f t="shared" si="13"/>
        <v>9.058.483-9</v>
      </c>
      <c r="C283" s="22" t="s">
        <v>22</v>
      </c>
      <c r="D283" s="29" t="s">
        <v>1078</v>
      </c>
      <c r="E283" s="29" t="s">
        <v>393</v>
      </c>
      <c r="F283" s="29" t="s">
        <v>250</v>
      </c>
      <c r="G283" s="49">
        <v>45440</v>
      </c>
      <c r="H283" s="49">
        <v>45443</v>
      </c>
      <c r="I283" s="29" t="s">
        <v>54</v>
      </c>
      <c r="J283" s="68" t="s">
        <v>65</v>
      </c>
      <c r="K283" s="24" t="s">
        <v>47</v>
      </c>
      <c r="L283" s="49">
        <v>45439</v>
      </c>
      <c r="M283" s="49">
        <v>45443</v>
      </c>
      <c r="N283" s="99">
        <f t="shared" si="12"/>
        <v>4</v>
      </c>
      <c r="O283" s="29"/>
      <c r="P283" t="s">
        <v>88</v>
      </c>
      <c r="Q283" t="s">
        <v>88</v>
      </c>
      <c r="R283" t="s">
        <v>88</v>
      </c>
      <c r="S283" t="s">
        <v>88</v>
      </c>
      <c r="T283" t="s">
        <v>88</v>
      </c>
      <c r="U283" t="s">
        <v>20</v>
      </c>
    </row>
    <row r="284" spans="1:21" x14ac:dyDescent="0.45">
      <c r="A284" s="79">
        <v>90584839</v>
      </c>
      <c r="B284" s="29" t="str">
        <f t="shared" si="13"/>
        <v>9.058.483-9</v>
      </c>
      <c r="C284" s="22" t="s">
        <v>22</v>
      </c>
      <c r="D284" s="29" t="s">
        <v>1078</v>
      </c>
      <c r="E284" s="29" t="s">
        <v>393</v>
      </c>
      <c r="F284" s="29" t="s">
        <v>250</v>
      </c>
      <c r="G284" s="49">
        <v>45440</v>
      </c>
      <c r="H284" s="49">
        <v>45443</v>
      </c>
      <c r="I284" s="29" t="s">
        <v>54</v>
      </c>
      <c r="J284" s="68" t="s">
        <v>65</v>
      </c>
      <c r="K284" s="24" t="s">
        <v>55</v>
      </c>
      <c r="L284" s="49">
        <v>45439</v>
      </c>
      <c r="M284" s="49">
        <v>45443</v>
      </c>
      <c r="N284" s="99">
        <f t="shared" si="12"/>
        <v>4</v>
      </c>
      <c r="O284" s="29"/>
      <c r="P284" t="s">
        <v>132</v>
      </c>
      <c r="Q284" t="s">
        <v>88</v>
      </c>
      <c r="R284" t="s">
        <v>88</v>
      </c>
      <c r="S284" t="s">
        <v>88</v>
      </c>
      <c r="T284" t="s">
        <v>88</v>
      </c>
      <c r="U284" t="s">
        <v>20</v>
      </c>
    </row>
    <row r="285" spans="1:21" x14ac:dyDescent="0.45">
      <c r="A285" s="79">
        <v>58036757</v>
      </c>
      <c r="B285" s="29" t="str">
        <f t="shared" si="13"/>
        <v>5.803.675-7</v>
      </c>
      <c r="C285" s="22" t="s">
        <v>22</v>
      </c>
      <c r="D285" s="29" t="s">
        <v>580</v>
      </c>
      <c r="E285" s="29" t="s">
        <v>1079</v>
      </c>
      <c r="F285" s="29" t="s">
        <v>419</v>
      </c>
      <c r="G285" s="49">
        <v>45442</v>
      </c>
      <c r="H285" s="49">
        <v>45443</v>
      </c>
      <c r="I285" s="29" t="s">
        <v>54</v>
      </c>
      <c r="J285" s="68" t="s">
        <v>65</v>
      </c>
      <c r="K285" s="24" t="s">
        <v>43</v>
      </c>
      <c r="L285" s="49">
        <v>45442</v>
      </c>
      <c r="M285" s="49">
        <v>45443</v>
      </c>
      <c r="N285" s="99">
        <f t="shared" si="12"/>
        <v>1</v>
      </c>
      <c r="O285" s="29"/>
      <c r="P285" t="s">
        <v>88</v>
      </c>
      <c r="Q285" t="s">
        <v>88</v>
      </c>
      <c r="R285" t="s">
        <v>88</v>
      </c>
      <c r="S285" t="s">
        <v>88</v>
      </c>
      <c r="T285" t="s">
        <v>88</v>
      </c>
      <c r="U285" t="s">
        <v>20</v>
      </c>
    </row>
    <row r="286" spans="1:21" x14ac:dyDescent="0.45">
      <c r="A286" s="79">
        <v>58036757</v>
      </c>
      <c r="B286" s="29" t="str">
        <f t="shared" si="13"/>
        <v>5.803.675-7</v>
      </c>
      <c r="C286" s="22" t="s">
        <v>22</v>
      </c>
      <c r="D286" s="29" t="s">
        <v>580</v>
      </c>
      <c r="E286" s="29" t="s">
        <v>1079</v>
      </c>
      <c r="F286" s="29" t="s">
        <v>419</v>
      </c>
      <c r="G286" s="49">
        <v>45442</v>
      </c>
      <c r="H286" s="49">
        <v>45443</v>
      </c>
      <c r="I286" s="29" t="s">
        <v>54</v>
      </c>
      <c r="J286" s="68" t="s">
        <v>65</v>
      </c>
      <c r="K286" s="24" t="s">
        <v>47</v>
      </c>
      <c r="L286" s="49">
        <v>45442</v>
      </c>
      <c r="M286" s="49">
        <v>45443</v>
      </c>
      <c r="N286" s="99">
        <f t="shared" si="12"/>
        <v>1</v>
      </c>
      <c r="O286" s="29"/>
      <c r="P286" t="s">
        <v>88</v>
      </c>
      <c r="Q286" t="s">
        <v>88</v>
      </c>
      <c r="R286" t="s">
        <v>88</v>
      </c>
      <c r="S286" t="s">
        <v>88</v>
      </c>
      <c r="T286" t="s">
        <v>88</v>
      </c>
      <c r="U286" t="s">
        <v>20</v>
      </c>
    </row>
    <row r="287" spans="1:21" x14ac:dyDescent="0.45">
      <c r="A287" s="79">
        <v>58036757</v>
      </c>
      <c r="B287" s="29" t="str">
        <f t="shared" si="13"/>
        <v>5.803.675-7</v>
      </c>
      <c r="C287" s="22" t="s">
        <v>22</v>
      </c>
      <c r="D287" s="29" t="s">
        <v>580</v>
      </c>
      <c r="E287" s="29" t="s">
        <v>1079</v>
      </c>
      <c r="F287" s="29" t="s">
        <v>419</v>
      </c>
      <c r="G287" s="49">
        <v>45442</v>
      </c>
      <c r="H287" s="49">
        <v>45443</v>
      </c>
      <c r="I287" s="29" t="s">
        <v>54</v>
      </c>
      <c r="J287" s="68" t="s">
        <v>65</v>
      </c>
      <c r="K287" s="24" t="s">
        <v>55</v>
      </c>
      <c r="L287" s="49">
        <v>45442</v>
      </c>
      <c r="M287" s="49">
        <v>45443</v>
      </c>
      <c r="N287" s="99">
        <f t="shared" si="12"/>
        <v>1</v>
      </c>
      <c r="O287" s="29"/>
      <c r="P287" t="s">
        <v>88</v>
      </c>
      <c r="Q287" t="s">
        <v>88</v>
      </c>
      <c r="R287" t="s">
        <v>88</v>
      </c>
      <c r="S287" t="s">
        <v>88</v>
      </c>
      <c r="T287" t="s">
        <v>88</v>
      </c>
      <c r="U287" t="s">
        <v>20</v>
      </c>
    </row>
    <row r="288" spans="1:21" x14ac:dyDescent="0.45">
      <c r="A288" s="79">
        <v>92685470</v>
      </c>
      <c r="B288" s="29" t="str">
        <f t="shared" si="13"/>
        <v>9.268.547-0</v>
      </c>
      <c r="C288" s="22" t="s">
        <v>22</v>
      </c>
      <c r="D288" s="29" t="s">
        <v>1080</v>
      </c>
      <c r="E288" s="29" t="s">
        <v>1081</v>
      </c>
      <c r="F288" s="29" t="s">
        <v>1082</v>
      </c>
      <c r="G288" s="49">
        <v>45442</v>
      </c>
      <c r="H288" s="49">
        <v>45443</v>
      </c>
      <c r="I288" s="29" t="s">
        <v>54</v>
      </c>
      <c r="J288" s="68" t="s">
        <v>65</v>
      </c>
      <c r="K288" s="24" t="s">
        <v>43</v>
      </c>
      <c r="L288" s="49">
        <v>45443</v>
      </c>
      <c r="M288" s="49">
        <v>45443</v>
      </c>
      <c r="N288" s="99">
        <f t="shared" si="12"/>
        <v>0</v>
      </c>
      <c r="O288" s="29"/>
      <c r="P288" t="s">
        <v>88</v>
      </c>
      <c r="Q288" t="s">
        <v>88</v>
      </c>
      <c r="R288" t="s">
        <v>88</v>
      </c>
      <c r="S288" t="s">
        <v>88</v>
      </c>
      <c r="T288" t="s">
        <v>88</v>
      </c>
      <c r="U288" t="s">
        <v>20</v>
      </c>
    </row>
    <row r="289" spans="1:21" x14ac:dyDescent="0.45">
      <c r="A289" s="79">
        <v>92685470</v>
      </c>
      <c r="B289" s="29" t="str">
        <f t="shared" si="13"/>
        <v>9.268.547-0</v>
      </c>
      <c r="C289" s="22" t="s">
        <v>22</v>
      </c>
      <c r="D289" s="29" t="s">
        <v>1080</v>
      </c>
      <c r="E289" s="29" t="s">
        <v>1081</v>
      </c>
      <c r="F289" s="29" t="s">
        <v>1082</v>
      </c>
      <c r="G289" s="49">
        <v>45442</v>
      </c>
      <c r="H289" s="49">
        <v>45443</v>
      </c>
      <c r="I289" s="29" t="s">
        <v>54</v>
      </c>
      <c r="J289" s="68" t="s">
        <v>65</v>
      </c>
      <c r="K289" s="24" t="s">
        <v>47</v>
      </c>
      <c r="L289" s="49">
        <v>45443</v>
      </c>
      <c r="M289" s="49">
        <v>45443</v>
      </c>
      <c r="N289" s="99">
        <f t="shared" si="12"/>
        <v>0</v>
      </c>
      <c r="O289" s="29"/>
      <c r="P289" t="s">
        <v>88</v>
      </c>
      <c r="Q289" t="s">
        <v>88</v>
      </c>
      <c r="R289" t="s">
        <v>88</v>
      </c>
      <c r="S289" t="s">
        <v>88</v>
      </c>
      <c r="T289" t="s">
        <v>88</v>
      </c>
      <c r="U289" t="s">
        <v>20</v>
      </c>
    </row>
    <row r="290" spans="1:21" x14ac:dyDescent="0.45">
      <c r="A290" s="79" t="s">
        <v>997</v>
      </c>
      <c r="B290" s="29" t="str">
        <f t="shared" si="13"/>
        <v>12.187.718-K</v>
      </c>
      <c r="C290" s="22" t="s">
        <v>22</v>
      </c>
      <c r="D290" s="29" t="s">
        <v>998</v>
      </c>
      <c r="E290" s="29" t="s">
        <v>493</v>
      </c>
      <c r="F290" s="29" t="s">
        <v>939</v>
      </c>
      <c r="G290" s="49">
        <v>45442</v>
      </c>
      <c r="H290" s="49">
        <v>45443</v>
      </c>
      <c r="I290" s="29" t="s">
        <v>54</v>
      </c>
      <c r="J290" s="68" t="s">
        <v>65</v>
      </c>
      <c r="K290" s="24" t="s">
        <v>43</v>
      </c>
      <c r="L290" s="49">
        <v>45442</v>
      </c>
      <c r="M290" s="49">
        <v>45443</v>
      </c>
      <c r="N290" s="99">
        <f t="shared" si="12"/>
        <v>1</v>
      </c>
      <c r="O290" s="29"/>
      <c r="P290" t="s">
        <v>88</v>
      </c>
      <c r="Q290" t="s">
        <v>88</v>
      </c>
      <c r="R290" t="s">
        <v>88</v>
      </c>
      <c r="S290" t="s">
        <v>88</v>
      </c>
      <c r="T290" t="s">
        <v>88</v>
      </c>
      <c r="U290" t="s">
        <v>20</v>
      </c>
    </row>
    <row r="291" spans="1:21" x14ac:dyDescent="0.45">
      <c r="A291" s="79" t="s">
        <v>997</v>
      </c>
      <c r="B291" s="29" t="str">
        <f t="shared" si="13"/>
        <v>12.187.718-K</v>
      </c>
      <c r="C291" s="22" t="s">
        <v>22</v>
      </c>
      <c r="D291" s="29" t="s">
        <v>998</v>
      </c>
      <c r="E291" s="29" t="s">
        <v>493</v>
      </c>
      <c r="F291" s="29" t="s">
        <v>939</v>
      </c>
      <c r="G291" s="49">
        <v>45442</v>
      </c>
      <c r="H291" s="49">
        <v>45443</v>
      </c>
      <c r="I291" s="29" t="s">
        <v>54</v>
      </c>
      <c r="J291" s="68" t="s">
        <v>65</v>
      </c>
      <c r="K291" s="24" t="s">
        <v>47</v>
      </c>
      <c r="L291" s="49">
        <v>45442</v>
      </c>
      <c r="M291" s="49">
        <v>45443</v>
      </c>
      <c r="N291" s="99">
        <f t="shared" si="12"/>
        <v>1</v>
      </c>
      <c r="O291" s="29" t="s">
        <v>14</v>
      </c>
      <c r="P291" t="s">
        <v>88</v>
      </c>
      <c r="Q291" t="s">
        <v>88</v>
      </c>
      <c r="R291" t="s">
        <v>88</v>
      </c>
      <c r="S291" t="s">
        <v>88</v>
      </c>
      <c r="T291" t="s">
        <v>88</v>
      </c>
      <c r="U291" t="s">
        <v>20</v>
      </c>
    </row>
    <row r="292" spans="1:21" x14ac:dyDescent="0.45">
      <c r="A292" s="79" t="s">
        <v>997</v>
      </c>
      <c r="B292" s="29" t="str">
        <f t="shared" si="13"/>
        <v>12.187.718-K</v>
      </c>
      <c r="C292" s="22" t="s">
        <v>22</v>
      </c>
      <c r="D292" s="29" t="s">
        <v>998</v>
      </c>
      <c r="E292" s="29" t="s">
        <v>493</v>
      </c>
      <c r="F292" s="29" t="s">
        <v>939</v>
      </c>
      <c r="G292" s="49">
        <v>45442</v>
      </c>
      <c r="H292" s="49">
        <v>45443</v>
      </c>
      <c r="I292" s="29" t="s">
        <v>54</v>
      </c>
      <c r="J292" s="68" t="s">
        <v>65</v>
      </c>
      <c r="K292" s="24" t="s">
        <v>55</v>
      </c>
      <c r="L292" s="49">
        <v>45442</v>
      </c>
      <c r="M292" s="49">
        <v>45443</v>
      </c>
      <c r="N292" s="99">
        <f t="shared" si="12"/>
        <v>1</v>
      </c>
      <c r="O292" s="29"/>
      <c r="P292" t="s">
        <v>88</v>
      </c>
      <c r="Q292" t="s">
        <v>88</v>
      </c>
      <c r="R292" t="s">
        <v>88</v>
      </c>
      <c r="S292" t="s">
        <v>88</v>
      </c>
      <c r="T292" t="s">
        <v>88</v>
      </c>
      <c r="U292" t="s">
        <v>20</v>
      </c>
    </row>
    <row r="293" spans="1:21" x14ac:dyDescent="0.45">
      <c r="A293" s="79" t="s">
        <v>1083</v>
      </c>
      <c r="B293" s="29" t="str">
        <f t="shared" si="13"/>
        <v>7.260.485-7</v>
      </c>
      <c r="C293" s="22" t="s">
        <v>22</v>
      </c>
      <c r="D293" s="29" t="s">
        <v>1084</v>
      </c>
      <c r="E293" s="29" t="s">
        <v>1085</v>
      </c>
      <c r="F293" s="29" t="s">
        <v>1086</v>
      </c>
      <c r="G293" s="49">
        <v>45442</v>
      </c>
      <c r="H293" s="49">
        <v>45443</v>
      </c>
      <c r="I293" s="29" t="s">
        <v>22</v>
      </c>
      <c r="J293" s="68" t="s">
        <v>46</v>
      </c>
      <c r="K293" s="24" t="s">
        <v>43</v>
      </c>
      <c r="L293" s="49">
        <v>45441</v>
      </c>
      <c r="M293" s="49">
        <v>45443</v>
      </c>
      <c r="N293" s="99">
        <f t="shared" si="12"/>
        <v>2</v>
      </c>
      <c r="O293" s="29"/>
      <c r="P293" t="s">
        <v>88</v>
      </c>
      <c r="Q293" t="s">
        <v>88</v>
      </c>
      <c r="R293" t="s">
        <v>88</v>
      </c>
      <c r="S293" t="s">
        <v>88</v>
      </c>
      <c r="T293" t="s">
        <v>88</v>
      </c>
      <c r="U293" t="s">
        <v>20</v>
      </c>
    </row>
    <row r="294" spans="1:21" x14ac:dyDescent="0.45">
      <c r="A294" s="79" t="s">
        <v>1083</v>
      </c>
      <c r="B294" s="29" t="str">
        <f t="shared" si="13"/>
        <v>7.260.485-7</v>
      </c>
      <c r="C294" s="22" t="s">
        <v>22</v>
      </c>
      <c r="D294" s="29" t="s">
        <v>1084</v>
      </c>
      <c r="E294" s="29" t="s">
        <v>1085</v>
      </c>
      <c r="F294" s="29" t="s">
        <v>1086</v>
      </c>
      <c r="G294" s="49">
        <v>45442</v>
      </c>
      <c r="H294" s="49">
        <v>45443</v>
      </c>
      <c r="I294" s="29" t="s">
        <v>22</v>
      </c>
      <c r="J294" s="68" t="s">
        <v>46</v>
      </c>
      <c r="K294" s="24" t="s">
        <v>47</v>
      </c>
      <c r="L294" s="49">
        <v>45441</v>
      </c>
      <c r="M294" s="49">
        <v>45443</v>
      </c>
      <c r="N294" s="99">
        <f t="shared" si="12"/>
        <v>2</v>
      </c>
      <c r="O294" s="29"/>
      <c r="P294" t="s">
        <v>88</v>
      </c>
      <c r="Q294" t="s">
        <v>88</v>
      </c>
      <c r="R294" t="s">
        <v>88</v>
      </c>
      <c r="S294" t="s">
        <v>88</v>
      </c>
      <c r="T294" t="s">
        <v>88</v>
      </c>
      <c r="U294" t="s">
        <v>20</v>
      </c>
    </row>
    <row r="295" spans="1:21" x14ac:dyDescent="0.45">
      <c r="A295" s="79">
        <v>204396906</v>
      </c>
      <c r="B295" s="29" t="str">
        <f t="shared" si="13"/>
        <v>20.439.690-6</v>
      </c>
      <c r="C295" s="22" t="s">
        <v>22</v>
      </c>
      <c r="D295" s="29" t="s">
        <v>1087</v>
      </c>
      <c r="E295" s="29" t="s">
        <v>690</v>
      </c>
      <c r="F295" s="29" t="s">
        <v>1088</v>
      </c>
      <c r="G295" s="49">
        <v>45439</v>
      </c>
      <c r="H295" s="49">
        <v>45443</v>
      </c>
      <c r="I295" s="29" t="s">
        <v>22</v>
      </c>
      <c r="J295" s="68" t="s">
        <v>24</v>
      </c>
      <c r="K295" s="24" t="s">
        <v>43</v>
      </c>
      <c r="L295" s="49">
        <v>45435</v>
      </c>
      <c r="M295" s="49">
        <v>45443</v>
      </c>
      <c r="N295" s="99">
        <f t="shared" si="12"/>
        <v>8</v>
      </c>
      <c r="O295" s="29"/>
      <c r="P295" t="s">
        <v>88</v>
      </c>
      <c r="Q295" t="s">
        <v>88</v>
      </c>
      <c r="R295" t="s">
        <v>88</v>
      </c>
      <c r="S295" t="s">
        <v>88</v>
      </c>
      <c r="T295" t="s">
        <v>88</v>
      </c>
      <c r="U295" t="s">
        <v>20</v>
      </c>
    </row>
    <row r="296" spans="1:21" x14ac:dyDescent="0.45">
      <c r="A296" s="79">
        <v>204396906</v>
      </c>
      <c r="B296" s="29" t="str">
        <f t="shared" si="13"/>
        <v>20.439.690-6</v>
      </c>
      <c r="C296" s="22" t="s">
        <v>22</v>
      </c>
      <c r="D296" s="29" t="s">
        <v>1087</v>
      </c>
      <c r="E296" s="29" t="s">
        <v>690</v>
      </c>
      <c r="F296" s="29" t="s">
        <v>1088</v>
      </c>
      <c r="G296" s="49">
        <v>45439</v>
      </c>
      <c r="H296" s="49">
        <v>45443</v>
      </c>
      <c r="I296" s="29" t="s">
        <v>22</v>
      </c>
      <c r="J296" s="68" t="s">
        <v>24</v>
      </c>
      <c r="K296" s="24" t="s">
        <v>47</v>
      </c>
      <c r="L296" s="49">
        <v>45436</v>
      </c>
      <c r="M296" s="49">
        <v>45443</v>
      </c>
      <c r="N296" s="99">
        <f t="shared" si="12"/>
        <v>7</v>
      </c>
      <c r="O296" s="29"/>
      <c r="P296" t="s">
        <v>88</v>
      </c>
      <c r="Q296" t="s">
        <v>88</v>
      </c>
      <c r="R296" t="s">
        <v>88</v>
      </c>
      <c r="S296" t="s">
        <v>88</v>
      </c>
      <c r="T296" t="s">
        <v>88</v>
      </c>
      <c r="U296" t="s">
        <v>20</v>
      </c>
    </row>
    <row r="297" spans="1:21" x14ac:dyDescent="0.45">
      <c r="A297" s="79">
        <v>72141768</v>
      </c>
      <c r="B297" s="29" t="str">
        <f t="shared" si="13"/>
        <v>7.214.176-8</v>
      </c>
      <c r="C297" s="22" t="s">
        <v>22</v>
      </c>
      <c r="D297" s="29" t="s">
        <v>652</v>
      </c>
      <c r="E297" s="29" t="s">
        <v>496</v>
      </c>
      <c r="F297" s="29" t="s">
        <v>1089</v>
      </c>
      <c r="G297" s="49">
        <v>45441</v>
      </c>
      <c r="H297" s="49">
        <v>45443</v>
      </c>
      <c r="I297" s="29" t="s">
        <v>22</v>
      </c>
      <c r="J297" s="68" t="s">
        <v>56</v>
      </c>
      <c r="K297" s="24" t="s">
        <v>47</v>
      </c>
      <c r="L297" s="49">
        <v>45439</v>
      </c>
      <c r="M297" s="49">
        <v>45443</v>
      </c>
      <c r="N297" s="99">
        <f t="shared" si="12"/>
        <v>4</v>
      </c>
      <c r="O297" s="29"/>
      <c r="P297" t="s">
        <v>88</v>
      </c>
      <c r="Q297" t="s">
        <v>88</v>
      </c>
      <c r="R297" t="s">
        <v>88</v>
      </c>
      <c r="S297" t="s">
        <v>88</v>
      </c>
      <c r="T297" t="s">
        <v>88</v>
      </c>
      <c r="U297" t="s">
        <v>20</v>
      </c>
    </row>
    <row r="298" spans="1:21" x14ac:dyDescent="0.45">
      <c r="A298" s="79">
        <v>35037519</v>
      </c>
      <c r="B298" s="29" t="str">
        <f t="shared" si="13"/>
        <v>3.503.751-9</v>
      </c>
      <c r="C298" s="22" t="s">
        <v>22</v>
      </c>
      <c r="D298" s="29" t="s">
        <v>339</v>
      </c>
      <c r="E298" s="29" t="s">
        <v>1090</v>
      </c>
      <c r="F298" s="29" t="s">
        <v>638</v>
      </c>
      <c r="G298" s="49">
        <v>45442</v>
      </c>
      <c r="H298" s="49">
        <v>45443</v>
      </c>
      <c r="I298" s="29" t="s">
        <v>22</v>
      </c>
      <c r="J298" s="68" t="s">
        <v>56</v>
      </c>
      <c r="K298" s="24" t="s">
        <v>43</v>
      </c>
      <c r="L298" s="49">
        <v>45441</v>
      </c>
      <c r="M298" s="49">
        <v>45443</v>
      </c>
      <c r="N298" s="99">
        <f t="shared" si="12"/>
        <v>2</v>
      </c>
      <c r="O298" s="29"/>
      <c r="P298" t="s">
        <v>88</v>
      </c>
      <c r="Q298" t="s">
        <v>88</v>
      </c>
      <c r="R298" t="s">
        <v>88</v>
      </c>
      <c r="S298" t="s">
        <v>88</v>
      </c>
      <c r="T298" t="s">
        <v>88</v>
      </c>
      <c r="U298" t="s">
        <v>20</v>
      </c>
    </row>
    <row r="299" spans="1:21" x14ac:dyDescent="0.45">
      <c r="A299" s="79">
        <v>35037519</v>
      </c>
      <c r="B299" s="29" t="str">
        <f t="shared" si="13"/>
        <v>3.503.751-9</v>
      </c>
      <c r="C299" s="22" t="s">
        <v>22</v>
      </c>
      <c r="D299" s="29" t="s">
        <v>339</v>
      </c>
      <c r="E299" s="29" t="s">
        <v>1090</v>
      </c>
      <c r="F299" s="29" t="s">
        <v>638</v>
      </c>
      <c r="G299" s="49">
        <v>45442</v>
      </c>
      <c r="H299" s="49">
        <v>45443</v>
      </c>
      <c r="I299" s="29" t="s">
        <v>22</v>
      </c>
      <c r="J299" s="68" t="s">
        <v>56</v>
      </c>
      <c r="K299" s="24" t="s">
        <v>47</v>
      </c>
      <c r="L299" s="49">
        <v>45441</v>
      </c>
      <c r="M299" s="49">
        <v>45443</v>
      </c>
      <c r="N299" s="99">
        <f t="shared" si="12"/>
        <v>2</v>
      </c>
      <c r="O299" s="29"/>
      <c r="P299" t="s">
        <v>88</v>
      </c>
      <c r="Q299" t="s">
        <v>88</v>
      </c>
      <c r="R299" t="s">
        <v>88</v>
      </c>
      <c r="S299" t="s">
        <v>88</v>
      </c>
      <c r="T299" t="s">
        <v>88</v>
      </c>
      <c r="U299" t="s">
        <v>20</v>
      </c>
    </row>
    <row r="300" spans="1:21" x14ac:dyDescent="0.45">
      <c r="A300" s="79">
        <v>66782867</v>
      </c>
      <c r="B300" s="29" t="str">
        <f t="shared" si="13"/>
        <v>6.678.286-7</v>
      </c>
      <c r="C300" s="22" t="s">
        <v>22</v>
      </c>
      <c r="D300" s="29" t="s">
        <v>869</v>
      </c>
      <c r="E300" s="29" t="s">
        <v>708</v>
      </c>
      <c r="F300" s="29" t="s">
        <v>250</v>
      </c>
      <c r="G300" s="49">
        <v>45440</v>
      </c>
      <c r="H300" s="49">
        <v>45443</v>
      </c>
      <c r="I300" s="29" t="s">
        <v>22</v>
      </c>
      <c r="J300" s="68" t="s">
        <v>65</v>
      </c>
      <c r="K300" s="24" t="s">
        <v>43</v>
      </c>
      <c r="L300" s="49">
        <v>45437</v>
      </c>
      <c r="M300" s="49">
        <v>45443</v>
      </c>
      <c r="N300" s="99">
        <f t="shared" si="12"/>
        <v>6</v>
      </c>
      <c r="O300" s="29"/>
      <c r="P300" t="s">
        <v>88</v>
      </c>
      <c r="Q300" t="s">
        <v>88</v>
      </c>
      <c r="R300" t="s">
        <v>88</v>
      </c>
      <c r="S300" t="s">
        <v>88</v>
      </c>
      <c r="T300" t="s">
        <v>88</v>
      </c>
      <c r="U300" t="s">
        <v>20</v>
      </c>
    </row>
    <row r="301" spans="1:21" x14ac:dyDescent="0.45">
      <c r="A301" s="79">
        <v>49605153</v>
      </c>
      <c r="B301" s="29" t="str">
        <f t="shared" si="13"/>
        <v>4.960.515-3</v>
      </c>
      <c r="C301" s="22" t="s">
        <v>22</v>
      </c>
      <c r="D301" s="29" t="s">
        <v>488</v>
      </c>
      <c r="E301" s="29" t="s">
        <v>1056</v>
      </c>
      <c r="F301" s="29" t="s">
        <v>944</v>
      </c>
      <c r="G301" s="49">
        <v>45437</v>
      </c>
      <c r="H301" s="49">
        <v>45443</v>
      </c>
      <c r="I301" s="29" t="s">
        <v>22</v>
      </c>
      <c r="J301" s="68" t="s">
        <v>65</v>
      </c>
      <c r="K301" s="24" t="s">
        <v>43</v>
      </c>
      <c r="L301" s="49">
        <v>45437</v>
      </c>
      <c r="M301" s="49">
        <v>45443</v>
      </c>
      <c r="N301" s="99">
        <f t="shared" si="12"/>
        <v>6</v>
      </c>
      <c r="O301" s="29"/>
      <c r="P301" t="s">
        <v>88</v>
      </c>
      <c r="Q301" t="s">
        <v>88</v>
      </c>
      <c r="R301" t="s">
        <v>88</v>
      </c>
      <c r="S301" t="s">
        <v>88</v>
      </c>
      <c r="T301" t="s">
        <v>88</v>
      </c>
      <c r="U301" t="s">
        <v>20</v>
      </c>
    </row>
    <row r="302" spans="1:21" x14ac:dyDescent="0.45">
      <c r="A302" s="29"/>
      <c r="B302" s="29" t="str">
        <f t="shared" si="13"/>
        <v>..-</v>
      </c>
      <c r="C302" s="22"/>
      <c r="D302" s="29"/>
      <c r="E302" s="29"/>
      <c r="F302" s="29"/>
      <c r="G302" s="29"/>
      <c r="H302" s="29"/>
      <c r="I302" s="29"/>
      <c r="J302" s="68"/>
      <c r="K302" s="24"/>
      <c r="L302" s="29"/>
      <c r="M302" s="29"/>
      <c r="N302" s="29"/>
      <c r="O302" s="29"/>
      <c r="U302">
        <f>COUNTIF(U8:U301,"si")</f>
        <v>2</v>
      </c>
    </row>
    <row r="303" spans="1:21" x14ac:dyDescent="0.45">
      <c r="A303" s="29"/>
      <c r="B303" s="29" t="str">
        <f t="shared" si="13"/>
        <v>..-</v>
      </c>
      <c r="C303" s="22"/>
      <c r="D303" s="29"/>
      <c r="E303" s="29"/>
      <c r="F303" s="29"/>
      <c r="G303" s="29"/>
      <c r="H303" s="29"/>
      <c r="I303" s="29"/>
      <c r="J303" s="68"/>
      <c r="K303" s="24"/>
      <c r="L303" s="29"/>
      <c r="M303" s="29"/>
      <c r="N303" s="29"/>
      <c r="O303" s="29"/>
    </row>
    <row r="304" spans="1:21" x14ac:dyDescent="0.45">
      <c r="A304" s="29"/>
      <c r="B304" s="29" t="str">
        <f t="shared" si="13"/>
        <v>..-</v>
      </c>
      <c r="C304" s="22"/>
      <c r="D304" s="29"/>
      <c r="E304" s="29"/>
      <c r="F304" s="29"/>
      <c r="G304" s="29"/>
      <c r="H304" s="29"/>
      <c r="I304" s="29"/>
      <c r="J304" s="68"/>
      <c r="K304" s="24"/>
      <c r="L304" s="29"/>
      <c r="M304" s="29"/>
      <c r="N304" s="29"/>
      <c r="O304" s="29"/>
    </row>
    <row r="305" spans="1:15" x14ac:dyDescent="0.45">
      <c r="A305" s="29"/>
      <c r="B305" s="29" t="str">
        <f t="shared" si="13"/>
        <v>..-</v>
      </c>
      <c r="C305" s="22"/>
      <c r="D305" s="29"/>
      <c r="E305" s="29"/>
      <c r="F305" s="29"/>
      <c r="G305" s="29"/>
      <c r="H305" s="29"/>
      <c r="I305" s="29"/>
      <c r="J305" s="68"/>
      <c r="K305" s="24"/>
      <c r="L305" s="29"/>
      <c r="M305" s="29"/>
      <c r="N305" s="29"/>
      <c r="O305" s="29"/>
    </row>
    <row r="306" spans="1:15" x14ac:dyDescent="0.45">
      <c r="A306" s="29"/>
      <c r="B306" s="29" t="str">
        <f t="shared" si="13"/>
        <v>..-</v>
      </c>
      <c r="C306" s="22"/>
      <c r="D306" s="29"/>
      <c r="E306" s="29"/>
      <c r="F306" s="29"/>
      <c r="G306" s="29"/>
      <c r="H306" s="29"/>
      <c r="I306" s="29"/>
      <c r="J306" s="68"/>
      <c r="K306" s="24"/>
      <c r="L306" s="29"/>
      <c r="M306" s="29"/>
      <c r="N306" s="29"/>
      <c r="O306" s="29"/>
    </row>
    <row r="307" spans="1:15" x14ac:dyDescent="0.45">
      <c r="A307" s="29"/>
      <c r="B307" s="29" t="str">
        <f t="shared" si="13"/>
        <v>..-</v>
      </c>
      <c r="C307" s="22"/>
      <c r="D307" s="29"/>
      <c r="E307" s="29"/>
      <c r="F307" s="29"/>
      <c r="G307" s="29"/>
      <c r="H307" s="29"/>
      <c r="I307" s="29"/>
      <c r="J307" s="68"/>
      <c r="K307" s="24"/>
      <c r="L307" s="29"/>
      <c r="M307" s="29"/>
      <c r="N307" s="29"/>
      <c r="O307" s="29"/>
    </row>
    <row r="308" spans="1:15" x14ac:dyDescent="0.45">
      <c r="A308" s="29"/>
      <c r="B308" s="29" t="str">
        <f t="shared" si="13"/>
        <v>..-</v>
      </c>
      <c r="C308" s="22"/>
      <c r="D308" s="29"/>
      <c r="E308" s="29"/>
      <c r="F308" s="29"/>
      <c r="G308" s="29"/>
      <c r="H308" s="29"/>
      <c r="I308" s="29"/>
      <c r="J308" s="68"/>
      <c r="K308" s="24"/>
      <c r="L308" s="29"/>
      <c r="M308" s="29"/>
      <c r="N308" s="29"/>
      <c r="O308" s="29"/>
    </row>
    <row r="309" spans="1:15" x14ac:dyDescent="0.45">
      <c r="A309" s="29"/>
      <c r="B309" s="29" t="str">
        <f t="shared" si="13"/>
        <v>..-</v>
      </c>
      <c r="C309" s="22"/>
      <c r="D309" s="29"/>
      <c r="E309" s="29"/>
      <c r="F309" s="29"/>
      <c r="G309" s="29"/>
      <c r="H309" s="29"/>
      <c r="I309" s="29"/>
      <c r="J309" s="68"/>
      <c r="K309" s="24"/>
      <c r="L309" s="29"/>
      <c r="M309" s="29"/>
      <c r="N309" s="29"/>
      <c r="O309" s="29"/>
    </row>
    <row r="310" spans="1:15" x14ac:dyDescent="0.45">
      <c r="A310" s="29"/>
      <c r="B310" s="29" t="str">
        <f t="shared" si="13"/>
        <v>..-</v>
      </c>
      <c r="C310" s="22"/>
      <c r="D310" s="29"/>
      <c r="E310" s="29"/>
      <c r="F310" s="29"/>
      <c r="G310" s="29"/>
      <c r="H310" s="29"/>
      <c r="I310" s="29"/>
      <c r="J310" s="68"/>
      <c r="K310" s="24"/>
      <c r="L310" s="29"/>
      <c r="M310" s="29"/>
      <c r="N310" s="29"/>
      <c r="O310" s="29"/>
    </row>
    <row r="311" spans="1:15" x14ac:dyDescent="0.45">
      <c r="A311" s="29"/>
      <c r="B311" s="29" t="str">
        <f t="shared" si="13"/>
        <v>..-</v>
      </c>
      <c r="C311" s="22"/>
      <c r="D311" s="29"/>
      <c r="E311" s="29"/>
      <c r="F311" s="29"/>
      <c r="G311" s="29"/>
      <c r="H311" s="29"/>
      <c r="I311" s="29"/>
      <c r="J311" s="68"/>
      <c r="K311" s="24"/>
      <c r="L311" s="29"/>
      <c r="M311" s="29"/>
      <c r="N311" s="29"/>
      <c r="O311" s="29"/>
    </row>
    <row r="312" spans="1:15" x14ac:dyDescent="0.45">
      <c r="A312" s="29"/>
      <c r="B312" s="29" t="str">
        <f t="shared" si="13"/>
        <v>..-</v>
      </c>
      <c r="C312" s="22"/>
      <c r="D312" s="29"/>
      <c r="E312" s="29"/>
      <c r="F312" s="29"/>
      <c r="G312" s="29"/>
      <c r="H312" s="29"/>
      <c r="I312" s="29"/>
      <c r="J312" s="68"/>
      <c r="K312" s="24"/>
      <c r="L312" s="29"/>
      <c r="M312" s="29"/>
      <c r="N312" s="29"/>
      <c r="O312" s="29"/>
    </row>
    <row r="313" spans="1:15" x14ac:dyDescent="0.45">
      <c r="A313" s="29"/>
      <c r="B313" s="29" t="str">
        <f t="shared" si="13"/>
        <v>..-</v>
      </c>
      <c r="C313" s="22"/>
      <c r="D313" s="29"/>
      <c r="E313" s="29"/>
      <c r="F313" s="29"/>
      <c r="G313" s="29"/>
      <c r="H313" s="29"/>
      <c r="I313" s="29"/>
      <c r="J313" s="68"/>
      <c r="K313" s="24"/>
      <c r="L313" s="29"/>
      <c r="M313" s="29"/>
      <c r="N313" s="29"/>
      <c r="O313" s="29"/>
    </row>
    <row r="314" spans="1:15" x14ac:dyDescent="0.45">
      <c r="A314" s="29"/>
      <c r="B314" s="29" t="str">
        <f t="shared" si="13"/>
        <v>..-</v>
      </c>
      <c r="C314" s="22"/>
      <c r="D314" s="29"/>
      <c r="E314" s="29"/>
      <c r="F314" s="29"/>
      <c r="G314" s="29"/>
      <c r="H314" s="29"/>
      <c r="I314" s="29"/>
      <c r="J314" s="68"/>
      <c r="K314" s="24"/>
      <c r="L314" s="29"/>
      <c r="M314" s="29"/>
      <c r="N314" s="29"/>
      <c r="O314" s="29"/>
    </row>
    <row r="315" spans="1:15" x14ac:dyDescent="0.45">
      <c r="A315" s="29"/>
      <c r="B315" s="29" t="str">
        <f t="shared" si="13"/>
        <v>..-</v>
      </c>
      <c r="C315" s="22"/>
      <c r="D315" s="29"/>
      <c r="E315" s="29"/>
      <c r="F315" s="29"/>
      <c r="G315" s="29"/>
      <c r="H315" s="29"/>
      <c r="I315" s="29"/>
      <c r="J315" s="68"/>
      <c r="K315" s="24"/>
      <c r="L315" s="29"/>
      <c r="M315" s="29"/>
      <c r="N315" s="29"/>
      <c r="O315" s="29"/>
    </row>
    <row r="316" spans="1:15" x14ac:dyDescent="0.45">
      <c r="A316" s="29"/>
      <c r="B316" s="29" t="str">
        <f t="shared" si="13"/>
        <v>..-</v>
      </c>
      <c r="C316" s="22"/>
      <c r="D316" s="29"/>
      <c r="E316" s="29"/>
      <c r="F316" s="29"/>
      <c r="G316" s="29"/>
      <c r="H316" s="29"/>
      <c r="I316" s="29"/>
      <c r="J316" s="68"/>
      <c r="K316" s="24"/>
      <c r="L316" s="29"/>
      <c r="M316" s="29"/>
      <c r="N316" s="29"/>
      <c r="O316" s="29"/>
    </row>
    <row r="317" spans="1:15" x14ac:dyDescent="0.45">
      <c r="A317" s="29"/>
      <c r="B317" s="29" t="str">
        <f t="shared" si="13"/>
        <v>..-</v>
      </c>
      <c r="C317" s="22"/>
      <c r="D317" s="29"/>
      <c r="E317" s="29"/>
      <c r="F317" s="29"/>
      <c r="G317" s="29"/>
      <c r="H317" s="29"/>
      <c r="I317" s="29"/>
      <c r="J317" s="68"/>
      <c r="K317" s="24"/>
      <c r="L317" s="29"/>
      <c r="M317" s="29"/>
      <c r="N317" s="29"/>
      <c r="O317" s="29"/>
    </row>
    <row r="318" spans="1:15" x14ac:dyDescent="0.45">
      <c r="A318" s="29"/>
      <c r="B318" s="29" t="str">
        <f t="shared" si="13"/>
        <v>..-</v>
      </c>
      <c r="C318" s="22"/>
      <c r="D318" s="29"/>
      <c r="E318" s="29"/>
      <c r="F318" s="29"/>
      <c r="G318" s="29"/>
      <c r="H318" s="29"/>
      <c r="I318" s="29"/>
      <c r="J318" s="68"/>
      <c r="K318" s="24"/>
      <c r="L318" s="29"/>
      <c r="M318" s="29"/>
      <c r="N318" s="29"/>
      <c r="O318" s="29"/>
    </row>
    <row r="319" spans="1:15" x14ac:dyDescent="0.45">
      <c r="A319" s="29"/>
      <c r="B319" s="29" t="str">
        <f t="shared" si="13"/>
        <v>..-</v>
      </c>
      <c r="C319" s="22"/>
      <c r="D319" s="29"/>
      <c r="E319" s="29"/>
      <c r="F319" s="29"/>
      <c r="G319" s="29"/>
      <c r="H319" s="29"/>
      <c r="I319" s="29"/>
      <c r="J319" s="68"/>
      <c r="K319" s="24"/>
      <c r="L319" s="29"/>
      <c r="M319" s="29"/>
      <c r="N319" s="29"/>
      <c r="O319" s="29"/>
    </row>
    <row r="320" spans="1:15" x14ac:dyDescent="0.45">
      <c r="A320" s="29"/>
      <c r="B320" s="29" t="str">
        <f t="shared" si="13"/>
        <v>..-</v>
      </c>
      <c r="C320" s="22"/>
      <c r="D320" s="29"/>
      <c r="E320" s="29"/>
      <c r="F320" s="29"/>
      <c r="G320" s="29"/>
      <c r="H320" s="29"/>
      <c r="I320" s="29"/>
      <c r="J320" s="68"/>
      <c r="K320" s="24"/>
      <c r="L320" s="29"/>
      <c r="M320" s="29"/>
      <c r="N320" s="29"/>
      <c r="O320" s="29"/>
    </row>
    <row r="321" spans="1:15" x14ac:dyDescent="0.45">
      <c r="A321" s="29"/>
      <c r="B321" s="29" t="str">
        <f t="shared" si="13"/>
        <v>..-</v>
      </c>
      <c r="C321" s="22"/>
      <c r="D321" s="29"/>
      <c r="E321" s="29"/>
      <c r="F321" s="29"/>
      <c r="G321" s="29"/>
      <c r="H321" s="29"/>
      <c r="I321" s="29"/>
      <c r="J321" s="68"/>
      <c r="K321" s="24"/>
      <c r="L321" s="29"/>
      <c r="M321" s="29"/>
      <c r="N321" s="29"/>
      <c r="O321" s="29"/>
    </row>
    <row r="322" spans="1:15" x14ac:dyDescent="0.45">
      <c r="A322" s="29"/>
      <c r="B322" s="29" t="str">
        <f t="shared" si="13"/>
        <v>..-</v>
      </c>
      <c r="C322" s="22"/>
      <c r="D322" s="29"/>
      <c r="E322" s="29"/>
      <c r="F322" s="29"/>
      <c r="G322" s="29"/>
      <c r="H322" s="29"/>
      <c r="I322" s="29"/>
      <c r="J322" s="68"/>
      <c r="K322" s="24"/>
      <c r="L322" s="29"/>
      <c r="M322" s="29"/>
      <c r="N322" s="29"/>
      <c r="O322" s="29"/>
    </row>
    <row r="323" spans="1:15" x14ac:dyDescent="0.45">
      <c r="A323" s="29"/>
      <c r="B323" s="29" t="str">
        <f t="shared" si="13"/>
        <v>..-</v>
      </c>
      <c r="C323" s="22"/>
      <c r="D323" s="29"/>
      <c r="E323" s="29"/>
      <c r="F323" s="29"/>
      <c r="G323" s="29"/>
      <c r="H323" s="29"/>
      <c r="I323" s="29"/>
      <c r="J323" s="68"/>
      <c r="K323" s="24"/>
      <c r="L323" s="29"/>
      <c r="M323" s="29"/>
      <c r="N323" s="29"/>
      <c r="O323" s="29"/>
    </row>
    <row r="324" spans="1:15" x14ac:dyDescent="0.45">
      <c r="A324" s="29"/>
      <c r="B324" s="29" t="str">
        <f t="shared" si="13"/>
        <v>..-</v>
      </c>
      <c r="C324" s="22"/>
      <c r="D324" s="29"/>
      <c r="E324" s="29"/>
      <c r="F324" s="29"/>
      <c r="G324" s="29"/>
      <c r="H324" s="29"/>
      <c r="I324" s="29"/>
      <c r="J324" s="68"/>
      <c r="K324" s="24"/>
      <c r="L324" s="29"/>
      <c r="M324" s="29"/>
      <c r="N324" s="29"/>
      <c r="O324" s="29"/>
    </row>
    <row r="325" spans="1:15" x14ac:dyDescent="0.45">
      <c r="A325" s="29"/>
      <c r="B325" s="29" t="str">
        <f t="shared" si="13"/>
        <v>..-</v>
      </c>
      <c r="C325" s="22"/>
      <c r="D325" s="29"/>
      <c r="E325" s="29"/>
      <c r="F325" s="29"/>
      <c r="G325" s="29"/>
      <c r="H325" s="29"/>
      <c r="I325" s="29"/>
      <c r="J325" s="68"/>
      <c r="K325" s="24"/>
      <c r="L325" s="29"/>
      <c r="M325" s="29"/>
      <c r="N325" s="29"/>
      <c r="O325" s="29"/>
    </row>
    <row r="326" spans="1:15" x14ac:dyDescent="0.45">
      <c r="A326" s="29"/>
      <c r="B326" s="29" t="str">
        <f t="shared" si="13"/>
        <v>..-</v>
      </c>
      <c r="C326" s="22"/>
      <c r="D326" s="29"/>
      <c r="E326" s="29"/>
      <c r="F326" s="29"/>
      <c r="G326" s="29"/>
      <c r="H326" s="29"/>
      <c r="I326" s="29"/>
      <c r="J326" s="68"/>
      <c r="K326" s="24"/>
      <c r="L326" s="29"/>
      <c r="M326" s="29"/>
      <c r="N326" s="29"/>
      <c r="O326" s="29"/>
    </row>
    <row r="327" spans="1:15" x14ac:dyDescent="0.45">
      <c r="A327" s="29"/>
      <c r="B327" s="29" t="str">
        <f t="shared" si="13"/>
        <v>..-</v>
      </c>
      <c r="C327" s="22"/>
      <c r="D327" s="29"/>
      <c r="E327" s="29"/>
      <c r="F327" s="29"/>
      <c r="G327" s="29"/>
      <c r="H327" s="29"/>
      <c r="I327" s="29"/>
      <c r="J327" s="68"/>
      <c r="K327" s="24"/>
      <c r="L327" s="29"/>
      <c r="M327" s="29"/>
      <c r="N327" s="29"/>
      <c r="O327" s="29"/>
    </row>
    <row r="328" spans="1:15" x14ac:dyDescent="0.45">
      <c r="A328" s="29"/>
      <c r="B328" s="29" t="str">
        <f t="shared" ref="B328:B391" si="14">IF(LEN(A328)=8,MID(A328,1,1)&amp;"."&amp;MID(A328,2,3)&amp;"."&amp;MID(A328,5,3)&amp;"-"&amp;RIGHT(A328,1),IF(LEFT(RIGHT(A328,2),1)="-",MID(A328,1,1)&amp;"."&amp;MID(A328,2,3)&amp;"."&amp;MID(A328,5,3)&amp;"-"&amp;RIGHT(A328,1),MID(A328,1,2)&amp;"."&amp;MID(A328,3,3)&amp;"."&amp;MID(A328,6,3)&amp;"-"&amp;MID(A328,9,1)))</f>
        <v>..-</v>
      </c>
      <c r="C328" s="22"/>
      <c r="D328" s="29"/>
      <c r="E328" s="29"/>
      <c r="F328" s="29"/>
      <c r="G328" s="29"/>
      <c r="H328" s="29"/>
      <c r="I328" s="29"/>
      <c r="J328" s="68"/>
      <c r="K328" s="24"/>
      <c r="L328" s="29"/>
      <c r="M328" s="29"/>
      <c r="N328" s="29"/>
      <c r="O328" s="29"/>
    </row>
    <row r="329" spans="1:15" x14ac:dyDescent="0.45">
      <c r="A329" s="29"/>
      <c r="B329" s="29" t="str">
        <f t="shared" si="14"/>
        <v>..-</v>
      </c>
      <c r="C329" s="22"/>
      <c r="D329" s="29"/>
      <c r="E329" s="29"/>
      <c r="F329" s="29"/>
      <c r="G329" s="29"/>
      <c r="H329" s="29"/>
      <c r="I329" s="29"/>
      <c r="J329" s="68"/>
      <c r="K329" s="24"/>
      <c r="L329" s="29"/>
      <c r="M329" s="29"/>
      <c r="N329" s="29"/>
      <c r="O329" s="29"/>
    </row>
    <row r="330" spans="1:15" x14ac:dyDescent="0.45">
      <c r="A330" s="29"/>
      <c r="B330" s="29" t="str">
        <f t="shared" si="14"/>
        <v>..-</v>
      </c>
      <c r="C330" s="22"/>
      <c r="D330" s="29"/>
      <c r="E330" s="29"/>
      <c r="F330" s="29"/>
      <c r="G330" s="29"/>
      <c r="H330" s="29"/>
      <c r="I330" s="29"/>
      <c r="J330" s="68"/>
      <c r="K330" s="24"/>
      <c r="L330" s="29"/>
      <c r="M330" s="29"/>
      <c r="N330" s="29"/>
      <c r="O330" s="29"/>
    </row>
    <row r="331" spans="1:15" x14ac:dyDescent="0.45">
      <c r="A331" s="29"/>
      <c r="B331" s="29" t="str">
        <f t="shared" si="14"/>
        <v>..-</v>
      </c>
      <c r="C331" s="22"/>
      <c r="D331" s="29"/>
      <c r="E331" s="29"/>
      <c r="F331" s="29"/>
      <c r="G331" s="29"/>
      <c r="H331" s="29"/>
      <c r="I331" s="29"/>
      <c r="J331" s="68"/>
      <c r="K331" s="24"/>
      <c r="L331" s="29"/>
      <c r="M331" s="29"/>
      <c r="N331" s="29"/>
      <c r="O331" s="29"/>
    </row>
    <row r="332" spans="1:15" x14ac:dyDescent="0.45">
      <c r="A332" s="29"/>
      <c r="B332" s="29" t="str">
        <f t="shared" si="14"/>
        <v>..-</v>
      </c>
      <c r="C332" s="22"/>
      <c r="D332" s="29"/>
      <c r="E332" s="29"/>
      <c r="F332" s="29"/>
      <c r="G332" s="29"/>
      <c r="H332" s="29"/>
      <c r="I332" s="29"/>
      <c r="J332" s="68"/>
      <c r="K332" s="24"/>
      <c r="L332" s="29"/>
      <c r="M332" s="29"/>
      <c r="N332" s="29"/>
      <c r="O332" s="29"/>
    </row>
    <row r="333" spans="1:15" x14ac:dyDescent="0.45">
      <c r="A333" s="29"/>
      <c r="B333" s="29" t="str">
        <f t="shared" si="14"/>
        <v>..-</v>
      </c>
      <c r="C333" s="22"/>
      <c r="D333" s="29"/>
      <c r="E333" s="29"/>
      <c r="F333" s="29"/>
      <c r="G333" s="29"/>
      <c r="H333" s="29"/>
      <c r="I333" s="29"/>
      <c r="J333" s="68"/>
      <c r="K333" s="24"/>
      <c r="L333" s="29"/>
      <c r="M333" s="29"/>
      <c r="N333" s="29"/>
      <c r="O333" s="29"/>
    </row>
    <row r="334" spans="1:15" x14ac:dyDescent="0.45">
      <c r="A334" s="29"/>
      <c r="B334" s="29" t="str">
        <f t="shared" si="14"/>
        <v>..-</v>
      </c>
      <c r="C334" s="22"/>
      <c r="D334" s="29"/>
      <c r="E334" s="29"/>
      <c r="F334" s="29"/>
      <c r="G334" s="29"/>
      <c r="H334" s="29"/>
      <c r="I334" s="29"/>
      <c r="J334" s="68"/>
      <c r="K334" s="24"/>
      <c r="L334" s="29"/>
      <c r="M334" s="29"/>
      <c r="N334" s="29"/>
      <c r="O334" s="29"/>
    </row>
    <row r="335" spans="1:15" x14ac:dyDescent="0.45">
      <c r="A335" s="29"/>
      <c r="B335" s="29" t="str">
        <f t="shared" si="14"/>
        <v>..-</v>
      </c>
      <c r="C335" s="22"/>
      <c r="D335" s="29"/>
      <c r="E335" s="29"/>
      <c r="F335" s="29"/>
      <c r="G335" s="29"/>
      <c r="H335" s="29"/>
      <c r="I335" s="29"/>
      <c r="J335" s="68"/>
      <c r="K335" s="24"/>
      <c r="L335" s="29"/>
      <c r="M335" s="29"/>
      <c r="N335" s="29"/>
      <c r="O335" s="29"/>
    </row>
    <row r="336" spans="1:15" x14ac:dyDescent="0.45">
      <c r="A336" s="29"/>
      <c r="B336" s="29" t="str">
        <f t="shared" si="14"/>
        <v>..-</v>
      </c>
      <c r="C336" s="22"/>
      <c r="D336" s="29"/>
      <c r="E336" s="29"/>
      <c r="F336" s="29"/>
      <c r="G336" s="29"/>
      <c r="H336" s="29"/>
      <c r="I336" s="29"/>
      <c r="J336" s="68"/>
      <c r="K336" s="24"/>
      <c r="L336" s="29"/>
      <c r="M336" s="29"/>
      <c r="N336" s="29"/>
      <c r="O336" s="29"/>
    </row>
    <row r="337" spans="1:15" x14ac:dyDescent="0.45">
      <c r="A337" s="29"/>
      <c r="B337" s="29" t="str">
        <f t="shared" si="14"/>
        <v>..-</v>
      </c>
      <c r="C337" s="22"/>
      <c r="D337" s="29"/>
      <c r="E337" s="29"/>
      <c r="F337" s="29"/>
      <c r="G337" s="29"/>
      <c r="H337" s="29"/>
      <c r="I337" s="29"/>
      <c r="J337" s="68"/>
      <c r="K337" s="24"/>
      <c r="L337" s="29"/>
      <c r="M337" s="29"/>
      <c r="N337" s="29"/>
      <c r="O337" s="29"/>
    </row>
    <row r="338" spans="1:15" x14ac:dyDescent="0.45">
      <c r="A338" s="29"/>
      <c r="B338" s="29" t="str">
        <f t="shared" si="14"/>
        <v>..-</v>
      </c>
      <c r="C338" s="22"/>
      <c r="D338" s="29"/>
      <c r="E338" s="29"/>
      <c r="F338" s="29"/>
      <c r="G338" s="29"/>
      <c r="H338" s="29"/>
      <c r="I338" s="29"/>
      <c r="J338" s="68"/>
      <c r="K338" s="24"/>
      <c r="L338" s="29"/>
      <c r="M338" s="29"/>
      <c r="N338" s="29"/>
      <c r="O338" s="29"/>
    </row>
    <row r="339" spans="1:15" x14ac:dyDescent="0.45">
      <c r="A339" s="29"/>
      <c r="B339" s="29" t="str">
        <f t="shared" si="14"/>
        <v>..-</v>
      </c>
      <c r="C339" s="22"/>
      <c r="D339" s="29"/>
      <c r="E339" s="29"/>
      <c r="F339" s="29"/>
      <c r="G339" s="29"/>
      <c r="H339" s="29"/>
      <c r="I339" s="29"/>
      <c r="J339" s="68"/>
      <c r="K339" s="24"/>
      <c r="L339" s="29"/>
      <c r="M339" s="29"/>
      <c r="N339" s="29"/>
      <c r="O339" s="29"/>
    </row>
    <row r="340" spans="1:15" x14ac:dyDescent="0.45">
      <c r="A340" s="29"/>
      <c r="B340" s="29" t="str">
        <f t="shared" si="14"/>
        <v>..-</v>
      </c>
      <c r="C340" s="22"/>
      <c r="D340" s="29"/>
      <c r="E340" s="29"/>
      <c r="F340" s="29"/>
      <c r="G340" s="29"/>
      <c r="H340" s="29"/>
      <c r="I340" s="29"/>
      <c r="J340" s="68"/>
      <c r="K340" s="24"/>
      <c r="L340" s="29"/>
      <c r="M340" s="29"/>
      <c r="N340" s="29"/>
      <c r="O340" s="29"/>
    </row>
    <row r="341" spans="1:15" x14ac:dyDescent="0.45">
      <c r="A341" s="29"/>
      <c r="B341" s="29" t="str">
        <f t="shared" si="14"/>
        <v>..-</v>
      </c>
      <c r="C341" s="22"/>
      <c r="D341" s="29"/>
      <c r="E341" s="29"/>
      <c r="F341" s="29"/>
      <c r="G341" s="29"/>
      <c r="H341" s="29"/>
      <c r="I341" s="29"/>
      <c r="J341" s="68"/>
      <c r="K341" s="24"/>
      <c r="L341" s="29"/>
      <c r="M341" s="29"/>
      <c r="N341" s="29"/>
      <c r="O341" s="29"/>
    </row>
    <row r="342" spans="1:15" x14ac:dyDescent="0.45">
      <c r="A342" s="29"/>
      <c r="B342" s="29" t="str">
        <f t="shared" si="14"/>
        <v>..-</v>
      </c>
      <c r="C342" s="22"/>
      <c r="D342" s="29"/>
      <c r="E342" s="29"/>
      <c r="F342" s="29"/>
      <c r="G342" s="29"/>
      <c r="H342" s="29"/>
      <c r="I342" s="29"/>
      <c r="J342" s="68"/>
      <c r="K342" s="24"/>
      <c r="L342" s="29"/>
      <c r="M342" s="29"/>
      <c r="N342" s="29"/>
      <c r="O342" s="29"/>
    </row>
    <row r="343" spans="1:15" x14ac:dyDescent="0.45">
      <c r="A343" s="29"/>
      <c r="B343" s="29" t="str">
        <f t="shared" si="14"/>
        <v>..-</v>
      </c>
      <c r="C343" s="22"/>
      <c r="D343" s="29"/>
      <c r="E343" s="29"/>
      <c r="F343" s="29"/>
      <c r="G343" s="29"/>
      <c r="H343" s="29"/>
      <c r="I343" s="29"/>
      <c r="J343" s="68"/>
      <c r="K343" s="24"/>
      <c r="L343" s="29"/>
      <c r="M343" s="29"/>
      <c r="N343" s="29"/>
      <c r="O343" s="29"/>
    </row>
    <row r="344" spans="1:15" x14ac:dyDescent="0.45">
      <c r="A344" s="29"/>
      <c r="B344" s="29" t="str">
        <f t="shared" si="14"/>
        <v>..-</v>
      </c>
      <c r="C344" s="22"/>
      <c r="D344" s="29"/>
      <c r="E344" s="29"/>
      <c r="F344" s="29"/>
      <c r="G344" s="29"/>
      <c r="H344" s="29"/>
      <c r="I344" s="29"/>
      <c r="J344" s="68"/>
      <c r="K344" s="24"/>
      <c r="L344" s="29"/>
      <c r="M344" s="29"/>
      <c r="N344" s="29"/>
      <c r="O344" s="29"/>
    </row>
    <row r="345" spans="1:15" x14ac:dyDescent="0.45">
      <c r="A345" s="29"/>
      <c r="B345" s="29" t="str">
        <f t="shared" si="14"/>
        <v>..-</v>
      </c>
      <c r="C345" s="22"/>
      <c r="D345" s="29"/>
      <c r="E345" s="29"/>
      <c r="F345" s="29"/>
      <c r="G345" s="29"/>
      <c r="H345" s="29"/>
      <c r="I345" s="29"/>
      <c r="J345" s="68"/>
      <c r="K345" s="24"/>
      <c r="L345" s="29"/>
      <c r="M345" s="29"/>
      <c r="N345" s="29"/>
      <c r="O345" s="29"/>
    </row>
    <row r="346" spans="1:15" x14ac:dyDescent="0.45">
      <c r="A346" s="29"/>
      <c r="B346" s="29" t="str">
        <f t="shared" si="14"/>
        <v>..-</v>
      </c>
      <c r="C346" s="22"/>
      <c r="D346" s="29"/>
      <c r="E346" s="29"/>
      <c r="F346" s="29"/>
      <c r="G346" s="29"/>
      <c r="H346" s="29"/>
      <c r="I346" s="29"/>
      <c r="J346" s="68"/>
      <c r="K346" s="24"/>
      <c r="L346" s="29"/>
      <c r="M346" s="29"/>
      <c r="N346" s="29"/>
      <c r="O346" s="29"/>
    </row>
    <row r="347" spans="1:15" x14ac:dyDescent="0.45">
      <c r="A347" s="29"/>
      <c r="B347" s="29" t="str">
        <f t="shared" si="14"/>
        <v>..-</v>
      </c>
      <c r="C347" s="68"/>
      <c r="D347" s="29"/>
      <c r="E347" s="29"/>
      <c r="F347" s="29"/>
      <c r="G347" s="29"/>
      <c r="H347" s="29"/>
      <c r="I347" s="29"/>
      <c r="J347" s="68"/>
      <c r="K347" s="24"/>
      <c r="L347" s="29"/>
      <c r="M347" s="29"/>
      <c r="N347" s="29"/>
      <c r="O347" s="29"/>
    </row>
    <row r="348" spans="1:15" x14ac:dyDescent="0.45">
      <c r="A348" s="29"/>
      <c r="B348" s="29" t="str">
        <f t="shared" si="14"/>
        <v>..-</v>
      </c>
      <c r="C348" s="68"/>
      <c r="D348" s="29"/>
      <c r="E348" s="29"/>
      <c r="F348" s="29"/>
      <c r="G348" s="29"/>
      <c r="H348" s="29"/>
      <c r="I348" s="29"/>
      <c r="J348" s="68"/>
      <c r="K348" s="24"/>
      <c r="L348" s="29"/>
      <c r="M348" s="29"/>
      <c r="N348" s="29"/>
      <c r="O348" s="29"/>
    </row>
    <row r="349" spans="1:15" x14ac:dyDescent="0.45">
      <c r="A349" s="29"/>
      <c r="B349" s="29" t="str">
        <f t="shared" si="14"/>
        <v>..-</v>
      </c>
      <c r="C349" s="68"/>
      <c r="D349" s="29"/>
      <c r="E349" s="29"/>
      <c r="F349" s="29"/>
      <c r="G349" s="29"/>
      <c r="H349" s="29"/>
      <c r="I349" s="29"/>
      <c r="J349" s="68"/>
      <c r="K349" s="24"/>
      <c r="L349" s="29"/>
      <c r="M349" s="29"/>
      <c r="N349" s="29"/>
      <c r="O349" s="29"/>
    </row>
    <row r="350" spans="1:15" x14ac:dyDescent="0.45">
      <c r="A350" s="29"/>
      <c r="B350" s="29" t="str">
        <f t="shared" si="14"/>
        <v>..-</v>
      </c>
      <c r="C350" s="68"/>
      <c r="D350" s="29"/>
      <c r="E350" s="29"/>
      <c r="F350" s="29"/>
      <c r="G350" s="29"/>
      <c r="H350" s="29"/>
      <c r="I350" s="29"/>
      <c r="J350" s="68"/>
      <c r="K350" s="24"/>
      <c r="L350" s="29"/>
      <c r="M350" s="29"/>
      <c r="N350" s="29"/>
      <c r="O350" s="29"/>
    </row>
    <row r="351" spans="1:15" x14ac:dyDescent="0.45">
      <c r="A351" s="29"/>
      <c r="B351" s="29" t="str">
        <f t="shared" si="14"/>
        <v>..-</v>
      </c>
      <c r="C351" s="68"/>
      <c r="D351" s="29"/>
      <c r="E351" s="29"/>
      <c r="F351" s="29"/>
      <c r="G351" s="29"/>
      <c r="H351" s="29"/>
      <c r="I351" s="29"/>
      <c r="J351" s="52"/>
      <c r="K351" s="24"/>
      <c r="L351" s="29"/>
      <c r="M351" s="29"/>
      <c r="N351" s="29"/>
      <c r="O351" s="29"/>
    </row>
    <row r="352" spans="1:15" x14ac:dyDescent="0.45">
      <c r="A352" s="29"/>
      <c r="B352" s="29" t="str">
        <f t="shared" si="14"/>
        <v>..-</v>
      </c>
      <c r="C352" s="68"/>
      <c r="D352" s="29"/>
      <c r="E352" s="29"/>
      <c r="F352" s="29"/>
      <c r="G352" s="29"/>
      <c r="H352" s="29"/>
      <c r="I352" s="29"/>
      <c r="J352" s="52"/>
      <c r="K352" s="24"/>
      <c r="L352" s="29"/>
      <c r="M352" s="29"/>
      <c r="N352" s="29"/>
      <c r="O352" s="29"/>
    </row>
    <row r="353" spans="1:15" x14ac:dyDescent="0.45">
      <c r="A353" s="29"/>
      <c r="B353" s="29" t="str">
        <f t="shared" si="14"/>
        <v>..-</v>
      </c>
      <c r="C353" s="68"/>
      <c r="D353" s="29"/>
      <c r="E353" s="29"/>
      <c r="F353" s="29"/>
      <c r="G353" s="29"/>
      <c r="H353" s="29"/>
      <c r="I353" s="29"/>
      <c r="J353" s="52"/>
      <c r="K353" s="24"/>
      <c r="L353" s="29"/>
      <c r="M353" s="29"/>
      <c r="N353" s="29"/>
      <c r="O353" s="29"/>
    </row>
    <row r="354" spans="1:15" x14ac:dyDescent="0.45">
      <c r="A354" s="29"/>
      <c r="B354" s="29" t="str">
        <f t="shared" si="14"/>
        <v>..-</v>
      </c>
      <c r="C354" s="68"/>
      <c r="D354" s="29"/>
      <c r="E354" s="29"/>
      <c r="F354" s="29"/>
      <c r="G354" s="29"/>
      <c r="H354" s="29"/>
      <c r="I354" s="29"/>
      <c r="J354" s="52"/>
      <c r="K354" s="24"/>
      <c r="L354" s="29"/>
      <c r="M354" s="29"/>
      <c r="N354" s="29"/>
      <c r="O354" s="29"/>
    </row>
    <row r="355" spans="1:15" x14ac:dyDescent="0.45">
      <c r="A355" s="29"/>
      <c r="B355" s="29" t="str">
        <f t="shared" si="14"/>
        <v>..-</v>
      </c>
      <c r="C355" s="68"/>
      <c r="D355" s="29"/>
      <c r="E355" s="29"/>
      <c r="F355" s="29"/>
      <c r="G355" s="29"/>
      <c r="H355" s="29"/>
      <c r="I355" s="29"/>
      <c r="J355" s="52"/>
      <c r="K355" s="24"/>
      <c r="L355" s="29"/>
      <c r="M355" s="29"/>
      <c r="N355" s="29"/>
      <c r="O355" s="29"/>
    </row>
    <row r="356" spans="1:15" x14ac:dyDescent="0.45">
      <c r="A356" s="29"/>
      <c r="B356" s="29" t="str">
        <f t="shared" si="14"/>
        <v>..-</v>
      </c>
      <c r="C356" s="68"/>
      <c r="D356" s="29"/>
      <c r="E356" s="29"/>
      <c r="F356" s="29"/>
      <c r="G356" s="29"/>
      <c r="H356" s="29"/>
      <c r="I356" s="29"/>
      <c r="J356" s="52"/>
      <c r="K356" s="24"/>
      <c r="L356" s="29"/>
      <c r="M356" s="29"/>
      <c r="N356" s="29"/>
      <c r="O356" s="29"/>
    </row>
    <row r="357" spans="1:15" x14ac:dyDescent="0.45">
      <c r="A357" s="29"/>
      <c r="B357" s="29" t="str">
        <f t="shared" si="14"/>
        <v>..-</v>
      </c>
      <c r="C357" s="68"/>
      <c r="D357" s="29"/>
      <c r="E357" s="29"/>
      <c r="F357" s="29"/>
      <c r="G357" s="29"/>
      <c r="H357" s="29"/>
      <c r="I357" s="29"/>
      <c r="J357" s="52"/>
      <c r="K357" s="24"/>
      <c r="L357" s="29"/>
      <c r="M357" s="29"/>
      <c r="N357" s="29"/>
      <c r="O357" s="29"/>
    </row>
    <row r="358" spans="1:15" x14ac:dyDescent="0.45">
      <c r="A358" s="29"/>
      <c r="B358" s="29" t="str">
        <f t="shared" si="14"/>
        <v>..-</v>
      </c>
      <c r="C358" s="68"/>
      <c r="D358" s="29"/>
      <c r="E358" s="29"/>
      <c r="F358" s="29"/>
      <c r="G358" s="29"/>
      <c r="H358" s="29"/>
      <c r="I358" s="29"/>
      <c r="J358" s="52"/>
      <c r="K358" s="24"/>
      <c r="L358" s="29"/>
      <c r="M358" s="29"/>
      <c r="N358" s="29"/>
      <c r="O358" s="29"/>
    </row>
    <row r="359" spans="1:15" x14ac:dyDescent="0.45">
      <c r="A359" s="29"/>
      <c r="B359" s="29" t="str">
        <f t="shared" si="14"/>
        <v>..-</v>
      </c>
      <c r="C359" s="68"/>
      <c r="D359" s="29"/>
      <c r="E359" s="29"/>
      <c r="F359" s="29"/>
      <c r="G359" s="29"/>
      <c r="H359" s="29"/>
      <c r="I359" s="29"/>
      <c r="J359" s="52"/>
      <c r="K359" s="24"/>
      <c r="L359" s="29"/>
      <c r="M359" s="29"/>
      <c r="N359" s="29"/>
      <c r="O359" s="29"/>
    </row>
    <row r="360" spans="1:15" x14ac:dyDescent="0.45">
      <c r="A360" s="29"/>
      <c r="B360" s="29" t="str">
        <f t="shared" si="14"/>
        <v>..-</v>
      </c>
      <c r="C360" s="68"/>
      <c r="D360" s="29"/>
      <c r="E360" s="29"/>
      <c r="F360" s="29"/>
      <c r="G360" s="29"/>
      <c r="H360" s="29"/>
      <c r="I360" s="29"/>
      <c r="J360" s="52"/>
      <c r="K360" s="24"/>
      <c r="L360" s="29"/>
      <c r="M360" s="29"/>
      <c r="N360" s="29"/>
      <c r="O360" s="29"/>
    </row>
    <row r="361" spans="1:15" x14ac:dyDescent="0.45">
      <c r="A361" s="29"/>
      <c r="B361" s="29" t="str">
        <f t="shared" si="14"/>
        <v>..-</v>
      </c>
      <c r="C361" s="68"/>
      <c r="D361" s="29"/>
      <c r="E361" s="29"/>
      <c r="F361" s="29"/>
      <c r="G361" s="29"/>
      <c r="H361" s="29"/>
      <c r="I361" s="29"/>
      <c r="J361" s="52"/>
      <c r="K361" s="24"/>
      <c r="L361" s="29"/>
      <c r="M361" s="29"/>
      <c r="N361" s="29"/>
      <c r="O361" s="29"/>
    </row>
    <row r="362" spans="1:15" x14ac:dyDescent="0.45">
      <c r="A362" s="29"/>
      <c r="B362" s="29" t="str">
        <f t="shared" si="14"/>
        <v>..-</v>
      </c>
      <c r="C362" s="68"/>
      <c r="D362" s="29"/>
      <c r="E362" s="29"/>
      <c r="F362" s="29"/>
      <c r="G362" s="29"/>
      <c r="H362" s="29"/>
      <c r="I362" s="29"/>
      <c r="J362" s="52"/>
      <c r="K362" s="24"/>
      <c r="L362" s="29"/>
      <c r="M362" s="29"/>
      <c r="N362" s="29"/>
      <c r="O362" s="29"/>
    </row>
    <row r="363" spans="1:15" x14ac:dyDescent="0.45">
      <c r="A363" s="29"/>
      <c r="B363" s="29" t="str">
        <f t="shared" si="14"/>
        <v>..-</v>
      </c>
      <c r="C363" s="68"/>
      <c r="D363" s="29"/>
      <c r="E363" s="29"/>
      <c r="F363" s="29"/>
      <c r="G363" s="29"/>
      <c r="H363" s="29"/>
      <c r="I363" s="29"/>
      <c r="J363" s="52"/>
      <c r="K363" s="24"/>
      <c r="L363" s="29"/>
      <c r="M363" s="29"/>
      <c r="N363" s="29"/>
      <c r="O363" s="29"/>
    </row>
    <row r="364" spans="1:15" x14ac:dyDescent="0.45">
      <c r="A364" s="29"/>
      <c r="B364" s="29" t="str">
        <f t="shared" si="14"/>
        <v>..-</v>
      </c>
      <c r="C364" s="68"/>
      <c r="D364" s="29"/>
      <c r="E364" s="29"/>
      <c r="F364" s="29"/>
      <c r="G364" s="29"/>
      <c r="H364" s="29"/>
      <c r="I364" s="29"/>
      <c r="J364" s="52"/>
      <c r="K364" s="24"/>
      <c r="L364" s="29"/>
      <c r="M364" s="29"/>
      <c r="N364" s="29"/>
      <c r="O364" s="29"/>
    </row>
    <row r="365" spans="1:15" x14ac:dyDescent="0.45">
      <c r="A365" s="29"/>
      <c r="B365" s="29" t="str">
        <f t="shared" si="14"/>
        <v>..-</v>
      </c>
      <c r="C365" s="68"/>
      <c r="D365" s="29"/>
      <c r="E365" s="29"/>
      <c r="F365" s="29"/>
      <c r="G365" s="29"/>
      <c r="H365" s="29"/>
      <c r="I365" s="29"/>
      <c r="J365" s="52"/>
      <c r="K365" s="24"/>
      <c r="L365" s="29"/>
      <c r="M365" s="29"/>
      <c r="N365" s="29"/>
      <c r="O365" s="29"/>
    </row>
    <row r="366" spans="1:15" x14ac:dyDescent="0.45">
      <c r="A366" s="29"/>
      <c r="B366" s="29" t="str">
        <f t="shared" si="14"/>
        <v>..-</v>
      </c>
      <c r="C366" s="68"/>
      <c r="D366" s="29"/>
      <c r="E366" s="29"/>
      <c r="F366" s="29"/>
      <c r="G366" s="29"/>
      <c r="H366" s="29"/>
      <c r="I366" s="29"/>
      <c r="J366" s="52"/>
      <c r="K366" s="24"/>
      <c r="L366" s="29"/>
      <c r="M366" s="29"/>
      <c r="N366" s="29"/>
      <c r="O366" s="29"/>
    </row>
    <row r="367" spans="1:15" x14ac:dyDescent="0.45">
      <c r="A367" s="29"/>
      <c r="B367" s="29" t="str">
        <f t="shared" si="14"/>
        <v>..-</v>
      </c>
      <c r="C367" s="68"/>
      <c r="D367" s="29"/>
      <c r="E367" s="29"/>
      <c r="F367" s="29"/>
      <c r="G367" s="29"/>
      <c r="H367" s="29"/>
      <c r="I367" s="29"/>
      <c r="J367" s="52"/>
      <c r="K367" s="24"/>
      <c r="L367" s="29"/>
      <c r="M367" s="29"/>
      <c r="N367" s="29"/>
      <c r="O367" s="29"/>
    </row>
    <row r="368" spans="1:15" x14ac:dyDescent="0.45">
      <c r="A368" s="29"/>
      <c r="B368" s="29" t="str">
        <f t="shared" si="14"/>
        <v>..-</v>
      </c>
      <c r="C368" s="68"/>
      <c r="D368" s="29"/>
      <c r="E368" s="29"/>
      <c r="F368" s="29"/>
      <c r="G368" s="29"/>
      <c r="H368" s="29"/>
      <c r="I368" s="29"/>
      <c r="J368" s="52"/>
      <c r="K368" s="24"/>
      <c r="L368" s="29"/>
      <c r="M368" s="29"/>
      <c r="N368" s="29"/>
      <c r="O368" s="29"/>
    </row>
    <row r="369" spans="1:15" x14ac:dyDescent="0.45">
      <c r="A369" s="29"/>
      <c r="B369" s="29" t="str">
        <f t="shared" si="14"/>
        <v>..-</v>
      </c>
      <c r="C369" s="68"/>
      <c r="D369" s="29"/>
      <c r="E369" s="29"/>
      <c r="F369" s="29"/>
      <c r="G369" s="29"/>
      <c r="H369" s="29"/>
      <c r="I369" s="29"/>
      <c r="J369" s="52"/>
      <c r="K369" s="24"/>
      <c r="L369" s="29"/>
      <c r="M369" s="29"/>
      <c r="N369" s="29"/>
      <c r="O369" s="29"/>
    </row>
    <row r="370" spans="1:15" x14ac:dyDescent="0.45">
      <c r="A370" s="29"/>
      <c r="B370" s="29" t="str">
        <f t="shared" si="14"/>
        <v>..-</v>
      </c>
      <c r="C370" s="68"/>
      <c r="D370" s="29"/>
      <c r="E370" s="29"/>
      <c r="F370" s="29"/>
      <c r="G370" s="29"/>
      <c r="H370" s="29"/>
      <c r="I370" s="29"/>
      <c r="J370" s="52"/>
      <c r="K370" s="24"/>
      <c r="L370" s="29"/>
      <c r="M370" s="29"/>
      <c r="N370" s="29"/>
      <c r="O370" s="29"/>
    </row>
    <row r="371" spans="1:15" x14ac:dyDescent="0.45">
      <c r="A371" s="29"/>
      <c r="B371" s="29" t="str">
        <f t="shared" si="14"/>
        <v>..-</v>
      </c>
      <c r="C371" s="68"/>
      <c r="D371" s="29"/>
      <c r="E371" s="29"/>
      <c r="F371" s="29"/>
      <c r="G371" s="29"/>
      <c r="H371" s="29"/>
      <c r="I371" s="29"/>
      <c r="J371" s="52"/>
      <c r="K371" s="24"/>
      <c r="L371" s="29"/>
      <c r="M371" s="29"/>
      <c r="N371" s="29"/>
      <c r="O371" s="29"/>
    </row>
    <row r="372" spans="1:15" x14ac:dyDescent="0.45">
      <c r="A372" s="29"/>
      <c r="B372" s="29" t="str">
        <f t="shared" si="14"/>
        <v>..-</v>
      </c>
      <c r="C372" s="68"/>
      <c r="D372" s="29"/>
      <c r="E372" s="29"/>
      <c r="F372" s="29"/>
      <c r="G372" s="29"/>
      <c r="H372" s="29"/>
      <c r="I372" s="29"/>
      <c r="J372" s="52"/>
      <c r="K372" s="24"/>
      <c r="L372" s="29"/>
      <c r="M372" s="29"/>
      <c r="N372" s="29"/>
      <c r="O372" s="29"/>
    </row>
    <row r="373" spans="1:15" x14ac:dyDescent="0.45">
      <c r="A373" s="29"/>
      <c r="B373" s="29" t="str">
        <f t="shared" si="14"/>
        <v>..-</v>
      </c>
      <c r="C373" s="68"/>
      <c r="D373" s="29"/>
      <c r="E373" s="29"/>
      <c r="F373" s="29"/>
      <c r="G373" s="29"/>
      <c r="H373" s="29"/>
      <c r="I373" s="29"/>
      <c r="J373" s="52"/>
      <c r="K373" s="24"/>
      <c r="L373" s="29"/>
      <c r="M373" s="29"/>
      <c r="N373" s="29"/>
      <c r="O373" s="29"/>
    </row>
    <row r="374" spans="1:15" x14ac:dyDescent="0.45">
      <c r="A374" s="29"/>
      <c r="B374" s="29" t="str">
        <f t="shared" si="14"/>
        <v>..-</v>
      </c>
      <c r="C374" s="68"/>
      <c r="D374" s="29"/>
      <c r="E374" s="29"/>
      <c r="F374" s="29"/>
      <c r="G374" s="29"/>
      <c r="H374" s="29"/>
      <c r="I374" s="29"/>
      <c r="J374" s="52"/>
      <c r="K374" s="24"/>
      <c r="L374" s="29"/>
      <c r="M374" s="29"/>
      <c r="N374" s="29"/>
      <c r="O374" s="29"/>
    </row>
    <row r="375" spans="1:15" x14ac:dyDescent="0.45">
      <c r="A375" s="29"/>
      <c r="B375" s="29" t="str">
        <f t="shared" si="14"/>
        <v>..-</v>
      </c>
      <c r="C375" s="68"/>
      <c r="D375" s="29"/>
      <c r="E375" s="29"/>
      <c r="F375" s="29"/>
      <c r="G375" s="29"/>
      <c r="H375" s="29"/>
      <c r="I375" s="29"/>
      <c r="J375" s="52"/>
      <c r="K375" s="24"/>
      <c r="L375" s="29"/>
      <c r="M375" s="29"/>
      <c r="N375" s="29"/>
      <c r="O375" s="29"/>
    </row>
    <row r="376" spans="1:15" x14ac:dyDescent="0.45">
      <c r="A376" s="29"/>
      <c r="B376" s="29" t="str">
        <f t="shared" si="14"/>
        <v>..-</v>
      </c>
      <c r="C376" s="68"/>
      <c r="D376" s="29"/>
      <c r="E376" s="29"/>
      <c r="F376" s="29"/>
      <c r="G376" s="29"/>
      <c r="H376" s="29"/>
      <c r="I376" s="29"/>
      <c r="J376" s="52"/>
      <c r="K376" s="24"/>
      <c r="L376" s="29"/>
      <c r="M376" s="29"/>
      <c r="N376" s="29"/>
      <c r="O376" s="29"/>
    </row>
    <row r="377" spans="1:15" x14ac:dyDescent="0.45">
      <c r="A377" s="29"/>
      <c r="B377" s="29" t="str">
        <f t="shared" si="14"/>
        <v>..-</v>
      </c>
      <c r="C377" s="68"/>
      <c r="D377" s="29"/>
      <c r="E377" s="29"/>
      <c r="F377" s="29"/>
      <c r="G377" s="29"/>
      <c r="H377" s="29"/>
      <c r="I377" s="29"/>
      <c r="J377" s="52"/>
      <c r="K377" s="24"/>
      <c r="L377" s="29"/>
      <c r="M377" s="29"/>
      <c r="N377" s="29"/>
      <c r="O377" s="29"/>
    </row>
    <row r="378" spans="1:15" x14ac:dyDescent="0.45">
      <c r="A378" s="29"/>
      <c r="B378" s="29" t="str">
        <f t="shared" si="14"/>
        <v>..-</v>
      </c>
      <c r="C378" s="68"/>
      <c r="D378" s="29"/>
      <c r="E378" s="29"/>
      <c r="F378" s="29"/>
      <c r="G378" s="29"/>
      <c r="H378" s="29"/>
      <c r="I378" s="29"/>
      <c r="J378" s="52"/>
      <c r="K378" s="24"/>
      <c r="L378" s="29"/>
      <c r="M378" s="29"/>
      <c r="N378" s="29"/>
      <c r="O378" s="29"/>
    </row>
    <row r="379" spans="1:15" x14ac:dyDescent="0.45">
      <c r="A379" s="29"/>
      <c r="B379" s="29" t="str">
        <f t="shared" si="14"/>
        <v>..-</v>
      </c>
      <c r="C379" s="68"/>
      <c r="D379" s="29"/>
      <c r="E379" s="29"/>
      <c r="F379" s="29"/>
      <c r="G379" s="29"/>
      <c r="H379" s="29"/>
      <c r="I379" s="29"/>
      <c r="J379" s="52"/>
      <c r="K379" s="24"/>
      <c r="L379" s="29"/>
      <c r="M379" s="29"/>
      <c r="N379" s="29"/>
      <c r="O379" s="29"/>
    </row>
    <row r="380" spans="1:15" x14ac:dyDescent="0.45">
      <c r="A380" s="29"/>
      <c r="B380" s="29" t="str">
        <f t="shared" si="14"/>
        <v>..-</v>
      </c>
      <c r="C380" s="68"/>
      <c r="D380" s="29"/>
      <c r="E380" s="29"/>
      <c r="F380" s="29"/>
      <c r="G380" s="29"/>
      <c r="H380" s="29"/>
      <c r="I380" s="29"/>
      <c r="J380" s="52"/>
      <c r="K380" s="24"/>
      <c r="L380" s="29"/>
      <c r="M380" s="29"/>
      <c r="N380" s="29"/>
      <c r="O380" s="29"/>
    </row>
    <row r="381" spans="1:15" x14ac:dyDescent="0.45">
      <c r="A381" s="29"/>
      <c r="B381" s="29" t="str">
        <f t="shared" si="14"/>
        <v>..-</v>
      </c>
      <c r="C381" s="68"/>
      <c r="D381" s="29"/>
      <c r="E381" s="29"/>
      <c r="F381" s="29"/>
      <c r="G381" s="29"/>
      <c r="H381" s="29"/>
      <c r="I381" s="29"/>
      <c r="J381" s="52"/>
      <c r="K381" s="24"/>
      <c r="L381" s="29"/>
      <c r="M381" s="29"/>
      <c r="N381" s="29"/>
      <c r="O381" s="29"/>
    </row>
    <row r="382" spans="1:15" x14ac:dyDescent="0.45">
      <c r="A382" s="29"/>
      <c r="B382" s="29" t="str">
        <f t="shared" si="14"/>
        <v>..-</v>
      </c>
      <c r="C382" s="68"/>
      <c r="D382" s="29"/>
      <c r="E382" s="29"/>
      <c r="F382" s="29"/>
      <c r="G382" s="29"/>
      <c r="H382" s="29"/>
      <c r="I382" s="29"/>
      <c r="J382" s="52"/>
      <c r="K382" s="24"/>
      <c r="L382" s="29"/>
      <c r="M382" s="29"/>
      <c r="N382" s="29"/>
      <c r="O382" s="29"/>
    </row>
    <row r="383" spans="1:15" x14ac:dyDescent="0.45">
      <c r="A383" s="29"/>
      <c r="B383" s="29" t="str">
        <f t="shared" si="14"/>
        <v>..-</v>
      </c>
      <c r="C383" s="68"/>
      <c r="D383" s="29"/>
      <c r="E383" s="29"/>
      <c r="F383" s="29"/>
      <c r="G383" s="29"/>
      <c r="H383" s="29"/>
      <c r="I383" s="29"/>
      <c r="J383" s="52"/>
      <c r="K383" s="24"/>
      <c r="L383" s="29"/>
      <c r="M383" s="29"/>
      <c r="N383" s="29"/>
      <c r="O383" s="29"/>
    </row>
    <row r="384" spans="1:15" x14ac:dyDescent="0.45">
      <c r="A384" s="29"/>
      <c r="B384" s="29" t="str">
        <f t="shared" si="14"/>
        <v>..-</v>
      </c>
      <c r="C384" s="68"/>
      <c r="D384" s="29"/>
      <c r="E384" s="29"/>
      <c r="F384" s="29"/>
      <c r="G384" s="29"/>
      <c r="H384" s="29"/>
      <c r="I384" s="29"/>
      <c r="J384" s="52"/>
      <c r="K384" s="24"/>
      <c r="L384" s="29"/>
      <c r="M384" s="29"/>
      <c r="N384" s="29"/>
      <c r="O384" s="29"/>
    </row>
    <row r="385" spans="1:15" x14ac:dyDescent="0.45">
      <c r="A385" s="29"/>
      <c r="B385" s="29" t="str">
        <f t="shared" si="14"/>
        <v>..-</v>
      </c>
      <c r="C385" s="68"/>
      <c r="D385" s="29"/>
      <c r="E385" s="29"/>
      <c r="F385" s="29"/>
      <c r="G385" s="29"/>
      <c r="H385" s="29"/>
      <c r="I385" s="29"/>
      <c r="J385" s="52"/>
      <c r="K385" s="24"/>
      <c r="L385" s="29"/>
      <c r="M385" s="29"/>
      <c r="N385" s="29"/>
      <c r="O385" s="29"/>
    </row>
    <row r="386" spans="1:15" x14ac:dyDescent="0.45">
      <c r="A386" s="29"/>
      <c r="B386" s="29" t="str">
        <f t="shared" si="14"/>
        <v>..-</v>
      </c>
      <c r="C386" s="68"/>
      <c r="D386" s="29"/>
      <c r="E386" s="29"/>
      <c r="F386" s="29"/>
      <c r="G386" s="29"/>
      <c r="H386" s="29"/>
      <c r="I386" s="29"/>
      <c r="J386" s="52"/>
      <c r="K386" s="24"/>
      <c r="L386" s="29"/>
      <c r="M386" s="29"/>
      <c r="N386" s="29"/>
      <c r="O386" s="29"/>
    </row>
    <row r="387" spans="1:15" x14ac:dyDescent="0.45">
      <c r="A387" s="29"/>
      <c r="B387" s="29" t="str">
        <f t="shared" si="14"/>
        <v>..-</v>
      </c>
      <c r="C387" s="68"/>
      <c r="D387" s="29"/>
      <c r="E387" s="29"/>
      <c r="F387" s="29"/>
      <c r="G387" s="29"/>
      <c r="H387" s="29"/>
      <c r="I387" s="29"/>
      <c r="J387" s="52"/>
      <c r="K387" s="24"/>
      <c r="L387" s="29"/>
      <c r="M387" s="29"/>
      <c r="N387" s="29"/>
      <c r="O387" s="29"/>
    </row>
    <row r="388" spans="1:15" x14ac:dyDescent="0.45">
      <c r="A388" s="29"/>
      <c r="B388" s="29" t="str">
        <f t="shared" si="14"/>
        <v>..-</v>
      </c>
      <c r="C388" s="68"/>
      <c r="D388" s="29"/>
      <c r="E388" s="29"/>
      <c r="F388" s="29"/>
      <c r="G388" s="29"/>
      <c r="H388" s="29"/>
      <c r="I388" s="29"/>
      <c r="J388" s="52"/>
      <c r="K388" s="24"/>
      <c r="L388" s="29"/>
      <c r="M388" s="29"/>
      <c r="N388" s="29"/>
      <c r="O388" s="29"/>
    </row>
    <row r="389" spans="1:15" x14ac:dyDescent="0.45">
      <c r="A389" s="29"/>
      <c r="B389" s="29" t="str">
        <f t="shared" si="14"/>
        <v>..-</v>
      </c>
      <c r="C389" s="68"/>
      <c r="D389" s="29"/>
      <c r="E389" s="29"/>
      <c r="F389" s="29"/>
      <c r="G389" s="29"/>
      <c r="H389" s="29"/>
      <c r="I389" s="29"/>
      <c r="J389" s="52"/>
      <c r="K389" s="24"/>
      <c r="L389" s="29"/>
      <c r="M389" s="29"/>
      <c r="N389" s="29"/>
      <c r="O389" s="29"/>
    </row>
    <row r="390" spans="1:15" x14ac:dyDescent="0.45">
      <c r="A390" s="29"/>
      <c r="B390" s="29" t="str">
        <f t="shared" si="14"/>
        <v>..-</v>
      </c>
      <c r="C390" s="68"/>
      <c r="D390" s="29"/>
      <c r="E390" s="29"/>
      <c r="F390" s="29"/>
      <c r="G390" s="29"/>
      <c r="H390" s="29"/>
      <c r="I390" s="29"/>
      <c r="J390" s="52"/>
      <c r="K390" s="24"/>
      <c r="L390" s="29"/>
      <c r="M390" s="29"/>
      <c r="N390" s="29"/>
      <c r="O390" s="29"/>
    </row>
    <row r="391" spans="1:15" x14ac:dyDescent="0.45">
      <c r="A391" s="29"/>
      <c r="B391" s="29" t="str">
        <f t="shared" si="14"/>
        <v>..-</v>
      </c>
      <c r="C391" s="68"/>
      <c r="D391" s="29"/>
      <c r="E391" s="29"/>
      <c r="F391" s="29"/>
      <c r="G391" s="29"/>
      <c r="H391" s="29"/>
      <c r="I391" s="29"/>
      <c r="J391" s="52"/>
      <c r="K391" s="24"/>
      <c r="L391" s="29"/>
      <c r="M391" s="29"/>
      <c r="N391" s="29"/>
      <c r="O391" s="29"/>
    </row>
    <row r="392" spans="1:15" x14ac:dyDescent="0.45">
      <c r="A392" s="29"/>
      <c r="B392" s="29" t="str">
        <f t="shared" ref="B392:B455" si="15">IF(LEN(A392)=8,MID(A392,1,1)&amp;"."&amp;MID(A392,2,3)&amp;"."&amp;MID(A392,5,3)&amp;"-"&amp;RIGHT(A392,1),IF(LEFT(RIGHT(A392,2),1)="-",MID(A392,1,1)&amp;"."&amp;MID(A392,2,3)&amp;"."&amp;MID(A392,5,3)&amp;"-"&amp;RIGHT(A392,1),MID(A392,1,2)&amp;"."&amp;MID(A392,3,3)&amp;"."&amp;MID(A392,6,3)&amp;"-"&amp;MID(A392,9,1)))</f>
        <v>..-</v>
      </c>
      <c r="C392" s="68"/>
      <c r="D392" s="29"/>
      <c r="E392" s="29"/>
      <c r="F392" s="29"/>
      <c r="G392" s="29"/>
      <c r="H392" s="29"/>
      <c r="I392" s="29"/>
      <c r="J392" s="52"/>
      <c r="K392" s="24"/>
      <c r="L392" s="29"/>
      <c r="M392" s="29"/>
      <c r="N392" s="29"/>
      <c r="O392" s="29"/>
    </row>
    <row r="393" spans="1:15" x14ac:dyDescent="0.45">
      <c r="A393" s="29"/>
      <c r="B393" s="29" t="str">
        <f t="shared" si="15"/>
        <v>..-</v>
      </c>
      <c r="C393" s="68"/>
      <c r="D393" s="29"/>
      <c r="E393" s="29"/>
      <c r="F393" s="29"/>
      <c r="G393" s="29"/>
      <c r="H393" s="29"/>
      <c r="I393" s="29"/>
      <c r="J393" s="52"/>
      <c r="K393" s="24"/>
      <c r="L393" s="29"/>
      <c r="M393" s="29"/>
      <c r="N393" s="29"/>
      <c r="O393" s="29"/>
    </row>
    <row r="394" spans="1:15" x14ac:dyDescent="0.45">
      <c r="A394" s="29"/>
      <c r="B394" s="29" t="str">
        <f t="shared" si="15"/>
        <v>..-</v>
      </c>
      <c r="C394" s="68"/>
      <c r="D394" s="29"/>
      <c r="E394" s="29"/>
      <c r="F394" s="29"/>
      <c r="G394" s="29"/>
      <c r="H394" s="29"/>
      <c r="I394" s="29"/>
      <c r="J394" s="52"/>
      <c r="K394" s="24"/>
      <c r="L394" s="29"/>
      <c r="M394" s="29"/>
      <c r="N394" s="29"/>
      <c r="O394" s="29"/>
    </row>
    <row r="395" spans="1:15" x14ac:dyDescent="0.45">
      <c r="A395" s="29"/>
      <c r="B395" s="29" t="str">
        <f t="shared" si="15"/>
        <v>..-</v>
      </c>
      <c r="C395" s="68"/>
      <c r="D395" s="29"/>
      <c r="E395" s="29"/>
      <c r="F395" s="29"/>
      <c r="G395" s="29"/>
      <c r="H395" s="29"/>
      <c r="I395" s="29"/>
      <c r="J395" s="52"/>
      <c r="K395" s="24"/>
      <c r="L395" s="29"/>
      <c r="M395" s="29"/>
      <c r="N395" s="29"/>
      <c r="O395" s="29"/>
    </row>
    <row r="396" spans="1:15" x14ac:dyDescent="0.45">
      <c r="A396" s="29"/>
      <c r="B396" s="29" t="str">
        <f t="shared" si="15"/>
        <v>..-</v>
      </c>
      <c r="C396" s="68"/>
      <c r="D396" s="29"/>
      <c r="E396" s="29"/>
      <c r="F396" s="29"/>
      <c r="G396" s="29"/>
      <c r="H396" s="29"/>
      <c r="I396" s="29"/>
      <c r="J396" s="52"/>
      <c r="K396" s="24"/>
      <c r="L396" s="29"/>
      <c r="M396" s="29"/>
      <c r="N396" s="29"/>
      <c r="O396" s="29"/>
    </row>
    <row r="397" spans="1:15" x14ac:dyDescent="0.45">
      <c r="A397" s="29"/>
      <c r="B397" s="29" t="str">
        <f t="shared" si="15"/>
        <v>..-</v>
      </c>
      <c r="C397" s="68"/>
      <c r="D397" s="29"/>
      <c r="E397" s="29"/>
      <c r="F397" s="29"/>
      <c r="G397" s="29"/>
      <c r="H397" s="29"/>
      <c r="I397" s="29"/>
      <c r="J397" s="52"/>
      <c r="K397" s="24"/>
      <c r="L397" s="29"/>
      <c r="M397" s="29"/>
      <c r="N397" s="29"/>
      <c r="O397" s="29"/>
    </row>
    <row r="398" spans="1:15" x14ac:dyDescent="0.45">
      <c r="A398" s="29"/>
      <c r="B398" s="29" t="str">
        <f t="shared" si="15"/>
        <v>..-</v>
      </c>
      <c r="C398" s="68"/>
      <c r="D398" s="29"/>
      <c r="E398" s="29"/>
      <c r="F398" s="29"/>
      <c r="G398" s="29"/>
      <c r="H398" s="29"/>
      <c r="I398" s="29"/>
      <c r="J398" s="52"/>
      <c r="K398" s="24"/>
      <c r="L398" s="29"/>
      <c r="M398" s="29"/>
      <c r="N398" s="29"/>
      <c r="O398" s="29"/>
    </row>
    <row r="399" spans="1:15" x14ac:dyDescent="0.45">
      <c r="A399" s="29"/>
      <c r="B399" s="29" t="str">
        <f t="shared" si="15"/>
        <v>..-</v>
      </c>
      <c r="C399" s="68"/>
      <c r="D399" s="29"/>
      <c r="E399" s="29"/>
      <c r="F399" s="29"/>
      <c r="G399" s="29"/>
      <c r="H399" s="29"/>
      <c r="I399" s="29"/>
      <c r="J399" s="52"/>
      <c r="K399" s="24"/>
      <c r="L399" s="29"/>
      <c r="M399" s="29"/>
      <c r="N399" s="29"/>
      <c r="O399" s="29"/>
    </row>
    <row r="400" spans="1:15" x14ac:dyDescent="0.45">
      <c r="A400" s="29"/>
      <c r="B400" s="29" t="str">
        <f t="shared" si="15"/>
        <v>..-</v>
      </c>
      <c r="C400" s="68"/>
      <c r="D400" s="29"/>
      <c r="E400" s="29"/>
      <c r="F400" s="29"/>
      <c r="G400" s="29"/>
      <c r="H400" s="29"/>
      <c r="I400" s="29"/>
      <c r="J400" s="52"/>
      <c r="K400" s="24"/>
      <c r="L400" s="29"/>
      <c r="M400" s="29"/>
      <c r="N400" s="29"/>
      <c r="O400" s="29"/>
    </row>
    <row r="401" spans="1:15" x14ac:dyDescent="0.45">
      <c r="A401" s="29"/>
      <c r="B401" s="29" t="str">
        <f t="shared" si="15"/>
        <v>..-</v>
      </c>
      <c r="C401" s="68"/>
      <c r="D401" s="29"/>
      <c r="E401" s="29"/>
      <c r="F401" s="29"/>
      <c r="G401" s="29"/>
      <c r="H401" s="29"/>
      <c r="I401" s="29"/>
      <c r="J401" s="52"/>
      <c r="K401" s="24"/>
      <c r="L401" s="29"/>
      <c r="M401" s="29"/>
      <c r="N401" s="29"/>
      <c r="O401" s="29"/>
    </row>
    <row r="402" spans="1:15" x14ac:dyDescent="0.45">
      <c r="A402" s="29"/>
      <c r="B402" s="29" t="str">
        <f t="shared" si="15"/>
        <v>..-</v>
      </c>
      <c r="C402" s="68"/>
      <c r="D402" s="29"/>
      <c r="E402" s="29"/>
      <c r="F402" s="29"/>
      <c r="G402" s="29"/>
      <c r="H402" s="29"/>
      <c r="I402" s="29"/>
      <c r="J402" s="52"/>
      <c r="K402" s="24"/>
      <c r="L402" s="29"/>
      <c r="M402" s="29"/>
      <c r="N402" s="29"/>
      <c r="O402" s="29"/>
    </row>
    <row r="403" spans="1:15" x14ac:dyDescent="0.45">
      <c r="A403" s="29"/>
      <c r="B403" s="29" t="str">
        <f t="shared" si="15"/>
        <v>..-</v>
      </c>
      <c r="C403" s="68"/>
      <c r="D403" s="29"/>
      <c r="E403" s="29"/>
      <c r="F403" s="29"/>
      <c r="G403" s="29"/>
      <c r="H403" s="29"/>
      <c r="I403" s="29"/>
      <c r="J403" s="52"/>
      <c r="K403" s="24"/>
      <c r="L403" s="29"/>
      <c r="M403" s="29"/>
      <c r="N403" s="29"/>
      <c r="O403" s="29"/>
    </row>
    <row r="404" spans="1:15" x14ac:dyDescent="0.45">
      <c r="A404" s="29"/>
      <c r="B404" s="29" t="str">
        <f t="shared" si="15"/>
        <v>..-</v>
      </c>
      <c r="C404" s="68"/>
      <c r="D404" s="29"/>
      <c r="E404" s="29"/>
      <c r="F404" s="29"/>
      <c r="G404" s="29"/>
      <c r="H404" s="29"/>
      <c r="I404" s="29"/>
      <c r="J404" s="52"/>
      <c r="K404" s="24"/>
      <c r="L404" s="29"/>
      <c r="M404" s="29"/>
      <c r="N404" s="29"/>
      <c r="O404" s="29"/>
    </row>
    <row r="405" spans="1:15" x14ac:dyDescent="0.45">
      <c r="A405" s="29"/>
      <c r="B405" s="29" t="str">
        <f t="shared" si="15"/>
        <v>..-</v>
      </c>
      <c r="C405" s="68"/>
      <c r="D405" s="29"/>
      <c r="E405" s="29"/>
      <c r="F405" s="29"/>
      <c r="G405" s="29"/>
      <c r="H405" s="29"/>
      <c r="I405" s="29"/>
      <c r="J405" s="52"/>
      <c r="K405" s="24"/>
      <c r="L405" s="29"/>
      <c r="M405" s="29"/>
      <c r="N405" s="29"/>
      <c r="O405" s="29"/>
    </row>
    <row r="406" spans="1:15" x14ac:dyDescent="0.45">
      <c r="A406" s="29"/>
      <c r="B406" s="29" t="str">
        <f t="shared" si="15"/>
        <v>..-</v>
      </c>
      <c r="C406" s="68"/>
      <c r="D406" s="29"/>
      <c r="E406" s="29"/>
      <c r="F406" s="29"/>
      <c r="G406" s="29"/>
      <c r="H406" s="29"/>
      <c r="I406" s="29"/>
      <c r="J406" s="52"/>
      <c r="K406" s="24"/>
      <c r="L406" s="29"/>
      <c r="M406" s="29"/>
      <c r="N406" s="29"/>
      <c r="O406" s="29"/>
    </row>
    <row r="407" spans="1:15" x14ac:dyDescent="0.45">
      <c r="A407" s="29"/>
      <c r="B407" s="29" t="str">
        <f t="shared" si="15"/>
        <v>..-</v>
      </c>
      <c r="C407" s="68"/>
      <c r="D407" s="29"/>
      <c r="E407" s="29"/>
      <c r="F407" s="29"/>
      <c r="G407" s="29"/>
      <c r="H407" s="29"/>
      <c r="I407" s="29"/>
      <c r="J407" s="52"/>
      <c r="K407" s="24"/>
      <c r="L407" s="29"/>
      <c r="M407" s="29"/>
      <c r="N407" s="29"/>
      <c r="O407" s="29"/>
    </row>
    <row r="408" spans="1:15" x14ac:dyDescent="0.45">
      <c r="A408" s="29"/>
      <c r="B408" s="29" t="str">
        <f t="shared" si="15"/>
        <v>..-</v>
      </c>
      <c r="C408" s="68"/>
      <c r="D408" s="29"/>
      <c r="E408" s="29"/>
      <c r="F408" s="29"/>
      <c r="G408" s="29"/>
      <c r="H408" s="29"/>
      <c r="I408" s="29"/>
      <c r="J408" s="52"/>
      <c r="K408" s="24"/>
      <c r="L408" s="29"/>
      <c r="M408" s="29"/>
      <c r="N408" s="29"/>
      <c r="O408" s="29"/>
    </row>
    <row r="409" spans="1:15" x14ac:dyDescent="0.45">
      <c r="A409" s="29"/>
      <c r="B409" s="29" t="str">
        <f t="shared" si="15"/>
        <v>..-</v>
      </c>
      <c r="C409" s="68"/>
      <c r="D409" s="29"/>
      <c r="E409" s="29"/>
      <c r="F409" s="29"/>
      <c r="G409" s="29"/>
      <c r="H409" s="29"/>
      <c r="I409" s="29"/>
      <c r="J409" s="52"/>
      <c r="K409" s="24"/>
      <c r="L409" s="29"/>
      <c r="M409" s="29"/>
      <c r="N409" s="29"/>
      <c r="O409" s="29"/>
    </row>
    <row r="410" spans="1:15" x14ac:dyDescent="0.45">
      <c r="A410" s="29"/>
      <c r="B410" s="29" t="str">
        <f t="shared" si="15"/>
        <v>..-</v>
      </c>
      <c r="C410" s="68"/>
      <c r="D410" s="29"/>
      <c r="E410" s="29"/>
      <c r="F410" s="29"/>
      <c r="G410" s="29"/>
      <c r="H410" s="29"/>
      <c r="I410" s="29"/>
      <c r="J410" s="52"/>
      <c r="K410" s="24"/>
      <c r="L410" s="29"/>
      <c r="M410" s="29"/>
      <c r="N410" s="29"/>
      <c r="O410" s="29"/>
    </row>
    <row r="411" spans="1:15" x14ac:dyDescent="0.45">
      <c r="A411" s="29"/>
      <c r="B411" s="29" t="str">
        <f t="shared" si="15"/>
        <v>..-</v>
      </c>
      <c r="C411" s="68"/>
      <c r="D411" s="29"/>
      <c r="E411" s="29"/>
      <c r="F411" s="29"/>
      <c r="G411" s="29"/>
      <c r="H411" s="29"/>
      <c r="I411" s="29"/>
      <c r="J411" s="52"/>
      <c r="K411" s="24"/>
      <c r="L411" s="29"/>
      <c r="M411" s="29"/>
      <c r="N411" s="29"/>
      <c r="O411" s="29"/>
    </row>
    <row r="412" spans="1:15" x14ac:dyDescent="0.45">
      <c r="A412" s="29"/>
      <c r="B412" s="29" t="str">
        <f t="shared" si="15"/>
        <v>..-</v>
      </c>
      <c r="C412" s="68"/>
      <c r="D412" s="29"/>
      <c r="E412" s="29"/>
      <c r="F412" s="29"/>
      <c r="G412" s="29"/>
      <c r="H412" s="29"/>
      <c r="I412" s="29"/>
      <c r="J412" s="52"/>
      <c r="K412" s="24"/>
      <c r="L412" s="29"/>
      <c r="M412" s="29"/>
      <c r="N412" s="29"/>
      <c r="O412" s="29"/>
    </row>
    <row r="413" spans="1:15" x14ac:dyDescent="0.45">
      <c r="A413" s="29"/>
      <c r="B413" s="29" t="str">
        <f t="shared" si="15"/>
        <v>..-</v>
      </c>
      <c r="C413" s="68"/>
      <c r="D413" s="29"/>
      <c r="E413" s="29"/>
      <c r="F413" s="29"/>
      <c r="G413" s="29"/>
      <c r="H413" s="29"/>
      <c r="I413" s="29"/>
      <c r="J413" s="52"/>
      <c r="K413" s="24"/>
      <c r="L413" s="29"/>
      <c r="M413" s="29"/>
      <c r="N413" s="29"/>
      <c r="O413" s="29"/>
    </row>
    <row r="414" spans="1:15" x14ac:dyDescent="0.45">
      <c r="A414" s="29"/>
      <c r="B414" s="29" t="str">
        <f t="shared" si="15"/>
        <v>..-</v>
      </c>
      <c r="C414" s="68"/>
      <c r="D414" s="29"/>
      <c r="E414" s="29"/>
      <c r="F414" s="29"/>
      <c r="G414" s="29"/>
      <c r="H414" s="29"/>
      <c r="I414" s="29"/>
      <c r="J414" s="52"/>
      <c r="K414" s="24"/>
      <c r="L414" s="29"/>
      <c r="M414" s="29"/>
      <c r="N414" s="29"/>
      <c r="O414" s="29"/>
    </row>
    <row r="415" spans="1:15" x14ac:dyDescent="0.45">
      <c r="A415" s="29"/>
      <c r="B415" s="29" t="str">
        <f t="shared" si="15"/>
        <v>..-</v>
      </c>
      <c r="C415" s="68"/>
      <c r="D415" s="29"/>
      <c r="E415" s="29"/>
      <c r="F415" s="29"/>
      <c r="G415" s="29"/>
      <c r="H415" s="29"/>
      <c r="I415" s="29"/>
      <c r="J415" s="52"/>
      <c r="K415" s="24"/>
      <c r="L415" s="29"/>
      <c r="M415" s="29"/>
      <c r="N415" s="29"/>
      <c r="O415" s="29"/>
    </row>
    <row r="416" spans="1:15" x14ac:dyDescent="0.45">
      <c r="A416" s="29"/>
      <c r="B416" s="29" t="str">
        <f t="shared" si="15"/>
        <v>..-</v>
      </c>
      <c r="C416" s="68"/>
      <c r="D416" s="29"/>
      <c r="E416" s="29"/>
      <c r="F416" s="29"/>
      <c r="G416" s="29"/>
      <c r="H416" s="29"/>
      <c r="I416" s="29"/>
      <c r="J416" s="52"/>
      <c r="K416" s="24"/>
      <c r="L416" s="29"/>
      <c r="M416" s="29"/>
      <c r="N416" s="29"/>
      <c r="O416" s="29"/>
    </row>
    <row r="417" spans="1:15" x14ac:dyDescent="0.45">
      <c r="A417" s="29"/>
      <c r="B417" s="29" t="str">
        <f t="shared" si="15"/>
        <v>..-</v>
      </c>
      <c r="C417" s="68"/>
      <c r="D417" s="29"/>
      <c r="E417" s="29"/>
      <c r="F417" s="29"/>
      <c r="G417" s="29"/>
      <c r="H417" s="29"/>
      <c r="I417" s="29"/>
      <c r="J417" s="52"/>
      <c r="K417" s="24"/>
      <c r="L417" s="29"/>
      <c r="M417" s="29"/>
      <c r="N417" s="29"/>
      <c r="O417" s="29"/>
    </row>
    <row r="418" spans="1:15" x14ac:dyDescent="0.45">
      <c r="A418" s="29"/>
      <c r="B418" s="29" t="str">
        <f t="shared" si="15"/>
        <v>..-</v>
      </c>
      <c r="C418" s="68"/>
      <c r="D418" s="29"/>
      <c r="E418" s="29"/>
      <c r="F418" s="29"/>
      <c r="G418" s="29"/>
      <c r="H418" s="29"/>
      <c r="I418" s="29"/>
      <c r="J418" s="52"/>
      <c r="K418" s="24"/>
      <c r="L418" s="29"/>
      <c r="M418" s="29"/>
      <c r="N418" s="29"/>
      <c r="O418" s="29"/>
    </row>
    <row r="419" spans="1:15" x14ac:dyDescent="0.45">
      <c r="A419" s="29"/>
      <c r="B419" s="29" t="str">
        <f t="shared" si="15"/>
        <v>..-</v>
      </c>
      <c r="C419" s="68"/>
      <c r="D419" s="29"/>
      <c r="E419" s="29"/>
      <c r="F419" s="29"/>
      <c r="G419" s="29"/>
      <c r="H419" s="29"/>
      <c r="I419" s="29"/>
      <c r="J419" s="52"/>
      <c r="K419" s="24"/>
      <c r="L419" s="29"/>
      <c r="M419" s="29"/>
      <c r="N419" s="29"/>
      <c r="O419" s="29"/>
    </row>
    <row r="420" spans="1:15" x14ac:dyDescent="0.45">
      <c r="A420" s="29"/>
      <c r="B420" s="29" t="str">
        <f t="shared" si="15"/>
        <v>..-</v>
      </c>
      <c r="C420" s="68"/>
      <c r="D420" s="29"/>
      <c r="E420" s="29"/>
      <c r="F420" s="29"/>
      <c r="G420" s="29"/>
      <c r="H420" s="29"/>
      <c r="I420" s="29"/>
      <c r="J420" s="52"/>
      <c r="K420" s="24"/>
      <c r="L420" s="29"/>
      <c r="M420" s="29"/>
      <c r="N420" s="29"/>
      <c r="O420" s="29"/>
    </row>
    <row r="421" spans="1:15" x14ac:dyDescent="0.45">
      <c r="A421" s="29"/>
      <c r="B421" s="29" t="str">
        <f t="shared" si="15"/>
        <v>..-</v>
      </c>
      <c r="C421" s="68"/>
      <c r="D421" s="29"/>
      <c r="E421" s="29"/>
      <c r="F421" s="29"/>
      <c r="G421" s="29"/>
      <c r="H421" s="29"/>
      <c r="I421" s="29"/>
      <c r="J421" s="52"/>
      <c r="K421" s="24"/>
      <c r="L421" s="29"/>
      <c r="M421" s="29"/>
      <c r="N421" s="29"/>
      <c r="O421" s="29"/>
    </row>
    <row r="422" spans="1:15" x14ac:dyDescent="0.45">
      <c r="A422" s="29"/>
      <c r="B422" s="29" t="str">
        <f t="shared" si="15"/>
        <v>..-</v>
      </c>
      <c r="C422" s="68"/>
      <c r="D422" s="29"/>
      <c r="E422" s="29"/>
      <c r="F422" s="29"/>
      <c r="G422" s="29"/>
      <c r="H422" s="29"/>
      <c r="I422" s="29"/>
      <c r="J422" s="52"/>
      <c r="K422" s="24"/>
      <c r="L422" s="29"/>
      <c r="M422" s="29"/>
      <c r="N422" s="29"/>
      <c r="O422" s="29"/>
    </row>
    <row r="423" spans="1:15" x14ac:dyDescent="0.45">
      <c r="A423" s="29"/>
      <c r="B423" s="29" t="str">
        <f t="shared" si="15"/>
        <v>..-</v>
      </c>
      <c r="C423" s="68"/>
      <c r="D423" s="29"/>
      <c r="E423" s="29"/>
      <c r="F423" s="29"/>
      <c r="G423" s="29"/>
      <c r="H423" s="29"/>
      <c r="I423" s="29"/>
      <c r="J423" s="52"/>
      <c r="K423" s="24"/>
      <c r="L423" s="29"/>
      <c r="M423" s="29"/>
      <c r="N423" s="29"/>
      <c r="O423" s="29"/>
    </row>
    <row r="424" spans="1:15" x14ac:dyDescent="0.45">
      <c r="A424" s="29"/>
      <c r="B424" s="29" t="str">
        <f t="shared" si="15"/>
        <v>..-</v>
      </c>
      <c r="C424" s="68"/>
      <c r="D424" s="29"/>
      <c r="E424" s="29"/>
      <c r="F424" s="29"/>
      <c r="G424" s="29"/>
      <c r="H424" s="29"/>
      <c r="I424" s="29"/>
      <c r="J424" s="52"/>
      <c r="K424" s="24"/>
      <c r="L424" s="29"/>
      <c r="M424" s="29"/>
      <c r="N424" s="29"/>
      <c r="O424" s="29"/>
    </row>
    <row r="425" spans="1:15" x14ac:dyDescent="0.45">
      <c r="A425" s="29"/>
      <c r="B425" s="29" t="str">
        <f t="shared" si="15"/>
        <v>..-</v>
      </c>
      <c r="C425" s="68"/>
      <c r="D425" s="29"/>
      <c r="E425" s="29"/>
      <c r="F425" s="29"/>
      <c r="G425" s="29"/>
      <c r="H425" s="29"/>
      <c r="I425" s="29"/>
      <c r="J425" s="52"/>
      <c r="K425" s="24"/>
      <c r="L425" s="29"/>
      <c r="M425" s="29"/>
      <c r="N425" s="29"/>
      <c r="O425" s="29"/>
    </row>
    <row r="426" spans="1:15" x14ac:dyDescent="0.45">
      <c r="A426" s="29"/>
      <c r="B426" s="29" t="str">
        <f t="shared" si="15"/>
        <v>..-</v>
      </c>
      <c r="C426" s="68"/>
      <c r="D426" s="29"/>
      <c r="E426" s="29"/>
      <c r="F426" s="29"/>
      <c r="G426" s="29"/>
      <c r="H426" s="29"/>
      <c r="I426" s="29"/>
      <c r="J426" s="52"/>
      <c r="K426" s="24"/>
      <c r="L426" s="29"/>
      <c r="M426" s="29"/>
      <c r="N426" s="29"/>
      <c r="O426" s="29"/>
    </row>
    <row r="427" spans="1:15" x14ac:dyDescent="0.45">
      <c r="A427" s="29"/>
      <c r="B427" s="29" t="str">
        <f t="shared" si="15"/>
        <v>..-</v>
      </c>
      <c r="C427" s="68"/>
      <c r="D427" s="29"/>
      <c r="E427" s="29"/>
      <c r="F427" s="29"/>
      <c r="G427" s="29"/>
      <c r="H427" s="29"/>
      <c r="I427" s="29"/>
      <c r="J427" s="52"/>
      <c r="K427" s="24"/>
      <c r="L427" s="29"/>
      <c r="M427" s="29"/>
      <c r="N427" s="29"/>
      <c r="O427" s="29"/>
    </row>
    <row r="428" spans="1:15" x14ac:dyDescent="0.45">
      <c r="A428" s="29"/>
      <c r="B428" s="29" t="str">
        <f t="shared" si="15"/>
        <v>..-</v>
      </c>
      <c r="C428" s="68"/>
      <c r="D428" s="29"/>
      <c r="E428" s="29"/>
      <c r="F428" s="29"/>
      <c r="G428" s="29"/>
      <c r="H428" s="29"/>
      <c r="I428" s="29"/>
      <c r="J428" s="52"/>
      <c r="K428" s="24"/>
      <c r="L428" s="29"/>
      <c r="M428" s="29"/>
      <c r="N428" s="29"/>
      <c r="O428" s="29"/>
    </row>
    <row r="429" spans="1:15" x14ac:dyDescent="0.45">
      <c r="A429" s="29"/>
      <c r="B429" s="29" t="str">
        <f t="shared" si="15"/>
        <v>..-</v>
      </c>
      <c r="C429" s="68"/>
      <c r="D429" s="29"/>
      <c r="E429" s="29"/>
      <c r="F429" s="29"/>
      <c r="G429" s="29"/>
      <c r="H429" s="29"/>
      <c r="I429" s="29"/>
      <c r="J429" s="52"/>
      <c r="K429" s="24"/>
      <c r="L429" s="29"/>
      <c r="M429" s="29"/>
      <c r="N429" s="29"/>
      <c r="O429" s="29"/>
    </row>
    <row r="430" spans="1:15" x14ac:dyDescent="0.45">
      <c r="A430" s="29"/>
      <c r="B430" s="29" t="str">
        <f t="shared" si="15"/>
        <v>..-</v>
      </c>
      <c r="C430" s="68"/>
      <c r="D430" s="29"/>
      <c r="E430" s="29"/>
      <c r="F430" s="29"/>
      <c r="G430" s="29"/>
      <c r="H430" s="29"/>
      <c r="I430" s="29"/>
      <c r="J430" s="52"/>
      <c r="K430" s="24"/>
      <c r="L430" s="29"/>
      <c r="M430" s="29"/>
      <c r="N430" s="29"/>
      <c r="O430" s="29"/>
    </row>
    <row r="431" spans="1:15" x14ac:dyDescent="0.45">
      <c r="A431" s="29"/>
      <c r="B431" s="29" t="str">
        <f t="shared" si="15"/>
        <v>..-</v>
      </c>
      <c r="C431" s="68"/>
      <c r="D431" s="29"/>
      <c r="E431" s="29"/>
      <c r="F431" s="29"/>
      <c r="G431" s="29"/>
      <c r="H431" s="29"/>
      <c r="I431" s="29"/>
      <c r="J431" s="52"/>
      <c r="K431" s="24"/>
      <c r="L431" s="29"/>
      <c r="M431" s="29"/>
      <c r="N431" s="29"/>
      <c r="O431" s="29"/>
    </row>
    <row r="432" spans="1:15" x14ac:dyDescent="0.45">
      <c r="A432" s="29"/>
      <c r="B432" s="29" t="str">
        <f t="shared" si="15"/>
        <v>..-</v>
      </c>
      <c r="C432" s="68"/>
      <c r="D432" s="29"/>
      <c r="E432" s="29"/>
      <c r="F432" s="29"/>
      <c r="G432" s="29"/>
      <c r="H432" s="29"/>
      <c r="I432" s="29"/>
      <c r="J432" s="52"/>
      <c r="K432" s="24"/>
      <c r="L432" s="29"/>
      <c r="M432" s="29"/>
      <c r="N432" s="29"/>
      <c r="O432" s="29"/>
    </row>
    <row r="433" spans="1:15" x14ac:dyDescent="0.45">
      <c r="A433" s="29"/>
      <c r="B433" s="29" t="str">
        <f t="shared" si="15"/>
        <v>..-</v>
      </c>
      <c r="C433" s="68"/>
      <c r="D433" s="29"/>
      <c r="E433" s="29"/>
      <c r="F433" s="29"/>
      <c r="G433" s="29"/>
      <c r="H433" s="29"/>
      <c r="I433" s="29"/>
      <c r="J433" s="52"/>
      <c r="K433" s="24"/>
      <c r="L433" s="29"/>
      <c r="M433" s="29"/>
      <c r="N433" s="29"/>
      <c r="O433" s="29"/>
    </row>
    <row r="434" spans="1:15" x14ac:dyDescent="0.45">
      <c r="A434" s="29"/>
      <c r="B434" s="29" t="str">
        <f t="shared" si="15"/>
        <v>..-</v>
      </c>
      <c r="C434" s="68"/>
      <c r="D434" s="29"/>
      <c r="E434" s="29"/>
      <c r="F434" s="29"/>
      <c r="G434" s="29"/>
      <c r="H434" s="29"/>
      <c r="I434" s="29"/>
      <c r="J434" s="52"/>
      <c r="K434" s="24"/>
      <c r="L434" s="29"/>
      <c r="M434" s="29"/>
      <c r="N434" s="29"/>
      <c r="O434" s="29"/>
    </row>
    <row r="435" spans="1:15" x14ac:dyDescent="0.45">
      <c r="A435" s="29"/>
      <c r="B435" s="29" t="str">
        <f t="shared" si="15"/>
        <v>..-</v>
      </c>
      <c r="C435" s="68"/>
      <c r="D435" s="29"/>
      <c r="E435" s="29"/>
      <c r="F435" s="29"/>
      <c r="G435" s="29"/>
      <c r="H435" s="29"/>
      <c r="I435" s="29"/>
      <c r="J435" s="52"/>
      <c r="K435" s="24"/>
      <c r="L435" s="29"/>
      <c r="M435" s="29"/>
      <c r="N435" s="29"/>
      <c r="O435" s="29"/>
    </row>
    <row r="436" spans="1:15" x14ac:dyDescent="0.45">
      <c r="A436" s="29"/>
      <c r="B436" s="29" t="str">
        <f t="shared" si="15"/>
        <v>..-</v>
      </c>
      <c r="C436" s="68"/>
      <c r="D436" s="29"/>
      <c r="E436" s="29"/>
      <c r="F436" s="29"/>
      <c r="G436" s="29"/>
      <c r="H436" s="29"/>
      <c r="I436" s="29"/>
      <c r="J436" s="52"/>
      <c r="K436" s="24"/>
      <c r="L436" s="29"/>
      <c r="M436" s="29"/>
      <c r="N436" s="29"/>
      <c r="O436" s="29"/>
    </row>
    <row r="437" spans="1:15" x14ac:dyDescent="0.45">
      <c r="A437" s="29"/>
      <c r="B437" s="29" t="str">
        <f t="shared" si="15"/>
        <v>..-</v>
      </c>
      <c r="C437" s="68"/>
      <c r="D437" s="29"/>
      <c r="E437" s="29"/>
      <c r="F437" s="29"/>
      <c r="G437" s="29"/>
      <c r="H437" s="29"/>
      <c r="I437" s="29"/>
      <c r="J437" s="52"/>
      <c r="K437" s="24"/>
      <c r="L437" s="29"/>
      <c r="M437" s="29"/>
      <c r="N437" s="29"/>
      <c r="O437" s="29"/>
    </row>
    <row r="438" spans="1:15" x14ac:dyDescent="0.45">
      <c r="A438" s="29"/>
      <c r="B438" s="29" t="str">
        <f t="shared" si="15"/>
        <v>..-</v>
      </c>
      <c r="C438" s="68"/>
      <c r="D438" s="29"/>
      <c r="E438" s="29"/>
      <c r="F438" s="29"/>
      <c r="G438" s="29"/>
      <c r="H438" s="29"/>
      <c r="I438" s="29"/>
      <c r="J438" s="52"/>
      <c r="K438" s="24"/>
      <c r="L438" s="29"/>
      <c r="M438" s="29"/>
      <c r="N438" s="29"/>
      <c r="O438" s="29"/>
    </row>
    <row r="439" spans="1:15" x14ac:dyDescent="0.45">
      <c r="A439" s="29"/>
      <c r="B439" s="29" t="str">
        <f t="shared" si="15"/>
        <v>..-</v>
      </c>
      <c r="C439" s="68"/>
      <c r="D439" s="29"/>
      <c r="E439" s="29"/>
      <c r="F439" s="29"/>
      <c r="G439" s="29"/>
      <c r="H439" s="29"/>
      <c r="I439" s="29"/>
      <c r="J439" s="52"/>
      <c r="K439" s="24"/>
      <c r="L439" s="29"/>
      <c r="M439" s="29"/>
      <c r="N439" s="29"/>
      <c r="O439" s="29"/>
    </row>
    <row r="440" spans="1:15" x14ac:dyDescent="0.45">
      <c r="A440" s="29"/>
      <c r="B440" s="29" t="str">
        <f t="shared" si="15"/>
        <v>..-</v>
      </c>
      <c r="C440" s="68"/>
      <c r="D440" s="29"/>
      <c r="E440" s="29"/>
      <c r="F440" s="29"/>
      <c r="G440" s="29"/>
      <c r="H440" s="29"/>
      <c r="I440" s="29"/>
      <c r="J440" s="52"/>
      <c r="K440" s="24"/>
      <c r="L440" s="29"/>
      <c r="M440" s="29"/>
      <c r="N440" s="29"/>
      <c r="O440" s="29"/>
    </row>
    <row r="441" spans="1:15" x14ac:dyDescent="0.45">
      <c r="A441" s="29"/>
      <c r="B441" s="29" t="str">
        <f t="shared" si="15"/>
        <v>..-</v>
      </c>
      <c r="C441" s="68"/>
      <c r="D441" s="29"/>
      <c r="E441" s="29"/>
      <c r="F441" s="29"/>
      <c r="G441" s="29"/>
      <c r="H441" s="29"/>
      <c r="I441" s="29"/>
      <c r="J441" s="52"/>
      <c r="K441" s="24"/>
      <c r="L441" s="29"/>
      <c r="M441" s="29"/>
      <c r="N441" s="29"/>
      <c r="O441" s="29"/>
    </row>
    <row r="442" spans="1:15" x14ac:dyDescent="0.45">
      <c r="A442" s="29"/>
      <c r="B442" s="29" t="str">
        <f t="shared" si="15"/>
        <v>..-</v>
      </c>
      <c r="C442" s="68"/>
      <c r="D442" s="29"/>
      <c r="E442" s="29"/>
      <c r="F442" s="29"/>
      <c r="G442" s="29"/>
      <c r="H442" s="29"/>
      <c r="I442" s="29"/>
      <c r="J442" s="52"/>
      <c r="K442" s="24"/>
      <c r="L442" s="29"/>
      <c r="M442" s="29"/>
      <c r="N442" s="29"/>
      <c r="O442" s="29"/>
    </row>
    <row r="443" spans="1:15" x14ac:dyDescent="0.45">
      <c r="A443" s="29"/>
      <c r="B443" s="29" t="str">
        <f t="shared" si="15"/>
        <v>..-</v>
      </c>
      <c r="C443" s="68"/>
      <c r="D443" s="29"/>
      <c r="E443" s="29"/>
      <c r="F443" s="29"/>
      <c r="G443" s="29"/>
      <c r="H443" s="29"/>
      <c r="I443" s="29"/>
      <c r="J443" s="52"/>
      <c r="K443" s="24"/>
      <c r="L443" s="29"/>
      <c r="M443" s="29"/>
      <c r="N443" s="29"/>
      <c r="O443" s="29"/>
    </row>
    <row r="444" spans="1:15" x14ac:dyDescent="0.45">
      <c r="A444" s="29"/>
      <c r="B444" s="29" t="str">
        <f t="shared" si="15"/>
        <v>..-</v>
      </c>
      <c r="C444" s="68"/>
      <c r="D444" s="29"/>
      <c r="E444" s="29"/>
      <c r="F444" s="29"/>
      <c r="G444" s="29"/>
      <c r="H444" s="29"/>
      <c r="I444" s="29"/>
      <c r="J444" s="52"/>
      <c r="K444" s="24"/>
      <c r="L444" s="29"/>
      <c r="M444" s="29"/>
      <c r="N444" s="29"/>
      <c r="O444" s="29"/>
    </row>
    <row r="445" spans="1:15" x14ac:dyDescent="0.45">
      <c r="A445" s="29"/>
      <c r="B445" s="29" t="str">
        <f t="shared" si="15"/>
        <v>..-</v>
      </c>
      <c r="C445" s="68"/>
      <c r="D445" s="29"/>
      <c r="E445" s="29"/>
      <c r="F445" s="29"/>
      <c r="G445" s="29"/>
      <c r="H445" s="29"/>
      <c r="I445" s="29"/>
      <c r="J445" s="52"/>
      <c r="K445" s="24"/>
      <c r="L445" s="29"/>
      <c r="M445" s="29"/>
      <c r="N445" s="29"/>
      <c r="O445" s="29"/>
    </row>
    <row r="446" spans="1:15" x14ac:dyDescent="0.45">
      <c r="A446" s="29"/>
      <c r="B446" s="29" t="str">
        <f t="shared" si="15"/>
        <v>..-</v>
      </c>
      <c r="C446" s="68"/>
      <c r="D446" s="29"/>
      <c r="E446" s="29"/>
      <c r="F446" s="29"/>
      <c r="G446" s="29"/>
      <c r="H446" s="29"/>
      <c r="I446" s="29"/>
      <c r="J446" s="52"/>
      <c r="K446" s="24"/>
      <c r="L446" s="29"/>
      <c r="M446" s="29"/>
      <c r="N446" s="29"/>
      <c r="O446" s="29"/>
    </row>
    <row r="447" spans="1:15" x14ac:dyDescent="0.45">
      <c r="A447" s="29"/>
      <c r="B447" s="29" t="str">
        <f t="shared" si="15"/>
        <v>..-</v>
      </c>
      <c r="C447" s="68"/>
      <c r="D447" s="29"/>
      <c r="E447" s="29"/>
      <c r="F447" s="29"/>
      <c r="G447" s="29"/>
      <c r="H447" s="29"/>
      <c r="I447" s="29"/>
      <c r="J447" s="52"/>
      <c r="K447" s="24"/>
      <c r="L447" s="29"/>
      <c r="M447" s="29"/>
      <c r="N447" s="29"/>
      <c r="O447" s="29"/>
    </row>
    <row r="448" spans="1:15" x14ac:dyDescent="0.45">
      <c r="A448" s="29"/>
      <c r="B448" s="29" t="str">
        <f t="shared" si="15"/>
        <v>..-</v>
      </c>
      <c r="C448" s="68"/>
      <c r="D448" s="29"/>
      <c r="E448" s="29"/>
      <c r="F448" s="29"/>
      <c r="G448" s="29"/>
      <c r="H448" s="29"/>
      <c r="I448" s="29"/>
      <c r="J448" s="52"/>
      <c r="K448" s="24"/>
      <c r="L448" s="29"/>
      <c r="M448" s="29"/>
      <c r="N448" s="29"/>
      <c r="O448" s="29"/>
    </row>
    <row r="449" spans="1:15" x14ac:dyDescent="0.45">
      <c r="A449" s="29"/>
      <c r="B449" s="29" t="str">
        <f t="shared" si="15"/>
        <v>..-</v>
      </c>
      <c r="C449" s="68"/>
      <c r="D449" s="29"/>
      <c r="E449" s="29"/>
      <c r="F449" s="29"/>
      <c r="G449" s="29"/>
      <c r="H449" s="29"/>
      <c r="I449" s="29"/>
      <c r="J449" s="52"/>
      <c r="K449" s="68"/>
      <c r="L449" s="29"/>
      <c r="M449" s="29"/>
      <c r="N449" s="29"/>
      <c r="O449" s="29"/>
    </row>
    <row r="450" spans="1:15" x14ac:dyDescent="0.45">
      <c r="A450" s="29"/>
      <c r="B450" s="29" t="str">
        <f t="shared" si="15"/>
        <v>..-</v>
      </c>
      <c r="C450" s="68"/>
      <c r="D450" s="29"/>
      <c r="E450" s="29"/>
      <c r="F450" s="29"/>
      <c r="G450" s="29"/>
      <c r="H450" s="29"/>
      <c r="I450" s="29"/>
      <c r="J450" s="52"/>
      <c r="K450" s="68"/>
      <c r="L450" s="29"/>
      <c r="M450" s="29"/>
      <c r="N450" s="29"/>
      <c r="O450" s="29"/>
    </row>
    <row r="451" spans="1:15" x14ac:dyDescent="0.45">
      <c r="A451" s="29"/>
      <c r="B451" s="29" t="str">
        <f t="shared" si="15"/>
        <v>..-</v>
      </c>
      <c r="C451" s="68"/>
      <c r="D451" s="29"/>
      <c r="E451" s="29"/>
      <c r="F451" s="29"/>
      <c r="G451" s="29"/>
      <c r="H451" s="29"/>
      <c r="I451" s="29"/>
      <c r="J451" s="52"/>
      <c r="K451" s="68"/>
      <c r="L451" s="29"/>
      <c r="M451" s="29"/>
      <c r="N451" s="29"/>
      <c r="O451" s="29"/>
    </row>
    <row r="452" spans="1:15" x14ac:dyDescent="0.45">
      <c r="A452" s="29"/>
      <c r="B452" s="29" t="str">
        <f t="shared" si="15"/>
        <v>..-</v>
      </c>
      <c r="C452" s="68"/>
      <c r="D452" s="29"/>
      <c r="E452" s="29"/>
      <c r="F452" s="29"/>
      <c r="G452" s="29"/>
      <c r="H452" s="29"/>
      <c r="I452" s="29"/>
      <c r="J452" s="52"/>
      <c r="K452" s="68"/>
      <c r="L452" s="29"/>
      <c r="M452" s="29"/>
      <c r="N452" s="29"/>
      <c r="O452" s="29"/>
    </row>
    <row r="453" spans="1:15" x14ac:dyDescent="0.45">
      <c r="A453" s="29"/>
      <c r="B453" s="29" t="str">
        <f t="shared" si="15"/>
        <v>..-</v>
      </c>
      <c r="C453" s="68"/>
      <c r="D453" s="29"/>
      <c r="E453" s="29"/>
      <c r="F453" s="29"/>
      <c r="G453" s="29"/>
      <c r="H453" s="29"/>
      <c r="I453" s="29"/>
      <c r="J453" s="52"/>
      <c r="K453" s="68"/>
      <c r="L453" s="29"/>
      <c r="M453" s="29"/>
      <c r="N453" s="29"/>
      <c r="O453" s="29"/>
    </row>
    <row r="454" spans="1:15" x14ac:dyDescent="0.45">
      <c r="A454" s="29"/>
      <c r="B454" s="29" t="str">
        <f t="shared" si="15"/>
        <v>..-</v>
      </c>
      <c r="C454" s="68"/>
      <c r="D454" s="29"/>
      <c r="E454" s="29"/>
      <c r="F454" s="29"/>
      <c r="G454" s="29"/>
      <c r="H454" s="29"/>
      <c r="I454" s="29"/>
      <c r="J454" s="52"/>
      <c r="K454" s="68"/>
      <c r="L454" s="29"/>
      <c r="M454" s="29"/>
      <c r="N454" s="29"/>
      <c r="O454" s="29"/>
    </row>
    <row r="455" spans="1:15" x14ac:dyDescent="0.45">
      <c r="A455" s="29"/>
      <c r="B455" s="29" t="str">
        <f t="shared" si="15"/>
        <v>..-</v>
      </c>
      <c r="C455" s="68"/>
      <c r="D455" s="29"/>
      <c r="E455" s="29"/>
      <c r="F455" s="29"/>
      <c r="G455" s="29"/>
      <c r="H455" s="29"/>
      <c r="I455" s="29"/>
      <c r="J455" s="52"/>
      <c r="K455" s="68"/>
      <c r="L455" s="29"/>
      <c r="M455" s="29"/>
      <c r="N455" s="29"/>
      <c r="O455" s="29"/>
    </row>
    <row r="456" spans="1:15" x14ac:dyDescent="0.45">
      <c r="A456" s="29"/>
      <c r="B456" s="29" t="str">
        <f t="shared" ref="B456:B469" si="16">IF(LEN(A456)=8,MID(A456,1,1)&amp;"."&amp;MID(A456,2,3)&amp;"."&amp;MID(A456,5,3)&amp;"-"&amp;RIGHT(A456,1),IF(LEFT(RIGHT(A456,2),1)="-",MID(A456,1,1)&amp;"."&amp;MID(A456,2,3)&amp;"."&amp;MID(A456,5,3)&amp;"-"&amp;RIGHT(A456,1),MID(A456,1,2)&amp;"."&amp;MID(A456,3,3)&amp;"."&amp;MID(A456,6,3)&amp;"-"&amp;MID(A456,9,1)))</f>
        <v>..-</v>
      </c>
      <c r="C456" s="68"/>
      <c r="D456" s="29"/>
      <c r="E456" s="29"/>
      <c r="F456" s="29"/>
      <c r="G456" s="29"/>
      <c r="H456" s="29"/>
      <c r="I456" s="29"/>
      <c r="J456" s="52"/>
      <c r="K456" s="68"/>
      <c r="L456" s="29"/>
      <c r="M456" s="29"/>
      <c r="N456" s="29"/>
      <c r="O456" s="29"/>
    </row>
    <row r="457" spans="1:15" x14ac:dyDescent="0.45">
      <c r="A457" s="29"/>
      <c r="B457" s="29" t="str">
        <f t="shared" si="16"/>
        <v>..-</v>
      </c>
      <c r="C457" s="68"/>
      <c r="D457" s="29"/>
      <c r="E457" s="29"/>
      <c r="F457" s="29"/>
      <c r="G457" s="29"/>
      <c r="H457" s="29"/>
      <c r="I457" s="29"/>
      <c r="J457" s="52"/>
      <c r="K457" s="68"/>
      <c r="L457" s="29"/>
      <c r="M457" s="29"/>
      <c r="N457" s="29"/>
      <c r="O457" s="29"/>
    </row>
    <row r="458" spans="1:15" x14ac:dyDescent="0.45">
      <c r="A458" s="29"/>
      <c r="B458" s="29" t="str">
        <f t="shared" si="16"/>
        <v>..-</v>
      </c>
      <c r="C458" s="68"/>
      <c r="D458" s="29"/>
      <c r="E458" s="29"/>
      <c r="F458" s="29"/>
      <c r="G458" s="29"/>
      <c r="H458" s="29"/>
      <c r="I458" s="29"/>
      <c r="J458" s="52"/>
      <c r="K458" s="68"/>
      <c r="L458" s="29"/>
      <c r="M458" s="29"/>
      <c r="N458" s="29"/>
      <c r="O458" s="29"/>
    </row>
    <row r="459" spans="1:15" x14ac:dyDescent="0.45">
      <c r="A459" s="29"/>
      <c r="B459" s="29" t="str">
        <f t="shared" si="16"/>
        <v>..-</v>
      </c>
      <c r="C459" s="68"/>
      <c r="D459" s="29"/>
      <c r="E459" s="29"/>
      <c r="F459" s="29"/>
      <c r="G459" s="29"/>
      <c r="H459" s="29"/>
      <c r="I459" s="29"/>
      <c r="J459" s="52"/>
      <c r="K459" s="68"/>
      <c r="L459" s="29"/>
      <c r="M459" s="29"/>
      <c r="N459" s="29"/>
      <c r="O459" s="29"/>
    </row>
    <row r="460" spans="1:15" x14ac:dyDescent="0.45">
      <c r="A460" s="29"/>
      <c r="B460" s="29" t="str">
        <f t="shared" si="16"/>
        <v>..-</v>
      </c>
      <c r="C460" s="68"/>
      <c r="D460" s="29"/>
      <c r="E460" s="29"/>
      <c r="F460" s="29"/>
      <c r="G460" s="29"/>
      <c r="H460" s="29"/>
      <c r="I460" s="29"/>
      <c r="J460" s="52"/>
      <c r="K460" s="68"/>
      <c r="L460" s="29"/>
      <c r="M460" s="29"/>
      <c r="N460" s="29"/>
      <c r="O460" s="29"/>
    </row>
    <row r="461" spans="1:15" x14ac:dyDescent="0.45">
      <c r="A461" s="29"/>
      <c r="B461" s="29" t="str">
        <f t="shared" si="16"/>
        <v>..-</v>
      </c>
      <c r="C461" s="68"/>
      <c r="D461" s="29"/>
      <c r="E461" s="29"/>
      <c r="F461" s="29"/>
      <c r="G461" s="29"/>
      <c r="H461" s="29"/>
      <c r="I461" s="29"/>
      <c r="J461" s="52"/>
      <c r="K461" s="68"/>
      <c r="L461" s="29"/>
      <c r="M461" s="29"/>
      <c r="N461" s="29"/>
      <c r="O461" s="29"/>
    </row>
    <row r="462" spans="1:15" x14ac:dyDescent="0.45">
      <c r="A462" s="29"/>
      <c r="B462" s="29" t="str">
        <f t="shared" si="16"/>
        <v>..-</v>
      </c>
      <c r="C462" s="68"/>
      <c r="D462" s="29"/>
      <c r="E462" s="29"/>
      <c r="F462" s="29"/>
      <c r="G462" s="29"/>
      <c r="H462" s="29"/>
      <c r="I462" s="29"/>
      <c r="J462" s="52"/>
      <c r="K462" s="68"/>
      <c r="L462" s="29"/>
      <c r="M462" s="29"/>
      <c r="N462" s="29"/>
      <c r="O462" s="29"/>
    </row>
    <row r="463" spans="1:15" x14ac:dyDescent="0.45">
      <c r="A463" s="29"/>
      <c r="B463" s="29" t="str">
        <f t="shared" si="16"/>
        <v>..-</v>
      </c>
      <c r="C463" s="68"/>
      <c r="D463" s="29"/>
      <c r="E463" s="29"/>
      <c r="F463" s="29"/>
      <c r="G463" s="29"/>
      <c r="H463" s="29"/>
      <c r="I463" s="29"/>
      <c r="J463" s="52"/>
      <c r="K463" s="68"/>
      <c r="L463" s="29"/>
      <c r="M463" s="29"/>
      <c r="N463" s="29"/>
      <c r="O463" s="29"/>
    </row>
    <row r="464" spans="1:15" x14ac:dyDescent="0.45">
      <c r="A464" s="29"/>
      <c r="B464" s="29" t="str">
        <f t="shared" si="16"/>
        <v>..-</v>
      </c>
      <c r="C464" s="68"/>
      <c r="D464" s="29"/>
      <c r="E464" s="29"/>
      <c r="F464" s="29"/>
      <c r="G464" s="29"/>
      <c r="H464" s="29"/>
      <c r="I464" s="29"/>
      <c r="J464" s="52"/>
      <c r="K464" s="68"/>
      <c r="L464" s="29"/>
      <c r="M464" s="29"/>
      <c r="N464" s="29"/>
      <c r="O464" s="29"/>
    </row>
    <row r="465" spans="1:15" x14ac:dyDescent="0.45">
      <c r="A465" s="29"/>
      <c r="B465" s="29" t="str">
        <f t="shared" si="16"/>
        <v>..-</v>
      </c>
      <c r="C465" s="68"/>
      <c r="D465" s="29"/>
      <c r="E465" s="29"/>
      <c r="F465" s="29"/>
      <c r="G465" s="29"/>
      <c r="H465" s="29"/>
      <c r="I465" s="29"/>
      <c r="J465" s="52"/>
      <c r="K465" s="68"/>
      <c r="L465" s="29"/>
      <c r="M465" s="29"/>
      <c r="N465" s="29"/>
      <c r="O465" s="29"/>
    </row>
    <row r="466" spans="1:15" x14ac:dyDescent="0.45">
      <c r="A466" s="29"/>
      <c r="B466" s="29" t="str">
        <f t="shared" si="16"/>
        <v>..-</v>
      </c>
      <c r="C466" s="68"/>
      <c r="D466" s="29"/>
      <c r="E466" s="29"/>
      <c r="F466" s="29"/>
      <c r="G466" s="29"/>
      <c r="H466" s="29"/>
      <c r="I466" s="29"/>
      <c r="J466" s="52"/>
      <c r="K466" s="68"/>
      <c r="L466" s="29"/>
      <c r="M466" s="29"/>
      <c r="N466" s="29"/>
      <c r="O466" s="29"/>
    </row>
    <row r="467" spans="1:15" x14ac:dyDescent="0.45">
      <c r="A467" s="29"/>
      <c r="B467" s="29" t="str">
        <f t="shared" si="16"/>
        <v>..-</v>
      </c>
      <c r="C467" s="68"/>
      <c r="D467" s="29"/>
      <c r="E467" s="29"/>
      <c r="F467" s="29"/>
      <c r="G467" s="29"/>
      <c r="H467" s="29"/>
      <c r="I467" s="29"/>
      <c r="J467" s="52"/>
      <c r="K467" s="68"/>
      <c r="L467" s="29"/>
      <c r="M467" s="29"/>
      <c r="N467" s="29"/>
      <c r="O467" s="29"/>
    </row>
    <row r="468" spans="1:15" x14ac:dyDescent="0.45">
      <c r="A468" s="29"/>
      <c r="B468" s="29" t="str">
        <f t="shared" si="16"/>
        <v>..-</v>
      </c>
      <c r="C468" s="68"/>
      <c r="D468" s="29"/>
      <c r="E468" s="29"/>
      <c r="F468" s="29"/>
      <c r="G468" s="29"/>
      <c r="H468" s="29"/>
      <c r="I468" s="29"/>
      <c r="J468" s="52"/>
      <c r="K468" s="68"/>
      <c r="L468" s="29"/>
      <c r="M468" s="29"/>
      <c r="N468" s="29"/>
      <c r="O468" s="29"/>
    </row>
    <row r="469" spans="1:15" x14ac:dyDescent="0.45">
      <c r="A469" s="29"/>
      <c r="B469" s="29" t="str">
        <f t="shared" si="16"/>
        <v>..-</v>
      </c>
      <c r="C469" s="68"/>
      <c r="D469" s="29"/>
      <c r="E469" s="29"/>
      <c r="F469" s="29"/>
      <c r="G469" s="29"/>
      <c r="H469" s="29"/>
      <c r="I469" s="29"/>
      <c r="J469" s="52"/>
      <c r="K469" s="68"/>
      <c r="L469" s="29"/>
      <c r="M469" s="29"/>
      <c r="N469" s="29"/>
      <c r="O469" s="29"/>
    </row>
  </sheetData>
  <dataValidations count="3">
    <dataValidation type="date" operator="greaterThanOrEqual" allowBlank="1" showInputMessage="1" showErrorMessage="1" errorTitle="Error de formato de fecha" error="Favor escribir fecha en formato indicado en mensaje." promptTitle="Inserte fecha" prompt="Utilice el formato_x000a_DD-MM-AAAA" sqref="L8:L13 L15:L26 L28 L30:L32 L38:L39 L41:L53 L55:L56 L58:L65 L75:L76 L81:L82" xr:uid="{00000000-0002-0000-0600-000000000000}">
      <formula1>42583</formula1>
    </dataValidation>
    <dataValidation allowBlank="1" showInputMessage="1" sqref="O1:O7" xr:uid="{00000000-0002-0000-0600-000001000000}"/>
    <dataValidation allowBlank="1" sqref="N1:N97 N99:N139 N141:N301" xr:uid="{00000000-0002-0000-0600-000002000000}"/>
  </dataValidation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048556"/>
  <sheetViews>
    <sheetView topLeftCell="A229" zoomScale="80" zoomScaleNormal="80" workbookViewId="0">
      <pane xSplit="2" topLeftCell="C1" activePane="topRight" state="frozen"/>
      <selection pane="topRight" activeCell="V268" sqref="V268"/>
    </sheetView>
  </sheetViews>
  <sheetFormatPr baseColWidth="10" defaultRowHeight="14.25" x14ac:dyDescent="0.45"/>
  <cols>
    <col min="11" max="11" width="19.265625" customWidth="1"/>
    <col min="13" max="13" width="13.19921875" customWidth="1"/>
    <col min="14" max="14" width="9" customWidth="1"/>
  </cols>
  <sheetData>
    <row r="1" spans="1:21" x14ac:dyDescent="0.45">
      <c r="A1" s="1" t="s">
        <v>215</v>
      </c>
      <c r="B1" s="1"/>
      <c r="C1" s="94"/>
      <c r="D1" s="1"/>
      <c r="E1" s="1"/>
      <c r="F1" s="1"/>
      <c r="G1" s="1"/>
      <c r="H1" s="1"/>
      <c r="I1" s="1"/>
      <c r="J1" s="2"/>
      <c r="K1" s="87"/>
      <c r="L1" s="1"/>
      <c r="M1" s="1"/>
      <c r="N1" s="1"/>
      <c r="O1" s="1"/>
    </row>
    <row r="2" spans="1:21" x14ac:dyDescent="0.45">
      <c r="A2" s="3"/>
      <c r="B2" s="3"/>
      <c r="C2" s="67"/>
      <c r="D2" s="3"/>
      <c r="E2" s="3"/>
      <c r="F2" s="3"/>
      <c r="G2" s="3"/>
      <c r="H2" s="3"/>
      <c r="I2" s="3"/>
      <c r="J2" s="54"/>
      <c r="K2" s="88"/>
      <c r="L2" s="3"/>
      <c r="M2" s="3"/>
      <c r="N2" s="3"/>
      <c r="O2" s="3"/>
    </row>
    <row r="3" spans="1:21" x14ac:dyDescent="0.45">
      <c r="A3" s="5" t="s">
        <v>216</v>
      </c>
      <c r="B3" s="6"/>
      <c r="C3" s="95" t="s">
        <v>22</v>
      </c>
      <c r="D3" s="6" t="s">
        <v>217</v>
      </c>
      <c r="E3" s="7" t="s">
        <v>1091</v>
      </c>
      <c r="F3" s="6" t="s">
        <v>218</v>
      </c>
      <c r="G3" s="7"/>
      <c r="H3" s="6" t="s">
        <v>219</v>
      </c>
      <c r="I3" s="7">
        <v>2024</v>
      </c>
      <c r="J3" s="55"/>
      <c r="K3" s="89"/>
      <c r="L3" s="6"/>
      <c r="M3" s="6"/>
      <c r="N3" s="6"/>
      <c r="O3" s="6"/>
    </row>
    <row r="4" spans="1:21" x14ac:dyDescent="0.45">
      <c r="A4" s="3"/>
      <c r="B4" s="3"/>
      <c r="C4" s="67"/>
      <c r="D4" s="3"/>
      <c r="E4" s="3"/>
      <c r="F4" s="3"/>
      <c r="G4" s="3"/>
      <c r="H4" s="3"/>
      <c r="I4" s="3"/>
      <c r="J4" s="54"/>
      <c r="K4" s="90"/>
      <c r="L4" s="3"/>
      <c r="M4" s="3"/>
      <c r="N4" s="3"/>
      <c r="O4" s="3"/>
    </row>
    <row r="5" spans="1:21" x14ac:dyDescent="0.45">
      <c r="A5" s="3"/>
      <c r="B5" s="3"/>
      <c r="C5" s="67"/>
      <c r="D5" s="3"/>
      <c r="E5" s="3"/>
      <c r="F5" s="3"/>
      <c r="G5" s="3"/>
      <c r="H5" s="3"/>
      <c r="I5" s="3"/>
      <c r="J5" s="54"/>
      <c r="K5" s="90"/>
      <c r="L5" s="3"/>
      <c r="M5" s="3"/>
      <c r="N5" s="3"/>
      <c r="O5" s="3"/>
    </row>
    <row r="6" spans="1:21" ht="14.65" customHeight="1" thickBot="1" x14ac:dyDescent="0.5">
      <c r="A6" s="3"/>
      <c r="B6" s="3"/>
      <c r="C6" s="67"/>
      <c r="D6" s="3"/>
      <c r="E6" s="3"/>
      <c r="F6" s="3"/>
      <c r="G6" s="3"/>
      <c r="H6" s="3"/>
      <c r="I6" s="3"/>
      <c r="J6" s="54"/>
      <c r="K6" s="90"/>
      <c r="L6" s="3"/>
      <c r="M6" s="3"/>
      <c r="N6" s="3"/>
      <c r="O6" s="3"/>
    </row>
    <row r="7" spans="1:21" ht="28.5" customHeight="1" x14ac:dyDescent="0.45">
      <c r="A7" s="10" t="s">
        <v>220</v>
      </c>
      <c r="B7" s="11" t="s">
        <v>221</v>
      </c>
      <c r="C7" s="96" t="s">
        <v>222</v>
      </c>
      <c r="D7" s="12" t="s">
        <v>223</v>
      </c>
      <c r="E7" s="12" t="s">
        <v>224</v>
      </c>
      <c r="F7" s="11" t="s">
        <v>225</v>
      </c>
      <c r="G7" s="12" t="s">
        <v>226</v>
      </c>
      <c r="H7" s="12" t="s">
        <v>227</v>
      </c>
      <c r="I7" s="11" t="s">
        <v>4</v>
      </c>
      <c r="J7" s="86" t="s">
        <v>5</v>
      </c>
      <c r="K7" s="91" t="s">
        <v>3</v>
      </c>
      <c r="L7" s="102" t="s">
        <v>228</v>
      </c>
      <c r="M7" s="102" t="s">
        <v>229</v>
      </c>
      <c r="N7" s="14" t="s">
        <v>230</v>
      </c>
      <c r="O7" s="16" t="s">
        <v>7</v>
      </c>
      <c r="P7" s="127" t="s">
        <v>231</v>
      </c>
      <c r="Q7" s="127" t="s">
        <v>232</v>
      </c>
      <c r="R7" s="127" t="s">
        <v>233</v>
      </c>
      <c r="S7" s="127" t="s">
        <v>234</v>
      </c>
      <c r="T7" s="127" t="s">
        <v>235</v>
      </c>
      <c r="U7" s="127" t="s">
        <v>8</v>
      </c>
    </row>
    <row r="8" spans="1:21" x14ac:dyDescent="0.45">
      <c r="A8" s="79">
        <v>93247965</v>
      </c>
      <c r="B8" s="72" t="str">
        <f t="shared" ref="B8:B71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9.324.796-5</v>
      </c>
      <c r="C8" s="22" t="s">
        <v>22</v>
      </c>
      <c r="D8" s="29" t="s">
        <v>488</v>
      </c>
      <c r="E8" s="29" t="s">
        <v>338</v>
      </c>
      <c r="F8" s="29" t="s">
        <v>362</v>
      </c>
      <c r="G8" s="49">
        <v>45434</v>
      </c>
      <c r="H8" s="49">
        <v>45461</v>
      </c>
      <c r="I8" s="29" t="s">
        <v>54</v>
      </c>
      <c r="J8" s="68" t="s">
        <v>22</v>
      </c>
      <c r="K8" s="24" t="s">
        <v>43</v>
      </c>
      <c r="L8" s="49">
        <v>45444</v>
      </c>
      <c r="M8" s="49">
        <v>45461</v>
      </c>
      <c r="N8" s="25">
        <f t="shared" ref="N8:N39" si="1">+M8-L8</f>
        <v>17</v>
      </c>
      <c r="O8" s="83"/>
      <c r="P8" t="s">
        <v>98</v>
      </c>
      <c r="Q8" t="s">
        <v>88</v>
      </c>
      <c r="R8" t="s">
        <v>88</v>
      </c>
      <c r="S8" t="s">
        <v>88</v>
      </c>
      <c r="T8" t="s">
        <v>88</v>
      </c>
      <c r="U8" t="s">
        <v>14</v>
      </c>
    </row>
    <row r="9" spans="1:21" x14ac:dyDescent="0.45">
      <c r="A9" s="79">
        <v>93247965</v>
      </c>
      <c r="B9" s="72" t="str">
        <f t="shared" si="0"/>
        <v>9.324.796-5</v>
      </c>
      <c r="C9" s="22" t="s">
        <v>22</v>
      </c>
      <c r="D9" s="29" t="s">
        <v>488</v>
      </c>
      <c r="E9" s="29" t="s">
        <v>338</v>
      </c>
      <c r="F9" s="29" t="s">
        <v>362</v>
      </c>
      <c r="G9" s="49">
        <v>45434</v>
      </c>
      <c r="H9" s="49">
        <v>45461</v>
      </c>
      <c r="I9" s="29" t="s">
        <v>54</v>
      </c>
      <c r="J9" s="68" t="s">
        <v>22</v>
      </c>
      <c r="K9" s="24" t="s">
        <v>47</v>
      </c>
      <c r="L9" s="49">
        <v>45444</v>
      </c>
      <c r="M9" s="49">
        <v>45461</v>
      </c>
      <c r="N9" s="25">
        <f t="shared" si="1"/>
        <v>17</v>
      </c>
      <c r="O9" s="29"/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20</v>
      </c>
    </row>
    <row r="10" spans="1:21" x14ac:dyDescent="0.45">
      <c r="A10" s="79">
        <v>93247965</v>
      </c>
      <c r="B10" s="72" t="str">
        <f t="shared" si="0"/>
        <v>9.324.796-5</v>
      </c>
      <c r="C10" s="22" t="s">
        <v>22</v>
      </c>
      <c r="D10" s="29" t="s">
        <v>488</v>
      </c>
      <c r="E10" s="29" t="s">
        <v>338</v>
      </c>
      <c r="F10" s="29" t="s">
        <v>362</v>
      </c>
      <c r="G10" s="49">
        <v>45434</v>
      </c>
      <c r="H10" s="49">
        <v>45461</v>
      </c>
      <c r="I10" s="29" t="s">
        <v>54</v>
      </c>
      <c r="J10" s="68" t="s">
        <v>22</v>
      </c>
      <c r="K10" s="24" t="s">
        <v>55</v>
      </c>
      <c r="L10" s="49">
        <v>45444</v>
      </c>
      <c r="M10" s="49">
        <v>45461</v>
      </c>
      <c r="N10" s="25">
        <f t="shared" si="1"/>
        <v>17</v>
      </c>
      <c r="O10" s="29"/>
      <c r="P10" t="s">
        <v>88</v>
      </c>
      <c r="Q10" t="s">
        <v>88</v>
      </c>
      <c r="R10" t="s">
        <v>88</v>
      </c>
      <c r="S10" t="s">
        <v>88</v>
      </c>
      <c r="T10" t="s">
        <v>88</v>
      </c>
      <c r="U10" t="s">
        <v>20</v>
      </c>
    </row>
    <row r="11" spans="1:21" x14ac:dyDescent="0.45">
      <c r="A11" s="79">
        <v>79903396</v>
      </c>
      <c r="B11" s="72" t="str">
        <f t="shared" si="0"/>
        <v>7.990.339-6</v>
      </c>
      <c r="C11" s="73" t="s">
        <v>22</v>
      </c>
      <c r="D11" s="29" t="s">
        <v>660</v>
      </c>
      <c r="E11" s="29" t="s">
        <v>313</v>
      </c>
      <c r="F11" s="29" t="s">
        <v>250</v>
      </c>
      <c r="G11" s="49">
        <v>45397</v>
      </c>
      <c r="H11" s="49">
        <v>45446</v>
      </c>
      <c r="I11" s="29" t="s">
        <v>54</v>
      </c>
      <c r="J11" s="68" t="s">
        <v>19</v>
      </c>
      <c r="K11" s="24" t="s">
        <v>43</v>
      </c>
      <c r="L11" s="49">
        <v>45444</v>
      </c>
      <c r="M11" s="49">
        <v>45446</v>
      </c>
      <c r="N11" s="25">
        <f t="shared" si="1"/>
        <v>2</v>
      </c>
      <c r="O11" s="83"/>
      <c r="P11" t="s">
        <v>88</v>
      </c>
      <c r="Q11" t="s">
        <v>88</v>
      </c>
      <c r="R11" t="s">
        <v>88</v>
      </c>
      <c r="S11" t="s">
        <v>88</v>
      </c>
      <c r="T11" t="s">
        <v>88</v>
      </c>
      <c r="U11" t="s">
        <v>20</v>
      </c>
    </row>
    <row r="12" spans="1:21" x14ac:dyDescent="0.45">
      <c r="A12" s="79">
        <v>79903396</v>
      </c>
      <c r="B12" s="72" t="str">
        <f t="shared" si="0"/>
        <v>7.990.339-6</v>
      </c>
      <c r="C12" s="73" t="s">
        <v>22</v>
      </c>
      <c r="D12" s="29" t="s">
        <v>660</v>
      </c>
      <c r="E12" s="29" t="s">
        <v>313</v>
      </c>
      <c r="F12" s="29" t="s">
        <v>250</v>
      </c>
      <c r="G12" s="49">
        <v>45397</v>
      </c>
      <c r="H12" s="49">
        <v>45446</v>
      </c>
      <c r="I12" s="29" t="s">
        <v>54</v>
      </c>
      <c r="J12" s="68" t="s">
        <v>19</v>
      </c>
      <c r="K12" s="24" t="s">
        <v>47</v>
      </c>
      <c r="L12" s="49">
        <v>45444</v>
      </c>
      <c r="M12" s="49">
        <v>45446</v>
      </c>
      <c r="N12" s="25">
        <f t="shared" si="1"/>
        <v>2</v>
      </c>
      <c r="O12" s="50"/>
      <c r="P12" t="s">
        <v>88</v>
      </c>
      <c r="Q12" t="s">
        <v>88</v>
      </c>
      <c r="R12" t="s">
        <v>88</v>
      </c>
      <c r="S12" t="s">
        <v>88</v>
      </c>
      <c r="T12" t="s">
        <v>88</v>
      </c>
      <c r="U12" t="s">
        <v>20</v>
      </c>
    </row>
    <row r="13" spans="1:21" x14ac:dyDescent="0.45">
      <c r="A13" s="79">
        <v>79903396</v>
      </c>
      <c r="B13" s="72" t="str">
        <f t="shared" si="0"/>
        <v>7.990.339-6</v>
      </c>
      <c r="C13" s="73" t="s">
        <v>22</v>
      </c>
      <c r="D13" s="29" t="s">
        <v>660</v>
      </c>
      <c r="E13" s="29" t="s">
        <v>313</v>
      </c>
      <c r="F13" s="29" t="s">
        <v>250</v>
      </c>
      <c r="G13" s="49">
        <v>45397</v>
      </c>
      <c r="H13" s="49">
        <v>45446</v>
      </c>
      <c r="I13" s="29" t="s">
        <v>54</v>
      </c>
      <c r="J13" s="68" t="s">
        <v>19</v>
      </c>
      <c r="K13" s="24" t="s">
        <v>55</v>
      </c>
      <c r="L13" s="49">
        <v>45444</v>
      </c>
      <c r="M13" s="49">
        <v>45446</v>
      </c>
      <c r="N13" s="25">
        <f t="shared" si="1"/>
        <v>2</v>
      </c>
      <c r="O13" s="29"/>
      <c r="P13" t="s">
        <v>88</v>
      </c>
      <c r="Q13" t="s">
        <v>88</v>
      </c>
      <c r="R13" t="s">
        <v>88</v>
      </c>
      <c r="S13" t="s">
        <v>88</v>
      </c>
      <c r="T13" t="s">
        <v>88</v>
      </c>
      <c r="U13" t="s">
        <v>20</v>
      </c>
    </row>
    <row r="14" spans="1:21" x14ac:dyDescent="0.45">
      <c r="A14" s="79">
        <v>411949931</v>
      </c>
      <c r="B14" s="29" t="str">
        <f t="shared" si="0"/>
        <v>41.194.993-1</v>
      </c>
      <c r="C14" s="22" t="s">
        <v>22</v>
      </c>
      <c r="D14" s="29" t="s">
        <v>1075</v>
      </c>
      <c r="E14" s="29" t="s">
        <v>1076</v>
      </c>
      <c r="F14" s="29" t="s">
        <v>1077</v>
      </c>
      <c r="G14" s="49">
        <v>45442</v>
      </c>
      <c r="H14" s="49">
        <v>45456</v>
      </c>
      <c r="I14" s="29" t="s">
        <v>54</v>
      </c>
      <c r="J14" s="68" t="s">
        <v>19</v>
      </c>
      <c r="K14" s="24" t="s">
        <v>43</v>
      </c>
      <c r="L14" s="49">
        <v>45444</v>
      </c>
      <c r="M14" s="49">
        <v>45456</v>
      </c>
      <c r="N14" s="25">
        <f t="shared" si="1"/>
        <v>12</v>
      </c>
      <c r="O14" s="83"/>
      <c r="P14" t="s">
        <v>96</v>
      </c>
      <c r="Q14" t="s">
        <v>88</v>
      </c>
      <c r="R14" t="s">
        <v>88</v>
      </c>
      <c r="S14" t="s">
        <v>88</v>
      </c>
      <c r="T14" t="s">
        <v>88</v>
      </c>
      <c r="U14" t="s">
        <v>20</v>
      </c>
    </row>
    <row r="15" spans="1:21" x14ac:dyDescent="0.45">
      <c r="A15" s="79">
        <v>411949931</v>
      </c>
      <c r="B15" s="29" t="str">
        <f t="shared" si="0"/>
        <v>41.194.993-1</v>
      </c>
      <c r="C15" s="22" t="s">
        <v>22</v>
      </c>
      <c r="D15" s="29" t="s">
        <v>1075</v>
      </c>
      <c r="E15" s="29" t="s">
        <v>1076</v>
      </c>
      <c r="F15" s="29" t="s">
        <v>1077</v>
      </c>
      <c r="G15" s="49">
        <v>45442</v>
      </c>
      <c r="H15" s="49">
        <v>45456</v>
      </c>
      <c r="I15" s="29" t="s">
        <v>54</v>
      </c>
      <c r="J15" s="68" t="s">
        <v>19</v>
      </c>
      <c r="K15" s="24" t="s">
        <v>55</v>
      </c>
      <c r="L15" s="49">
        <v>45444</v>
      </c>
      <c r="M15" s="49">
        <v>45456</v>
      </c>
      <c r="N15" s="25">
        <f t="shared" si="1"/>
        <v>12</v>
      </c>
      <c r="O15" s="70" t="s">
        <v>14</v>
      </c>
      <c r="P15" t="s">
        <v>132</v>
      </c>
      <c r="Q15" t="s">
        <v>88</v>
      </c>
      <c r="R15" t="s">
        <v>88</v>
      </c>
      <c r="S15" t="s">
        <v>88</v>
      </c>
      <c r="T15" t="s">
        <v>88</v>
      </c>
      <c r="U15" t="s">
        <v>20</v>
      </c>
    </row>
    <row r="16" spans="1:21" x14ac:dyDescent="0.45">
      <c r="A16" s="79">
        <v>411949931</v>
      </c>
      <c r="B16" s="29" t="str">
        <f t="shared" si="0"/>
        <v>41.194.993-1</v>
      </c>
      <c r="C16" s="22" t="s">
        <v>22</v>
      </c>
      <c r="D16" s="29" t="s">
        <v>1075</v>
      </c>
      <c r="E16" s="29" t="s">
        <v>1076</v>
      </c>
      <c r="F16" s="29" t="s">
        <v>1077</v>
      </c>
      <c r="G16" s="49">
        <v>45442</v>
      </c>
      <c r="H16" s="49">
        <v>45456</v>
      </c>
      <c r="I16" s="29" t="s">
        <v>54</v>
      </c>
      <c r="J16" s="68" t="s">
        <v>19</v>
      </c>
      <c r="K16" s="24" t="s">
        <v>47</v>
      </c>
      <c r="L16" s="49">
        <v>45444</v>
      </c>
      <c r="M16" s="49">
        <v>45456</v>
      </c>
      <c r="N16" s="25">
        <f t="shared" si="1"/>
        <v>12</v>
      </c>
      <c r="O16" s="29"/>
      <c r="P16" t="s">
        <v>88</v>
      </c>
      <c r="Q16" t="s">
        <v>88</v>
      </c>
      <c r="R16" t="s">
        <v>88</v>
      </c>
      <c r="S16" t="s">
        <v>88</v>
      </c>
      <c r="T16" t="s">
        <v>88</v>
      </c>
      <c r="U16" t="s">
        <v>20</v>
      </c>
    </row>
    <row r="17" spans="1:21" x14ac:dyDescent="0.45">
      <c r="A17" s="79">
        <v>85413171</v>
      </c>
      <c r="B17" s="29" t="str">
        <f t="shared" si="0"/>
        <v>8.541.317-1</v>
      </c>
      <c r="C17" s="22" t="s">
        <v>22</v>
      </c>
      <c r="D17" s="29" t="s">
        <v>788</v>
      </c>
      <c r="E17" s="29" t="s">
        <v>439</v>
      </c>
      <c r="F17" s="29" t="s">
        <v>1026</v>
      </c>
      <c r="G17" s="49">
        <v>45440</v>
      </c>
      <c r="H17" s="49">
        <v>45450</v>
      </c>
      <c r="I17" s="29" t="s">
        <v>54</v>
      </c>
      <c r="J17" s="68" t="s">
        <v>56</v>
      </c>
      <c r="K17" s="24" t="s">
        <v>43</v>
      </c>
      <c r="L17" s="49">
        <v>45444</v>
      </c>
      <c r="M17" s="49">
        <v>45450</v>
      </c>
      <c r="N17" s="25">
        <f t="shared" si="1"/>
        <v>6</v>
      </c>
      <c r="O17" s="29"/>
      <c r="P17" t="s">
        <v>88</v>
      </c>
      <c r="Q17" t="s">
        <v>88</v>
      </c>
      <c r="R17" t="s">
        <v>88</v>
      </c>
      <c r="S17" t="s">
        <v>88</v>
      </c>
      <c r="T17" t="s">
        <v>88</v>
      </c>
      <c r="U17" t="s">
        <v>20</v>
      </c>
    </row>
    <row r="18" spans="1:21" x14ac:dyDescent="0.45">
      <c r="A18" s="79">
        <v>85413171</v>
      </c>
      <c r="B18" s="29" t="str">
        <f t="shared" si="0"/>
        <v>8.541.317-1</v>
      </c>
      <c r="C18" s="22" t="s">
        <v>22</v>
      </c>
      <c r="D18" s="29" t="s">
        <v>788</v>
      </c>
      <c r="E18" s="29" t="s">
        <v>439</v>
      </c>
      <c r="F18" s="29" t="s">
        <v>1026</v>
      </c>
      <c r="G18" s="49">
        <v>45440</v>
      </c>
      <c r="H18" s="49">
        <v>45450</v>
      </c>
      <c r="I18" s="29" t="s">
        <v>54</v>
      </c>
      <c r="J18" s="68" t="s">
        <v>56</v>
      </c>
      <c r="K18" s="24" t="s">
        <v>47</v>
      </c>
      <c r="L18" s="49">
        <v>45444</v>
      </c>
      <c r="M18" s="49">
        <v>45450</v>
      </c>
      <c r="N18" s="25">
        <f t="shared" si="1"/>
        <v>6</v>
      </c>
      <c r="O18" s="29"/>
      <c r="P18" t="s">
        <v>88</v>
      </c>
      <c r="Q18" t="s">
        <v>88</v>
      </c>
      <c r="R18" t="s">
        <v>88</v>
      </c>
      <c r="S18" t="s">
        <v>88</v>
      </c>
      <c r="T18" t="s">
        <v>88</v>
      </c>
      <c r="U18" t="s">
        <v>20</v>
      </c>
    </row>
    <row r="19" spans="1:21" x14ac:dyDescent="0.45">
      <c r="A19" s="79">
        <v>85413171</v>
      </c>
      <c r="B19" s="29" t="str">
        <f t="shared" si="0"/>
        <v>8.541.317-1</v>
      </c>
      <c r="C19" s="22" t="s">
        <v>22</v>
      </c>
      <c r="D19" s="29" t="s">
        <v>788</v>
      </c>
      <c r="E19" s="29" t="s">
        <v>439</v>
      </c>
      <c r="F19" s="29" t="s">
        <v>1026</v>
      </c>
      <c r="G19" s="49">
        <v>45440</v>
      </c>
      <c r="H19" s="49">
        <v>45450</v>
      </c>
      <c r="I19" s="29" t="s">
        <v>54</v>
      </c>
      <c r="J19" s="68" t="s">
        <v>56</v>
      </c>
      <c r="K19" s="24" t="s">
        <v>55</v>
      </c>
      <c r="L19" s="49">
        <v>45444</v>
      </c>
      <c r="M19" s="49">
        <v>45450</v>
      </c>
      <c r="N19" s="25">
        <f t="shared" si="1"/>
        <v>6</v>
      </c>
      <c r="O19" s="29"/>
      <c r="P19" t="s">
        <v>88</v>
      </c>
      <c r="Q19" t="s">
        <v>88</v>
      </c>
      <c r="R19" t="s">
        <v>88</v>
      </c>
      <c r="S19" t="s">
        <v>88</v>
      </c>
      <c r="T19" t="s">
        <v>88</v>
      </c>
      <c r="U19" t="s">
        <v>20</v>
      </c>
    </row>
    <row r="20" spans="1:21" x14ac:dyDescent="0.45">
      <c r="A20" s="79" t="s">
        <v>1050</v>
      </c>
      <c r="B20" s="29" t="str">
        <f t="shared" si="0"/>
        <v>15.591.887-K</v>
      </c>
      <c r="C20" s="22" t="s">
        <v>22</v>
      </c>
      <c r="D20" s="29" t="s">
        <v>325</v>
      </c>
      <c r="E20" s="29" t="s">
        <v>873</v>
      </c>
      <c r="F20" s="29" t="s">
        <v>966</v>
      </c>
      <c r="G20" s="49">
        <v>45429</v>
      </c>
      <c r="H20" s="49">
        <v>45449</v>
      </c>
      <c r="I20" s="29" t="s">
        <v>54</v>
      </c>
      <c r="J20" s="68" t="s">
        <v>56</v>
      </c>
      <c r="K20" s="24" t="s">
        <v>43</v>
      </c>
      <c r="L20" s="49">
        <v>45444</v>
      </c>
      <c r="M20" s="49">
        <v>45449</v>
      </c>
      <c r="N20" s="25">
        <f t="shared" si="1"/>
        <v>5</v>
      </c>
      <c r="O20" s="29"/>
      <c r="P20" t="s">
        <v>88</v>
      </c>
      <c r="Q20" t="s">
        <v>88</v>
      </c>
      <c r="R20" t="s">
        <v>88</v>
      </c>
      <c r="S20" t="s">
        <v>88</v>
      </c>
      <c r="T20" t="s">
        <v>88</v>
      </c>
      <c r="U20" t="s">
        <v>20</v>
      </c>
    </row>
    <row r="21" spans="1:21" x14ac:dyDescent="0.45">
      <c r="A21" s="79" t="s">
        <v>1050</v>
      </c>
      <c r="B21" s="29" t="str">
        <f t="shared" si="0"/>
        <v>15.591.887-K</v>
      </c>
      <c r="C21" s="22" t="s">
        <v>22</v>
      </c>
      <c r="D21" s="29" t="s">
        <v>325</v>
      </c>
      <c r="E21" s="29" t="s">
        <v>873</v>
      </c>
      <c r="F21" s="29" t="s">
        <v>966</v>
      </c>
      <c r="G21" s="49">
        <v>45429</v>
      </c>
      <c r="H21" s="49">
        <v>45449</v>
      </c>
      <c r="I21" s="29" t="s">
        <v>54</v>
      </c>
      <c r="J21" s="68" t="s">
        <v>56</v>
      </c>
      <c r="K21" s="24" t="s">
        <v>47</v>
      </c>
      <c r="L21" s="49">
        <v>45444</v>
      </c>
      <c r="M21" s="49">
        <v>45449</v>
      </c>
      <c r="N21" s="25">
        <f t="shared" si="1"/>
        <v>5</v>
      </c>
      <c r="O21" s="70" t="s">
        <v>14</v>
      </c>
      <c r="P21" t="s">
        <v>88</v>
      </c>
      <c r="Q21" t="s">
        <v>88</v>
      </c>
      <c r="R21" t="s">
        <v>88</v>
      </c>
      <c r="S21" t="s">
        <v>88</v>
      </c>
      <c r="T21" t="s">
        <v>88</v>
      </c>
      <c r="U21" t="s">
        <v>20</v>
      </c>
    </row>
    <row r="22" spans="1:21" x14ac:dyDescent="0.45">
      <c r="A22" s="79" t="s">
        <v>1050</v>
      </c>
      <c r="B22" s="29" t="str">
        <f t="shared" si="0"/>
        <v>15.591.887-K</v>
      </c>
      <c r="C22" s="22" t="s">
        <v>22</v>
      </c>
      <c r="D22" s="29" t="s">
        <v>325</v>
      </c>
      <c r="E22" s="29" t="s">
        <v>873</v>
      </c>
      <c r="F22" s="29" t="s">
        <v>966</v>
      </c>
      <c r="G22" s="49">
        <v>45429</v>
      </c>
      <c r="H22" s="49">
        <v>45449</v>
      </c>
      <c r="I22" s="29" t="s">
        <v>54</v>
      </c>
      <c r="J22" s="68" t="s">
        <v>56</v>
      </c>
      <c r="K22" s="24" t="s">
        <v>55</v>
      </c>
      <c r="L22" s="49">
        <v>45444</v>
      </c>
      <c r="M22" s="49">
        <v>45449</v>
      </c>
      <c r="N22" s="25">
        <f t="shared" si="1"/>
        <v>5</v>
      </c>
      <c r="O22" s="29"/>
      <c r="P22" t="s">
        <v>88</v>
      </c>
      <c r="Q22" t="s">
        <v>88</v>
      </c>
      <c r="R22" t="s">
        <v>88</v>
      </c>
      <c r="S22" t="s">
        <v>88</v>
      </c>
      <c r="T22" t="s">
        <v>88</v>
      </c>
      <c r="U22" t="s">
        <v>20</v>
      </c>
    </row>
    <row r="23" spans="1:21" x14ac:dyDescent="0.45">
      <c r="A23" s="79">
        <v>58036757</v>
      </c>
      <c r="B23" s="29" t="str">
        <f t="shared" si="0"/>
        <v>5.803.675-7</v>
      </c>
      <c r="C23" s="22" t="s">
        <v>22</v>
      </c>
      <c r="D23" s="29" t="s">
        <v>580</v>
      </c>
      <c r="E23" s="29" t="s">
        <v>1079</v>
      </c>
      <c r="F23" s="29" t="s">
        <v>419</v>
      </c>
      <c r="G23" s="49">
        <v>45442</v>
      </c>
      <c r="H23" s="49">
        <v>45447</v>
      </c>
      <c r="I23" s="29" t="s">
        <v>54</v>
      </c>
      <c r="J23" s="68" t="s">
        <v>22</v>
      </c>
      <c r="K23" s="24" t="s">
        <v>43</v>
      </c>
      <c r="L23" s="49">
        <v>45444</v>
      </c>
      <c r="M23" s="49">
        <v>45447</v>
      </c>
      <c r="N23" s="25">
        <f t="shared" si="1"/>
        <v>3</v>
      </c>
      <c r="O23" s="29"/>
      <c r="P23" t="s">
        <v>88</v>
      </c>
      <c r="Q23" t="s">
        <v>88</v>
      </c>
      <c r="R23" t="s">
        <v>88</v>
      </c>
      <c r="S23" t="s">
        <v>88</v>
      </c>
      <c r="T23" t="s">
        <v>88</v>
      </c>
      <c r="U23" t="s">
        <v>20</v>
      </c>
    </row>
    <row r="24" spans="1:21" x14ac:dyDescent="0.45">
      <c r="A24" s="79">
        <v>58036757</v>
      </c>
      <c r="B24" s="29" t="str">
        <f t="shared" si="0"/>
        <v>5.803.675-7</v>
      </c>
      <c r="C24" s="22" t="s">
        <v>22</v>
      </c>
      <c r="D24" s="29" t="s">
        <v>580</v>
      </c>
      <c r="E24" s="29" t="s">
        <v>1079</v>
      </c>
      <c r="F24" s="29" t="s">
        <v>419</v>
      </c>
      <c r="G24" s="49">
        <v>45442</v>
      </c>
      <c r="H24" s="49">
        <v>45447</v>
      </c>
      <c r="I24" s="29" t="s">
        <v>54</v>
      </c>
      <c r="J24" s="68" t="s">
        <v>22</v>
      </c>
      <c r="K24" s="24" t="s">
        <v>47</v>
      </c>
      <c r="L24" s="49">
        <v>45444</v>
      </c>
      <c r="M24" s="49">
        <v>45447</v>
      </c>
      <c r="N24" s="25">
        <f t="shared" si="1"/>
        <v>3</v>
      </c>
      <c r="O24" s="29" t="s">
        <v>1092</v>
      </c>
      <c r="P24" t="s">
        <v>88</v>
      </c>
      <c r="Q24" t="s">
        <v>88</v>
      </c>
      <c r="R24" t="s">
        <v>88</v>
      </c>
      <c r="S24" t="s">
        <v>88</v>
      </c>
      <c r="T24" t="s">
        <v>88</v>
      </c>
      <c r="U24" t="s">
        <v>20</v>
      </c>
    </row>
    <row r="25" spans="1:21" x14ac:dyDescent="0.45">
      <c r="A25" s="79">
        <v>58036757</v>
      </c>
      <c r="B25" s="29" t="str">
        <f t="shared" si="0"/>
        <v>5.803.675-7</v>
      </c>
      <c r="C25" s="22" t="s">
        <v>22</v>
      </c>
      <c r="D25" s="29" t="s">
        <v>580</v>
      </c>
      <c r="E25" s="29" t="s">
        <v>1079</v>
      </c>
      <c r="F25" s="29" t="s">
        <v>419</v>
      </c>
      <c r="G25" s="49">
        <v>45442</v>
      </c>
      <c r="H25" s="49">
        <v>45447</v>
      </c>
      <c r="I25" s="29" t="s">
        <v>54</v>
      </c>
      <c r="J25" s="68" t="s">
        <v>22</v>
      </c>
      <c r="K25" s="24" t="s">
        <v>55</v>
      </c>
      <c r="L25" s="49">
        <v>45444</v>
      </c>
      <c r="M25" s="49">
        <v>45447</v>
      </c>
      <c r="N25" s="25">
        <f t="shared" si="1"/>
        <v>3</v>
      </c>
      <c r="O25" s="29"/>
      <c r="P25" t="s">
        <v>88</v>
      </c>
      <c r="Q25" t="s">
        <v>88</v>
      </c>
      <c r="R25" t="s">
        <v>88</v>
      </c>
      <c r="S25" t="s">
        <v>88</v>
      </c>
      <c r="T25" t="s">
        <v>88</v>
      </c>
      <c r="U25" t="s">
        <v>20</v>
      </c>
    </row>
    <row r="26" spans="1:21" x14ac:dyDescent="0.45">
      <c r="A26" s="79">
        <v>92685470</v>
      </c>
      <c r="B26" s="29" t="str">
        <f t="shared" si="0"/>
        <v>9.268.547-0</v>
      </c>
      <c r="C26" s="22" t="s">
        <v>22</v>
      </c>
      <c r="D26" s="29" t="s">
        <v>1080</v>
      </c>
      <c r="E26" s="29" t="s">
        <v>1081</v>
      </c>
      <c r="F26" s="29" t="s">
        <v>1082</v>
      </c>
      <c r="G26" s="49">
        <v>45442</v>
      </c>
      <c r="H26" s="49">
        <v>45446</v>
      </c>
      <c r="I26" s="29" t="s">
        <v>54</v>
      </c>
      <c r="J26" s="68" t="s">
        <v>66</v>
      </c>
      <c r="K26" s="24" t="s">
        <v>43</v>
      </c>
      <c r="L26" s="49">
        <v>45444</v>
      </c>
      <c r="M26" s="49">
        <v>45446</v>
      </c>
      <c r="N26" s="25">
        <f t="shared" si="1"/>
        <v>2</v>
      </c>
      <c r="O26" s="29"/>
      <c r="P26" t="s">
        <v>88</v>
      </c>
      <c r="Q26" t="s">
        <v>88</v>
      </c>
      <c r="R26" t="s">
        <v>88</v>
      </c>
      <c r="S26" t="s">
        <v>88</v>
      </c>
      <c r="T26" t="s">
        <v>88</v>
      </c>
      <c r="U26" t="s">
        <v>20</v>
      </c>
    </row>
    <row r="27" spans="1:21" x14ac:dyDescent="0.45">
      <c r="A27" s="79">
        <v>92685470</v>
      </c>
      <c r="B27" s="29" t="str">
        <f t="shared" si="0"/>
        <v>9.268.547-0</v>
      </c>
      <c r="C27" s="22" t="s">
        <v>22</v>
      </c>
      <c r="D27" s="29" t="s">
        <v>1080</v>
      </c>
      <c r="E27" s="29" t="s">
        <v>1081</v>
      </c>
      <c r="F27" s="29" t="s">
        <v>1082</v>
      </c>
      <c r="G27" s="49">
        <v>45442</v>
      </c>
      <c r="H27" s="49">
        <v>45446</v>
      </c>
      <c r="I27" s="29" t="s">
        <v>54</v>
      </c>
      <c r="J27" s="68" t="s">
        <v>66</v>
      </c>
      <c r="K27" s="24" t="s">
        <v>47</v>
      </c>
      <c r="L27" s="49">
        <v>45444</v>
      </c>
      <c r="M27" s="49">
        <v>45446</v>
      </c>
      <c r="N27" s="25">
        <f t="shared" si="1"/>
        <v>2</v>
      </c>
      <c r="O27" s="29"/>
      <c r="P27" t="s">
        <v>88</v>
      </c>
      <c r="Q27" t="s">
        <v>88</v>
      </c>
      <c r="R27" t="s">
        <v>88</v>
      </c>
      <c r="S27" t="s">
        <v>88</v>
      </c>
      <c r="T27" t="s">
        <v>88</v>
      </c>
      <c r="U27" t="s">
        <v>20</v>
      </c>
    </row>
    <row r="28" spans="1:21" x14ac:dyDescent="0.45">
      <c r="A28" s="79">
        <v>76420742</v>
      </c>
      <c r="B28" s="29" t="str">
        <f t="shared" si="0"/>
        <v>7.642.074-2</v>
      </c>
      <c r="C28" s="22" t="s">
        <v>22</v>
      </c>
      <c r="D28" s="29" t="s">
        <v>240</v>
      </c>
      <c r="E28" s="29" t="s">
        <v>887</v>
      </c>
      <c r="F28" s="29" t="s">
        <v>629</v>
      </c>
      <c r="G28" s="49">
        <v>45435</v>
      </c>
      <c r="H28" s="49"/>
      <c r="I28" s="29" t="s">
        <v>22</v>
      </c>
      <c r="J28" s="68"/>
      <c r="K28" s="24" t="s">
        <v>18</v>
      </c>
      <c r="L28" s="49">
        <v>45444</v>
      </c>
      <c r="M28" s="49">
        <v>45467</v>
      </c>
      <c r="N28" s="25">
        <f t="shared" si="1"/>
        <v>23</v>
      </c>
      <c r="O28" s="50"/>
      <c r="P28" t="s">
        <v>96</v>
      </c>
      <c r="Q28" t="s">
        <v>88</v>
      </c>
      <c r="R28" t="s">
        <v>88</v>
      </c>
      <c r="S28" t="s">
        <v>88</v>
      </c>
      <c r="T28" t="s">
        <v>88</v>
      </c>
      <c r="U28" t="s">
        <v>14</v>
      </c>
    </row>
    <row r="29" spans="1:21" x14ac:dyDescent="0.45">
      <c r="A29" s="79">
        <v>162397850</v>
      </c>
      <c r="B29" s="72" t="str">
        <f t="shared" si="0"/>
        <v>16.239.785-0</v>
      </c>
      <c r="C29" s="22" t="s">
        <v>22</v>
      </c>
      <c r="D29" s="29" t="s">
        <v>363</v>
      </c>
      <c r="E29" s="29" t="s">
        <v>262</v>
      </c>
      <c r="F29" s="29" t="s">
        <v>1093</v>
      </c>
      <c r="G29" s="49">
        <v>45445</v>
      </c>
      <c r="H29" s="49">
        <v>45446</v>
      </c>
      <c r="I29" s="29" t="s">
        <v>54</v>
      </c>
      <c r="J29" s="68" t="s">
        <v>26</v>
      </c>
      <c r="K29" s="24" t="s">
        <v>43</v>
      </c>
      <c r="L29" s="49">
        <v>45445</v>
      </c>
      <c r="M29" s="49">
        <v>45446</v>
      </c>
      <c r="N29" s="25">
        <f t="shared" si="1"/>
        <v>1</v>
      </c>
      <c r="O29" s="29"/>
      <c r="P29" t="s">
        <v>88</v>
      </c>
      <c r="Q29" t="s">
        <v>88</v>
      </c>
      <c r="R29" t="s">
        <v>88</v>
      </c>
      <c r="S29" t="s">
        <v>88</v>
      </c>
      <c r="T29" t="s">
        <v>88</v>
      </c>
      <c r="U29" t="s">
        <v>20</v>
      </c>
    </row>
    <row r="30" spans="1:21" x14ac:dyDescent="0.45">
      <c r="A30" s="79">
        <v>162397850</v>
      </c>
      <c r="B30" s="72" t="str">
        <f t="shared" si="0"/>
        <v>16.239.785-0</v>
      </c>
      <c r="C30" s="22" t="s">
        <v>22</v>
      </c>
      <c r="D30" s="29" t="s">
        <v>363</v>
      </c>
      <c r="E30" s="29" t="s">
        <v>262</v>
      </c>
      <c r="F30" s="29" t="s">
        <v>1093</v>
      </c>
      <c r="G30" s="49">
        <v>45445</v>
      </c>
      <c r="H30" s="49">
        <v>45446</v>
      </c>
      <c r="I30" s="29" t="s">
        <v>54</v>
      </c>
      <c r="J30" s="68" t="s">
        <v>26</v>
      </c>
      <c r="K30" s="24" t="s">
        <v>59</v>
      </c>
      <c r="L30" s="49">
        <v>45445</v>
      </c>
      <c r="M30" s="49">
        <v>45446</v>
      </c>
      <c r="N30" s="25">
        <f t="shared" si="1"/>
        <v>1</v>
      </c>
      <c r="O30" s="70" t="s">
        <v>14</v>
      </c>
      <c r="P30" t="s">
        <v>199</v>
      </c>
      <c r="Q30" t="s">
        <v>88</v>
      </c>
      <c r="R30" t="s">
        <v>88</v>
      </c>
      <c r="S30" t="s">
        <v>88</v>
      </c>
      <c r="T30" t="s">
        <v>88</v>
      </c>
      <c r="U30" t="s">
        <v>14</v>
      </c>
    </row>
    <row r="31" spans="1:21" x14ac:dyDescent="0.45">
      <c r="A31" s="79">
        <v>189788150</v>
      </c>
      <c r="B31" s="72" t="str">
        <f t="shared" si="0"/>
        <v>18.978.815-0</v>
      </c>
      <c r="C31" s="22" t="s">
        <v>22</v>
      </c>
      <c r="D31" s="29" t="s">
        <v>488</v>
      </c>
      <c r="E31" s="29" t="s">
        <v>1094</v>
      </c>
      <c r="F31" s="29" t="s">
        <v>601</v>
      </c>
      <c r="G31" s="49">
        <v>45444</v>
      </c>
      <c r="H31" s="49">
        <v>45448</v>
      </c>
      <c r="I31" s="29" t="s">
        <v>54</v>
      </c>
      <c r="J31" s="29" t="s">
        <v>34</v>
      </c>
      <c r="K31" s="24" t="s">
        <v>43</v>
      </c>
      <c r="L31" s="49">
        <v>45444</v>
      </c>
      <c r="M31" s="49">
        <v>45448</v>
      </c>
      <c r="N31" s="25">
        <f t="shared" si="1"/>
        <v>4</v>
      </c>
      <c r="O31" s="29"/>
      <c r="P31" t="s">
        <v>88</v>
      </c>
      <c r="Q31" t="s">
        <v>88</v>
      </c>
      <c r="R31" t="s">
        <v>88</v>
      </c>
      <c r="S31" t="s">
        <v>88</v>
      </c>
      <c r="T31" t="s">
        <v>88</v>
      </c>
      <c r="U31" t="s">
        <v>20</v>
      </c>
    </row>
    <row r="32" spans="1:21" x14ac:dyDescent="0.45">
      <c r="A32" s="79">
        <v>189788150</v>
      </c>
      <c r="B32" s="72" t="str">
        <f t="shared" si="0"/>
        <v>18.978.815-0</v>
      </c>
      <c r="C32" s="22" t="s">
        <v>22</v>
      </c>
      <c r="D32" s="29" t="s">
        <v>488</v>
      </c>
      <c r="E32" s="29" t="s">
        <v>1094</v>
      </c>
      <c r="F32" s="29" t="s">
        <v>601</v>
      </c>
      <c r="G32" s="49">
        <v>45444</v>
      </c>
      <c r="H32" s="49">
        <v>45448</v>
      </c>
      <c r="I32" s="29" t="s">
        <v>54</v>
      </c>
      <c r="J32" s="29" t="s">
        <v>34</v>
      </c>
      <c r="K32" s="24" t="s">
        <v>47</v>
      </c>
      <c r="L32" s="49">
        <v>45444</v>
      </c>
      <c r="M32" s="49">
        <v>45448</v>
      </c>
      <c r="N32" s="25">
        <f t="shared" si="1"/>
        <v>4</v>
      </c>
      <c r="O32" s="29"/>
      <c r="P32" t="s">
        <v>88</v>
      </c>
      <c r="Q32" t="s">
        <v>88</v>
      </c>
      <c r="R32" t="s">
        <v>88</v>
      </c>
      <c r="S32" t="s">
        <v>88</v>
      </c>
      <c r="T32" t="s">
        <v>88</v>
      </c>
      <c r="U32" t="s">
        <v>20</v>
      </c>
    </row>
    <row r="33" spans="1:21" x14ac:dyDescent="0.45">
      <c r="A33" s="79">
        <v>73583365</v>
      </c>
      <c r="B33" s="72" t="str">
        <f t="shared" si="0"/>
        <v>7.358.336-5</v>
      </c>
      <c r="C33" s="22" t="s">
        <v>22</v>
      </c>
      <c r="D33" s="29" t="s">
        <v>241</v>
      </c>
      <c r="E33" s="29" t="s">
        <v>282</v>
      </c>
      <c r="F33" s="29" t="s">
        <v>1095</v>
      </c>
      <c r="G33" s="49">
        <v>45445</v>
      </c>
      <c r="H33" s="49">
        <v>45446</v>
      </c>
      <c r="I33" s="29" t="s">
        <v>61</v>
      </c>
      <c r="J33" s="29" t="s">
        <v>22</v>
      </c>
      <c r="K33" s="24" t="s">
        <v>43</v>
      </c>
      <c r="L33" s="49">
        <v>45444</v>
      </c>
      <c r="M33" s="49">
        <v>45446</v>
      </c>
      <c r="N33" s="25">
        <f t="shared" si="1"/>
        <v>2</v>
      </c>
      <c r="O33" s="29"/>
      <c r="P33" t="s">
        <v>88</v>
      </c>
      <c r="Q33" t="s">
        <v>88</v>
      </c>
      <c r="R33" t="s">
        <v>88</v>
      </c>
      <c r="S33" t="s">
        <v>88</v>
      </c>
      <c r="T33" t="s">
        <v>88</v>
      </c>
      <c r="U33" t="s">
        <v>20</v>
      </c>
    </row>
    <row r="34" spans="1:21" x14ac:dyDescent="0.45">
      <c r="A34" s="79">
        <v>140609366</v>
      </c>
      <c r="B34" s="72" t="str">
        <f t="shared" si="0"/>
        <v>14.060.936-6</v>
      </c>
      <c r="C34" s="22" t="s">
        <v>22</v>
      </c>
      <c r="D34" s="29" t="s">
        <v>1096</v>
      </c>
      <c r="E34" s="29" t="s">
        <v>558</v>
      </c>
      <c r="F34" s="29" t="s">
        <v>897</v>
      </c>
      <c r="G34" s="49">
        <v>45438</v>
      </c>
      <c r="H34" s="49">
        <v>45447</v>
      </c>
      <c r="I34" s="29" t="s">
        <v>54</v>
      </c>
      <c r="J34" s="29" t="s">
        <v>19</v>
      </c>
      <c r="K34" s="24" t="s">
        <v>43</v>
      </c>
      <c r="L34" s="49">
        <v>45444</v>
      </c>
      <c r="M34" s="49">
        <v>45447</v>
      </c>
      <c r="N34" s="25">
        <f t="shared" si="1"/>
        <v>3</v>
      </c>
      <c r="O34" s="29"/>
      <c r="P34" t="s">
        <v>88</v>
      </c>
      <c r="Q34" t="s">
        <v>88</v>
      </c>
      <c r="R34" t="s">
        <v>88</v>
      </c>
      <c r="S34" t="s">
        <v>88</v>
      </c>
      <c r="T34" t="s">
        <v>88</v>
      </c>
      <c r="U34" t="s">
        <v>20</v>
      </c>
    </row>
    <row r="35" spans="1:21" x14ac:dyDescent="0.45">
      <c r="A35" s="79">
        <v>140609366</v>
      </c>
      <c r="B35" s="72" t="str">
        <f t="shared" si="0"/>
        <v>14.060.936-6</v>
      </c>
      <c r="C35" s="22" t="s">
        <v>22</v>
      </c>
      <c r="D35" s="29" t="s">
        <v>1096</v>
      </c>
      <c r="E35" s="29" t="s">
        <v>558</v>
      </c>
      <c r="F35" s="29" t="s">
        <v>897</v>
      </c>
      <c r="G35" s="49">
        <v>45438</v>
      </c>
      <c r="H35" s="49">
        <v>45447</v>
      </c>
      <c r="I35" s="29" t="s">
        <v>54</v>
      </c>
      <c r="J35" s="29" t="s">
        <v>19</v>
      </c>
      <c r="K35" s="24" t="s">
        <v>47</v>
      </c>
      <c r="L35" s="49">
        <v>45445</v>
      </c>
      <c r="M35" s="49">
        <v>45447</v>
      </c>
      <c r="N35" s="25">
        <f t="shared" si="1"/>
        <v>2</v>
      </c>
      <c r="O35" s="29"/>
      <c r="P35" t="s">
        <v>88</v>
      </c>
      <c r="Q35" t="s">
        <v>88</v>
      </c>
      <c r="R35" t="s">
        <v>88</v>
      </c>
      <c r="S35" t="s">
        <v>88</v>
      </c>
      <c r="T35" t="s">
        <v>88</v>
      </c>
      <c r="U35" t="s">
        <v>20</v>
      </c>
    </row>
    <row r="36" spans="1:21" x14ac:dyDescent="0.45">
      <c r="A36" s="79">
        <v>140609366</v>
      </c>
      <c r="B36" s="72" t="str">
        <f t="shared" si="0"/>
        <v>14.060.936-6</v>
      </c>
      <c r="C36" s="22" t="s">
        <v>22</v>
      </c>
      <c r="D36" s="29" t="s">
        <v>1096</v>
      </c>
      <c r="E36" s="29" t="s">
        <v>558</v>
      </c>
      <c r="F36" s="29" t="s">
        <v>897</v>
      </c>
      <c r="G36" s="49">
        <v>45438</v>
      </c>
      <c r="H36" s="49">
        <v>45447</v>
      </c>
      <c r="I36" s="29" t="s">
        <v>54</v>
      </c>
      <c r="J36" s="29" t="s">
        <v>19</v>
      </c>
      <c r="K36" s="24" t="s">
        <v>55</v>
      </c>
      <c r="L36" s="49">
        <v>45444</v>
      </c>
      <c r="M36" s="49">
        <v>45447</v>
      </c>
      <c r="N36" s="25">
        <f t="shared" si="1"/>
        <v>3</v>
      </c>
      <c r="O36" s="29"/>
      <c r="P36" t="s">
        <v>132</v>
      </c>
      <c r="Q36" t="s">
        <v>88</v>
      </c>
      <c r="R36" t="s">
        <v>88</v>
      </c>
      <c r="S36" t="s">
        <v>88</v>
      </c>
      <c r="T36" t="s">
        <v>88</v>
      </c>
      <c r="U36" t="s">
        <v>20</v>
      </c>
    </row>
    <row r="37" spans="1:21" x14ac:dyDescent="0.45">
      <c r="A37" s="79" t="s">
        <v>997</v>
      </c>
      <c r="B37" s="29" t="str">
        <f t="shared" si="0"/>
        <v>12.187.718-K</v>
      </c>
      <c r="C37" s="22" t="s">
        <v>22</v>
      </c>
      <c r="D37" s="29" t="s">
        <v>998</v>
      </c>
      <c r="E37" s="29" t="s">
        <v>493</v>
      </c>
      <c r="F37" s="29" t="s">
        <v>939</v>
      </c>
      <c r="G37" s="49">
        <v>45422</v>
      </c>
      <c r="H37" s="49">
        <v>45450</v>
      </c>
      <c r="I37" s="29" t="s">
        <v>22</v>
      </c>
      <c r="J37" s="29" t="s">
        <v>22</v>
      </c>
      <c r="K37" s="24" t="s">
        <v>43</v>
      </c>
      <c r="L37" s="49">
        <v>45448</v>
      </c>
      <c r="M37" s="49">
        <v>45450</v>
      </c>
      <c r="N37" s="25">
        <f t="shared" si="1"/>
        <v>2</v>
      </c>
      <c r="O37" s="70" t="s">
        <v>14</v>
      </c>
      <c r="P37" t="s">
        <v>96</v>
      </c>
      <c r="Q37" t="s">
        <v>88</v>
      </c>
      <c r="R37" t="s">
        <v>88</v>
      </c>
      <c r="S37" t="s">
        <v>88</v>
      </c>
      <c r="T37" t="s">
        <v>88</v>
      </c>
      <c r="U37" t="s">
        <v>20</v>
      </c>
    </row>
    <row r="38" spans="1:21" x14ac:dyDescent="0.45">
      <c r="A38" s="79">
        <v>106549710</v>
      </c>
      <c r="B38" s="72" t="str">
        <f t="shared" si="0"/>
        <v>10.654.971-0</v>
      </c>
      <c r="C38" s="73" t="s">
        <v>22</v>
      </c>
      <c r="D38" s="29" t="s">
        <v>352</v>
      </c>
      <c r="E38" s="29" t="s">
        <v>486</v>
      </c>
      <c r="F38" s="29" t="s">
        <v>956</v>
      </c>
      <c r="G38" s="49">
        <v>45411</v>
      </c>
      <c r="H38" s="49"/>
      <c r="I38" s="29" t="s">
        <v>22</v>
      </c>
      <c r="J38" s="68"/>
      <c r="K38" s="24" t="s">
        <v>47</v>
      </c>
      <c r="L38" s="49">
        <v>45444</v>
      </c>
      <c r="M38" s="49">
        <v>45473</v>
      </c>
      <c r="N38" s="25">
        <f t="shared" si="1"/>
        <v>29</v>
      </c>
      <c r="O38" s="29"/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20</v>
      </c>
    </row>
    <row r="39" spans="1:21" x14ac:dyDescent="0.45">
      <c r="A39" s="79">
        <v>106549710</v>
      </c>
      <c r="B39" s="72" t="str">
        <f t="shared" si="0"/>
        <v>10.654.971-0</v>
      </c>
      <c r="C39" s="73" t="s">
        <v>22</v>
      </c>
      <c r="D39" s="29" t="s">
        <v>352</v>
      </c>
      <c r="E39" s="29" t="s">
        <v>486</v>
      </c>
      <c r="F39" s="29" t="s">
        <v>956</v>
      </c>
      <c r="G39" s="49">
        <v>45411</v>
      </c>
      <c r="H39" s="49"/>
      <c r="I39" s="29" t="s">
        <v>22</v>
      </c>
      <c r="J39" s="68"/>
      <c r="K39" s="24" t="s">
        <v>43</v>
      </c>
      <c r="L39" s="49">
        <v>45444</v>
      </c>
      <c r="M39" s="49">
        <v>45460</v>
      </c>
      <c r="N39" s="25">
        <f t="shared" si="1"/>
        <v>16</v>
      </c>
      <c r="O39" s="29"/>
      <c r="P39" t="s">
        <v>88</v>
      </c>
      <c r="Q39" t="s">
        <v>88</v>
      </c>
      <c r="R39" t="s">
        <v>88</v>
      </c>
      <c r="S39" t="s">
        <v>88</v>
      </c>
      <c r="T39" t="s">
        <v>88</v>
      </c>
      <c r="U39" t="s">
        <v>20</v>
      </c>
    </row>
    <row r="40" spans="1:21" x14ac:dyDescent="0.45">
      <c r="A40" s="79">
        <v>66782867</v>
      </c>
      <c r="B40" s="72" t="str">
        <f t="shared" si="0"/>
        <v>6.678.286-7</v>
      </c>
      <c r="C40" s="22" t="s">
        <v>22</v>
      </c>
      <c r="D40" s="29" t="s">
        <v>869</v>
      </c>
      <c r="E40" s="29" t="s">
        <v>708</v>
      </c>
      <c r="F40" s="29" t="s">
        <v>250</v>
      </c>
      <c r="G40" s="49">
        <v>45440</v>
      </c>
      <c r="H40" s="49">
        <v>45464</v>
      </c>
      <c r="I40" s="29" t="s">
        <v>22</v>
      </c>
      <c r="J40" s="29" t="s">
        <v>40</v>
      </c>
      <c r="K40" s="24" t="s">
        <v>43</v>
      </c>
      <c r="L40" s="49">
        <v>45444</v>
      </c>
      <c r="M40" s="49">
        <v>45464</v>
      </c>
      <c r="N40" s="25">
        <f t="shared" ref="N40:N71" si="2">+M40-L40</f>
        <v>20</v>
      </c>
      <c r="O40" s="29"/>
      <c r="P40" t="s">
        <v>88</v>
      </c>
      <c r="Q40" t="s">
        <v>88</v>
      </c>
      <c r="R40" t="s">
        <v>88</v>
      </c>
      <c r="S40" t="s">
        <v>88</v>
      </c>
      <c r="T40" t="s">
        <v>88</v>
      </c>
      <c r="U40" t="s">
        <v>20</v>
      </c>
    </row>
    <row r="41" spans="1:21" x14ac:dyDescent="0.45">
      <c r="A41" s="79">
        <v>49605153</v>
      </c>
      <c r="B41" s="72" t="str">
        <f t="shared" si="0"/>
        <v>4.960.515-3</v>
      </c>
      <c r="C41" s="22" t="s">
        <v>22</v>
      </c>
      <c r="D41" s="29" t="s">
        <v>488</v>
      </c>
      <c r="E41" s="29" t="s">
        <v>1056</v>
      </c>
      <c r="F41" s="29" t="s">
        <v>944</v>
      </c>
      <c r="G41" s="49">
        <v>45441</v>
      </c>
      <c r="H41" s="49">
        <v>45448</v>
      </c>
      <c r="I41" s="29" t="s">
        <v>22</v>
      </c>
      <c r="J41" s="29" t="s">
        <v>24</v>
      </c>
      <c r="K41" s="24" t="s">
        <v>43</v>
      </c>
      <c r="L41" s="49">
        <v>45444</v>
      </c>
      <c r="M41" s="49">
        <v>45448</v>
      </c>
      <c r="N41" s="25">
        <f t="shared" si="2"/>
        <v>4</v>
      </c>
      <c r="O41" s="29"/>
      <c r="P41" t="s">
        <v>132</v>
      </c>
      <c r="Q41" t="s">
        <v>88</v>
      </c>
      <c r="R41" t="s">
        <v>88</v>
      </c>
      <c r="S41" t="s">
        <v>88</v>
      </c>
      <c r="T41" t="s">
        <v>88</v>
      </c>
      <c r="U41" t="s">
        <v>20</v>
      </c>
    </row>
    <row r="42" spans="1:21" x14ac:dyDescent="0.45">
      <c r="A42" s="79">
        <v>85813099</v>
      </c>
      <c r="B42" s="72" t="str">
        <f t="shared" si="0"/>
        <v>8.581.309-9</v>
      </c>
      <c r="C42" s="22" t="s">
        <v>22</v>
      </c>
      <c r="D42" s="29" t="s">
        <v>632</v>
      </c>
      <c r="E42" s="29" t="s">
        <v>252</v>
      </c>
      <c r="F42" s="29" t="s">
        <v>908</v>
      </c>
      <c r="G42" s="49">
        <v>45443</v>
      </c>
      <c r="H42" s="49">
        <v>45455</v>
      </c>
      <c r="I42" s="29" t="s">
        <v>22</v>
      </c>
      <c r="J42" s="29" t="s">
        <v>56</v>
      </c>
      <c r="K42" s="24" t="s">
        <v>43</v>
      </c>
      <c r="L42" s="49">
        <v>45444</v>
      </c>
      <c r="M42" s="49">
        <v>45455</v>
      </c>
      <c r="N42" s="25">
        <f t="shared" si="2"/>
        <v>11</v>
      </c>
      <c r="O42" s="29"/>
      <c r="P42" t="s">
        <v>88</v>
      </c>
      <c r="Q42" t="s">
        <v>88</v>
      </c>
      <c r="R42" t="s">
        <v>88</v>
      </c>
      <c r="S42" t="s">
        <v>88</v>
      </c>
      <c r="T42" t="s">
        <v>88</v>
      </c>
      <c r="U42" t="s">
        <v>20</v>
      </c>
    </row>
    <row r="43" spans="1:21" x14ac:dyDescent="0.45">
      <c r="A43" s="79">
        <v>85813099</v>
      </c>
      <c r="B43" s="72" t="str">
        <f t="shared" si="0"/>
        <v>8.581.309-9</v>
      </c>
      <c r="C43" s="22" t="s">
        <v>22</v>
      </c>
      <c r="D43" s="29" t="s">
        <v>632</v>
      </c>
      <c r="E43" s="29" t="s">
        <v>252</v>
      </c>
      <c r="F43" s="29" t="s">
        <v>908</v>
      </c>
      <c r="G43" s="49">
        <v>45443</v>
      </c>
      <c r="H43" s="49">
        <v>45455</v>
      </c>
      <c r="I43" s="29" t="s">
        <v>22</v>
      </c>
      <c r="J43" s="29" t="s">
        <v>56</v>
      </c>
      <c r="K43" s="24" t="s">
        <v>47</v>
      </c>
      <c r="L43" s="49">
        <v>45444</v>
      </c>
      <c r="M43" s="49">
        <v>45455</v>
      </c>
      <c r="N43" s="25">
        <f t="shared" si="2"/>
        <v>11</v>
      </c>
      <c r="O43" s="29"/>
      <c r="P43" t="s">
        <v>88</v>
      </c>
      <c r="Q43" t="s">
        <v>88</v>
      </c>
      <c r="R43" t="s">
        <v>88</v>
      </c>
      <c r="S43" t="s">
        <v>88</v>
      </c>
      <c r="T43" t="s">
        <v>88</v>
      </c>
      <c r="U43" t="s">
        <v>20</v>
      </c>
    </row>
    <row r="44" spans="1:21" x14ac:dyDescent="0.45">
      <c r="A44" s="79">
        <v>82520651</v>
      </c>
      <c r="B44" s="72" t="str">
        <f t="shared" si="0"/>
        <v>8.252.065-1</v>
      </c>
      <c r="C44" s="22" t="s">
        <v>22</v>
      </c>
      <c r="D44" s="29" t="s">
        <v>612</v>
      </c>
      <c r="E44" s="29" t="s">
        <v>1097</v>
      </c>
      <c r="F44" s="29" t="s">
        <v>738</v>
      </c>
      <c r="G44" s="49">
        <v>45445</v>
      </c>
      <c r="H44" s="49">
        <v>45449</v>
      </c>
      <c r="I44" s="29" t="s">
        <v>54</v>
      </c>
      <c r="J44" s="29" t="s">
        <v>56</v>
      </c>
      <c r="K44" s="24" t="s">
        <v>43</v>
      </c>
      <c r="L44" s="49">
        <v>45444</v>
      </c>
      <c r="M44" s="49">
        <v>45449</v>
      </c>
      <c r="N44" s="25">
        <f t="shared" si="2"/>
        <v>5</v>
      </c>
      <c r="O44" s="29"/>
      <c r="P44" t="s">
        <v>88</v>
      </c>
      <c r="Q44" t="s">
        <v>88</v>
      </c>
      <c r="R44" t="s">
        <v>88</v>
      </c>
      <c r="S44" t="s">
        <v>88</v>
      </c>
      <c r="T44" t="s">
        <v>88</v>
      </c>
      <c r="U44" t="s">
        <v>20</v>
      </c>
    </row>
    <row r="45" spans="1:21" x14ac:dyDescent="0.45">
      <c r="A45" s="79">
        <v>82520651</v>
      </c>
      <c r="B45" s="72" t="str">
        <f t="shared" si="0"/>
        <v>8.252.065-1</v>
      </c>
      <c r="C45" s="22" t="s">
        <v>22</v>
      </c>
      <c r="D45" s="29" t="s">
        <v>612</v>
      </c>
      <c r="E45" s="29" t="s">
        <v>1097</v>
      </c>
      <c r="F45" s="29" t="s">
        <v>738</v>
      </c>
      <c r="G45" s="49">
        <v>45445</v>
      </c>
      <c r="H45" s="49">
        <v>45449</v>
      </c>
      <c r="I45" s="29" t="s">
        <v>54</v>
      </c>
      <c r="J45" s="29" t="s">
        <v>56</v>
      </c>
      <c r="K45" s="24" t="s">
        <v>47</v>
      </c>
      <c r="L45" s="49">
        <v>45445</v>
      </c>
      <c r="M45" s="49">
        <v>45449</v>
      </c>
      <c r="N45" s="25">
        <f t="shared" si="2"/>
        <v>4</v>
      </c>
      <c r="O45" s="29"/>
      <c r="P45" t="s">
        <v>88</v>
      </c>
      <c r="Q45" t="s">
        <v>88</v>
      </c>
      <c r="R45" t="s">
        <v>88</v>
      </c>
      <c r="S45" t="s">
        <v>88</v>
      </c>
      <c r="T45" t="s">
        <v>88</v>
      </c>
      <c r="U45" t="s">
        <v>20</v>
      </c>
    </row>
    <row r="46" spans="1:21" x14ac:dyDescent="0.45">
      <c r="A46" s="79" t="s">
        <v>1098</v>
      </c>
      <c r="B46" s="72" t="str">
        <f t="shared" si="0"/>
        <v>5.957.972-K</v>
      </c>
      <c r="C46" s="22" t="s">
        <v>22</v>
      </c>
      <c r="D46" s="29" t="s">
        <v>1099</v>
      </c>
      <c r="E46" s="29" t="s">
        <v>507</v>
      </c>
      <c r="F46" s="29" t="s">
        <v>1100</v>
      </c>
      <c r="G46" s="49">
        <v>45444</v>
      </c>
      <c r="H46" s="49">
        <v>45446</v>
      </c>
      <c r="I46" s="29" t="s">
        <v>22</v>
      </c>
      <c r="J46" s="29" t="s">
        <v>56</v>
      </c>
      <c r="K46" s="24" t="s">
        <v>43</v>
      </c>
      <c r="L46" s="49">
        <v>45444</v>
      </c>
      <c r="M46" s="49">
        <v>45446</v>
      </c>
      <c r="N46" s="25">
        <f t="shared" si="2"/>
        <v>2</v>
      </c>
      <c r="O46" s="29"/>
      <c r="P46" t="s">
        <v>88</v>
      </c>
      <c r="Q46" t="s">
        <v>88</v>
      </c>
      <c r="R46" t="s">
        <v>88</v>
      </c>
      <c r="S46" t="s">
        <v>88</v>
      </c>
      <c r="T46" t="s">
        <v>88</v>
      </c>
      <c r="U46" t="s">
        <v>20</v>
      </c>
    </row>
    <row r="47" spans="1:21" x14ac:dyDescent="0.45">
      <c r="A47" s="79">
        <v>100196921</v>
      </c>
      <c r="B47" s="72" t="str">
        <f t="shared" si="0"/>
        <v>10.019.692-1</v>
      </c>
      <c r="C47" s="22" t="s">
        <v>22</v>
      </c>
      <c r="D47" s="29" t="s">
        <v>920</v>
      </c>
      <c r="E47" s="29" t="s">
        <v>1060</v>
      </c>
      <c r="F47" s="29" t="s">
        <v>348</v>
      </c>
      <c r="G47" s="49">
        <v>45434</v>
      </c>
      <c r="H47" s="49">
        <v>45450</v>
      </c>
      <c r="I47" s="29" t="s">
        <v>22</v>
      </c>
      <c r="J47" s="29" t="s">
        <v>24</v>
      </c>
      <c r="K47" s="24" t="s">
        <v>43</v>
      </c>
      <c r="L47" s="49">
        <v>45444</v>
      </c>
      <c r="M47" s="49">
        <v>45450</v>
      </c>
      <c r="N47" s="25">
        <f t="shared" si="2"/>
        <v>6</v>
      </c>
      <c r="O47" s="29"/>
      <c r="P47" t="s">
        <v>88</v>
      </c>
      <c r="Q47" t="s">
        <v>88</v>
      </c>
      <c r="R47" t="s">
        <v>88</v>
      </c>
      <c r="S47" t="s">
        <v>88</v>
      </c>
      <c r="T47" t="s">
        <v>88</v>
      </c>
      <c r="U47" t="s">
        <v>20</v>
      </c>
    </row>
    <row r="48" spans="1:21" x14ac:dyDescent="0.45">
      <c r="A48" s="79">
        <v>100196921</v>
      </c>
      <c r="B48" s="72" t="str">
        <f t="shared" si="0"/>
        <v>10.019.692-1</v>
      </c>
      <c r="C48" s="22" t="s">
        <v>22</v>
      </c>
      <c r="D48" s="29" t="s">
        <v>920</v>
      </c>
      <c r="E48" s="29" t="s">
        <v>1060</v>
      </c>
      <c r="F48" s="29" t="s">
        <v>348</v>
      </c>
      <c r="G48" s="49">
        <v>45434</v>
      </c>
      <c r="H48" s="49">
        <v>45450</v>
      </c>
      <c r="I48" s="29" t="s">
        <v>22</v>
      </c>
      <c r="J48" s="29" t="s">
        <v>24</v>
      </c>
      <c r="K48" s="24" t="s">
        <v>47</v>
      </c>
      <c r="L48" s="49">
        <v>45444</v>
      </c>
      <c r="M48" s="49">
        <v>45448</v>
      </c>
      <c r="N48" s="25">
        <f t="shared" si="2"/>
        <v>4</v>
      </c>
      <c r="O48" s="29"/>
      <c r="P48" t="s">
        <v>88</v>
      </c>
      <c r="Q48" t="s">
        <v>88</v>
      </c>
      <c r="R48" t="s">
        <v>88</v>
      </c>
      <c r="S48" t="s">
        <v>88</v>
      </c>
      <c r="T48" t="s">
        <v>88</v>
      </c>
      <c r="U48" t="s">
        <v>20</v>
      </c>
    </row>
    <row r="49" spans="1:21" x14ac:dyDescent="0.45">
      <c r="A49" s="79" t="s">
        <v>1101</v>
      </c>
      <c r="B49" s="72" t="str">
        <f t="shared" si="0"/>
        <v>5.417.389-K</v>
      </c>
      <c r="C49" s="22" t="s">
        <v>22</v>
      </c>
      <c r="D49" s="29" t="s">
        <v>318</v>
      </c>
      <c r="E49" s="29" t="s">
        <v>439</v>
      </c>
      <c r="F49" s="29" t="s">
        <v>1102</v>
      </c>
      <c r="G49" s="49">
        <v>45444</v>
      </c>
      <c r="H49" s="49">
        <v>45447</v>
      </c>
      <c r="I49" s="29" t="s">
        <v>22</v>
      </c>
      <c r="J49" s="29" t="s">
        <v>22</v>
      </c>
      <c r="K49" s="24" t="s">
        <v>43</v>
      </c>
      <c r="L49" s="49">
        <v>45444</v>
      </c>
      <c r="M49" s="49">
        <v>45447</v>
      </c>
      <c r="N49" s="25">
        <f t="shared" si="2"/>
        <v>3</v>
      </c>
      <c r="O49" s="29"/>
      <c r="P49" t="s">
        <v>88</v>
      </c>
      <c r="Q49" t="s">
        <v>88</v>
      </c>
      <c r="R49" t="s">
        <v>88</v>
      </c>
      <c r="S49" t="s">
        <v>88</v>
      </c>
      <c r="T49" t="s">
        <v>88</v>
      </c>
      <c r="U49" t="s">
        <v>20</v>
      </c>
    </row>
    <row r="50" spans="1:21" x14ac:dyDescent="0.45">
      <c r="A50" s="79" t="s">
        <v>1101</v>
      </c>
      <c r="B50" s="72" t="str">
        <f t="shared" si="0"/>
        <v>5.417.389-K</v>
      </c>
      <c r="C50" s="22" t="s">
        <v>22</v>
      </c>
      <c r="D50" s="29" t="s">
        <v>318</v>
      </c>
      <c r="E50" s="29" t="s">
        <v>439</v>
      </c>
      <c r="F50" s="29" t="s">
        <v>1102</v>
      </c>
      <c r="G50" s="49">
        <v>45444</v>
      </c>
      <c r="H50" s="49">
        <v>45447</v>
      </c>
      <c r="I50" s="29" t="s">
        <v>22</v>
      </c>
      <c r="J50" s="29" t="s">
        <v>22</v>
      </c>
      <c r="K50" s="24" t="s">
        <v>47</v>
      </c>
      <c r="L50" s="49">
        <v>45444</v>
      </c>
      <c r="M50" s="49">
        <v>45447</v>
      </c>
      <c r="N50" s="25">
        <f t="shared" si="2"/>
        <v>3</v>
      </c>
      <c r="O50" s="29"/>
      <c r="P50" t="s">
        <v>88</v>
      </c>
      <c r="Q50" t="s">
        <v>88</v>
      </c>
      <c r="R50" t="s">
        <v>88</v>
      </c>
      <c r="S50" t="s">
        <v>88</v>
      </c>
      <c r="T50" t="s">
        <v>88</v>
      </c>
      <c r="U50" t="s">
        <v>20</v>
      </c>
    </row>
    <row r="51" spans="1:21" x14ac:dyDescent="0.45">
      <c r="A51" s="79">
        <v>77614001</v>
      </c>
      <c r="B51" s="72" t="str">
        <f t="shared" si="0"/>
        <v>7.761.400-1</v>
      </c>
      <c r="C51" s="22" t="s">
        <v>30</v>
      </c>
      <c r="D51" s="29" t="s">
        <v>660</v>
      </c>
      <c r="E51" s="29" t="s">
        <v>639</v>
      </c>
      <c r="F51" s="29" t="s">
        <v>700</v>
      </c>
      <c r="G51" s="49">
        <v>45441</v>
      </c>
      <c r="H51" s="49">
        <v>45448</v>
      </c>
      <c r="I51" s="29" t="s">
        <v>48</v>
      </c>
      <c r="J51" s="29" t="s">
        <v>24</v>
      </c>
      <c r="K51" s="24" t="s">
        <v>43</v>
      </c>
      <c r="L51" s="49">
        <v>45444</v>
      </c>
      <c r="M51" s="49">
        <v>45448</v>
      </c>
      <c r="N51" s="25">
        <f t="shared" si="2"/>
        <v>4</v>
      </c>
      <c r="O51" s="29"/>
      <c r="P51" t="s">
        <v>88</v>
      </c>
      <c r="Q51" t="s">
        <v>88</v>
      </c>
      <c r="R51" t="s">
        <v>88</v>
      </c>
      <c r="S51" t="s">
        <v>88</v>
      </c>
      <c r="T51" t="s">
        <v>88</v>
      </c>
      <c r="U51" t="s">
        <v>20</v>
      </c>
    </row>
    <row r="52" spans="1:21" x14ac:dyDescent="0.45">
      <c r="A52" s="79" t="s">
        <v>1103</v>
      </c>
      <c r="B52" s="72" t="str">
        <f t="shared" si="0"/>
        <v>8.709.085-K</v>
      </c>
      <c r="C52" s="22" t="s">
        <v>30</v>
      </c>
      <c r="D52" s="29" t="s">
        <v>507</v>
      </c>
      <c r="E52" s="29" t="s">
        <v>1104</v>
      </c>
      <c r="F52" s="29" t="s">
        <v>515</v>
      </c>
      <c r="G52" s="49">
        <v>45443</v>
      </c>
      <c r="H52" s="49">
        <v>45446</v>
      </c>
      <c r="I52" s="29" t="s">
        <v>46</v>
      </c>
      <c r="J52" s="29" t="s">
        <v>24</v>
      </c>
      <c r="K52" s="24" t="s">
        <v>43</v>
      </c>
      <c r="L52" s="49">
        <v>45444</v>
      </c>
      <c r="M52" s="49">
        <v>45446</v>
      </c>
      <c r="N52" s="25">
        <f t="shared" si="2"/>
        <v>2</v>
      </c>
      <c r="O52" s="29"/>
      <c r="P52" t="s">
        <v>88</v>
      </c>
      <c r="Q52" t="s">
        <v>88</v>
      </c>
      <c r="R52" t="s">
        <v>88</v>
      </c>
      <c r="S52" t="s">
        <v>88</v>
      </c>
      <c r="T52" t="s">
        <v>88</v>
      </c>
      <c r="U52" t="s">
        <v>20</v>
      </c>
    </row>
    <row r="53" spans="1:21" x14ac:dyDescent="0.45">
      <c r="A53" s="79">
        <v>92769011</v>
      </c>
      <c r="B53" s="72" t="str">
        <f t="shared" si="0"/>
        <v>9.276.901-1</v>
      </c>
      <c r="C53" s="22" t="s">
        <v>30</v>
      </c>
      <c r="D53" s="29" t="s">
        <v>1105</v>
      </c>
      <c r="E53" s="29" t="s">
        <v>1106</v>
      </c>
      <c r="F53" s="29" t="s">
        <v>638</v>
      </c>
      <c r="G53" s="49">
        <v>45444</v>
      </c>
      <c r="H53" s="49">
        <v>45447</v>
      </c>
      <c r="I53" s="29" t="s">
        <v>24</v>
      </c>
      <c r="J53" s="29" t="s">
        <v>24</v>
      </c>
      <c r="K53" s="24" t="s">
        <v>43</v>
      </c>
      <c r="L53" s="49">
        <v>45444</v>
      </c>
      <c r="M53" s="49">
        <v>45447</v>
      </c>
      <c r="N53" s="25">
        <f t="shared" si="2"/>
        <v>3</v>
      </c>
      <c r="O53" s="29"/>
      <c r="P53" t="s">
        <v>88</v>
      </c>
      <c r="Q53" t="s">
        <v>88</v>
      </c>
      <c r="R53" t="s">
        <v>88</v>
      </c>
      <c r="S53" t="s">
        <v>88</v>
      </c>
      <c r="T53" t="s">
        <v>88</v>
      </c>
      <c r="U53" t="s">
        <v>20</v>
      </c>
    </row>
    <row r="54" spans="1:21" x14ac:dyDescent="0.45">
      <c r="A54" s="79">
        <v>119886082</v>
      </c>
      <c r="B54" s="72" t="str">
        <f t="shared" si="0"/>
        <v>11.988.608-2</v>
      </c>
      <c r="C54" s="22" t="s">
        <v>30</v>
      </c>
      <c r="D54" s="29" t="s">
        <v>375</v>
      </c>
      <c r="E54" s="29" t="s">
        <v>1107</v>
      </c>
      <c r="F54" s="29" t="s">
        <v>406</v>
      </c>
      <c r="G54" s="49">
        <v>45446</v>
      </c>
      <c r="H54" s="49">
        <v>45451</v>
      </c>
      <c r="I54" s="29" t="s">
        <v>48</v>
      </c>
      <c r="J54" s="29" t="s">
        <v>13</v>
      </c>
      <c r="K54" s="24" t="s">
        <v>43</v>
      </c>
      <c r="L54" s="49">
        <v>45445</v>
      </c>
      <c r="M54" s="49">
        <v>45451</v>
      </c>
      <c r="N54" s="25">
        <f t="shared" si="2"/>
        <v>6</v>
      </c>
      <c r="O54" s="29"/>
      <c r="P54" t="s">
        <v>88</v>
      </c>
      <c r="Q54" t="s">
        <v>88</v>
      </c>
      <c r="R54" t="s">
        <v>88</v>
      </c>
      <c r="S54" t="s">
        <v>88</v>
      </c>
      <c r="T54" t="s">
        <v>88</v>
      </c>
      <c r="U54" t="s">
        <v>20</v>
      </c>
    </row>
    <row r="55" spans="1:21" x14ac:dyDescent="0.45">
      <c r="A55" s="79">
        <v>108074655</v>
      </c>
      <c r="B55" s="72" t="str">
        <f t="shared" si="0"/>
        <v>10.807.465-5</v>
      </c>
      <c r="C55" s="22" t="s">
        <v>30</v>
      </c>
      <c r="D55" s="29" t="s">
        <v>288</v>
      </c>
      <c r="E55" s="29" t="s">
        <v>1108</v>
      </c>
      <c r="F55" s="29" t="s">
        <v>1109</v>
      </c>
      <c r="G55" s="49">
        <v>45443</v>
      </c>
      <c r="H55" s="49">
        <v>45451</v>
      </c>
      <c r="I55" s="29" t="s">
        <v>24</v>
      </c>
      <c r="J55" s="29" t="s">
        <v>13</v>
      </c>
      <c r="K55" s="24" t="s">
        <v>43</v>
      </c>
      <c r="L55" s="49">
        <v>45444</v>
      </c>
      <c r="M55" s="49">
        <v>45451</v>
      </c>
      <c r="N55" s="25">
        <f t="shared" si="2"/>
        <v>7</v>
      </c>
      <c r="O55" s="29"/>
      <c r="P55" t="s">
        <v>88</v>
      </c>
      <c r="Q55" t="s">
        <v>88</v>
      </c>
      <c r="R55" t="s">
        <v>88</v>
      </c>
      <c r="S55" t="s">
        <v>88</v>
      </c>
      <c r="T55" t="s">
        <v>88</v>
      </c>
      <c r="U55" t="s">
        <v>20</v>
      </c>
    </row>
    <row r="56" spans="1:21" x14ac:dyDescent="0.45">
      <c r="A56" s="79">
        <v>108074655</v>
      </c>
      <c r="B56" s="72" t="str">
        <f t="shared" si="0"/>
        <v>10.807.465-5</v>
      </c>
      <c r="C56" s="22" t="s">
        <v>30</v>
      </c>
      <c r="D56" s="29" t="s">
        <v>288</v>
      </c>
      <c r="E56" s="29" t="s">
        <v>1108</v>
      </c>
      <c r="F56" s="29" t="s">
        <v>1109</v>
      </c>
      <c r="G56" s="49">
        <v>45443</v>
      </c>
      <c r="H56" s="49">
        <v>45451</v>
      </c>
      <c r="I56" s="29" t="s">
        <v>24</v>
      </c>
      <c r="J56" s="29" t="s">
        <v>13</v>
      </c>
      <c r="K56" s="24" t="s">
        <v>47</v>
      </c>
      <c r="L56" s="49">
        <v>45444</v>
      </c>
      <c r="M56" s="49">
        <v>45451</v>
      </c>
      <c r="N56" s="25">
        <f t="shared" si="2"/>
        <v>7</v>
      </c>
      <c r="O56" s="29"/>
      <c r="P56" t="s">
        <v>88</v>
      </c>
      <c r="Q56" t="s">
        <v>88</v>
      </c>
      <c r="R56" t="s">
        <v>88</v>
      </c>
      <c r="S56" t="s">
        <v>88</v>
      </c>
      <c r="T56" t="s">
        <v>88</v>
      </c>
      <c r="U56" t="s">
        <v>20</v>
      </c>
    </row>
    <row r="57" spans="1:21" x14ac:dyDescent="0.45">
      <c r="A57" s="79">
        <v>109105945</v>
      </c>
      <c r="B57" s="72" t="str">
        <f t="shared" si="0"/>
        <v>10.910.594-5</v>
      </c>
      <c r="C57" s="22" t="s">
        <v>38</v>
      </c>
      <c r="D57" s="29" t="s">
        <v>422</v>
      </c>
      <c r="E57" s="29" t="s">
        <v>1081</v>
      </c>
      <c r="F57" s="29" t="s">
        <v>1110</v>
      </c>
      <c r="G57" s="49">
        <v>45444</v>
      </c>
      <c r="H57" s="49">
        <v>45452</v>
      </c>
      <c r="I57" s="29" t="s">
        <v>46</v>
      </c>
      <c r="J57" s="29" t="s">
        <v>46</v>
      </c>
      <c r="K57" s="24" t="s">
        <v>43</v>
      </c>
      <c r="L57" s="49">
        <v>45444</v>
      </c>
      <c r="M57" s="49">
        <v>45452</v>
      </c>
      <c r="N57" s="25">
        <f t="shared" si="2"/>
        <v>8</v>
      </c>
      <c r="O57" s="29"/>
      <c r="P57" t="s">
        <v>88</v>
      </c>
      <c r="Q57" t="s">
        <v>88</v>
      </c>
      <c r="R57" t="s">
        <v>88</v>
      </c>
      <c r="S57" t="s">
        <v>88</v>
      </c>
      <c r="T57" t="s">
        <v>88</v>
      </c>
      <c r="U57" t="s">
        <v>20</v>
      </c>
    </row>
    <row r="58" spans="1:21" x14ac:dyDescent="0.45">
      <c r="A58" s="79">
        <v>109105945</v>
      </c>
      <c r="B58" s="72" t="str">
        <f t="shared" si="0"/>
        <v>10.910.594-5</v>
      </c>
      <c r="C58" s="22" t="s">
        <v>38</v>
      </c>
      <c r="D58" s="29" t="s">
        <v>422</v>
      </c>
      <c r="E58" s="29" t="s">
        <v>1081</v>
      </c>
      <c r="F58" s="29" t="s">
        <v>1110</v>
      </c>
      <c r="G58" s="49">
        <v>45444</v>
      </c>
      <c r="H58" s="49">
        <v>45452</v>
      </c>
      <c r="I58" s="29" t="s">
        <v>46</v>
      </c>
      <c r="J58" s="29" t="s">
        <v>46</v>
      </c>
      <c r="K58" s="24" t="s">
        <v>47</v>
      </c>
      <c r="L58" s="49">
        <v>45444</v>
      </c>
      <c r="M58" s="49">
        <v>45452</v>
      </c>
      <c r="N58" s="25">
        <f t="shared" si="2"/>
        <v>8</v>
      </c>
      <c r="O58" s="29"/>
      <c r="P58" t="s">
        <v>88</v>
      </c>
      <c r="Q58" t="s">
        <v>88</v>
      </c>
      <c r="R58" t="s">
        <v>88</v>
      </c>
      <c r="S58" t="s">
        <v>88</v>
      </c>
      <c r="T58" t="s">
        <v>88</v>
      </c>
      <c r="U58" t="s">
        <v>20</v>
      </c>
    </row>
    <row r="59" spans="1:21" x14ac:dyDescent="0.45">
      <c r="A59" s="79">
        <v>50442128</v>
      </c>
      <c r="B59" s="72" t="str">
        <f t="shared" si="0"/>
        <v>5.044.212-8</v>
      </c>
      <c r="C59" s="22" t="s">
        <v>38</v>
      </c>
      <c r="D59" s="29" t="s">
        <v>285</v>
      </c>
      <c r="E59" s="29" t="s">
        <v>561</v>
      </c>
      <c r="F59" s="29" t="s">
        <v>1070</v>
      </c>
      <c r="G59" s="49">
        <v>45432</v>
      </c>
      <c r="H59" s="49">
        <v>45447</v>
      </c>
      <c r="I59" s="29" t="s">
        <v>24</v>
      </c>
      <c r="J59" s="29" t="s">
        <v>46</v>
      </c>
      <c r="K59" s="24" t="s">
        <v>43</v>
      </c>
      <c r="L59" s="49">
        <v>45444</v>
      </c>
      <c r="M59" s="49">
        <v>45447</v>
      </c>
      <c r="N59" s="25">
        <f t="shared" si="2"/>
        <v>3</v>
      </c>
      <c r="O59" s="29"/>
      <c r="P59" t="s">
        <v>88</v>
      </c>
      <c r="Q59" t="s">
        <v>88</v>
      </c>
      <c r="R59" t="s">
        <v>88</v>
      </c>
      <c r="S59" t="s">
        <v>88</v>
      </c>
      <c r="T59" t="s">
        <v>88</v>
      </c>
      <c r="U59" t="s">
        <v>20</v>
      </c>
    </row>
    <row r="60" spans="1:21" x14ac:dyDescent="0.45">
      <c r="A60" s="79">
        <v>103070473</v>
      </c>
      <c r="B60" s="72" t="str">
        <f t="shared" si="0"/>
        <v>10.307.047-3</v>
      </c>
      <c r="C60" s="22" t="s">
        <v>38</v>
      </c>
      <c r="D60" s="29" t="s">
        <v>1111</v>
      </c>
      <c r="E60" s="29" t="s">
        <v>1112</v>
      </c>
      <c r="F60" s="29" t="s">
        <v>1113</v>
      </c>
      <c r="G60" s="49">
        <v>45441</v>
      </c>
      <c r="H60" s="49">
        <v>45449</v>
      </c>
      <c r="I60" s="29" t="s">
        <v>63</v>
      </c>
      <c r="J60" s="29" t="s">
        <v>36</v>
      </c>
      <c r="K60" s="24" t="s">
        <v>43</v>
      </c>
      <c r="L60" s="49">
        <v>45444</v>
      </c>
      <c r="M60" s="49">
        <v>45449</v>
      </c>
      <c r="N60" s="25">
        <f t="shared" si="2"/>
        <v>5</v>
      </c>
      <c r="O60" s="29"/>
      <c r="P60" t="s">
        <v>88</v>
      </c>
      <c r="Q60" t="s">
        <v>88</v>
      </c>
      <c r="R60" t="s">
        <v>88</v>
      </c>
      <c r="S60" t="s">
        <v>88</v>
      </c>
      <c r="T60" t="s">
        <v>88</v>
      </c>
      <c r="U60" t="s">
        <v>20</v>
      </c>
    </row>
    <row r="61" spans="1:21" x14ac:dyDescent="0.45">
      <c r="A61" s="79">
        <v>103070473</v>
      </c>
      <c r="B61" s="72" t="str">
        <f t="shared" si="0"/>
        <v>10.307.047-3</v>
      </c>
      <c r="C61" s="22" t="s">
        <v>38</v>
      </c>
      <c r="D61" s="29" t="s">
        <v>1111</v>
      </c>
      <c r="E61" s="29" t="s">
        <v>1112</v>
      </c>
      <c r="F61" s="29" t="s">
        <v>1113</v>
      </c>
      <c r="G61" s="49">
        <v>45441</v>
      </c>
      <c r="H61" s="49">
        <v>45449</v>
      </c>
      <c r="I61" s="29" t="s">
        <v>63</v>
      </c>
      <c r="J61" s="29" t="s">
        <v>36</v>
      </c>
      <c r="K61" s="24" t="s">
        <v>47</v>
      </c>
      <c r="L61" s="49">
        <v>45444</v>
      </c>
      <c r="M61" s="49">
        <v>45449</v>
      </c>
      <c r="N61" s="25">
        <f t="shared" si="2"/>
        <v>5</v>
      </c>
      <c r="O61" s="29"/>
      <c r="P61" t="s">
        <v>88</v>
      </c>
      <c r="Q61" t="s">
        <v>88</v>
      </c>
      <c r="R61" t="s">
        <v>88</v>
      </c>
      <c r="S61" t="s">
        <v>88</v>
      </c>
      <c r="T61" t="s">
        <v>88</v>
      </c>
      <c r="U61" t="s">
        <v>20</v>
      </c>
    </row>
    <row r="62" spans="1:21" x14ac:dyDescent="0.45">
      <c r="A62" s="79">
        <v>284399072</v>
      </c>
      <c r="B62" s="72" t="str">
        <f t="shared" si="0"/>
        <v>28.439.907-2</v>
      </c>
      <c r="C62" s="22" t="s">
        <v>16</v>
      </c>
      <c r="D62" s="29" t="s">
        <v>1062</v>
      </c>
      <c r="E62" s="29" t="s">
        <v>249</v>
      </c>
      <c r="F62" s="29" t="s">
        <v>1114</v>
      </c>
      <c r="G62" s="49">
        <v>45443</v>
      </c>
      <c r="H62" s="49">
        <v>45458</v>
      </c>
      <c r="I62" s="29" t="s">
        <v>36</v>
      </c>
      <c r="J62" s="29"/>
      <c r="K62" s="24" t="s">
        <v>18</v>
      </c>
      <c r="L62" s="49">
        <v>45444</v>
      </c>
      <c r="M62" s="49">
        <v>45473</v>
      </c>
      <c r="N62" s="25">
        <f t="shared" si="2"/>
        <v>29</v>
      </c>
      <c r="O62" s="29"/>
      <c r="P62" t="s">
        <v>88</v>
      </c>
      <c r="Q62" t="s">
        <v>88</v>
      </c>
      <c r="R62" t="s">
        <v>88</v>
      </c>
      <c r="S62" t="s">
        <v>88</v>
      </c>
      <c r="T62" t="s">
        <v>88</v>
      </c>
      <c r="U62" t="s">
        <v>20</v>
      </c>
    </row>
    <row r="63" spans="1:21" x14ac:dyDescent="0.45">
      <c r="A63" s="79">
        <v>284458796</v>
      </c>
      <c r="B63" s="72" t="str">
        <f t="shared" si="0"/>
        <v>28.445.879-6</v>
      </c>
      <c r="C63" s="22" t="s">
        <v>16</v>
      </c>
      <c r="D63" s="29" t="s">
        <v>461</v>
      </c>
      <c r="E63" s="29" t="s">
        <v>1115</v>
      </c>
      <c r="F63" s="29" t="s">
        <v>524</v>
      </c>
      <c r="G63" s="49">
        <v>45442</v>
      </c>
      <c r="H63" s="49"/>
      <c r="I63" s="29" t="s">
        <v>36</v>
      </c>
      <c r="J63" s="29" t="s">
        <v>84</v>
      </c>
      <c r="K63" s="24" t="s">
        <v>18</v>
      </c>
      <c r="L63" s="49">
        <v>45444</v>
      </c>
      <c r="M63" s="49">
        <v>45450</v>
      </c>
      <c r="N63" s="25">
        <f t="shared" si="2"/>
        <v>6</v>
      </c>
      <c r="O63" s="29"/>
      <c r="P63" t="s">
        <v>88</v>
      </c>
      <c r="Q63" t="s">
        <v>88</v>
      </c>
      <c r="R63" t="s">
        <v>88</v>
      </c>
      <c r="S63" t="s">
        <v>88</v>
      </c>
      <c r="T63" t="s">
        <v>88</v>
      </c>
      <c r="U63" t="s">
        <v>20</v>
      </c>
    </row>
    <row r="64" spans="1:21" x14ac:dyDescent="0.45">
      <c r="A64" s="79">
        <v>284401581</v>
      </c>
      <c r="B64" s="72" t="str">
        <f t="shared" si="0"/>
        <v>28.440.158-1</v>
      </c>
      <c r="C64" s="22" t="s">
        <v>16</v>
      </c>
      <c r="D64" s="29" t="s">
        <v>1064</v>
      </c>
      <c r="E64" s="29" t="s">
        <v>902</v>
      </c>
      <c r="F64" s="29" t="s">
        <v>1065</v>
      </c>
      <c r="G64" s="49">
        <v>45436</v>
      </c>
      <c r="H64" s="29"/>
      <c r="I64" s="29" t="s">
        <v>36</v>
      </c>
      <c r="J64" s="29"/>
      <c r="K64" s="24" t="s">
        <v>18</v>
      </c>
      <c r="L64" s="49">
        <v>45449</v>
      </c>
      <c r="M64" s="49">
        <v>45466</v>
      </c>
      <c r="N64" s="25">
        <f t="shared" si="2"/>
        <v>17</v>
      </c>
      <c r="O64" s="70" t="s">
        <v>14</v>
      </c>
      <c r="P64" t="s">
        <v>96</v>
      </c>
      <c r="Q64" t="s">
        <v>88</v>
      </c>
      <c r="R64" t="s">
        <v>88</v>
      </c>
      <c r="S64" t="s">
        <v>88</v>
      </c>
      <c r="T64" t="s">
        <v>88</v>
      </c>
      <c r="U64" t="s">
        <v>14</v>
      </c>
    </row>
    <row r="65" spans="1:21" x14ac:dyDescent="0.45">
      <c r="A65" s="79">
        <v>284401581</v>
      </c>
      <c r="B65" s="72" t="str">
        <f t="shared" si="0"/>
        <v>28.440.158-1</v>
      </c>
      <c r="C65" s="22" t="s">
        <v>16</v>
      </c>
      <c r="D65" s="29" t="s">
        <v>1064</v>
      </c>
      <c r="E65" s="29" t="s">
        <v>902</v>
      </c>
      <c r="F65" s="29" t="s">
        <v>1065</v>
      </c>
      <c r="G65" s="49">
        <v>45436</v>
      </c>
      <c r="H65" s="29"/>
      <c r="I65" s="29" t="s">
        <v>36</v>
      </c>
      <c r="J65" s="29"/>
      <c r="K65" s="24" t="s">
        <v>18</v>
      </c>
      <c r="L65" s="49">
        <v>45449</v>
      </c>
      <c r="M65" s="49">
        <v>45466</v>
      </c>
      <c r="N65" s="25">
        <f t="shared" si="2"/>
        <v>17</v>
      </c>
      <c r="O65" s="83"/>
      <c r="P65" t="s">
        <v>88</v>
      </c>
      <c r="Q65" t="s">
        <v>88</v>
      </c>
      <c r="R65" t="s">
        <v>88</v>
      </c>
      <c r="S65" t="s">
        <v>88</v>
      </c>
      <c r="T65" t="s">
        <v>88</v>
      </c>
      <c r="U65" t="s">
        <v>20</v>
      </c>
    </row>
    <row r="66" spans="1:21" x14ac:dyDescent="0.45">
      <c r="A66" s="79">
        <v>50442128</v>
      </c>
      <c r="B66" s="72" t="str">
        <f t="shared" si="0"/>
        <v>5.044.212-8</v>
      </c>
      <c r="C66" s="22" t="s">
        <v>46</v>
      </c>
      <c r="D66" s="29" t="s">
        <v>285</v>
      </c>
      <c r="E66" s="29" t="s">
        <v>561</v>
      </c>
      <c r="F66" s="29" t="s">
        <v>1070</v>
      </c>
      <c r="G66" s="49">
        <v>45447</v>
      </c>
      <c r="H66" s="49">
        <v>45453</v>
      </c>
      <c r="I66" s="29" t="s">
        <v>22</v>
      </c>
      <c r="J66" s="29" t="s">
        <v>13</v>
      </c>
      <c r="K66" s="24" t="s">
        <v>43</v>
      </c>
      <c r="L66" s="49">
        <v>45450</v>
      </c>
      <c r="M66" s="49">
        <v>45453</v>
      </c>
      <c r="N66" s="25">
        <f t="shared" si="2"/>
        <v>3</v>
      </c>
      <c r="O66" s="29"/>
      <c r="P66" t="s">
        <v>88</v>
      </c>
      <c r="Q66" t="s">
        <v>88</v>
      </c>
      <c r="R66" t="s">
        <v>88</v>
      </c>
      <c r="S66" t="s">
        <v>88</v>
      </c>
      <c r="T66" t="s">
        <v>88</v>
      </c>
      <c r="U66" t="s">
        <v>20</v>
      </c>
    </row>
    <row r="67" spans="1:21" x14ac:dyDescent="0.45">
      <c r="A67" s="79">
        <v>87017893</v>
      </c>
      <c r="B67" s="72" t="str">
        <f t="shared" si="0"/>
        <v>8.701.789-3</v>
      </c>
      <c r="C67" s="22" t="s">
        <v>46</v>
      </c>
      <c r="D67" s="29" t="s">
        <v>736</v>
      </c>
      <c r="E67" s="29" t="s">
        <v>488</v>
      </c>
      <c r="F67" s="29" t="s">
        <v>362</v>
      </c>
      <c r="G67" s="49">
        <v>45448</v>
      </c>
      <c r="H67" s="49">
        <v>45453</v>
      </c>
      <c r="I67" s="29" t="s">
        <v>66</v>
      </c>
      <c r="J67" s="29" t="s">
        <v>13</v>
      </c>
      <c r="K67" s="24" t="s">
        <v>51</v>
      </c>
      <c r="L67" s="49">
        <v>45449</v>
      </c>
      <c r="M67" s="49">
        <v>45453</v>
      </c>
      <c r="N67" s="25">
        <f t="shared" si="2"/>
        <v>4</v>
      </c>
      <c r="O67" s="29"/>
      <c r="P67" t="s">
        <v>88</v>
      </c>
      <c r="Q67" t="s">
        <v>88</v>
      </c>
      <c r="R67" t="s">
        <v>88</v>
      </c>
      <c r="S67" t="s">
        <v>88</v>
      </c>
      <c r="T67" t="s">
        <v>88</v>
      </c>
      <c r="U67" t="s">
        <v>20</v>
      </c>
    </row>
    <row r="68" spans="1:21" x14ac:dyDescent="0.45">
      <c r="A68" s="79">
        <v>159922936</v>
      </c>
      <c r="B68" s="72" t="str">
        <f t="shared" si="0"/>
        <v>15.992.293-6</v>
      </c>
      <c r="C68" s="22" t="s">
        <v>46</v>
      </c>
      <c r="D68" s="29" t="s">
        <v>344</v>
      </c>
      <c r="E68" s="29" t="s">
        <v>344</v>
      </c>
      <c r="F68" s="29" t="s">
        <v>380</v>
      </c>
      <c r="G68" s="49">
        <v>45433</v>
      </c>
      <c r="H68" s="29"/>
      <c r="I68" s="29" t="s">
        <v>54</v>
      </c>
      <c r="J68" s="29"/>
      <c r="K68" s="24" t="s">
        <v>47</v>
      </c>
      <c r="L68" s="49">
        <v>45444</v>
      </c>
      <c r="M68" s="49">
        <v>45454</v>
      </c>
      <c r="N68" s="25">
        <f t="shared" si="2"/>
        <v>10</v>
      </c>
      <c r="O68" s="29"/>
      <c r="P68" t="s">
        <v>88</v>
      </c>
      <c r="Q68" t="s">
        <v>88</v>
      </c>
      <c r="R68" t="s">
        <v>88</v>
      </c>
      <c r="S68" t="s">
        <v>88</v>
      </c>
      <c r="T68" t="s">
        <v>88</v>
      </c>
      <c r="U68" t="s">
        <v>20</v>
      </c>
    </row>
    <row r="69" spans="1:21" x14ac:dyDescent="0.45">
      <c r="A69" s="79">
        <v>93690087</v>
      </c>
      <c r="B69" s="72" t="str">
        <f t="shared" si="0"/>
        <v>9.369.008-7</v>
      </c>
      <c r="C69" s="22" t="s">
        <v>46</v>
      </c>
      <c r="D69" s="29" t="s">
        <v>439</v>
      </c>
      <c r="E69" s="29" t="s">
        <v>253</v>
      </c>
      <c r="F69" s="29" t="s">
        <v>440</v>
      </c>
      <c r="G69" s="49">
        <v>45446</v>
      </c>
      <c r="H69" s="49">
        <v>45457</v>
      </c>
      <c r="I69" s="29" t="s">
        <v>54</v>
      </c>
      <c r="J69" s="29" t="s">
        <v>13</v>
      </c>
      <c r="K69" s="24" t="s">
        <v>47</v>
      </c>
      <c r="L69" s="49">
        <v>45447</v>
      </c>
      <c r="M69" s="49">
        <v>45457</v>
      </c>
      <c r="N69" s="25">
        <f t="shared" si="2"/>
        <v>10</v>
      </c>
      <c r="O69" s="29"/>
      <c r="P69" t="s">
        <v>106</v>
      </c>
      <c r="Q69" t="s">
        <v>88</v>
      </c>
      <c r="R69" t="s">
        <v>88</v>
      </c>
      <c r="S69" t="s">
        <v>88</v>
      </c>
      <c r="T69" t="s">
        <v>88</v>
      </c>
      <c r="U69" t="s">
        <v>20</v>
      </c>
    </row>
    <row r="70" spans="1:21" x14ac:dyDescent="0.45">
      <c r="A70" s="79">
        <v>152237081</v>
      </c>
      <c r="B70" s="72" t="str">
        <f t="shared" si="0"/>
        <v>15.223.708-1</v>
      </c>
      <c r="C70" s="22" t="s">
        <v>22</v>
      </c>
      <c r="D70" s="29" t="s">
        <v>1116</v>
      </c>
      <c r="E70" s="29" t="s">
        <v>482</v>
      </c>
      <c r="F70" s="29" t="s">
        <v>485</v>
      </c>
      <c r="G70" s="49">
        <v>45449</v>
      </c>
      <c r="H70" s="49">
        <v>45453</v>
      </c>
      <c r="I70" s="29" t="s">
        <v>61</v>
      </c>
      <c r="J70" s="29" t="s">
        <v>66</v>
      </c>
      <c r="K70" s="24" t="s">
        <v>43</v>
      </c>
      <c r="L70" s="49">
        <v>45444</v>
      </c>
      <c r="M70" s="49">
        <v>45453</v>
      </c>
      <c r="N70" s="25">
        <f t="shared" si="2"/>
        <v>9</v>
      </c>
      <c r="O70" s="29"/>
      <c r="P70" t="s">
        <v>88</v>
      </c>
      <c r="Q70" t="s">
        <v>88</v>
      </c>
      <c r="R70" t="s">
        <v>88</v>
      </c>
      <c r="S70" t="s">
        <v>88</v>
      </c>
      <c r="T70" t="s">
        <v>88</v>
      </c>
      <c r="U70" t="s">
        <v>20</v>
      </c>
    </row>
    <row r="71" spans="1:21" x14ac:dyDescent="0.45">
      <c r="A71" s="79">
        <v>152237081</v>
      </c>
      <c r="B71" s="72" t="str">
        <f t="shared" si="0"/>
        <v>15.223.708-1</v>
      </c>
      <c r="C71" s="22" t="s">
        <v>22</v>
      </c>
      <c r="D71" s="29" t="s">
        <v>1116</v>
      </c>
      <c r="E71" s="29" t="s">
        <v>482</v>
      </c>
      <c r="F71" s="29" t="s">
        <v>485</v>
      </c>
      <c r="G71" s="49">
        <v>45449</v>
      </c>
      <c r="H71" s="49">
        <v>45453</v>
      </c>
      <c r="I71" s="29" t="s">
        <v>61</v>
      </c>
      <c r="J71" s="29" t="s">
        <v>66</v>
      </c>
      <c r="K71" s="24" t="s">
        <v>47</v>
      </c>
      <c r="L71" s="49">
        <v>45444</v>
      </c>
      <c r="M71" s="49">
        <v>45453</v>
      </c>
      <c r="N71" s="25">
        <f t="shared" si="2"/>
        <v>9</v>
      </c>
      <c r="O71" s="29"/>
      <c r="P71" t="s">
        <v>88</v>
      </c>
      <c r="Q71" t="s">
        <v>88</v>
      </c>
      <c r="R71" t="s">
        <v>88</v>
      </c>
      <c r="S71" t="s">
        <v>88</v>
      </c>
      <c r="T71" t="s">
        <v>88</v>
      </c>
      <c r="U71" t="s">
        <v>20</v>
      </c>
    </row>
    <row r="72" spans="1:21" x14ac:dyDescent="0.45">
      <c r="A72" s="79">
        <v>125542425</v>
      </c>
      <c r="B72" s="72" t="str">
        <f t="shared" ref="B72:B135" si="3">IF(LEN(A72)=8,MID(A72,1,1)&amp;"."&amp;MID(A72,2,3)&amp;"."&amp;MID(A72,5,3)&amp;"-"&amp;RIGHT(A72,1),IF(LEFT(RIGHT(A72,2),1)="-",MID(A72,1,1)&amp;"."&amp;MID(A72,2,3)&amp;"."&amp;MID(A72,5,3)&amp;"-"&amp;RIGHT(A72,1),MID(A72,1,2)&amp;"."&amp;MID(A72,3,3)&amp;"."&amp;MID(A72,6,3)&amp;"-"&amp;MID(A72,9,1)))</f>
        <v>12.554.242-5</v>
      </c>
      <c r="C72" s="22" t="s">
        <v>22</v>
      </c>
      <c r="D72" s="29" t="s">
        <v>1117</v>
      </c>
      <c r="E72" s="29" t="s">
        <v>1118</v>
      </c>
      <c r="F72" s="29" t="s">
        <v>1119</v>
      </c>
      <c r="G72" s="49">
        <v>45449</v>
      </c>
      <c r="H72" s="49">
        <v>45453</v>
      </c>
      <c r="I72" s="29" t="s">
        <v>22</v>
      </c>
      <c r="J72" s="29" t="s">
        <v>13</v>
      </c>
      <c r="K72" s="24" t="s">
        <v>43</v>
      </c>
      <c r="L72" s="49">
        <v>45445</v>
      </c>
      <c r="M72" s="49">
        <v>45453</v>
      </c>
      <c r="N72" s="25">
        <f t="shared" ref="N72:N103" si="4">+M72-L72</f>
        <v>8</v>
      </c>
      <c r="O72" s="29"/>
      <c r="P72" t="s">
        <v>88</v>
      </c>
      <c r="Q72" t="s">
        <v>88</v>
      </c>
      <c r="R72" t="s">
        <v>88</v>
      </c>
      <c r="S72" t="s">
        <v>88</v>
      </c>
      <c r="T72" t="s">
        <v>88</v>
      </c>
      <c r="U72" t="s">
        <v>20</v>
      </c>
    </row>
    <row r="73" spans="1:21" x14ac:dyDescent="0.45">
      <c r="A73" s="79">
        <v>67822749</v>
      </c>
      <c r="B73" s="72" t="str">
        <f t="shared" si="3"/>
        <v>6.782.274-9</v>
      </c>
      <c r="C73" s="22" t="s">
        <v>22</v>
      </c>
      <c r="D73" s="29" t="s">
        <v>339</v>
      </c>
      <c r="E73" s="29" t="s">
        <v>252</v>
      </c>
      <c r="F73" s="29" t="s">
        <v>1120</v>
      </c>
      <c r="G73" s="49">
        <v>45444</v>
      </c>
      <c r="H73" s="49">
        <v>45450</v>
      </c>
      <c r="I73" s="29" t="s">
        <v>22</v>
      </c>
      <c r="J73" s="29" t="s">
        <v>22</v>
      </c>
      <c r="K73" s="24" t="s">
        <v>43</v>
      </c>
      <c r="L73" s="49">
        <v>45445</v>
      </c>
      <c r="M73" s="49">
        <v>45450</v>
      </c>
      <c r="N73" s="25">
        <f t="shared" si="4"/>
        <v>5</v>
      </c>
      <c r="O73" s="29"/>
      <c r="P73" t="s">
        <v>88</v>
      </c>
      <c r="Q73" t="s">
        <v>88</v>
      </c>
      <c r="R73" t="s">
        <v>88</v>
      </c>
      <c r="S73" t="s">
        <v>88</v>
      </c>
      <c r="T73" t="s">
        <v>88</v>
      </c>
      <c r="U73" t="s">
        <v>20</v>
      </c>
    </row>
    <row r="74" spans="1:21" x14ac:dyDescent="0.45">
      <c r="A74" s="79">
        <v>85413171</v>
      </c>
      <c r="B74" s="72" t="str">
        <f t="shared" si="3"/>
        <v>8.541.317-1</v>
      </c>
      <c r="C74" s="22" t="s">
        <v>22</v>
      </c>
      <c r="D74" s="29" t="s">
        <v>788</v>
      </c>
      <c r="E74" s="29" t="s">
        <v>439</v>
      </c>
      <c r="F74" s="29" t="s">
        <v>1026</v>
      </c>
      <c r="G74" s="49">
        <v>45448</v>
      </c>
      <c r="H74" s="49">
        <v>45450</v>
      </c>
      <c r="I74" s="29" t="s">
        <v>22</v>
      </c>
      <c r="J74" s="29" t="s">
        <v>56</v>
      </c>
      <c r="K74" s="24" t="s">
        <v>43</v>
      </c>
      <c r="L74" s="49">
        <v>45444</v>
      </c>
      <c r="M74" s="49">
        <v>45450</v>
      </c>
      <c r="N74" s="25">
        <f t="shared" si="4"/>
        <v>6</v>
      </c>
      <c r="O74" s="29"/>
      <c r="P74" t="s">
        <v>88</v>
      </c>
      <c r="Q74" t="s">
        <v>88</v>
      </c>
      <c r="R74" t="s">
        <v>88</v>
      </c>
      <c r="S74" t="s">
        <v>88</v>
      </c>
      <c r="T74" t="s">
        <v>88</v>
      </c>
      <c r="U74" t="s">
        <v>20</v>
      </c>
    </row>
    <row r="75" spans="1:21" x14ac:dyDescent="0.45">
      <c r="A75" s="79">
        <v>85413171</v>
      </c>
      <c r="B75" s="72" t="str">
        <f t="shared" si="3"/>
        <v>8.541.317-1</v>
      </c>
      <c r="C75" s="22" t="s">
        <v>22</v>
      </c>
      <c r="D75" s="29" t="s">
        <v>788</v>
      </c>
      <c r="E75" s="29" t="s">
        <v>439</v>
      </c>
      <c r="F75" s="29" t="s">
        <v>1026</v>
      </c>
      <c r="G75" s="49">
        <v>45448</v>
      </c>
      <c r="H75" s="49">
        <v>45450</v>
      </c>
      <c r="I75" s="29" t="s">
        <v>22</v>
      </c>
      <c r="J75" s="29" t="s">
        <v>56</v>
      </c>
      <c r="K75" s="24" t="s">
        <v>47</v>
      </c>
      <c r="L75" s="49">
        <v>45444</v>
      </c>
      <c r="M75" s="49">
        <v>45450</v>
      </c>
      <c r="N75" s="25">
        <f t="shared" si="4"/>
        <v>6</v>
      </c>
      <c r="O75" s="29"/>
      <c r="P75" t="s">
        <v>88</v>
      </c>
      <c r="Q75" t="s">
        <v>88</v>
      </c>
      <c r="R75" t="s">
        <v>88</v>
      </c>
      <c r="S75" t="s">
        <v>88</v>
      </c>
      <c r="T75" t="s">
        <v>88</v>
      </c>
      <c r="U75" t="s">
        <v>20</v>
      </c>
    </row>
    <row r="76" spans="1:21" x14ac:dyDescent="0.45">
      <c r="A76" s="79">
        <v>61155171</v>
      </c>
      <c r="B76" s="72" t="str">
        <f t="shared" si="3"/>
        <v>6.115.517-1</v>
      </c>
      <c r="C76" s="22" t="s">
        <v>22</v>
      </c>
      <c r="D76" s="29" t="s">
        <v>322</v>
      </c>
      <c r="E76" s="29" t="s">
        <v>788</v>
      </c>
      <c r="F76" s="29" t="s">
        <v>925</v>
      </c>
      <c r="G76" s="49">
        <v>45449</v>
      </c>
      <c r="H76" s="49">
        <v>45453</v>
      </c>
      <c r="I76" s="29" t="s">
        <v>54</v>
      </c>
      <c r="J76" s="29" t="s">
        <v>22</v>
      </c>
      <c r="K76" s="24" t="s">
        <v>43</v>
      </c>
      <c r="L76" s="49">
        <v>45449</v>
      </c>
      <c r="M76" s="49">
        <v>45453</v>
      </c>
      <c r="N76" s="25">
        <f t="shared" si="4"/>
        <v>4</v>
      </c>
      <c r="O76" s="70" t="s">
        <v>14</v>
      </c>
      <c r="P76" t="s">
        <v>88</v>
      </c>
      <c r="Q76" t="s">
        <v>88</v>
      </c>
      <c r="R76" t="s">
        <v>88</v>
      </c>
      <c r="S76" t="s">
        <v>88</v>
      </c>
      <c r="T76" t="s">
        <v>88</v>
      </c>
      <c r="U76" t="s">
        <v>20</v>
      </c>
    </row>
    <row r="77" spans="1:21" x14ac:dyDescent="0.45">
      <c r="A77" s="79">
        <v>61155171</v>
      </c>
      <c r="B77" s="72" t="str">
        <f t="shared" si="3"/>
        <v>6.115.517-1</v>
      </c>
      <c r="C77" s="22" t="s">
        <v>22</v>
      </c>
      <c r="D77" s="29" t="s">
        <v>322</v>
      </c>
      <c r="E77" s="29" t="s">
        <v>788</v>
      </c>
      <c r="F77" s="29" t="s">
        <v>925</v>
      </c>
      <c r="G77" s="49">
        <v>45449</v>
      </c>
      <c r="H77" s="49">
        <v>45453</v>
      </c>
      <c r="I77" s="29" t="s">
        <v>54</v>
      </c>
      <c r="J77" s="29" t="s">
        <v>22</v>
      </c>
      <c r="K77" s="24" t="s">
        <v>23</v>
      </c>
      <c r="L77" s="49">
        <v>45453</v>
      </c>
      <c r="M77" s="49">
        <v>45453</v>
      </c>
      <c r="N77" s="25">
        <f t="shared" si="4"/>
        <v>0</v>
      </c>
      <c r="O77" s="70"/>
      <c r="P77" t="s">
        <v>98</v>
      </c>
      <c r="Q77" t="s">
        <v>88</v>
      </c>
      <c r="R77" t="s">
        <v>88</v>
      </c>
      <c r="S77" t="s">
        <v>88</v>
      </c>
      <c r="T77" t="s">
        <v>88</v>
      </c>
      <c r="U77" t="s">
        <v>14</v>
      </c>
    </row>
    <row r="78" spans="1:21" x14ac:dyDescent="0.45">
      <c r="A78" s="79">
        <v>61155171</v>
      </c>
      <c r="B78" s="72" t="str">
        <f t="shared" si="3"/>
        <v>6.115.517-1</v>
      </c>
      <c r="C78" s="22" t="s">
        <v>22</v>
      </c>
      <c r="D78" s="29" t="s">
        <v>322</v>
      </c>
      <c r="E78" s="29" t="s">
        <v>788</v>
      </c>
      <c r="F78" s="29" t="s">
        <v>925</v>
      </c>
      <c r="G78" s="49">
        <v>45449</v>
      </c>
      <c r="H78" s="49">
        <v>45453</v>
      </c>
      <c r="I78" s="29" t="s">
        <v>54</v>
      </c>
      <c r="J78" s="29" t="s">
        <v>22</v>
      </c>
      <c r="K78" s="24" t="s">
        <v>47</v>
      </c>
      <c r="L78" s="49">
        <v>45449</v>
      </c>
      <c r="M78" s="49">
        <v>45453</v>
      </c>
      <c r="N78" s="25">
        <f t="shared" si="4"/>
        <v>4</v>
      </c>
      <c r="O78" s="29"/>
      <c r="P78" t="s">
        <v>88</v>
      </c>
      <c r="Q78" t="s">
        <v>88</v>
      </c>
      <c r="R78" t="s">
        <v>88</v>
      </c>
      <c r="S78" t="s">
        <v>88</v>
      </c>
      <c r="T78" t="s">
        <v>88</v>
      </c>
      <c r="U78" t="s">
        <v>20</v>
      </c>
    </row>
    <row r="79" spans="1:21" x14ac:dyDescent="0.45">
      <c r="A79" s="79">
        <v>90584839</v>
      </c>
      <c r="B79" s="72" t="str">
        <f t="shared" si="3"/>
        <v>9.058.483-9</v>
      </c>
      <c r="C79" s="22" t="s">
        <v>22</v>
      </c>
      <c r="D79" s="29" t="s">
        <v>1078</v>
      </c>
      <c r="E79" s="29" t="s">
        <v>393</v>
      </c>
      <c r="F79" s="29" t="s">
        <v>250</v>
      </c>
      <c r="G79" s="49">
        <v>45440</v>
      </c>
      <c r="H79" s="49">
        <v>45455</v>
      </c>
      <c r="I79" s="29" t="s">
        <v>54</v>
      </c>
      <c r="J79" s="29" t="s">
        <v>22</v>
      </c>
      <c r="K79" s="24" t="s">
        <v>43</v>
      </c>
      <c r="L79" s="49">
        <v>45444</v>
      </c>
      <c r="M79" s="49">
        <v>45455</v>
      </c>
      <c r="N79" s="25">
        <f t="shared" si="4"/>
        <v>11</v>
      </c>
      <c r="O79" s="29"/>
      <c r="P79" t="s">
        <v>90</v>
      </c>
      <c r="Q79" t="s">
        <v>88</v>
      </c>
      <c r="R79" t="s">
        <v>88</v>
      </c>
      <c r="S79" t="s">
        <v>88</v>
      </c>
      <c r="T79" t="s">
        <v>88</v>
      </c>
      <c r="U79" t="s">
        <v>20</v>
      </c>
    </row>
    <row r="80" spans="1:21" x14ac:dyDescent="0.45">
      <c r="A80" s="79">
        <v>90584839</v>
      </c>
      <c r="B80" s="72" t="str">
        <f t="shared" si="3"/>
        <v>9.058.483-9</v>
      </c>
      <c r="C80" s="22" t="s">
        <v>22</v>
      </c>
      <c r="D80" s="29" t="s">
        <v>1078</v>
      </c>
      <c r="E80" s="29" t="s">
        <v>393</v>
      </c>
      <c r="F80" s="29" t="s">
        <v>250</v>
      </c>
      <c r="G80" s="49">
        <v>45440</v>
      </c>
      <c r="H80" s="49">
        <v>45455</v>
      </c>
      <c r="I80" s="29" t="s">
        <v>54</v>
      </c>
      <c r="J80" s="29" t="s">
        <v>22</v>
      </c>
      <c r="K80" s="24" t="s">
        <v>47</v>
      </c>
      <c r="L80" s="49">
        <v>45444</v>
      </c>
      <c r="M80" s="49">
        <v>45455</v>
      </c>
      <c r="N80" s="25">
        <f t="shared" si="4"/>
        <v>11</v>
      </c>
      <c r="O80" s="29"/>
      <c r="P80" t="s">
        <v>88</v>
      </c>
      <c r="Q80" t="s">
        <v>88</v>
      </c>
      <c r="R80" t="s">
        <v>88</v>
      </c>
      <c r="S80" t="s">
        <v>88</v>
      </c>
      <c r="T80" t="s">
        <v>88</v>
      </c>
      <c r="U80" t="s">
        <v>20</v>
      </c>
    </row>
    <row r="81" spans="1:21" x14ac:dyDescent="0.45">
      <c r="A81" s="79">
        <v>90584839</v>
      </c>
      <c r="B81" s="72" t="str">
        <f t="shared" si="3"/>
        <v>9.058.483-9</v>
      </c>
      <c r="C81" s="22" t="s">
        <v>22</v>
      </c>
      <c r="D81" s="29" t="s">
        <v>1078</v>
      </c>
      <c r="E81" s="29" t="s">
        <v>393</v>
      </c>
      <c r="F81" s="29" t="s">
        <v>250</v>
      </c>
      <c r="G81" s="49">
        <v>45440</v>
      </c>
      <c r="H81" s="49">
        <v>45455</v>
      </c>
      <c r="I81" s="29" t="s">
        <v>54</v>
      </c>
      <c r="J81" s="29" t="s">
        <v>22</v>
      </c>
      <c r="K81" s="24" t="s">
        <v>55</v>
      </c>
      <c r="L81" s="49">
        <v>45449</v>
      </c>
      <c r="M81" s="49">
        <v>45451</v>
      </c>
      <c r="N81" s="25">
        <f t="shared" si="4"/>
        <v>2</v>
      </c>
      <c r="O81" s="29"/>
      <c r="P81" t="s">
        <v>88</v>
      </c>
      <c r="Q81" t="s">
        <v>88</v>
      </c>
      <c r="R81" t="s">
        <v>88</v>
      </c>
      <c r="S81" t="s">
        <v>88</v>
      </c>
      <c r="T81" t="s">
        <v>88</v>
      </c>
      <c r="U81" t="s">
        <v>20</v>
      </c>
    </row>
    <row r="82" spans="1:21" x14ac:dyDescent="0.45">
      <c r="A82" s="79">
        <v>58341290</v>
      </c>
      <c r="B82" s="72" t="str">
        <f t="shared" si="3"/>
        <v>5.834.129-0</v>
      </c>
      <c r="C82" s="22" t="s">
        <v>22</v>
      </c>
      <c r="D82" s="29" t="s">
        <v>381</v>
      </c>
      <c r="E82" s="29" t="s">
        <v>1121</v>
      </c>
      <c r="F82" s="29" t="s">
        <v>733</v>
      </c>
      <c r="G82" s="49">
        <v>45450</v>
      </c>
      <c r="H82" s="49">
        <v>45450</v>
      </c>
      <c r="I82" s="29" t="s">
        <v>54</v>
      </c>
      <c r="J82" s="29" t="s">
        <v>19</v>
      </c>
      <c r="K82" s="24" t="s">
        <v>43</v>
      </c>
      <c r="L82" s="49">
        <v>45450</v>
      </c>
      <c r="M82" s="49">
        <v>45450</v>
      </c>
      <c r="N82" s="25">
        <f t="shared" si="4"/>
        <v>0</v>
      </c>
      <c r="O82" s="29"/>
      <c r="P82" t="s">
        <v>88</v>
      </c>
      <c r="Q82" t="s">
        <v>88</v>
      </c>
      <c r="R82" t="s">
        <v>88</v>
      </c>
      <c r="S82" t="s">
        <v>88</v>
      </c>
      <c r="T82" t="s">
        <v>88</v>
      </c>
      <c r="U82" t="s">
        <v>20</v>
      </c>
    </row>
    <row r="83" spans="1:21" x14ac:dyDescent="0.45">
      <c r="A83" s="79">
        <v>58341290</v>
      </c>
      <c r="B83" s="72" t="str">
        <f t="shared" si="3"/>
        <v>5.834.129-0</v>
      </c>
      <c r="C83" s="22" t="s">
        <v>22</v>
      </c>
      <c r="D83" s="29" t="s">
        <v>381</v>
      </c>
      <c r="E83" s="29" t="s">
        <v>1121</v>
      </c>
      <c r="F83" s="29" t="s">
        <v>733</v>
      </c>
      <c r="G83" s="49">
        <v>45450</v>
      </c>
      <c r="H83" s="49">
        <v>45450</v>
      </c>
      <c r="I83" s="29" t="s">
        <v>54</v>
      </c>
      <c r="J83" s="29" t="s">
        <v>19</v>
      </c>
      <c r="K83" s="24" t="s">
        <v>47</v>
      </c>
      <c r="L83" s="49">
        <v>45450</v>
      </c>
      <c r="M83" s="49">
        <v>45450</v>
      </c>
      <c r="N83" s="25">
        <f t="shared" si="4"/>
        <v>0</v>
      </c>
      <c r="O83" s="29"/>
      <c r="P83" t="s">
        <v>88</v>
      </c>
      <c r="Q83" t="s">
        <v>88</v>
      </c>
      <c r="R83" t="s">
        <v>88</v>
      </c>
      <c r="S83" t="s">
        <v>88</v>
      </c>
      <c r="T83" t="s">
        <v>88</v>
      </c>
      <c r="U83" t="s">
        <v>20</v>
      </c>
    </row>
    <row r="84" spans="1:21" x14ac:dyDescent="0.45">
      <c r="A84" s="79">
        <v>58341290</v>
      </c>
      <c r="B84" s="72" t="str">
        <f t="shared" si="3"/>
        <v>5.834.129-0</v>
      </c>
      <c r="C84" s="22" t="s">
        <v>22</v>
      </c>
      <c r="D84" s="29" t="s">
        <v>381</v>
      </c>
      <c r="E84" s="29" t="s">
        <v>1122</v>
      </c>
      <c r="F84" s="29" t="s">
        <v>733</v>
      </c>
      <c r="G84" s="49">
        <v>45450</v>
      </c>
      <c r="H84" s="49">
        <v>45450</v>
      </c>
      <c r="I84" s="29" t="s">
        <v>54</v>
      </c>
      <c r="J84" s="29" t="s">
        <v>19</v>
      </c>
      <c r="K84" s="24" t="s">
        <v>55</v>
      </c>
      <c r="L84" s="49">
        <v>45450</v>
      </c>
      <c r="M84" s="49">
        <v>45450</v>
      </c>
      <c r="N84" s="25">
        <f t="shared" si="4"/>
        <v>0</v>
      </c>
      <c r="O84" s="29"/>
      <c r="P84" t="s">
        <v>88</v>
      </c>
      <c r="Q84" t="s">
        <v>88</v>
      </c>
      <c r="R84" t="s">
        <v>88</v>
      </c>
      <c r="S84" t="s">
        <v>88</v>
      </c>
      <c r="T84" t="s">
        <v>88</v>
      </c>
      <c r="U84" t="s">
        <v>20</v>
      </c>
    </row>
    <row r="85" spans="1:21" x14ac:dyDescent="0.45">
      <c r="A85" s="79">
        <v>97994064</v>
      </c>
      <c r="B85" s="72" t="str">
        <f t="shared" si="3"/>
        <v>9.799.406-4</v>
      </c>
      <c r="C85" s="22" t="s">
        <v>22</v>
      </c>
      <c r="D85" s="29" t="s">
        <v>439</v>
      </c>
      <c r="E85" s="29" t="s">
        <v>558</v>
      </c>
      <c r="F85" s="29" t="s">
        <v>472</v>
      </c>
      <c r="G85" s="49">
        <v>45446</v>
      </c>
      <c r="H85" s="49">
        <v>45451</v>
      </c>
      <c r="I85" s="29" t="s">
        <v>54</v>
      </c>
      <c r="J85" s="29" t="s">
        <v>22</v>
      </c>
      <c r="K85" s="24" t="s">
        <v>43</v>
      </c>
      <c r="L85" s="49">
        <v>45446</v>
      </c>
      <c r="M85" s="49">
        <v>45451</v>
      </c>
      <c r="N85" s="25">
        <f t="shared" si="4"/>
        <v>5</v>
      </c>
      <c r="O85" s="29"/>
      <c r="P85" t="s">
        <v>88</v>
      </c>
      <c r="Q85" t="s">
        <v>88</v>
      </c>
      <c r="R85" t="s">
        <v>88</v>
      </c>
      <c r="S85" t="s">
        <v>88</v>
      </c>
      <c r="T85" t="s">
        <v>88</v>
      </c>
      <c r="U85" t="s">
        <v>20</v>
      </c>
    </row>
    <row r="86" spans="1:21" x14ac:dyDescent="0.45">
      <c r="A86" s="79">
        <v>97994064</v>
      </c>
      <c r="B86" s="72" t="str">
        <f t="shared" si="3"/>
        <v>9.799.406-4</v>
      </c>
      <c r="C86" s="22" t="s">
        <v>22</v>
      </c>
      <c r="D86" s="29" t="s">
        <v>439</v>
      </c>
      <c r="E86" s="29" t="s">
        <v>558</v>
      </c>
      <c r="F86" s="29" t="s">
        <v>472</v>
      </c>
      <c r="G86" s="49">
        <v>45446</v>
      </c>
      <c r="H86" s="49">
        <v>45451</v>
      </c>
      <c r="I86" s="29" t="s">
        <v>54</v>
      </c>
      <c r="J86" s="29" t="s">
        <v>22</v>
      </c>
      <c r="K86" s="24" t="s">
        <v>47</v>
      </c>
      <c r="L86" s="49">
        <v>45446</v>
      </c>
      <c r="M86" s="49">
        <v>45451</v>
      </c>
      <c r="N86" s="25">
        <f t="shared" si="4"/>
        <v>5</v>
      </c>
      <c r="O86" s="29"/>
      <c r="P86" t="s">
        <v>88</v>
      </c>
      <c r="Q86" t="s">
        <v>88</v>
      </c>
      <c r="R86" t="s">
        <v>88</v>
      </c>
      <c r="S86" t="s">
        <v>88</v>
      </c>
      <c r="T86" t="s">
        <v>88</v>
      </c>
      <c r="U86" t="s">
        <v>20</v>
      </c>
    </row>
    <row r="87" spans="1:21" x14ac:dyDescent="0.45">
      <c r="A87" s="79">
        <v>97994064</v>
      </c>
      <c r="B87" s="72" t="str">
        <f t="shared" si="3"/>
        <v>9.799.406-4</v>
      </c>
      <c r="C87" s="22" t="s">
        <v>22</v>
      </c>
      <c r="D87" s="29" t="s">
        <v>439</v>
      </c>
      <c r="E87" s="29" t="s">
        <v>558</v>
      </c>
      <c r="F87" s="29" t="s">
        <v>472</v>
      </c>
      <c r="G87" s="49">
        <v>45446</v>
      </c>
      <c r="H87" s="49">
        <v>45451</v>
      </c>
      <c r="I87" s="29" t="s">
        <v>54</v>
      </c>
      <c r="J87" s="29" t="s">
        <v>22</v>
      </c>
      <c r="K87" s="24" t="s">
        <v>55</v>
      </c>
      <c r="L87" s="49">
        <v>45446</v>
      </c>
      <c r="M87" s="49">
        <v>45451</v>
      </c>
      <c r="N87" s="25">
        <f t="shared" si="4"/>
        <v>5</v>
      </c>
      <c r="O87" s="29"/>
      <c r="P87" t="s">
        <v>132</v>
      </c>
      <c r="Q87" t="s">
        <v>88</v>
      </c>
      <c r="R87" t="s">
        <v>88</v>
      </c>
      <c r="S87" t="s">
        <v>88</v>
      </c>
      <c r="T87" t="s">
        <v>88</v>
      </c>
      <c r="U87" t="s">
        <v>20</v>
      </c>
    </row>
    <row r="88" spans="1:21" x14ac:dyDescent="0.45">
      <c r="A88" s="79">
        <v>62722363</v>
      </c>
      <c r="B88" s="72" t="str">
        <f t="shared" si="3"/>
        <v>6.272.236-3</v>
      </c>
      <c r="C88" s="22" t="s">
        <v>22</v>
      </c>
      <c r="D88" s="29" t="s">
        <v>501</v>
      </c>
      <c r="E88" s="29" t="s">
        <v>315</v>
      </c>
      <c r="F88" s="29" t="s">
        <v>348</v>
      </c>
      <c r="G88" s="49">
        <v>45446</v>
      </c>
      <c r="H88" s="49">
        <v>45465</v>
      </c>
      <c r="I88" s="29" t="s">
        <v>54</v>
      </c>
      <c r="J88" s="29" t="s">
        <v>22</v>
      </c>
      <c r="K88" s="24" t="s">
        <v>43</v>
      </c>
      <c r="L88" s="49">
        <v>45447</v>
      </c>
      <c r="M88" s="49">
        <v>45465</v>
      </c>
      <c r="N88" s="25">
        <f t="shared" si="4"/>
        <v>18</v>
      </c>
      <c r="O88" s="29"/>
      <c r="P88" t="s">
        <v>88</v>
      </c>
      <c r="Q88" t="s">
        <v>88</v>
      </c>
      <c r="R88" t="s">
        <v>88</v>
      </c>
      <c r="S88" t="s">
        <v>88</v>
      </c>
      <c r="T88" t="s">
        <v>88</v>
      </c>
      <c r="U88" t="s">
        <v>20</v>
      </c>
    </row>
    <row r="89" spans="1:21" x14ac:dyDescent="0.45">
      <c r="A89" s="79">
        <v>62722363</v>
      </c>
      <c r="B89" s="72" t="str">
        <f t="shared" si="3"/>
        <v>6.272.236-3</v>
      </c>
      <c r="C89" s="22" t="s">
        <v>22</v>
      </c>
      <c r="D89" s="29" t="s">
        <v>501</v>
      </c>
      <c r="E89" s="29" t="s">
        <v>315</v>
      </c>
      <c r="F89" s="29" t="s">
        <v>348</v>
      </c>
      <c r="G89" s="49">
        <v>45446</v>
      </c>
      <c r="H89" s="49">
        <v>45465</v>
      </c>
      <c r="I89" s="29" t="s">
        <v>54</v>
      </c>
      <c r="J89" s="29" t="s">
        <v>22</v>
      </c>
      <c r="K89" s="24" t="s">
        <v>47</v>
      </c>
      <c r="L89" s="49">
        <v>45446</v>
      </c>
      <c r="M89" s="49">
        <v>45465</v>
      </c>
      <c r="N89" s="25">
        <f t="shared" si="4"/>
        <v>19</v>
      </c>
      <c r="O89" s="70" t="s">
        <v>14</v>
      </c>
      <c r="P89" t="s">
        <v>88</v>
      </c>
      <c r="Q89" t="s">
        <v>88</v>
      </c>
      <c r="R89" t="s">
        <v>88</v>
      </c>
      <c r="S89" t="s">
        <v>88</v>
      </c>
      <c r="T89" t="s">
        <v>88</v>
      </c>
      <c r="U89" t="s">
        <v>20</v>
      </c>
    </row>
    <row r="90" spans="1:21" x14ac:dyDescent="0.45">
      <c r="A90" s="79">
        <v>62722363</v>
      </c>
      <c r="B90" s="72" t="str">
        <f t="shared" si="3"/>
        <v>6.272.236-3</v>
      </c>
      <c r="C90" s="22" t="s">
        <v>22</v>
      </c>
      <c r="D90" s="29" t="s">
        <v>501</v>
      </c>
      <c r="E90" s="29" t="s">
        <v>315</v>
      </c>
      <c r="F90" s="29" t="s">
        <v>348</v>
      </c>
      <c r="G90" s="49">
        <v>45446</v>
      </c>
      <c r="H90" s="49">
        <v>45465</v>
      </c>
      <c r="I90" s="29" t="s">
        <v>54</v>
      </c>
      <c r="J90" s="29" t="s">
        <v>22</v>
      </c>
      <c r="K90" s="24" t="s">
        <v>55</v>
      </c>
      <c r="L90" s="49">
        <v>45447</v>
      </c>
      <c r="M90" s="49">
        <v>45465</v>
      </c>
      <c r="N90" s="25">
        <f t="shared" si="4"/>
        <v>18</v>
      </c>
      <c r="O90" s="29"/>
      <c r="P90" t="s">
        <v>88</v>
      </c>
      <c r="Q90" t="s">
        <v>88</v>
      </c>
      <c r="R90" t="s">
        <v>88</v>
      </c>
      <c r="S90" t="s">
        <v>88</v>
      </c>
      <c r="T90" t="s">
        <v>88</v>
      </c>
      <c r="U90" t="s">
        <v>20</v>
      </c>
    </row>
    <row r="91" spans="1:21" x14ac:dyDescent="0.45">
      <c r="A91" s="79">
        <v>215170330</v>
      </c>
      <c r="B91" s="72" t="str">
        <f t="shared" si="3"/>
        <v>21.517.033-0</v>
      </c>
      <c r="C91" s="22" t="s">
        <v>22</v>
      </c>
      <c r="D91" s="29" t="s">
        <v>1123</v>
      </c>
      <c r="E91" s="29" t="s">
        <v>670</v>
      </c>
      <c r="F91" s="29" t="s">
        <v>1124</v>
      </c>
      <c r="G91" s="49">
        <v>45449</v>
      </c>
      <c r="H91" s="49">
        <v>45452</v>
      </c>
      <c r="I91" s="29" t="s">
        <v>54</v>
      </c>
      <c r="J91" s="29" t="s">
        <v>13</v>
      </c>
      <c r="K91" s="24" t="s">
        <v>47</v>
      </c>
      <c r="L91" s="49">
        <v>45449</v>
      </c>
      <c r="M91" s="49">
        <v>45452</v>
      </c>
      <c r="N91" s="25">
        <f t="shared" si="4"/>
        <v>3</v>
      </c>
      <c r="O91" s="29"/>
      <c r="P91" t="s">
        <v>88</v>
      </c>
      <c r="Q91" t="s">
        <v>88</v>
      </c>
      <c r="R91" t="s">
        <v>88</v>
      </c>
      <c r="S91" t="s">
        <v>88</v>
      </c>
      <c r="T91" t="s">
        <v>88</v>
      </c>
      <c r="U91" t="s">
        <v>20</v>
      </c>
    </row>
    <row r="92" spans="1:21" x14ac:dyDescent="0.45">
      <c r="A92" s="79">
        <v>59460056</v>
      </c>
      <c r="B92" s="72" t="str">
        <f t="shared" si="3"/>
        <v>5.946.005-6</v>
      </c>
      <c r="C92" s="22" t="s">
        <v>22</v>
      </c>
      <c r="D92" s="29" t="s">
        <v>375</v>
      </c>
      <c r="E92" s="29" t="s">
        <v>277</v>
      </c>
      <c r="F92" s="29" t="s">
        <v>373</v>
      </c>
      <c r="G92" s="49">
        <v>45447</v>
      </c>
      <c r="H92" s="49">
        <v>45450</v>
      </c>
      <c r="I92" s="29" t="s">
        <v>54</v>
      </c>
      <c r="J92" s="29" t="s">
        <v>56</v>
      </c>
      <c r="K92" s="24" t="s">
        <v>43</v>
      </c>
      <c r="L92" s="49">
        <v>45447</v>
      </c>
      <c r="M92" s="49">
        <v>45450</v>
      </c>
      <c r="N92" s="25">
        <f t="shared" si="4"/>
        <v>3</v>
      </c>
      <c r="O92" s="29"/>
      <c r="P92" t="s">
        <v>88</v>
      </c>
      <c r="Q92" t="s">
        <v>88</v>
      </c>
      <c r="R92" t="s">
        <v>88</v>
      </c>
      <c r="S92" t="s">
        <v>88</v>
      </c>
      <c r="T92" t="s">
        <v>88</v>
      </c>
      <c r="U92" t="s">
        <v>20</v>
      </c>
    </row>
    <row r="93" spans="1:21" x14ac:dyDescent="0.45">
      <c r="A93" s="79">
        <v>59460056</v>
      </c>
      <c r="B93" s="72" t="str">
        <f t="shared" si="3"/>
        <v>5.946.005-6</v>
      </c>
      <c r="C93" s="22" t="s">
        <v>22</v>
      </c>
      <c r="D93" s="29" t="s">
        <v>375</v>
      </c>
      <c r="E93" s="29" t="s">
        <v>277</v>
      </c>
      <c r="F93" s="29" t="s">
        <v>373</v>
      </c>
      <c r="G93" s="49">
        <v>45447</v>
      </c>
      <c r="H93" s="49">
        <v>45450</v>
      </c>
      <c r="I93" s="29" t="s">
        <v>54</v>
      </c>
      <c r="J93" s="29" t="s">
        <v>56</v>
      </c>
      <c r="K93" s="24" t="s">
        <v>47</v>
      </c>
      <c r="L93" s="49">
        <v>45447</v>
      </c>
      <c r="M93" s="49">
        <v>45450</v>
      </c>
      <c r="N93" s="25">
        <f t="shared" si="4"/>
        <v>3</v>
      </c>
      <c r="O93" s="29"/>
      <c r="P93" t="s">
        <v>88</v>
      </c>
      <c r="Q93" t="s">
        <v>88</v>
      </c>
      <c r="R93" t="s">
        <v>88</v>
      </c>
      <c r="S93" t="s">
        <v>88</v>
      </c>
      <c r="T93" t="s">
        <v>88</v>
      </c>
      <c r="U93" t="s">
        <v>20</v>
      </c>
    </row>
    <row r="94" spans="1:21" x14ac:dyDescent="0.45">
      <c r="A94" s="79" t="s">
        <v>1125</v>
      </c>
      <c r="B94" s="72" t="str">
        <f t="shared" si="3"/>
        <v>15.144.699-K</v>
      </c>
      <c r="C94" s="22" t="s">
        <v>22</v>
      </c>
      <c r="D94" s="29" t="s">
        <v>804</v>
      </c>
      <c r="E94" s="29" t="s">
        <v>312</v>
      </c>
      <c r="F94" s="29" t="s">
        <v>1126</v>
      </c>
      <c r="G94" s="49">
        <v>45448</v>
      </c>
      <c r="H94" s="49">
        <v>45454</v>
      </c>
      <c r="I94" s="29" t="s">
        <v>54</v>
      </c>
      <c r="J94" s="29" t="s">
        <v>69</v>
      </c>
      <c r="K94" s="24" t="s">
        <v>43</v>
      </c>
      <c r="L94" s="49">
        <v>45447</v>
      </c>
      <c r="M94" s="49">
        <v>45454</v>
      </c>
      <c r="N94" s="25">
        <f t="shared" si="4"/>
        <v>7</v>
      </c>
      <c r="O94" s="29"/>
      <c r="P94" t="s">
        <v>88</v>
      </c>
      <c r="Q94" t="s">
        <v>88</v>
      </c>
      <c r="R94" t="s">
        <v>88</v>
      </c>
      <c r="S94" t="s">
        <v>88</v>
      </c>
      <c r="T94" t="s">
        <v>88</v>
      </c>
      <c r="U94" t="s">
        <v>20</v>
      </c>
    </row>
    <row r="95" spans="1:21" x14ac:dyDescent="0.45">
      <c r="A95" s="79" t="s">
        <v>1125</v>
      </c>
      <c r="B95" s="72" t="str">
        <f t="shared" si="3"/>
        <v>15.144.699-K</v>
      </c>
      <c r="C95" s="22" t="s">
        <v>22</v>
      </c>
      <c r="D95" s="29" t="s">
        <v>804</v>
      </c>
      <c r="E95" s="29" t="s">
        <v>312</v>
      </c>
      <c r="F95" s="29" t="s">
        <v>1126</v>
      </c>
      <c r="G95" s="49">
        <v>45448</v>
      </c>
      <c r="H95" s="49">
        <v>45454</v>
      </c>
      <c r="I95" s="29" t="s">
        <v>54</v>
      </c>
      <c r="J95" s="29" t="s">
        <v>69</v>
      </c>
      <c r="K95" s="24" t="s">
        <v>47</v>
      </c>
      <c r="L95" s="49">
        <v>45447</v>
      </c>
      <c r="M95" s="49">
        <v>45454</v>
      </c>
      <c r="N95" s="25">
        <f t="shared" si="4"/>
        <v>7</v>
      </c>
      <c r="O95" s="29"/>
      <c r="P95" t="s">
        <v>88</v>
      </c>
      <c r="Q95" t="s">
        <v>88</v>
      </c>
      <c r="R95" t="s">
        <v>88</v>
      </c>
      <c r="S95" t="s">
        <v>88</v>
      </c>
      <c r="T95" t="s">
        <v>88</v>
      </c>
      <c r="U95" t="s">
        <v>20</v>
      </c>
    </row>
    <row r="96" spans="1:21" x14ac:dyDescent="0.45">
      <c r="A96" s="79" t="s">
        <v>997</v>
      </c>
      <c r="B96" s="29" t="str">
        <f t="shared" si="3"/>
        <v>12.187.718-K</v>
      </c>
      <c r="C96" s="22" t="s">
        <v>22</v>
      </c>
      <c r="D96" s="29" t="s">
        <v>998</v>
      </c>
      <c r="E96" s="29" t="s">
        <v>493</v>
      </c>
      <c r="F96" s="29" t="s">
        <v>939</v>
      </c>
      <c r="G96" s="49">
        <v>45450</v>
      </c>
      <c r="H96" s="49">
        <v>45461</v>
      </c>
      <c r="I96" s="29" t="s">
        <v>22</v>
      </c>
      <c r="J96" s="29" t="s">
        <v>22</v>
      </c>
      <c r="K96" s="24" t="s">
        <v>43</v>
      </c>
      <c r="L96" s="49">
        <v>45450</v>
      </c>
      <c r="M96" s="49">
        <v>45461</v>
      </c>
      <c r="N96" s="25">
        <f t="shared" si="4"/>
        <v>11</v>
      </c>
      <c r="O96" s="29"/>
      <c r="P96" t="s">
        <v>88</v>
      </c>
      <c r="Q96" t="s">
        <v>88</v>
      </c>
      <c r="R96" t="s">
        <v>88</v>
      </c>
      <c r="S96" t="s">
        <v>88</v>
      </c>
      <c r="T96" t="s">
        <v>88</v>
      </c>
      <c r="U96" t="s">
        <v>20</v>
      </c>
    </row>
    <row r="97" spans="1:21" x14ac:dyDescent="0.45">
      <c r="A97" s="79" t="s">
        <v>997</v>
      </c>
      <c r="B97" s="29" t="str">
        <f t="shared" si="3"/>
        <v>12.187.718-K</v>
      </c>
      <c r="C97" s="22" t="s">
        <v>22</v>
      </c>
      <c r="D97" s="29" t="s">
        <v>998</v>
      </c>
      <c r="E97" s="29" t="s">
        <v>493</v>
      </c>
      <c r="F97" s="29" t="s">
        <v>939</v>
      </c>
      <c r="G97" s="49">
        <v>45450</v>
      </c>
      <c r="H97" s="49">
        <v>45461</v>
      </c>
      <c r="I97" s="29" t="s">
        <v>22</v>
      </c>
      <c r="J97" s="29" t="s">
        <v>22</v>
      </c>
      <c r="K97" s="24" t="s">
        <v>55</v>
      </c>
      <c r="L97" s="49">
        <v>45450</v>
      </c>
      <c r="M97" s="49">
        <v>45461</v>
      </c>
      <c r="N97" s="25">
        <f t="shared" si="4"/>
        <v>11</v>
      </c>
      <c r="O97" s="29"/>
      <c r="P97" t="s">
        <v>88</v>
      </c>
      <c r="Q97" t="s">
        <v>88</v>
      </c>
      <c r="R97" t="s">
        <v>88</v>
      </c>
      <c r="S97" t="s">
        <v>88</v>
      </c>
      <c r="T97" t="s">
        <v>88</v>
      </c>
      <c r="U97" t="s">
        <v>20</v>
      </c>
    </row>
    <row r="98" spans="1:21" x14ac:dyDescent="0.45">
      <c r="A98" s="79">
        <v>47200474</v>
      </c>
      <c r="B98" s="72" t="str">
        <f t="shared" si="3"/>
        <v>4.720.047-4</v>
      </c>
      <c r="C98" s="22" t="s">
        <v>22</v>
      </c>
      <c r="D98" s="29" t="s">
        <v>675</v>
      </c>
      <c r="E98" s="29"/>
      <c r="F98" s="29" t="s">
        <v>1127</v>
      </c>
      <c r="G98" s="49">
        <v>45451</v>
      </c>
      <c r="H98" s="49">
        <v>45454</v>
      </c>
      <c r="I98" s="29" t="s">
        <v>56</v>
      </c>
      <c r="J98" s="29" t="s">
        <v>56</v>
      </c>
      <c r="K98" s="24" t="s">
        <v>43</v>
      </c>
      <c r="L98" s="49">
        <v>45451</v>
      </c>
      <c r="M98" s="49">
        <v>45454</v>
      </c>
      <c r="N98" s="25">
        <f t="shared" si="4"/>
        <v>3</v>
      </c>
      <c r="O98" s="29"/>
      <c r="P98" t="s">
        <v>88</v>
      </c>
      <c r="Q98" t="s">
        <v>88</v>
      </c>
      <c r="R98" t="s">
        <v>88</v>
      </c>
      <c r="S98" t="s">
        <v>88</v>
      </c>
      <c r="T98" t="s">
        <v>88</v>
      </c>
      <c r="U98" t="s">
        <v>20</v>
      </c>
    </row>
    <row r="99" spans="1:21" x14ac:dyDescent="0.45">
      <c r="A99" s="79">
        <v>47200474</v>
      </c>
      <c r="B99" s="72" t="str">
        <f t="shared" si="3"/>
        <v>4.720.047-4</v>
      </c>
      <c r="C99" s="22" t="s">
        <v>22</v>
      </c>
      <c r="D99" s="29" t="s">
        <v>675</v>
      </c>
      <c r="E99" s="29"/>
      <c r="F99" s="29" t="s">
        <v>1127</v>
      </c>
      <c r="G99" s="49">
        <v>45451</v>
      </c>
      <c r="H99" s="49">
        <v>45454</v>
      </c>
      <c r="I99" s="29" t="s">
        <v>56</v>
      </c>
      <c r="J99" s="29" t="s">
        <v>56</v>
      </c>
      <c r="K99" s="24" t="s">
        <v>47</v>
      </c>
      <c r="L99" s="49">
        <v>45451</v>
      </c>
      <c r="M99" s="49">
        <v>45454</v>
      </c>
      <c r="N99" s="25">
        <f t="shared" si="4"/>
        <v>3</v>
      </c>
      <c r="O99" s="29"/>
      <c r="P99" t="s">
        <v>88</v>
      </c>
      <c r="Q99" t="s">
        <v>88</v>
      </c>
      <c r="R99" t="s">
        <v>88</v>
      </c>
      <c r="S99" t="s">
        <v>88</v>
      </c>
      <c r="T99" t="s">
        <v>88</v>
      </c>
      <c r="U99" t="s">
        <v>20</v>
      </c>
    </row>
    <row r="100" spans="1:21" x14ac:dyDescent="0.45">
      <c r="A100" s="79">
        <v>47200474</v>
      </c>
      <c r="B100" s="72" t="str">
        <f t="shared" si="3"/>
        <v>4.720.047-4</v>
      </c>
      <c r="C100" s="22" t="s">
        <v>22</v>
      </c>
      <c r="D100" s="29" t="s">
        <v>675</v>
      </c>
      <c r="E100" s="29"/>
      <c r="F100" s="29" t="s">
        <v>1127</v>
      </c>
      <c r="G100" s="49">
        <v>45451</v>
      </c>
      <c r="H100" s="49">
        <v>45454</v>
      </c>
      <c r="I100" s="29" t="s">
        <v>56</v>
      </c>
      <c r="J100" s="29" t="s">
        <v>56</v>
      </c>
      <c r="K100" s="24" t="s">
        <v>55</v>
      </c>
      <c r="L100" s="49">
        <v>45451</v>
      </c>
      <c r="M100" s="49">
        <v>45454</v>
      </c>
      <c r="N100" s="25">
        <f t="shared" si="4"/>
        <v>3</v>
      </c>
      <c r="O100" s="29"/>
      <c r="P100" t="s">
        <v>132</v>
      </c>
      <c r="Q100" t="s">
        <v>88</v>
      </c>
      <c r="R100" t="s">
        <v>88</v>
      </c>
      <c r="S100" t="s">
        <v>88</v>
      </c>
      <c r="T100" t="s">
        <v>88</v>
      </c>
      <c r="U100" t="s">
        <v>20</v>
      </c>
    </row>
    <row r="101" spans="1:21" x14ac:dyDescent="0.45">
      <c r="A101" s="79">
        <v>67822749</v>
      </c>
      <c r="B101" s="72" t="str">
        <f t="shared" si="3"/>
        <v>6.782.274-9</v>
      </c>
      <c r="C101" s="22" t="s">
        <v>22</v>
      </c>
      <c r="D101" s="29" t="s">
        <v>339</v>
      </c>
      <c r="E101" s="29" t="s">
        <v>252</v>
      </c>
      <c r="F101" s="29" t="s">
        <v>1120</v>
      </c>
      <c r="G101" s="49">
        <v>45450</v>
      </c>
      <c r="H101" s="49">
        <v>45459</v>
      </c>
      <c r="I101" s="29" t="s">
        <v>22</v>
      </c>
      <c r="J101" s="29" t="s">
        <v>19</v>
      </c>
      <c r="K101" s="24" t="s">
        <v>43</v>
      </c>
      <c r="L101" s="49">
        <v>45445</v>
      </c>
      <c r="M101" s="49">
        <v>45459</v>
      </c>
      <c r="N101" s="25">
        <f t="shared" si="4"/>
        <v>14</v>
      </c>
      <c r="O101" s="29"/>
      <c r="P101" t="s">
        <v>88</v>
      </c>
      <c r="Q101" t="s">
        <v>88</v>
      </c>
      <c r="R101" t="s">
        <v>88</v>
      </c>
      <c r="S101" t="s">
        <v>88</v>
      </c>
      <c r="T101" t="s">
        <v>88</v>
      </c>
      <c r="U101" t="s">
        <v>20</v>
      </c>
    </row>
    <row r="102" spans="1:21" x14ac:dyDescent="0.45">
      <c r="A102" s="79">
        <v>67822749</v>
      </c>
      <c r="B102" s="72" t="str">
        <f t="shared" si="3"/>
        <v>6.782.274-9</v>
      </c>
      <c r="C102" s="22" t="s">
        <v>22</v>
      </c>
      <c r="D102" s="29" t="s">
        <v>339</v>
      </c>
      <c r="E102" s="29" t="s">
        <v>252</v>
      </c>
      <c r="F102" s="29" t="s">
        <v>1120</v>
      </c>
      <c r="G102" s="49">
        <v>45450</v>
      </c>
      <c r="H102" s="49">
        <v>45459</v>
      </c>
      <c r="I102" s="29" t="s">
        <v>22</v>
      </c>
      <c r="J102" s="29" t="s">
        <v>19</v>
      </c>
      <c r="K102" s="24" t="s">
        <v>47</v>
      </c>
      <c r="L102" s="49">
        <v>45450</v>
      </c>
      <c r="M102" s="49">
        <v>45459</v>
      </c>
      <c r="N102" s="25">
        <f t="shared" si="4"/>
        <v>9</v>
      </c>
      <c r="O102" s="29"/>
      <c r="P102" t="s">
        <v>88</v>
      </c>
      <c r="Q102" t="s">
        <v>88</v>
      </c>
      <c r="R102" t="s">
        <v>88</v>
      </c>
      <c r="S102" t="s">
        <v>88</v>
      </c>
      <c r="T102" t="s">
        <v>88</v>
      </c>
      <c r="U102" t="s">
        <v>20</v>
      </c>
    </row>
    <row r="103" spans="1:21" x14ac:dyDescent="0.45">
      <c r="A103" s="79">
        <v>67822749</v>
      </c>
      <c r="B103" s="72" t="str">
        <f t="shared" si="3"/>
        <v>6.782.274-9</v>
      </c>
      <c r="C103" s="22" t="s">
        <v>22</v>
      </c>
      <c r="D103" s="29" t="s">
        <v>339</v>
      </c>
      <c r="E103" s="29" t="s">
        <v>252</v>
      </c>
      <c r="F103" s="29" t="s">
        <v>1120</v>
      </c>
      <c r="G103" s="49">
        <v>45450</v>
      </c>
      <c r="H103" s="49">
        <v>45459</v>
      </c>
      <c r="I103" s="29" t="s">
        <v>22</v>
      </c>
      <c r="J103" s="29" t="s">
        <v>19</v>
      </c>
      <c r="K103" s="24" t="s">
        <v>55</v>
      </c>
      <c r="L103" s="49">
        <v>45445</v>
      </c>
      <c r="M103" s="49">
        <v>45459</v>
      </c>
      <c r="N103" s="25">
        <f t="shared" si="4"/>
        <v>14</v>
      </c>
      <c r="O103" s="29"/>
      <c r="P103" t="s">
        <v>88</v>
      </c>
      <c r="Q103" t="s">
        <v>88</v>
      </c>
      <c r="R103" t="s">
        <v>88</v>
      </c>
      <c r="S103" t="s">
        <v>88</v>
      </c>
      <c r="T103" t="s">
        <v>88</v>
      </c>
      <c r="U103" t="s">
        <v>20</v>
      </c>
    </row>
    <row r="104" spans="1:21" x14ac:dyDescent="0.45">
      <c r="A104" s="79">
        <v>101494314</v>
      </c>
      <c r="B104" s="72" t="str">
        <f t="shared" si="3"/>
        <v>10.149.431-4</v>
      </c>
      <c r="C104" s="22" t="s">
        <v>22</v>
      </c>
      <c r="D104" s="29" t="s">
        <v>476</v>
      </c>
      <c r="E104" s="29" t="s">
        <v>788</v>
      </c>
      <c r="F104" s="29" t="s">
        <v>1128</v>
      </c>
      <c r="G104" s="49">
        <v>45452</v>
      </c>
      <c r="H104" s="49">
        <v>45453</v>
      </c>
      <c r="I104" s="29" t="s">
        <v>54</v>
      </c>
      <c r="J104" s="29" t="s">
        <v>24</v>
      </c>
      <c r="K104" s="24" t="s">
        <v>43</v>
      </c>
      <c r="L104" s="49">
        <v>45452</v>
      </c>
      <c r="M104" s="49">
        <v>45453</v>
      </c>
      <c r="N104" s="25">
        <f t="shared" ref="N104:N124" si="5">+M104-L104</f>
        <v>1</v>
      </c>
      <c r="O104" s="29"/>
      <c r="P104" t="s">
        <v>88</v>
      </c>
      <c r="Q104" t="s">
        <v>88</v>
      </c>
      <c r="R104" t="s">
        <v>88</v>
      </c>
      <c r="S104" t="s">
        <v>88</v>
      </c>
      <c r="T104" t="s">
        <v>88</v>
      </c>
      <c r="U104" t="s">
        <v>20</v>
      </c>
    </row>
    <row r="105" spans="1:21" x14ac:dyDescent="0.45">
      <c r="A105" s="79">
        <v>101494314</v>
      </c>
      <c r="B105" s="72" t="str">
        <f t="shared" si="3"/>
        <v>10.149.431-4</v>
      </c>
      <c r="C105" s="22" t="s">
        <v>22</v>
      </c>
      <c r="D105" s="29" t="s">
        <v>476</v>
      </c>
      <c r="E105" s="29" t="s">
        <v>788</v>
      </c>
      <c r="F105" s="29" t="s">
        <v>1128</v>
      </c>
      <c r="G105" s="49">
        <v>45452</v>
      </c>
      <c r="H105" s="49">
        <v>45453</v>
      </c>
      <c r="I105" s="29" t="s">
        <v>54</v>
      </c>
      <c r="J105" s="29" t="s">
        <v>24</v>
      </c>
      <c r="K105" s="24" t="s">
        <v>47</v>
      </c>
      <c r="L105" s="49">
        <v>45452</v>
      </c>
      <c r="M105" s="49">
        <v>45453</v>
      </c>
      <c r="N105" s="25">
        <f t="shared" si="5"/>
        <v>1</v>
      </c>
      <c r="O105" s="29"/>
      <c r="P105" t="s">
        <v>106</v>
      </c>
      <c r="Q105" t="s">
        <v>88</v>
      </c>
      <c r="R105" t="s">
        <v>88</v>
      </c>
      <c r="S105" t="s">
        <v>88</v>
      </c>
      <c r="T105" t="s">
        <v>88</v>
      </c>
      <c r="U105" t="s">
        <v>14</v>
      </c>
    </row>
    <row r="106" spans="1:21" x14ac:dyDescent="0.45">
      <c r="A106" s="79">
        <v>220872572</v>
      </c>
      <c r="B106" s="72" t="str">
        <f t="shared" si="3"/>
        <v>22.087.257-2</v>
      </c>
      <c r="C106" s="22" t="s">
        <v>22</v>
      </c>
      <c r="D106" s="29" t="s">
        <v>352</v>
      </c>
      <c r="E106" s="29" t="s">
        <v>369</v>
      </c>
      <c r="F106" s="29" t="s">
        <v>996</v>
      </c>
      <c r="G106" s="49">
        <v>45452</v>
      </c>
      <c r="H106" s="49">
        <v>45454</v>
      </c>
      <c r="I106" s="29" t="s">
        <v>54</v>
      </c>
      <c r="J106" s="29" t="s">
        <v>22</v>
      </c>
      <c r="K106" s="24" t="s">
        <v>43</v>
      </c>
      <c r="L106" s="49">
        <v>45452</v>
      </c>
      <c r="M106" s="49">
        <v>45454</v>
      </c>
      <c r="N106" s="25">
        <f t="shared" si="5"/>
        <v>2</v>
      </c>
      <c r="O106" s="29"/>
      <c r="P106" t="s">
        <v>88</v>
      </c>
      <c r="Q106" t="s">
        <v>88</v>
      </c>
      <c r="R106" t="s">
        <v>88</v>
      </c>
      <c r="S106" t="s">
        <v>88</v>
      </c>
      <c r="T106" t="s">
        <v>88</v>
      </c>
      <c r="U106" t="s">
        <v>20</v>
      </c>
    </row>
    <row r="107" spans="1:21" x14ac:dyDescent="0.45">
      <c r="A107" s="79">
        <v>220872572</v>
      </c>
      <c r="B107" s="72" t="str">
        <f t="shared" si="3"/>
        <v>22.087.257-2</v>
      </c>
      <c r="C107" s="22" t="s">
        <v>22</v>
      </c>
      <c r="D107" s="29" t="s">
        <v>352</v>
      </c>
      <c r="E107" s="29" t="s">
        <v>369</v>
      </c>
      <c r="F107" s="29" t="s">
        <v>996</v>
      </c>
      <c r="G107" s="49">
        <v>45452</v>
      </c>
      <c r="H107" s="49">
        <v>45454</v>
      </c>
      <c r="I107" s="29" t="s">
        <v>54</v>
      </c>
      <c r="J107" s="29" t="s">
        <v>22</v>
      </c>
      <c r="K107" s="24" t="s">
        <v>47</v>
      </c>
      <c r="L107" s="49">
        <v>45452</v>
      </c>
      <c r="M107" s="49">
        <v>45454</v>
      </c>
      <c r="N107" s="25">
        <f t="shared" si="5"/>
        <v>2</v>
      </c>
      <c r="O107" s="29"/>
      <c r="P107" t="s">
        <v>88</v>
      </c>
      <c r="Q107" t="s">
        <v>88</v>
      </c>
      <c r="R107" t="s">
        <v>88</v>
      </c>
      <c r="S107" t="s">
        <v>88</v>
      </c>
      <c r="T107" t="s">
        <v>88</v>
      </c>
      <c r="U107" t="s">
        <v>20</v>
      </c>
    </row>
    <row r="108" spans="1:21" x14ac:dyDescent="0.45">
      <c r="A108" s="79">
        <v>65383918</v>
      </c>
      <c r="B108" s="72" t="str">
        <f t="shared" si="3"/>
        <v>6.538.391-8</v>
      </c>
      <c r="C108" s="22" t="s">
        <v>22</v>
      </c>
      <c r="D108" s="29" t="s">
        <v>1129</v>
      </c>
      <c r="E108" s="29" t="s">
        <v>439</v>
      </c>
      <c r="F108" s="29" t="s">
        <v>1130</v>
      </c>
      <c r="G108" s="49">
        <v>45437</v>
      </c>
      <c r="H108" s="49">
        <v>45458</v>
      </c>
      <c r="I108" s="29" t="s">
        <v>54</v>
      </c>
      <c r="J108" s="29" t="s">
        <v>56</v>
      </c>
      <c r="K108" s="24" t="s">
        <v>18</v>
      </c>
      <c r="L108" s="49">
        <v>45444</v>
      </c>
      <c r="M108" s="49">
        <v>45458</v>
      </c>
      <c r="N108" s="25">
        <f t="shared" si="5"/>
        <v>14</v>
      </c>
      <c r="O108" s="29"/>
      <c r="P108" t="s">
        <v>88</v>
      </c>
      <c r="Q108" t="s">
        <v>88</v>
      </c>
      <c r="R108" t="s">
        <v>88</v>
      </c>
      <c r="S108" t="s">
        <v>88</v>
      </c>
      <c r="T108" t="s">
        <v>88</v>
      </c>
      <c r="U108" t="s">
        <v>20</v>
      </c>
    </row>
    <row r="109" spans="1:21" x14ac:dyDescent="0.45">
      <c r="A109" s="79">
        <v>59423371</v>
      </c>
      <c r="B109" s="72" t="str">
        <f t="shared" si="3"/>
        <v>5.942.337-1</v>
      </c>
      <c r="C109" s="22" t="s">
        <v>30</v>
      </c>
      <c r="D109" s="29" t="s">
        <v>1131</v>
      </c>
      <c r="E109" s="29" t="s">
        <v>635</v>
      </c>
      <c r="F109" s="29" t="s">
        <v>348</v>
      </c>
      <c r="G109" s="49">
        <v>45451</v>
      </c>
      <c r="H109" s="49">
        <v>45454</v>
      </c>
      <c r="I109" s="29" t="s">
        <v>30</v>
      </c>
      <c r="J109" s="29" t="s">
        <v>24</v>
      </c>
      <c r="K109" s="24" t="s">
        <v>43</v>
      </c>
      <c r="L109" s="49">
        <v>45451</v>
      </c>
      <c r="M109" s="49">
        <v>45454</v>
      </c>
      <c r="N109" s="25">
        <f t="shared" si="5"/>
        <v>3</v>
      </c>
      <c r="O109" s="29"/>
      <c r="P109" t="s">
        <v>88</v>
      </c>
      <c r="Q109" t="s">
        <v>88</v>
      </c>
      <c r="R109" t="s">
        <v>88</v>
      </c>
      <c r="S109" t="s">
        <v>88</v>
      </c>
      <c r="T109" t="s">
        <v>88</v>
      </c>
      <c r="U109" t="s">
        <v>20</v>
      </c>
    </row>
    <row r="110" spans="1:21" x14ac:dyDescent="0.45">
      <c r="A110" s="79">
        <v>59423371</v>
      </c>
      <c r="B110" s="72" t="str">
        <f t="shared" si="3"/>
        <v>5.942.337-1</v>
      </c>
      <c r="C110" s="22" t="s">
        <v>30</v>
      </c>
      <c r="D110" s="29" t="s">
        <v>1131</v>
      </c>
      <c r="E110" s="29" t="s">
        <v>635</v>
      </c>
      <c r="F110" s="29" t="s">
        <v>348</v>
      </c>
      <c r="G110" s="49">
        <v>45451</v>
      </c>
      <c r="H110" s="49">
        <v>45454</v>
      </c>
      <c r="I110" s="29" t="s">
        <v>30</v>
      </c>
      <c r="J110" s="29" t="s">
        <v>24</v>
      </c>
      <c r="K110" s="24" t="s">
        <v>47</v>
      </c>
      <c r="L110" s="49">
        <v>45451</v>
      </c>
      <c r="M110" s="49">
        <v>45454</v>
      </c>
      <c r="N110" s="25">
        <f t="shared" si="5"/>
        <v>3</v>
      </c>
      <c r="O110" s="29"/>
      <c r="P110" t="s">
        <v>88</v>
      </c>
      <c r="Q110" t="s">
        <v>88</v>
      </c>
      <c r="R110" t="s">
        <v>88</v>
      </c>
      <c r="S110" t="s">
        <v>88</v>
      </c>
      <c r="T110" t="s">
        <v>88</v>
      </c>
      <c r="U110" t="s">
        <v>20</v>
      </c>
    </row>
    <row r="111" spans="1:21" x14ac:dyDescent="0.45">
      <c r="A111" s="79">
        <v>96202849</v>
      </c>
      <c r="B111" s="72" t="str">
        <f t="shared" si="3"/>
        <v>9.620.284-9</v>
      </c>
      <c r="C111" s="22" t="s">
        <v>30</v>
      </c>
      <c r="D111" s="29" t="s">
        <v>1132</v>
      </c>
      <c r="E111" s="29" t="s">
        <v>288</v>
      </c>
      <c r="F111" s="29" t="s">
        <v>835</v>
      </c>
      <c r="G111" s="49">
        <v>45449</v>
      </c>
      <c r="H111" s="49">
        <v>45453</v>
      </c>
      <c r="I111" s="29" t="s">
        <v>30</v>
      </c>
      <c r="J111" s="29" t="s">
        <v>24</v>
      </c>
      <c r="K111" s="24" t="s">
        <v>43</v>
      </c>
      <c r="L111" s="49">
        <v>45449</v>
      </c>
      <c r="M111" s="49">
        <v>45453</v>
      </c>
      <c r="N111" s="25">
        <f t="shared" si="5"/>
        <v>4</v>
      </c>
      <c r="O111" s="29"/>
      <c r="P111" t="s">
        <v>88</v>
      </c>
      <c r="Q111" t="s">
        <v>88</v>
      </c>
      <c r="R111" t="s">
        <v>88</v>
      </c>
      <c r="S111" t="s">
        <v>88</v>
      </c>
      <c r="T111" t="s">
        <v>88</v>
      </c>
      <c r="U111" t="s">
        <v>20</v>
      </c>
    </row>
    <row r="112" spans="1:21" x14ac:dyDescent="0.45">
      <c r="A112" s="79">
        <v>84472425</v>
      </c>
      <c r="B112" s="72" t="str">
        <f t="shared" si="3"/>
        <v>8.447.242-5</v>
      </c>
      <c r="C112" s="22" t="s">
        <v>30</v>
      </c>
      <c r="D112" s="29" t="s">
        <v>1133</v>
      </c>
      <c r="E112" s="29" t="s">
        <v>1134</v>
      </c>
      <c r="F112" s="29" t="s">
        <v>1135</v>
      </c>
      <c r="G112" s="49">
        <v>45450</v>
      </c>
      <c r="H112" s="49">
        <v>45458</v>
      </c>
      <c r="I112" s="29" t="s">
        <v>48</v>
      </c>
      <c r="J112" s="29" t="s">
        <v>19</v>
      </c>
      <c r="K112" s="24" t="s">
        <v>43</v>
      </c>
      <c r="L112" s="49">
        <v>45450</v>
      </c>
      <c r="M112" s="49">
        <v>45458</v>
      </c>
      <c r="N112" s="25">
        <f t="shared" si="5"/>
        <v>8</v>
      </c>
      <c r="O112" s="29"/>
      <c r="P112" t="s">
        <v>88</v>
      </c>
      <c r="Q112" t="s">
        <v>88</v>
      </c>
      <c r="R112" t="s">
        <v>88</v>
      </c>
      <c r="S112" t="s">
        <v>88</v>
      </c>
      <c r="T112" t="s">
        <v>88</v>
      </c>
      <c r="U112" t="s">
        <v>20</v>
      </c>
    </row>
    <row r="113" spans="1:21" x14ac:dyDescent="0.45">
      <c r="A113" s="79">
        <v>84472425</v>
      </c>
      <c r="B113" s="72" t="str">
        <f t="shared" si="3"/>
        <v>8.447.242-5</v>
      </c>
      <c r="C113" s="22" t="s">
        <v>30</v>
      </c>
      <c r="D113" s="29" t="s">
        <v>1133</v>
      </c>
      <c r="E113" s="29" t="s">
        <v>1134</v>
      </c>
      <c r="F113" s="29" t="s">
        <v>1135</v>
      </c>
      <c r="G113" s="49">
        <v>45450</v>
      </c>
      <c r="H113" s="49">
        <v>45458</v>
      </c>
      <c r="I113" s="29" t="s">
        <v>48</v>
      </c>
      <c r="J113" s="29" t="s">
        <v>19</v>
      </c>
      <c r="K113" s="24" t="s">
        <v>47</v>
      </c>
      <c r="L113" s="49">
        <v>45450</v>
      </c>
      <c r="M113" s="49">
        <v>45458</v>
      </c>
      <c r="N113" s="25">
        <f t="shared" si="5"/>
        <v>8</v>
      </c>
      <c r="O113" s="29"/>
      <c r="P113" t="s">
        <v>88</v>
      </c>
      <c r="Q113" t="s">
        <v>88</v>
      </c>
      <c r="R113" t="s">
        <v>88</v>
      </c>
      <c r="S113" t="s">
        <v>88</v>
      </c>
      <c r="T113" t="s">
        <v>88</v>
      </c>
      <c r="U113" t="s">
        <v>20</v>
      </c>
    </row>
    <row r="114" spans="1:21" x14ac:dyDescent="0.45">
      <c r="A114" s="79">
        <v>121873486</v>
      </c>
      <c r="B114" s="72" t="str">
        <f t="shared" si="3"/>
        <v>12.187.348-6</v>
      </c>
      <c r="C114" s="22" t="s">
        <v>30</v>
      </c>
      <c r="D114" s="29" t="s">
        <v>743</v>
      </c>
      <c r="E114" s="29" t="s">
        <v>743</v>
      </c>
      <c r="F114" s="29" t="s">
        <v>1136</v>
      </c>
      <c r="G114" s="49">
        <v>45450</v>
      </c>
      <c r="H114" s="49">
        <v>45455</v>
      </c>
      <c r="I114" s="29" t="s">
        <v>48</v>
      </c>
      <c r="J114" s="29" t="s">
        <v>46</v>
      </c>
      <c r="K114" s="24" t="s">
        <v>43</v>
      </c>
      <c r="L114" s="49">
        <v>45450</v>
      </c>
      <c r="M114" s="49">
        <v>45455</v>
      </c>
      <c r="N114" s="25">
        <f t="shared" si="5"/>
        <v>5</v>
      </c>
      <c r="O114" s="29"/>
      <c r="P114" t="s">
        <v>88</v>
      </c>
      <c r="Q114" t="s">
        <v>88</v>
      </c>
      <c r="R114" t="s">
        <v>88</v>
      </c>
      <c r="S114" t="s">
        <v>88</v>
      </c>
      <c r="T114" t="s">
        <v>88</v>
      </c>
      <c r="U114" t="s">
        <v>20</v>
      </c>
    </row>
    <row r="115" spans="1:21" x14ac:dyDescent="0.45">
      <c r="A115" s="79">
        <v>62082321</v>
      </c>
      <c r="B115" s="72" t="str">
        <f t="shared" si="3"/>
        <v>6.208.232-1</v>
      </c>
      <c r="C115" s="22" t="s">
        <v>30</v>
      </c>
      <c r="D115" s="29" t="s">
        <v>779</v>
      </c>
      <c r="E115" s="29" t="s">
        <v>780</v>
      </c>
      <c r="F115" s="29" t="s">
        <v>279</v>
      </c>
      <c r="G115" s="49">
        <v>45453</v>
      </c>
      <c r="H115" s="49">
        <v>45454</v>
      </c>
      <c r="I115" s="29" t="s">
        <v>48</v>
      </c>
      <c r="J115" s="29" t="s">
        <v>24</v>
      </c>
      <c r="K115" s="24" t="s">
        <v>47</v>
      </c>
      <c r="L115" s="49">
        <v>45453</v>
      </c>
      <c r="M115" s="49">
        <v>45455</v>
      </c>
      <c r="N115" s="25">
        <f t="shared" si="5"/>
        <v>2</v>
      </c>
      <c r="O115" s="29"/>
      <c r="P115" t="s">
        <v>88</v>
      </c>
      <c r="Q115" t="s">
        <v>88</v>
      </c>
      <c r="R115" t="s">
        <v>88</v>
      </c>
      <c r="S115" t="s">
        <v>88</v>
      </c>
      <c r="T115" t="s">
        <v>88</v>
      </c>
      <c r="U115" t="s">
        <v>20</v>
      </c>
    </row>
    <row r="116" spans="1:21" x14ac:dyDescent="0.45">
      <c r="A116" s="79">
        <v>52681812</v>
      </c>
      <c r="B116" s="72" t="str">
        <f t="shared" si="3"/>
        <v>5.268.181-2</v>
      </c>
      <c r="C116" s="22" t="s">
        <v>30</v>
      </c>
      <c r="D116" s="29" t="s">
        <v>285</v>
      </c>
      <c r="E116" s="29" t="s">
        <v>439</v>
      </c>
      <c r="F116" s="29" t="s">
        <v>933</v>
      </c>
      <c r="G116" s="49">
        <v>45450</v>
      </c>
      <c r="H116" s="49">
        <v>45457</v>
      </c>
      <c r="I116" s="29" t="s">
        <v>24</v>
      </c>
      <c r="J116" s="29" t="s">
        <v>46</v>
      </c>
      <c r="K116" s="24" t="s">
        <v>43</v>
      </c>
      <c r="L116" s="49">
        <v>45450</v>
      </c>
      <c r="M116" s="49">
        <v>45457</v>
      </c>
      <c r="N116" s="25">
        <f t="shared" si="5"/>
        <v>7</v>
      </c>
      <c r="O116" s="29"/>
      <c r="P116" t="s">
        <v>88</v>
      </c>
      <c r="Q116" t="s">
        <v>88</v>
      </c>
      <c r="R116" t="s">
        <v>88</v>
      </c>
      <c r="S116" t="s">
        <v>88</v>
      </c>
      <c r="T116" t="s">
        <v>88</v>
      </c>
      <c r="U116" t="s">
        <v>20</v>
      </c>
    </row>
    <row r="117" spans="1:21" x14ac:dyDescent="0.45">
      <c r="A117" s="79">
        <v>284539540</v>
      </c>
      <c r="B117" s="72" t="str">
        <f t="shared" si="3"/>
        <v>28.453.954-0</v>
      </c>
      <c r="C117" s="22" t="s">
        <v>16</v>
      </c>
      <c r="D117" s="29" t="s">
        <v>751</v>
      </c>
      <c r="E117" s="29" t="s">
        <v>1137</v>
      </c>
      <c r="F117" s="29" t="s">
        <v>1138</v>
      </c>
      <c r="G117" s="49">
        <v>45451</v>
      </c>
      <c r="H117" s="49">
        <v>45461</v>
      </c>
      <c r="I117" s="29" t="s">
        <v>36</v>
      </c>
      <c r="J117" s="29" t="s">
        <v>65</v>
      </c>
      <c r="K117" s="24" t="s">
        <v>55</v>
      </c>
      <c r="L117" s="49">
        <v>45453</v>
      </c>
      <c r="M117" s="49">
        <v>45461</v>
      </c>
      <c r="N117" s="25">
        <f t="shared" si="5"/>
        <v>8</v>
      </c>
      <c r="O117" s="29"/>
      <c r="P117" t="s">
        <v>88</v>
      </c>
      <c r="Q117" t="s">
        <v>88</v>
      </c>
      <c r="R117" t="s">
        <v>88</v>
      </c>
      <c r="S117" t="s">
        <v>88</v>
      </c>
      <c r="T117" t="s">
        <v>88</v>
      </c>
      <c r="U117" t="s">
        <v>20</v>
      </c>
    </row>
    <row r="118" spans="1:21" x14ac:dyDescent="0.45">
      <c r="A118" s="79">
        <v>284539680</v>
      </c>
      <c r="B118" s="72" t="str">
        <f t="shared" si="3"/>
        <v>28.453.968-0</v>
      </c>
      <c r="C118" s="22" t="s">
        <v>16</v>
      </c>
      <c r="D118" s="29" t="s">
        <v>751</v>
      </c>
      <c r="E118" s="29" t="s">
        <v>1137</v>
      </c>
      <c r="F118" s="29" t="s">
        <v>1139</v>
      </c>
      <c r="G118" s="49">
        <v>45451</v>
      </c>
      <c r="H118" s="49">
        <v>45461</v>
      </c>
      <c r="I118" s="29" t="s">
        <v>36</v>
      </c>
      <c r="J118" s="29" t="s">
        <v>65</v>
      </c>
      <c r="K118" s="24" t="s">
        <v>55</v>
      </c>
      <c r="L118" s="49">
        <v>45452</v>
      </c>
      <c r="M118" s="49">
        <v>45461</v>
      </c>
      <c r="N118" s="25">
        <f t="shared" si="5"/>
        <v>9</v>
      </c>
      <c r="O118" s="29"/>
      <c r="P118" t="s">
        <v>88</v>
      </c>
      <c r="Q118" t="s">
        <v>88</v>
      </c>
      <c r="R118" t="s">
        <v>88</v>
      </c>
      <c r="S118" t="s">
        <v>88</v>
      </c>
      <c r="T118" t="s">
        <v>88</v>
      </c>
      <c r="U118" t="s">
        <v>20</v>
      </c>
    </row>
    <row r="119" spans="1:21" x14ac:dyDescent="0.45">
      <c r="A119" s="79">
        <v>284564057</v>
      </c>
      <c r="B119" s="72" t="str">
        <f t="shared" si="3"/>
        <v>28.456.405-7</v>
      </c>
      <c r="C119" s="22" t="s">
        <v>16</v>
      </c>
      <c r="D119" s="29" t="s">
        <v>1140</v>
      </c>
      <c r="E119" s="29" t="s">
        <v>1141</v>
      </c>
      <c r="F119" s="29" t="s">
        <v>535</v>
      </c>
      <c r="G119" s="49">
        <v>45451</v>
      </c>
      <c r="H119" s="49">
        <v>45461</v>
      </c>
      <c r="I119" s="29" t="s">
        <v>36</v>
      </c>
      <c r="J119" s="29" t="s">
        <v>65</v>
      </c>
      <c r="K119" s="24" t="s">
        <v>35</v>
      </c>
      <c r="L119" s="49">
        <v>45452</v>
      </c>
      <c r="M119" s="49">
        <v>45457</v>
      </c>
      <c r="N119" s="25">
        <f t="shared" si="5"/>
        <v>5</v>
      </c>
      <c r="O119" s="29"/>
      <c r="P119" t="s">
        <v>88</v>
      </c>
      <c r="Q119" t="s">
        <v>88</v>
      </c>
      <c r="R119" t="s">
        <v>88</v>
      </c>
      <c r="S119" t="s">
        <v>88</v>
      </c>
      <c r="T119" t="s">
        <v>88</v>
      </c>
      <c r="U119" t="s">
        <v>20</v>
      </c>
    </row>
    <row r="120" spans="1:21" x14ac:dyDescent="0.45">
      <c r="A120" s="79">
        <v>284550374</v>
      </c>
      <c r="B120" s="72" t="str">
        <f t="shared" si="3"/>
        <v>28.455.037-4</v>
      </c>
      <c r="C120" s="22" t="s">
        <v>16</v>
      </c>
      <c r="D120" s="29" t="s">
        <v>679</v>
      </c>
      <c r="E120" s="29" t="s">
        <v>559</v>
      </c>
      <c r="F120" s="29" t="s">
        <v>1142</v>
      </c>
      <c r="G120" s="49">
        <v>45450</v>
      </c>
      <c r="H120" s="29"/>
      <c r="I120" s="29" t="s">
        <v>36</v>
      </c>
      <c r="J120" s="29"/>
      <c r="K120" s="24" t="s">
        <v>55</v>
      </c>
      <c r="L120" s="49">
        <v>45450</v>
      </c>
      <c r="M120" s="49">
        <v>45473</v>
      </c>
      <c r="N120" s="25">
        <f t="shared" si="5"/>
        <v>23</v>
      </c>
      <c r="O120" s="29"/>
      <c r="P120" t="s">
        <v>88</v>
      </c>
      <c r="Q120" t="s">
        <v>88</v>
      </c>
      <c r="R120" t="s">
        <v>88</v>
      </c>
      <c r="S120" t="s">
        <v>88</v>
      </c>
      <c r="T120" t="s">
        <v>88</v>
      </c>
      <c r="U120" t="s">
        <v>20</v>
      </c>
    </row>
    <row r="121" spans="1:21" x14ac:dyDescent="0.45">
      <c r="A121" s="79">
        <v>284550374</v>
      </c>
      <c r="B121" s="72" t="str">
        <f t="shared" si="3"/>
        <v>28.455.037-4</v>
      </c>
      <c r="C121" s="22" t="s">
        <v>16</v>
      </c>
      <c r="D121" s="29" t="s">
        <v>679</v>
      </c>
      <c r="E121" s="29" t="s">
        <v>559</v>
      </c>
      <c r="F121" s="29" t="s">
        <v>1142</v>
      </c>
      <c r="G121" s="49">
        <v>45450</v>
      </c>
      <c r="H121" s="29"/>
      <c r="I121" s="29" t="s">
        <v>36</v>
      </c>
      <c r="J121" s="29"/>
      <c r="K121" s="24" t="s">
        <v>39</v>
      </c>
      <c r="L121" s="49">
        <v>45451</v>
      </c>
      <c r="M121" s="49">
        <v>45460</v>
      </c>
      <c r="N121" s="25">
        <f t="shared" si="5"/>
        <v>9</v>
      </c>
      <c r="O121" s="29"/>
      <c r="P121" t="s">
        <v>96</v>
      </c>
      <c r="Q121" t="s">
        <v>88</v>
      </c>
      <c r="R121" t="s">
        <v>88</v>
      </c>
      <c r="S121" t="s">
        <v>88</v>
      </c>
      <c r="T121" t="s">
        <v>88</v>
      </c>
      <c r="U121" t="s">
        <v>20</v>
      </c>
    </row>
    <row r="122" spans="1:21" x14ac:dyDescent="0.45">
      <c r="A122" s="79">
        <v>50682722</v>
      </c>
      <c r="B122" s="72" t="str">
        <f t="shared" si="3"/>
        <v>5.068.272-2</v>
      </c>
      <c r="C122" s="22" t="s">
        <v>46</v>
      </c>
      <c r="D122" s="29" t="s">
        <v>1143</v>
      </c>
      <c r="E122" s="29" t="s">
        <v>439</v>
      </c>
      <c r="F122" s="29" t="s">
        <v>250</v>
      </c>
      <c r="G122" s="49">
        <v>45450</v>
      </c>
      <c r="H122" s="29"/>
      <c r="I122" s="29"/>
      <c r="J122" s="29"/>
      <c r="K122" s="24" t="s">
        <v>18</v>
      </c>
      <c r="L122" s="49">
        <v>45455</v>
      </c>
      <c r="M122" s="49">
        <v>45461</v>
      </c>
      <c r="N122" s="25">
        <f t="shared" si="5"/>
        <v>6</v>
      </c>
      <c r="O122" s="29"/>
      <c r="P122" t="s">
        <v>88</v>
      </c>
      <c r="Q122" t="s">
        <v>88</v>
      </c>
      <c r="R122" t="s">
        <v>88</v>
      </c>
      <c r="S122" t="s">
        <v>88</v>
      </c>
      <c r="T122" t="s">
        <v>88</v>
      </c>
      <c r="U122" t="s">
        <v>20</v>
      </c>
    </row>
    <row r="123" spans="1:21" x14ac:dyDescent="0.45">
      <c r="A123" s="79">
        <v>123799690</v>
      </c>
      <c r="B123" s="72" t="str">
        <f t="shared" si="3"/>
        <v>12.379.969-0</v>
      </c>
      <c r="C123" s="22" t="s">
        <v>46</v>
      </c>
      <c r="D123" s="29" t="s">
        <v>372</v>
      </c>
      <c r="E123" s="29" t="s">
        <v>1144</v>
      </c>
      <c r="F123" s="29" t="s">
        <v>419</v>
      </c>
      <c r="G123" s="49">
        <v>45455</v>
      </c>
      <c r="H123" s="49">
        <v>45459</v>
      </c>
      <c r="I123" s="29" t="s">
        <v>54</v>
      </c>
      <c r="J123" s="29" t="s">
        <v>66</v>
      </c>
      <c r="K123" s="24" t="s">
        <v>47</v>
      </c>
      <c r="L123" s="49">
        <v>45454</v>
      </c>
      <c r="M123" s="49">
        <v>45459</v>
      </c>
      <c r="N123" s="25">
        <f t="shared" si="5"/>
        <v>5</v>
      </c>
      <c r="O123" s="29"/>
      <c r="P123" t="s">
        <v>88</v>
      </c>
      <c r="Q123" t="s">
        <v>88</v>
      </c>
      <c r="R123" t="s">
        <v>88</v>
      </c>
      <c r="S123" t="s">
        <v>88</v>
      </c>
      <c r="T123" t="s">
        <v>88</v>
      </c>
      <c r="U123" t="s">
        <v>20</v>
      </c>
    </row>
    <row r="124" spans="1:21" x14ac:dyDescent="0.45">
      <c r="A124" s="79">
        <v>159922936</v>
      </c>
      <c r="B124" s="72" t="str">
        <f t="shared" si="3"/>
        <v>15.992.293-6</v>
      </c>
      <c r="C124" s="22" t="s">
        <v>46</v>
      </c>
      <c r="D124" s="29" t="s">
        <v>344</v>
      </c>
      <c r="E124" s="29" t="s">
        <v>344</v>
      </c>
      <c r="F124" s="29" t="s">
        <v>1145</v>
      </c>
      <c r="G124" s="49">
        <v>45433</v>
      </c>
      <c r="H124" s="29"/>
      <c r="I124" s="29" t="s">
        <v>54</v>
      </c>
      <c r="J124" s="29"/>
      <c r="K124" s="24" t="s">
        <v>43</v>
      </c>
      <c r="L124" s="49">
        <v>45444</v>
      </c>
      <c r="M124" s="49">
        <v>45471</v>
      </c>
      <c r="N124" s="25">
        <f t="shared" si="5"/>
        <v>27</v>
      </c>
      <c r="O124" s="29"/>
      <c r="P124" t="s">
        <v>88</v>
      </c>
      <c r="Q124" t="s">
        <v>88</v>
      </c>
      <c r="R124" t="s">
        <v>88</v>
      </c>
      <c r="S124" t="s">
        <v>88</v>
      </c>
      <c r="T124" t="s">
        <v>88</v>
      </c>
      <c r="U124" t="s">
        <v>20</v>
      </c>
    </row>
    <row r="125" spans="1:21" x14ac:dyDescent="0.45">
      <c r="A125" s="79">
        <v>56861092</v>
      </c>
      <c r="B125" s="72" t="str">
        <f t="shared" si="3"/>
        <v>5.686.109-2</v>
      </c>
      <c r="C125" s="22" t="s">
        <v>46</v>
      </c>
      <c r="D125" s="29" t="s">
        <v>375</v>
      </c>
      <c r="E125" s="29" t="s">
        <v>1020</v>
      </c>
      <c r="F125" s="29" t="s">
        <v>1146</v>
      </c>
      <c r="G125" s="49">
        <v>45422</v>
      </c>
      <c r="H125" s="49"/>
      <c r="I125" s="29" t="s">
        <v>60</v>
      </c>
      <c r="J125" s="29" t="s">
        <v>22</v>
      </c>
      <c r="K125" s="24" t="s">
        <v>47</v>
      </c>
      <c r="L125" s="49">
        <v>45450</v>
      </c>
      <c r="M125" s="29"/>
      <c r="N125" s="25"/>
      <c r="O125" s="29"/>
      <c r="P125" t="s">
        <v>88</v>
      </c>
      <c r="Q125" t="s">
        <v>88</v>
      </c>
      <c r="R125" t="s">
        <v>88</v>
      </c>
      <c r="S125" t="s">
        <v>88</v>
      </c>
      <c r="T125" t="s">
        <v>88</v>
      </c>
      <c r="U125" t="s">
        <v>20</v>
      </c>
    </row>
    <row r="126" spans="1:21" x14ac:dyDescent="0.45">
      <c r="A126" s="79">
        <v>93690087</v>
      </c>
      <c r="B126" s="72" t="str">
        <f t="shared" si="3"/>
        <v>9.369.008-7</v>
      </c>
      <c r="C126" s="22" t="s">
        <v>46</v>
      </c>
      <c r="D126" s="29" t="s">
        <v>1147</v>
      </c>
      <c r="E126" s="29" t="s">
        <v>253</v>
      </c>
      <c r="F126" s="29" t="s">
        <v>1148</v>
      </c>
      <c r="G126" s="49">
        <v>45446</v>
      </c>
      <c r="H126" s="49">
        <v>45457</v>
      </c>
      <c r="I126" s="29" t="s">
        <v>54</v>
      </c>
      <c r="J126" s="29" t="s">
        <v>13</v>
      </c>
      <c r="K126" s="24" t="s">
        <v>47</v>
      </c>
      <c r="L126" s="49">
        <v>45455</v>
      </c>
      <c r="M126" s="49">
        <v>45457</v>
      </c>
      <c r="N126" s="25">
        <f t="shared" ref="N126:N157" si="6">+M126-L126</f>
        <v>2</v>
      </c>
      <c r="O126" s="29"/>
      <c r="P126" t="s">
        <v>88</v>
      </c>
      <c r="Q126" t="s">
        <v>88</v>
      </c>
      <c r="R126" t="s">
        <v>88</v>
      </c>
      <c r="S126" t="s">
        <v>88</v>
      </c>
      <c r="T126" t="s">
        <v>88</v>
      </c>
      <c r="U126" t="s">
        <v>20</v>
      </c>
    </row>
    <row r="127" spans="1:21" x14ac:dyDescent="0.45">
      <c r="A127" s="79">
        <v>109105945</v>
      </c>
      <c r="B127" s="72" t="str">
        <f t="shared" si="3"/>
        <v>10.910.594-5</v>
      </c>
      <c r="C127" s="22" t="s">
        <v>46</v>
      </c>
      <c r="D127" s="29" t="s">
        <v>422</v>
      </c>
      <c r="E127" s="29" t="s">
        <v>1081</v>
      </c>
      <c r="F127" s="29" t="s">
        <v>1110</v>
      </c>
      <c r="G127" s="49">
        <v>45452</v>
      </c>
      <c r="H127" s="49">
        <v>45457</v>
      </c>
      <c r="I127" s="29" t="s">
        <v>22</v>
      </c>
      <c r="J127" s="29" t="s">
        <v>13</v>
      </c>
      <c r="K127" s="24" t="s">
        <v>43</v>
      </c>
      <c r="L127" s="49">
        <v>45444</v>
      </c>
      <c r="M127" s="49">
        <v>45457</v>
      </c>
      <c r="N127" s="25">
        <f t="shared" si="6"/>
        <v>13</v>
      </c>
      <c r="O127" s="29"/>
      <c r="P127" t="s">
        <v>88</v>
      </c>
      <c r="Q127" t="s">
        <v>88</v>
      </c>
      <c r="R127" t="s">
        <v>88</v>
      </c>
      <c r="S127" t="s">
        <v>88</v>
      </c>
      <c r="T127" t="s">
        <v>88</v>
      </c>
      <c r="U127" t="s">
        <v>20</v>
      </c>
    </row>
    <row r="128" spans="1:21" x14ac:dyDescent="0.45">
      <c r="A128" s="79">
        <v>70007150</v>
      </c>
      <c r="B128" s="72" t="str">
        <f t="shared" si="3"/>
        <v>7.000.715-0</v>
      </c>
      <c r="C128" s="22" t="s">
        <v>38</v>
      </c>
      <c r="D128" s="29" t="s">
        <v>322</v>
      </c>
      <c r="E128" s="29" t="s">
        <v>261</v>
      </c>
      <c r="F128" s="29" t="s">
        <v>1149</v>
      </c>
      <c r="G128" s="49">
        <v>45452</v>
      </c>
      <c r="H128" s="49">
        <v>45473</v>
      </c>
      <c r="I128" s="29" t="s">
        <v>54</v>
      </c>
      <c r="J128" s="29" t="s">
        <v>22</v>
      </c>
      <c r="K128" s="24" t="s">
        <v>43</v>
      </c>
      <c r="L128" s="49">
        <v>45457</v>
      </c>
      <c r="M128" s="49">
        <v>45473</v>
      </c>
      <c r="N128" s="25">
        <f t="shared" si="6"/>
        <v>16</v>
      </c>
      <c r="O128" s="29" t="s">
        <v>14</v>
      </c>
      <c r="P128" t="s">
        <v>88</v>
      </c>
      <c r="Q128" t="s">
        <v>88</v>
      </c>
      <c r="R128" t="s">
        <v>88</v>
      </c>
      <c r="S128" t="s">
        <v>88</v>
      </c>
      <c r="T128" t="s">
        <v>88</v>
      </c>
      <c r="U128" t="s">
        <v>20</v>
      </c>
    </row>
    <row r="129" spans="1:21" x14ac:dyDescent="0.45">
      <c r="A129" s="79">
        <v>70007150</v>
      </c>
      <c r="B129" s="72" t="str">
        <f t="shared" si="3"/>
        <v>7.000.715-0</v>
      </c>
      <c r="C129" s="22" t="s">
        <v>38</v>
      </c>
      <c r="D129" s="29" t="s">
        <v>322</v>
      </c>
      <c r="E129" s="29" t="s">
        <v>261</v>
      </c>
      <c r="F129" s="29" t="s">
        <v>1149</v>
      </c>
      <c r="G129" s="49">
        <v>45452</v>
      </c>
      <c r="H129" s="49">
        <v>45473</v>
      </c>
      <c r="I129" s="29" t="s">
        <v>54</v>
      </c>
      <c r="J129" s="29" t="s">
        <v>22</v>
      </c>
      <c r="K129" s="24" t="s">
        <v>47</v>
      </c>
      <c r="L129" s="49">
        <v>45455</v>
      </c>
      <c r="M129" s="49">
        <v>45473</v>
      </c>
      <c r="N129" s="25">
        <f t="shared" si="6"/>
        <v>18</v>
      </c>
      <c r="O129" s="29"/>
      <c r="P129" t="s">
        <v>88</v>
      </c>
      <c r="Q129" t="s">
        <v>88</v>
      </c>
      <c r="R129" t="s">
        <v>88</v>
      </c>
      <c r="S129" t="s">
        <v>88</v>
      </c>
      <c r="T129" t="s">
        <v>88</v>
      </c>
      <c r="U129" t="s">
        <v>20</v>
      </c>
    </row>
    <row r="130" spans="1:21" x14ac:dyDescent="0.45">
      <c r="A130" s="79">
        <v>82698957</v>
      </c>
      <c r="B130" s="72" t="str">
        <f t="shared" si="3"/>
        <v>8.269.895-7</v>
      </c>
      <c r="C130" s="22" t="s">
        <v>38</v>
      </c>
      <c r="D130" s="29" t="s">
        <v>860</v>
      </c>
      <c r="E130" s="29" t="s">
        <v>1150</v>
      </c>
      <c r="F130" s="29" t="s">
        <v>238</v>
      </c>
      <c r="G130" s="49">
        <v>45455</v>
      </c>
      <c r="H130" s="49">
        <v>45458</v>
      </c>
      <c r="I130" s="29" t="s">
        <v>63</v>
      </c>
      <c r="J130" s="29" t="s">
        <v>13</v>
      </c>
      <c r="K130" s="24" t="s">
        <v>43</v>
      </c>
      <c r="L130" s="49">
        <v>45455</v>
      </c>
      <c r="M130" s="49">
        <v>45458</v>
      </c>
      <c r="N130" s="25">
        <f t="shared" si="6"/>
        <v>3</v>
      </c>
      <c r="O130" s="29"/>
      <c r="P130" t="s">
        <v>88</v>
      </c>
      <c r="Q130" t="s">
        <v>88</v>
      </c>
      <c r="R130" t="s">
        <v>88</v>
      </c>
      <c r="S130" t="s">
        <v>88</v>
      </c>
      <c r="T130" t="s">
        <v>88</v>
      </c>
      <c r="U130" t="s">
        <v>20</v>
      </c>
    </row>
    <row r="131" spans="1:21" x14ac:dyDescent="0.45">
      <c r="A131" s="79">
        <v>82698957</v>
      </c>
      <c r="B131" s="72" t="str">
        <f t="shared" si="3"/>
        <v>8.269.895-7</v>
      </c>
      <c r="C131" s="22" t="s">
        <v>38</v>
      </c>
      <c r="D131" s="29" t="s">
        <v>860</v>
      </c>
      <c r="E131" s="29" t="s">
        <v>1150</v>
      </c>
      <c r="F131" s="29" t="s">
        <v>238</v>
      </c>
      <c r="G131" s="49">
        <v>45455</v>
      </c>
      <c r="H131" s="49">
        <v>45458</v>
      </c>
      <c r="I131" s="29" t="s">
        <v>63</v>
      </c>
      <c r="J131" s="29" t="s">
        <v>13</v>
      </c>
      <c r="K131" s="24" t="s">
        <v>47</v>
      </c>
      <c r="L131" s="49">
        <v>45455</v>
      </c>
      <c r="M131" s="49">
        <v>45458</v>
      </c>
      <c r="N131" s="25">
        <f t="shared" si="6"/>
        <v>3</v>
      </c>
      <c r="O131" s="29"/>
      <c r="P131" t="s">
        <v>88</v>
      </c>
      <c r="Q131" t="s">
        <v>88</v>
      </c>
      <c r="R131" t="s">
        <v>88</v>
      </c>
      <c r="S131" t="s">
        <v>88</v>
      </c>
      <c r="T131" t="s">
        <v>88</v>
      </c>
      <c r="U131" t="s">
        <v>20</v>
      </c>
    </row>
    <row r="132" spans="1:21" x14ac:dyDescent="0.45">
      <c r="A132" s="79">
        <v>68368561</v>
      </c>
      <c r="B132" s="72" t="str">
        <f t="shared" si="3"/>
        <v>6.836.856-1</v>
      </c>
      <c r="C132" s="22" t="s">
        <v>38</v>
      </c>
      <c r="D132" s="29" t="s">
        <v>1151</v>
      </c>
      <c r="E132" s="29" t="s">
        <v>424</v>
      </c>
      <c r="F132" s="29" t="s">
        <v>1152</v>
      </c>
      <c r="G132" s="49">
        <v>45451</v>
      </c>
      <c r="H132" s="49">
        <v>45456</v>
      </c>
      <c r="I132" s="29" t="s">
        <v>24</v>
      </c>
      <c r="J132" s="29" t="s">
        <v>24</v>
      </c>
      <c r="K132" s="24" t="s">
        <v>43</v>
      </c>
      <c r="L132" s="49">
        <v>45451</v>
      </c>
      <c r="M132" s="49">
        <v>45456</v>
      </c>
      <c r="N132" s="25">
        <f t="shared" si="6"/>
        <v>5</v>
      </c>
      <c r="O132" s="29"/>
      <c r="P132" t="s">
        <v>88</v>
      </c>
      <c r="Q132" t="s">
        <v>88</v>
      </c>
      <c r="R132" t="s">
        <v>88</v>
      </c>
      <c r="S132" t="s">
        <v>88</v>
      </c>
      <c r="T132" t="s">
        <v>88</v>
      </c>
      <c r="U132" t="s">
        <v>20</v>
      </c>
    </row>
    <row r="133" spans="1:21" x14ac:dyDescent="0.45">
      <c r="A133" s="79">
        <v>68368561</v>
      </c>
      <c r="B133" s="72" t="str">
        <f t="shared" si="3"/>
        <v>6.836.856-1</v>
      </c>
      <c r="C133" s="22" t="s">
        <v>38</v>
      </c>
      <c r="D133" s="29" t="s">
        <v>1151</v>
      </c>
      <c r="E133" s="29" t="s">
        <v>424</v>
      </c>
      <c r="F133" s="29" t="s">
        <v>1152</v>
      </c>
      <c r="G133" s="49">
        <v>45451</v>
      </c>
      <c r="H133" s="49">
        <v>45456</v>
      </c>
      <c r="I133" s="29" t="s">
        <v>24</v>
      </c>
      <c r="J133" s="29" t="s">
        <v>24</v>
      </c>
      <c r="K133" s="24" t="s">
        <v>47</v>
      </c>
      <c r="L133" s="49">
        <v>45451</v>
      </c>
      <c r="M133" s="49">
        <v>45456</v>
      </c>
      <c r="N133" s="25">
        <f t="shared" si="6"/>
        <v>5</v>
      </c>
      <c r="O133" s="29"/>
      <c r="P133" t="s">
        <v>88</v>
      </c>
      <c r="Q133" t="s">
        <v>88</v>
      </c>
      <c r="R133" t="s">
        <v>88</v>
      </c>
      <c r="S133" t="s">
        <v>88</v>
      </c>
      <c r="T133" t="s">
        <v>88</v>
      </c>
      <c r="U133" t="s">
        <v>20</v>
      </c>
    </row>
    <row r="134" spans="1:21" x14ac:dyDescent="0.45">
      <c r="A134" s="79">
        <v>41089512</v>
      </c>
      <c r="B134" s="72" t="str">
        <f t="shared" si="3"/>
        <v>4.108.951-2</v>
      </c>
      <c r="C134" s="22" t="s">
        <v>22</v>
      </c>
      <c r="D134" s="29" t="s">
        <v>363</v>
      </c>
      <c r="E134" s="29" t="s">
        <v>363</v>
      </c>
      <c r="F134" s="29" t="s">
        <v>386</v>
      </c>
      <c r="G134" s="49">
        <v>45454</v>
      </c>
      <c r="H134" s="49">
        <v>45466</v>
      </c>
      <c r="I134" s="29" t="s">
        <v>24</v>
      </c>
      <c r="J134" s="29" t="s">
        <v>22</v>
      </c>
      <c r="K134" s="24" t="s">
        <v>43</v>
      </c>
      <c r="L134" s="49">
        <v>45454</v>
      </c>
      <c r="M134" s="49">
        <v>45457</v>
      </c>
      <c r="N134" s="25">
        <f t="shared" si="6"/>
        <v>3</v>
      </c>
      <c r="O134" s="29"/>
      <c r="P134" t="s">
        <v>88</v>
      </c>
      <c r="Q134" t="s">
        <v>88</v>
      </c>
      <c r="R134" t="s">
        <v>88</v>
      </c>
      <c r="S134" t="s">
        <v>88</v>
      </c>
      <c r="T134" t="s">
        <v>88</v>
      </c>
      <c r="U134" t="s">
        <v>20</v>
      </c>
    </row>
    <row r="135" spans="1:21" x14ac:dyDescent="0.45">
      <c r="A135" s="79">
        <v>41089512</v>
      </c>
      <c r="B135" s="72" t="str">
        <f t="shared" si="3"/>
        <v>4.108.951-2</v>
      </c>
      <c r="C135" s="22" t="s">
        <v>22</v>
      </c>
      <c r="D135" s="29" t="s">
        <v>363</v>
      </c>
      <c r="E135" s="29" t="s">
        <v>363</v>
      </c>
      <c r="F135" s="29" t="s">
        <v>386</v>
      </c>
      <c r="G135" s="49">
        <v>45454</v>
      </c>
      <c r="H135" s="49">
        <v>45466</v>
      </c>
      <c r="I135" s="29" t="s">
        <v>24</v>
      </c>
      <c r="J135" s="29" t="s">
        <v>22</v>
      </c>
      <c r="K135" s="24" t="s">
        <v>47</v>
      </c>
      <c r="L135" s="49">
        <v>45454</v>
      </c>
      <c r="M135" s="49">
        <v>45457</v>
      </c>
      <c r="N135" s="25">
        <f t="shared" si="6"/>
        <v>3</v>
      </c>
      <c r="O135" s="29"/>
      <c r="P135" t="s">
        <v>88</v>
      </c>
      <c r="Q135" t="s">
        <v>88</v>
      </c>
      <c r="R135" t="s">
        <v>88</v>
      </c>
      <c r="S135" t="s">
        <v>88</v>
      </c>
      <c r="T135" t="s">
        <v>88</v>
      </c>
      <c r="U135" t="s">
        <v>20</v>
      </c>
    </row>
    <row r="136" spans="1:21" x14ac:dyDescent="0.45">
      <c r="A136" s="79">
        <v>123217004</v>
      </c>
      <c r="B136" s="72" t="str">
        <f t="shared" ref="B136:B199" si="7">IF(LEN(A136)=8,MID(A136,1,1)&amp;"."&amp;MID(A136,2,3)&amp;"."&amp;MID(A136,5,3)&amp;"-"&amp;RIGHT(A136,1),IF(LEFT(RIGHT(A136,2),1)="-",MID(A136,1,1)&amp;"."&amp;MID(A136,2,3)&amp;"."&amp;MID(A136,5,3)&amp;"-"&amp;RIGHT(A136,1),MID(A136,1,2)&amp;"."&amp;MID(A136,3,3)&amp;"."&amp;MID(A136,6,3)&amp;"-"&amp;MID(A136,9,1)))</f>
        <v>12.321.700-4</v>
      </c>
      <c r="C136" s="22" t="s">
        <v>22</v>
      </c>
      <c r="D136" s="29" t="s">
        <v>435</v>
      </c>
      <c r="E136" s="29" t="s">
        <v>457</v>
      </c>
      <c r="F136" s="29" t="s">
        <v>939</v>
      </c>
      <c r="G136" s="49">
        <v>45455</v>
      </c>
      <c r="H136" s="49">
        <v>45461</v>
      </c>
      <c r="I136" s="29" t="s">
        <v>54</v>
      </c>
      <c r="J136" s="29" t="s">
        <v>83</v>
      </c>
      <c r="K136" s="24" t="s">
        <v>43</v>
      </c>
      <c r="L136" s="49">
        <v>45455</v>
      </c>
      <c r="M136" s="49">
        <v>45461</v>
      </c>
      <c r="N136" s="25">
        <f t="shared" si="6"/>
        <v>6</v>
      </c>
      <c r="O136" s="29"/>
      <c r="P136" t="s">
        <v>88</v>
      </c>
      <c r="Q136" t="s">
        <v>88</v>
      </c>
      <c r="R136" t="s">
        <v>88</v>
      </c>
      <c r="S136" t="s">
        <v>88</v>
      </c>
      <c r="T136" t="s">
        <v>88</v>
      </c>
      <c r="U136" t="s">
        <v>20</v>
      </c>
    </row>
    <row r="137" spans="1:21" x14ac:dyDescent="0.45">
      <c r="A137" s="79">
        <v>123217004</v>
      </c>
      <c r="B137" s="72" t="str">
        <f t="shared" si="7"/>
        <v>12.321.700-4</v>
      </c>
      <c r="C137" s="22" t="s">
        <v>22</v>
      </c>
      <c r="D137" s="29" t="s">
        <v>435</v>
      </c>
      <c r="E137" s="29" t="s">
        <v>457</v>
      </c>
      <c r="F137" s="29" t="s">
        <v>939</v>
      </c>
      <c r="G137" s="49">
        <v>45455</v>
      </c>
      <c r="H137" s="49">
        <v>45461</v>
      </c>
      <c r="I137" s="29" t="s">
        <v>54</v>
      </c>
      <c r="J137" s="29" t="s">
        <v>83</v>
      </c>
      <c r="K137" s="24" t="s">
        <v>47</v>
      </c>
      <c r="L137" s="49">
        <v>45454</v>
      </c>
      <c r="M137" s="49">
        <v>45461</v>
      </c>
      <c r="N137" s="25">
        <f t="shared" si="6"/>
        <v>7</v>
      </c>
      <c r="O137" s="29"/>
      <c r="P137" t="s">
        <v>88</v>
      </c>
      <c r="Q137" t="s">
        <v>88</v>
      </c>
      <c r="R137" t="s">
        <v>88</v>
      </c>
      <c r="S137" t="s">
        <v>88</v>
      </c>
      <c r="T137" t="s">
        <v>88</v>
      </c>
      <c r="U137" t="s">
        <v>20</v>
      </c>
    </row>
    <row r="138" spans="1:21" x14ac:dyDescent="0.45">
      <c r="A138" s="79">
        <v>73592178</v>
      </c>
      <c r="B138" s="72" t="str">
        <f t="shared" si="7"/>
        <v>7.359.217-8</v>
      </c>
      <c r="C138" s="22" t="s">
        <v>22</v>
      </c>
      <c r="D138" s="29" t="s">
        <v>537</v>
      </c>
      <c r="E138" s="29" t="s">
        <v>1153</v>
      </c>
      <c r="F138" s="29" t="s">
        <v>557</v>
      </c>
      <c r="G138" s="49">
        <v>45454</v>
      </c>
      <c r="H138" s="49">
        <v>45457</v>
      </c>
      <c r="I138" s="29" t="s">
        <v>54</v>
      </c>
      <c r="J138" s="29" t="s">
        <v>66</v>
      </c>
      <c r="K138" s="24" t="s">
        <v>43</v>
      </c>
      <c r="L138" s="49">
        <v>45454</v>
      </c>
      <c r="M138" s="49">
        <v>45457</v>
      </c>
      <c r="N138" s="25">
        <f t="shared" si="6"/>
        <v>3</v>
      </c>
      <c r="O138" s="29"/>
      <c r="P138" t="s">
        <v>88</v>
      </c>
      <c r="Q138" t="s">
        <v>88</v>
      </c>
      <c r="R138" t="s">
        <v>88</v>
      </c>
      <c r="S138" t="s">
        <v>88</v>
      </c>
      <c r="T138" t="s">
        <v>88</v>
      </c>
      <c r="U138" t="s">
        <v>20</v>
      </c>
    </row>
    <row r="139" spans="1:21" x14ac:dyDescent="0.45">
      <c r="A139" s="79">
        <v>73592178</v>
      </c>
      <c r="B139" s="72" t="str">
        <f t="shared" si="7"/>
        <v>7.359.217-8</v>
      </c>
      <c r="C139" s="22" t="s">
        <v>22</v>
      </c>
      <c r="D139" s="29" t="s">
        <v>537</v>
      </c>
      <c r="E139" s="29" t="s">
        <v>1153</v>
      </c>
      <c r="F139" s="29" t="s">
        <v>557</v>
      </c>
      <c r="G139" s="49">
        <v>45454</v>
      </c>
      <c r="H139" s="49">
        <v>45457</v>
      </c>
      <c r="I139" s="29" t="s">
        <v>54</v>
      </c>
      <c r="J139" s="29" t="s">
        <v>66</v>
      </c>
      <c r="K139" s="24" t="s">
        <v>47</v>
      </c>
      <c r="L139" s="49">
        <v>45454</v>
      </c>
      <c r="M139" s="49">
        <v>45457</v>
      </c>
      <c r="N139" s="25">
        <f t="shared" si="6"/>
        <v>3</v>
      </c>
      <c r="O139" s="83"/>
      <c r="P139" t="s">
        <v>88</v>
      </c>
      <c r="Q139" t="s">
        <v>88</v>
      </c>
      <c r="R139" t="s">
        <v>88</v>
      </c>
      <c r="S139" t="s">
        <v>88</v>
      </c>
      <c r="T139" t="s">
        <v>88</v>
      </c>
      <c r="U139" t="s">
        <v>20</v>
      </c>
    </row>
    <row r="140" spans="1:21" x14ac:dyDescent="0.45">
      <c r="A140" s="79">
        <v>102497546</v>
      </c>
      <c r="B140" s="72" t="str">
        <f t="shared" si="7"/>
        <v>10.249.754-6</v>
      </c>
      <c r="C140" s="22" t="s">
        <v>22</v>
      </c>
      <c r="D140" s="29" t="s">
        <v>266</v>
      </c>
      <c r="E140" s="29" t="s">
        <v>902</v>
      </c>
      <c r="F140" s="29" t="s">
        <v>1154</v>
      </c>
      <c r="G140" s="49">
        <v>45446</v>
      </c>
      <c r="H140" s="49">
        <v>45460</v>
      </c>
      <c r="I140" s="29" t="s">
        <v>54</v>
      </c>
      <c r="J140" s="29" t="s">
        <v>13</v>
      </c>
      <c r="K140" s="24" t="s">
        <v>43</v>
      </c>
      <c r="L140" s="49">
        <v>45454</v>
      </c>
      <c r="M140" s="49">
        <v>45460</v>
      </c>
      <c r="N140" s="25">
        <f t="shared" si="6"/>
        <v>6</v>
      </c>
      <c r="O140" s="29"/>
      <c r="P140" t="s">
        <v>88</v>
      </c>
      <c r="Q140" t="s">
        <v>88</v>
      </c>
      <c r="R140" t="s">
        <v>88</v>
      </c>
      <c r="S140" t="s">
        <v>88</v>
      </c>
      <c r="T140" t="s">
        <v>88</v>
      </c>
      <c r="U140" t="s">
        <v>20</v>
      </c>
    </row>
    <row r="141" spans="1:21" x14ac:dyDescent="0.45">
      <c r="A141" s="79">
        <v>87513009</v>
      </c>
      <c r="B141" s="72" t="str">
        <f t="shared" si="7"/>
        <v>8.751.300-9</v>
      </c>
      <c r="C141" s="22" t="s">
        <v>22</v>
      </c>
      <c r="D141" s="29" t="s">
        <v>266</v>
      </c>
      <c r="E141" s="29" t="s">
        <v>830</v>
      </c>
      <c r="F141" s="29" t="s">
        <v>1155</v>
      </c>
      <c r="G141" s="49">
        <v>45453</v>
      </c>
      <c r="H141" s="29"/>
      <c r="I141" s="29" t="s">
        <v>46</v>
      </c>
      <c r="J141" s="29" t="s">
        <v>82</v>
      </c>
      <c r="K141" s="24" t="s">
        <v>43</v>
      </c>
      <c r="L141" s="49">
        <v>45455</v>
      </c>
      <c r="M141" s="49">
        <v>45470</v>
      </c>
      <c r="N141" s="25">
        <f t="shared" si="6"/>
        <v>15</v>
      </c>
      <c r="O141" s="29"/>
      <c r="P141" t="s">
        <v>88</v>
      </c>
      <c r="Q141" t="s">
        <v>88</v>
      </c>
      <c r="R141" t="s">
        <v>88</v>
      </c>
      <c r="S141" t="s">
        <v>88</v>
      </c>
      <c r="T141" t="s">
        <v>88</v>
      </c>
      <c r="U141" t="s">
        <v>20</v>
      </c>
    </row>
    <row r="142" spans="1:21" x14ac:dyDescent="0.45">
      <c r="A142" s="79">
        <v>87513009</v>
      </c>
      <c r="B142" s="72" t="str">
        <f t="shared" si="7"/>
        <v>8.751.300-9</v>
      </c>
      <c r="C142" s="22" t="s">
        <v>22</v>
      </c>
      <c r="D142" s="29" t="s">
        <v>266</v>
      </c>
      <c r="E142" s="29" t="s">
        <v>830</v>
      </c>
      <c r="F142" s="29" t="s">
        <v>1155</v>
      </c>
      <c r="G142" s="49">
        <v>45453</v>
      </c>
      <c r="H142" s="29"/>
      <c r="I142" s="29" t="s">
        <v>46</v>
      </c>
      <c r="J142" s="29" t="s">
        <v>82</v>
      </c>
      <c r="K142" s="24" t="s">
        <v>47</v>
      </c>
      <c r="L142" s="49">
        <v>45455</v>
      </c>
      <c r="M142" s="49">
        <v>45470</v>
      </c>
      <c r="N142" s="25">
        <f t="shared" si="6"/>
        <v>15</v>
      </c>
      <c r="O142" s="29"/>
      <c r="P142" t="s">
        <v>88</v>
      </c>
      <c r="Q142" t="s">
        <v>88</v>
      </c>
      <c r="R142" t="s">
        <v>88</v>
      </c>
      <c r="S142" t="s">
        <v>88</v>
      </c>
      <c r="T142" t="s">
        <v>88</v>
      </c>
      <c r="U142" t="s">
        <v>20</v>
      </c>
    </row>
    <row r="143" spans="1:21" x14ac:dyDescent="0.45">
      <c r="A143" s="79">
        <v>87513009</v>
      </c>
      <c r="B143" s="72" t="str">
        <f t="shared" si="7"/>
        <v>8.751.300-9</v>
      </c>
      <c r="C143" s="22" t="s">
        <v>22</v>
      </c>
      <c r="D143" s="29" t="s">
        <v>266</v>
      </c>
      <c r="E143" s="29" t="s">
        <v>830</v>
      </c>
      <c r="F143" s="29" t="s">
        <v>1155</v>
      </c>
      <c r="G143" s="49">
        <v>45453</v>
      </c>
      <c r="H143" s="29"/>
      <c r="I143" s="29" t="s">
        <v>46</v>
      </c>
      <c r="J143" s="29" t="s">
        <v>82</v>
      </c>
      <c r="K143" s="24" t="s">
        <v>55</v>
      </c>
      <c r="L143" s="49">
        <v>45455</v>
      </c>
      <c r="M143" s="49">
        <v>45467</v>
      </c>
      <c r="N143" s="25">
        <f t="shared" si="6"/>
        <v>12</v>
      </c>
      <c r="O143" s="29"/>
      <c r="P143" t="s">
        <v>88</v>
      </c>
      <c r="Q143" t="s">
        <v>88</v>
      </c>
      <c r="R143" t="s">
        <v>88</v>
      </c>
      <c r="S143" t="s">
        <v>88</v>
      </c>
      <c r="T143" t="s">
        <v>88</v>
      </c>
      <c r="U143" t="s">
        <v>20</v>
      </c>
    </row>
    <row r="144" spans="1:21" x14ac:dyDescent="0.45">
      <c r="A144" s="79">
        <v>100270293</v>
      </c>
      <c r="B144" s="72" t="str">
        <f t="shared" si="7"/>
        <v>10.027.029-3</v>
      </c>
      <c r="C144" s="22" t="s">
        <v>22</v>
      </c>
      <c r="D144" s="29" t="s">
        <v>964</v>
      </c>
      <c r="E144" s="29" t="s">
        <v>1156</v>
      </c>
      <c r="F144" s="29" t="s">
        <v>428</v>
      </c>
      <c r="G144" s="49">
        <v>45455</v>
      </c>
      <c r="H144" s="49">
        <v>45457</v>
      </c>
      <c r="I144" s="29" t="s">
        <v>54</v>
      </c>
      <c r="J144" s="29" t="s">
        <v>22</v>
      </c>
      <c r="K144" s="24" t="s">
        <v>43</v>
      </c>
      <c r="L144" s="49">
        <v>45454</v>
      </c>
      <c r="M144" s="49">
        <v>45457</v>
      </c>
      <c r="N144" s="25">
        <f t="shared" si="6"/>
        <v>3</v>
      </c>
      <c r="O144" s="29"/>
      <c r="P144" t="s">
        <v>88</v>
      </c>
      <c r="Q144" t="s">
        <v>88</v>
      </c>
      <c r="R144" t="s">
        <v>88</v>
      </c>
      <c r="S144" t="s">
        <v>88</v>
      </c>
      <c r="T144" t="s">
        <v>88</v>
      </c>
      <c r="U144" t="s">
        <v>20</v>
      </c>
    </row>
    <row r="145" spans="1:21" x14ac:dyDescent="0.45">
      <c r="A145" s="79">
        <v>100270293</v>
      </c>
      <c r="B145" s="72" t="str">
        <f t="shared" si="7"/>
        <v>10.027.029-3</v>
      </c>
      <c r="C145" s="22" t="s">
        <v>22</v>
      </c>
      <c r="D145" s="29" t="s">
        <v>964</v>
      </c>
      <c r="E145" s="29" t="s">
        <v>1156</v>
      </c>
      <c r="F145" s="29" t="s">
        <v>428</v>
      </c>
      <c r="G145" s="49">
        <v>45455</v>
      </c>
      <c r="H145" s="49">
        <v>45457</v>
      </c>
      <c r="I145" s="29" t="s">
        <v>54</v>
      </c>
      <c r="J145" s="29" t="s">
        <v>22</v>
      </c>
      <c r="K145" s="24" t="s">
        <v>47</v>
      </c>
      <c r="L145" s="49">
        <v>45454</v>
      </c>
      <c r="M145" s="49">
        <v>45457</v>
      </c>
      <c r="N145" s="25">
        <f t="shared" si="6"/>
        <v>3</v>
      </c>
      <c r="O145" s="29"/>
      <c r="P145" t="s">
        <v>88</v>
      </c>
      <c r="Q145" t="s">
        <v>88</v>
      </c>
      <c r="R145" t="s">
        <v>88</v>
      </c>
      <c r="S145" t="s">
        <v>88</v>
      </c>
      <c r="T145" t="s">
        <v>88</v>
      </c>
      <c r="U145" t="s">
        <v>20</v>
      </c>
    </row>
    <row r="146" spans="1:21" x14ac:dyDescent="0.45">
      <c r="A146" s="79">
        <v>61155171</v>
      </c>
      <c r="B146" s="72" t="str">
        <f t="shared" si="7"/>
        <v>6.115.517-1</v>
      </c>
      <c r="C146" s="22" t="s">
        <v>22</v>
      </c>
      <c r="D146" s="29" t="s">
        <v>322</v>
      </c>
      <c r="E146" s="29" t="s">
        <v>788</v>
      </c>
      <c r="F146" s="29" t="s">
        <v>925</v>
      </c>
      <c r="G146" s="49">
        <v>45449</v>
      </c>
      <c r="H146" s="49">
        <v>45460</v>
      </c>
      <c r="I146" s="29" t="s">
        <v>22</v>
      </c>
      <c r="J146" s="29" t="s">
        <v>46</v>
      </c>
      <c r="K146" s="24" t="s">
        <v>43</v>
      </c>
      <c r="L146" s="49">
        <v>45449</v>
      </c>
      <c r="M146" s="49">
        <v>45460</v>
      </c>
      <c r="N146" s="25">
        <f t="shared" si="6"/>
        <v>11</v>
      </c>
      <c r="O146" s="70" t="s">
        <v>14</v>
      </c>
      <c r="P146" t="s">
        <v>96</v>
      </c>
      <c r="Q146" t="s">
        <v>88</v>
      </c>
      <c r="R146" t="s">
        <v>88</v>
      </c>
      <c r="S146" t="s">
        <v>88</v>
      </c>
      <c r="T146" t="s">
        <v>88</v>
      </c>
      <c r="U146" t="s">
        <v>14</v>
      </c>
    </row>
    <row r="147" spans="1:21" x14ac:dyDescent="0.45">
      <c r="A147" s="79">
        <v>61155171</v>
      </c>
      <c r="B147" s="72" t="str">
        <f t="shared" si="7"/>
        <v>6.115.517-1</v>
      </c>
      <c r="C147" s="22" t="s">
        <v>22</v>
      </c>
      <c r="D147" s="29" t="s">
        <v>322</v>
      </c>
      <c r="E147" s="29" t="s">
        <v>788</v>
      </c>
      <c r="F147" s="29" t="s">
        <v>925</v>
      </c>
      <c r="G147" s="49">
        <v>45449</v>
      </c>
      <c r="H147" s="49">
        <v>45460</v>
      </c>
      <c r="I147" s="29" t="s">
        <v>22</v>
      </c>
      <c r="J147" s="29" t="s">
        <v>46</v>
      </c>
      <c r="K147" s="24" t="s">
        <v>23</v>
      </c>
      <c r="L147" s="49">
        <v>45453</v>
      </c>
      <c r="M147" s="49">
        <v>45460</v>
      </c>
      <c r="N147" s="25">
        <f t="shared" si="6"/>
        <v>7</v>
      </c>
      <c r="O147" s="70"/>
      <c r="P147" t="s">
        <v>88</v>
      </c>
      <c r="Q147" t="s">
        <v>88</v>
      </c>
      <c r="R147" t="s">
        <v>88</v>
      </c>
      <c r="S147" t="s">
        <v>88</v>
      </c>
      <c r="T147" t="s">
        <v>88</v>
      </c>
      <c r="U147" t="s">
        <v>20</v>
      </c>
    </row>
    <row r="148" spans="1:21" x14ac:dyDescent="0.45">
      <c r="A148" s="79">
        <v>249849138</v>
      </c>
      <c r="B148" s="72" t="str">
        <f t="shared" si="7"/>
        <v>24.984.913-8</v>
      </c>
      <c r="C148" s="22" t="s">
        <v>22</v>
      </c>
      <c r="D148" s="29" t="s">
        <v>1157</v>
      </c>
      <c r="E148" s="29"/>
      <c r="F148" s="29" t="s">
        <v>1158</v>
      </c>
      <c r="G148" s="49">
        <v>45453</v>
      </c>
      <c r="H148" s="49">
        <v>45460</v>
      </c>
      <c r="I148" s="29" t="s">
        <v>22</v>
      </c>
      <c r="J148" s="29" t="s">
        <v>56</v>
      </c>
      <c r="K148" s="24" t="s">
        <v>43</v>
      </c>
      <c r="L148" s="49">
        <v>45453</v>
      </c>
      <c r="M148" s="49">
        <v>45460</v>
      </c>
      <c r="N148" s="25">
        <f t="shared" si="6"/>
        <v>7</v>
      </c>
      <c r="O148" s="29"/>
      <c r="P148" t="s">
        <v>88</v>
      </c>
      <c r="Q148" t="s">
        <v>88</v>
      </c>
      <c r="R148" t="s">
        <v>88</v>
      </c>
      <c r="S148" t="s">
        <v>88</v>
      </c>
      <c r="T148" t="s">
        <v>88</v>
      </c>
      <c r="U148" t="s">
        <v>20</v>
      </c>
    </row>
    <row r="149" spans="1:21" x14ac:dyDescent="0.45">
      <c r="A149" s="79">
        <v>89274427</v>
      </c>
      <c r="B149" s="72" t="str">
        <f t="shared" si="7"/>
        <v>8.927.442-7</v>
      </c>
      <c r="C149" s="22" t="s">
        <v>22</v>
      </c>
      <c r="D149" s="29" t="s">
        <v>241</v>
      </c>
      <c r="E149" s="29" t="s">
        <v>1159</v>
      </c>
      <c r="F149" s="29" t="s">
        <v>250</v>
      </c>
      <c r="G149" s="49">
        <v>45454</v>
      </c>
      <c r="H149" s="49">
        <v>45460</v>
      </c>
      <c r="I149" s="29" t="s">
        <v>22</v>
      </c>
      <c r="J149" s="29" t="s">
        <v>46</v>
      </c>
      <c r="K149" s="24" t="s">
        <v>18</v>
      </c>
      <c r="L149" s="49">
        <v>45453</v>
      </c>
      <c r="M149" s="49">
        <v>45460</v>
      </c>
      <c r="N149" s="25">
        <f t="shared" si="6"/>
        <v>7</v>
      </c>
      <c r="O149" s="29"/>
      <c r="P149" t="s">
        <v>88</v>
      </c>
      <c r="Q149" t="s">
        <v>88</v>
      </c>
      <c r="R149" t="s">
        <v>88</v>
      </c>
      <c r="S149" t="s">
        <v>88</v>
      </c>
      <c r="T149" t="s">
        <v>88</v>
      </c>
      <c r="U149" t="s">
        <v>20</v>
      </c>
    </row>
    <row r="150" spans="1:21" x14ac:dyDescent="0.45">
      <c r="A150" s="79">
        <v>223659918</v>
      </c>
      <c r="B150" s="72" t="str">
        <f t="shared" si="7"/>
        <v>22.365.991-8</v>
      </c>
      <c r="C150" s="22" t="s">
        <v>22</v>
      </c>
      <c r="D150" s="29" t="s">
        <v>439</v>
      </c>
      <c r="E150" s="29" t="s">
        <v>1160</v>
      </c>
      <c r="F150" s="29" t="s">
        <v>1138</v>
      </c>
      <c r="G150" s="49">
        <v>45456</v>
      </c>
      <c r="H150" s="49">
        <v>45466</v>
      </c>
      <c r="I150" s="29" t="s">
        <v>22</v>
      </c>
      <c r="J150" s="29" t="s">
        <v>46</v>
      </c>
      <c r="K150" s="24" t="s">
        <v>18</v>
      </c>
      <c r="L150" s="49">
        <v>45444</v>
      </c>
      <c r="M150" s="49">
        <v>45466</v>
      </c>
      <c r="N150" s="25">
        <f t="shared" si="6"/>
        <v>22</v>
      </c>
      <c r="O150" s="29"/>
      <c r="P150" t="s">
        <v>88</v>
      </c>
      <c r="Q150" t="s">
        <v>88</v>
      </c>
      <c r="R150" t="s">
        <v>88</v>
      </c>
      <c r="S150" t="s">
        <v>88</v>
      </c>
      <c r="T150" t="s">
        <v>88</v>
      </c>
      <c r="U150" t="s">
        <v>20</v>
      </c>
    </row>
    <row r="151" spans="1:21" x14ac:dyDescent="0.45">
      <c r="A151" s="79">
        <v>220872572</v>
      </c>
      <c r="B151" s="72" t="str">
        <f t="shared" si="7"/>
        <v>22.087.257-2</v>
      </c>
      <c r="C151" s="22" t="s">
        <v>22</v>
      </c>
      <c r="D151" s="29" t="s">
        <v>352</v>
      </c>
      <c r="E151" s="29" t="s">
        <v>1096</v>
      </c>
      <c r="F151" s="29" t="s">
        <v>996</v>
      </c>
      <c r="G151" s="49">
        <v>45454</v>
      </c>
      <c r="H151" s="29"/>
      <c r="I151" s="29" t="s">
        <v>22</v>
      </c>
      <c r="J151" s="29"/>
      <c r="K151" s="24" t="s">
        <v>43</v>
      </c>
      <c r="L151" s="49">
        <v>45454</v>
      </c>
      <c r="M151" s="49">
        <v>45469</v>
      </c>
      <c r="N151" s="25">
        <f t="shared" si="6"/>
        <v>15</v>
      </c>
      <c r="O151" s="29"/>
      <c r="P151" t="s">
        <v>88</v>
      </c>
      <c r="Q151" t="s">
        <v>88</v>
      </c>
      <c r="R151" t="s">
        <v>88</v>
      </c>
      <c r="S151" t="s">
        <v>88</v>
      </c>
      <c r="T151" t="s">
        <v>88</v>
      </c>
      <c r="U151" t="s">
        <v>20</v>
      </c>
    </row>
    <row r="152" spans="1:21" x14ac:dyDescent="0.45">
      <c r="A152" s="79">
        <v>220872572</v>
      </c>
      <c r="B152" s="72" t="str">
        <f t="shared" si="7"/>
        <v>22.087.257-2</v>
      </c>
      <c r="C152" s="22" t="s">
        <v>22</v>
      </c>
      <c r="D152" s="29" t="s">
        <v>352</v>
      </c>
      <c r="E152" s="29" t="s">
        <v>1096</v>
      </c>
      <c r="F152" s="29" t="s">
        <v>996</v>
      </c>
      <c r="G152" s="49">
        <v>45454</v>
      </c>
      <c r="H152" s="49">
        <v>45470</v>
      </c>
      <c r="I152" s="29" t="s">
        <v>22</v>
      </c>
      <c r="J152" s="29" t="s">
        <v>26</v>
      </c>
      <c r="K152" s="24" t="s">
        <v>47</v>
      </c>
      <c r="L152" s="49">
        <v>45449</v>
      </c>
      <c r="M152" s="49">
        <v>45470</v>
      </c>
      <c r="N152" s="25">
        <f t="shared" si="6"/>
        <v>21</v>
      </c>
      <c r="O152" s="29"/>
      <c r="P152" t="s">
        <v>88</v>
      </c>
      <c r="Q152" t="s">
        <v>88</v>
      </c>
      <c r="R152" t="s">
        <v>88</v>
      </c>
      <c r="S152" t="s">
        <v>88</v>
      </c>
      <c r="T152" t="s">
        <v>88</v>
      </c>
      <c r="U152" t="s">
        <v>20</v>
      </c>
    </row>
    <row r="153" spans="1:21" x14ac:dyDescent="0.45">
      <c r="A153" s="79">
        <v>59754912</v>
      </c>
      <c r="B153" s="72" t="str">
        <f t="shared" si="7"/>
        <v>5.975.491-2</v>
      </c>
      <c r="C153" s="22" t="s">
        <v>22</v>
      </c>
      <c r="D153" s="29" t="s">
        <v>291</v>
      </c>
      <c r="E153" s="29" t="s">
        <v>869</v>
      </c>
      <c r="F153" s="29" t="s">
        <v>305</v>
      </c>
      <c r="G153" s="49">
        <v>45458</v>
      </c>
      <c r="H153" s="49">
        <v>45461</v>
      </c>
      <c r="I153" s="29" t="s">
        <v>22</v>
      </c>
      <c r="J153" s="29" t="s">
        <v>19</v>
      </c>
      <c r="K153" s="24" t="s">
        <v>43</v>
      </c>
      <c r="L153" s="49">
        <v>45458</v>
      </c>
      <c r="M153" s="49">
        <v>45461</v>
      </c>
      <c r="N153" s="25">
        <f t="shared" si="6"/>
        <v>3</v>
      </c>
      <c r="O153" s="29"/>
      <c r="P153" t="s">
        <v>88</v>
      </c>
      <c r="Q153" t="s">
        <v>88</v>
      </c>
      <c r="R153" t="s">
        <v>88</v>
      </c>
      <c r="S153" t="s">
        <v>88</v>
      </c>
      <c r="T153" t="s">
        <v>88</v>
      </c>
      <c r="U153" t="s">
        <v>20</v>
      </c>
    </row>
    <row r="154" spans="1:21" x14ac:dyDescent="0.45">
      <c r="A154" s="79">
        <v>59754912</v>
      </c>
      <c r="B154" s="72" t="str">
        <f t="shared" si="7"/>
        <v>5.975.491-2</v>
      </c>
      <c r="C154" s="22" t="s">
        <v>22</v>
      </c>
      <c r="D154" s="29" t="s">
        <v>291</v>
      </c>
      <c r="E154" s="29" t="s">
        <v>869</v>
      </c>
      <c r="F154" s="29" t="s">
        <v>305</v>
      </c>
      <c r="G154" s="49">
        <v>45458</v>
      </c>
      <c r="H154" s="49">
        <v>45461</v>
      </c>
      <c r="I154" s="29" t="s">
        <v>22</v>
      </c>
      <c r="J154" s="29" t="s">
        <v>19</v>
      </c>
      <c r="K154" s="24" t="s">
        <v>47</v>
      </c>
      <c r="L154" s="49">
        <v>45456</v>
      </c>
      <c r="M154" s="49">
        <v>45461</v>
      </c>
      <c r="N154" s="25">
        <f t="shared" si="6"/>
        <v>5</v>
      </c>
      <c r="O154" s="29"/>
      <c r="P154" t="s">
        <v>88</v>
      </c>
      <c r="Q154" t="s">
        <v>88</v>
      </c>
      <c r="R154" t="s">
        <v>88</v>
      </c>
      <c r="S154" t="s">
        <v>88</v>
      </c>
      <c r="T154" t="s">
        <v>88</v>
      </c>
      <c r="U154" t="s">
        <v>20</v>
      </c>
    </row>
    <row r="155" spans="1:21" x14ac:dyDescent="0.45">
      <c r="A155" s="79">
        <v>90584839</v>
      </c>
      <c r="B155" s="72" t="str">
        <f t="shared" si="7"/>
        <v>9.058.483-9</v>
      </c>
      <c r="C155" s="22" t="s">
        <v>22</v>
      </c>
      <c r="D155" s="29" t="s">
        <v>1078</v>
      </c>
      <c r="E155" s="29" t="s">
        <v>393</v>
      </c>
      <c r="F155" s="29" t="s">
        <v>250</v>
      </c>
      <c r="G155" s="49">
        <v>45455</v>
      </c>
      <c r="H155" s="49">
        <v>45462</v>
      </c>
      <c r="I155" s="29" t="s">
        <v>22</v>
      </c>
      <c r="J155" s="29" t="s">
        <v>56</v>
      </c>
      <c r="K155" s="24" t="s">
        <v>43</v>
      </c>
      <c r="L155" s="49">
        <v>45444</v>
      </c>
      <c r="M155" s="49">
        <v>45462</v>
      </c>
      <c r="N155" s="25">
        <f t="shared" si="6"/>
        <v>18</v>
      </c>
      <c r="O155" s="29"/>
      <c r="P155" t="s">
        <v>88</v>
      </c>
      <c r="Q155" t="s">
        <v>88</v>
      </c>
      <c r="R155" t="s">
        <v>88</v>
      </c>
      <c r="S155" t="s">
        <v>88</v>
      </c>
      <c r="T155" t="s">
        <v>88</v>
      </c>
      <c r="U155" t="s">
        <v>20</v>
      </c>
    </row>
    <row r="156" spans="1:21" x14ac:dyDescent="0.45">
      <c r="A156" s="79">
        <v>100270293</v>
      </c>
      <c r="B156" s="72" t="str">
        <f t="shared" si="7"/>
        <v>10.027.029-3</v>
      </c>
      <c r="C156" s="22" t="s">
        <v>22</v>
      </c>
      <c r="D156" s="29" t="s">
        <v>964</v>
      </c>
      <c r="E156" s="29" t="s">
        <v>1156</v>
      </c>
      <c r="F156" s="29" t="s">
        <v>428</v>
      </c>
      <c r="G156" s="49">
        <v>45457</v>
      </c>
      <c r="H156" s="29"/>
      <c r="I156" s="29" t="s">
        <v>22</v>
      </c>
      <c r="J156" s="29"/>
      <c r="K156" s="24" t="s">
        <v>43</v>
      </c>
      <c r="L156" s="49">
        <v>45457</v>
      </c>
      <c r="M156" s="49">
        <v>45473</v>
      </c>
      <c r="N156" s="25">
        <f t="shared" si="6"/>
        <v>16</v>
      </c>
      <c r="O156" s="29"/>
      <c r="P156" t="s">
        <v>88</v>
      </c>
      <c r="Q156" t="s">
        <v>88</v>
      </c>
      <c r="R156" t="s">
        <v>88</v>
      </c>
      <c r="S156" t="s">
        <v>88</v>
      </c>
      <c r="T156" t="s">
        <v>88</v>
      </c>
      <c r="U156" t="s">
        <v>20</v>
      </c>
    </row>
    <row r="157" spans="1:21" x14ac:dyDescent="0.45">
      <c r="A157" s="79">
        <v>100270293</v>
      </c>
      <c r="B157" s="72" t="str">
        <f t="shared" si="7"/>
        <v>10.027.029-3</v>
      </c>
      <c r="C157" s="22" t="s">
        <v>22</v>
      </c>
      <c r="D157" s="29" t="s">
        <v>964</v>
      </c>
      <c r="E157" s="29" t="s">
        <v>1156</v>
      </c>
      <c r="F157" s="29" t="s">
        <v>428</v>
      </c>
      <c r="G157" s="49">
        <v>45457</v>
      </c>
      <c r="H157" s="29"/>
      <c r="I157" s="29" t="s">
        <v>22</v>
      </c>
      <c r="J157" s="29"/>
      <c r="K157" s="24" t="s">
        <v>47</v>
      </c>
      <c r="L157" s="49">
        <v>45454</v>
      </c>
      <c r="M157" s="49">
        <v>45467</v>
      </c>
      <c r="N157" s="25">
        <f t="shared" si="6"/>
        <v>13</v>
      </c>
      <c r="O157" s="29"/>
      <c r="P157" t="s">
        <v>88</v>
      </c>
      <c r="Q157" t="s">
        <v>88</v>
      </c>
      <c r="R157" t="s">
        <v>88</v>
      </c>
      <c r="S157" t="s">
        <v>88</v>
      </c>
      <c r="T157" t="s">
        <v>88</v>
      </c>
      <c r="U157" t="s">
        <v>20</v>
      </c>
    </row>
    <row r="158" spans="1:21" x14ac:dyDescent="0.45">
      <c r="A158" s="79">
        <v>10371546</v>
      </c>
      <c r="B158" s="72" t="str">
        <f t="shared" si="7"/>
        <v>1.037.154-6</v>
      </c>
      <c r="C158" s="22" t="s">
        <v>22</v>
      </c>
      <c r="D158" s="29" t="s">
        <v>1161</v>
      </c>
      <c r="E158" s="29" t="s">
        <v>512</v>
      </c>
      <c r="F158" s="29" t="s">
        <v>311</v>
      </c>
      <c r="G158" s="49">
        <v>45459</v>
      </c>
      <c r="H158" s="29"/>
      <c r="I158" s="29" t="s">
        <v>54</v>
      </c>
      <c r="J158" s="29"/>
      <c r="K158" s="24" t="s">
        <v>43</v>
      </c>
      <c r="L158" s="49">
        <v>45460</v>
      </c>
      <c r="M158" s="49">
        <v>45473</v>
      </c>
      <c r="N158" s="25">
        <f t="shared" ref="N158:N189" si="8">+M158-L158</f>
        <v>13</v>
      </c>
      <c r="O158" s="29"/>
      <c r="P158" t="s">
        <v>88</v>
      </c>
      <c r="Q158" t="s">
        <v>88</v>
      </c>
      <c r="R158" t="s">
        <v>88</v>
      </c>
      <c r="S158" t="s">
        <v>88</v>
      </c>
      <c r="T158" t="s">
        <v>88</v>
      </c>
      <c r="U158" t="s">
        <v>20</v>
      </c>
    </row>
    <row r="159" spans="1:21" x14ac:dyDescent="0.45">
      <c r="A159" s="79">
        <v>10371546</v>
      </c>
      <c r="B159" s="72" t="str">
        <f t="shared" si="7"/>
        <v>1.037.154-6</v>
      </c>
      <c r="C159" s="22" t="s">
        <v>22</v>
      </c>
      <c r="D159" s="29" t="s">
        <v>1161</v>
      </c>
      <c r="E159" s="29" t="s">
        <v>512</v>
      </c>
      <c r="F159" s="29" t="s">
        <v>311</v>
      </c>
      <c r="G159" s="49">
        <v>45459</v>
      </c>
      <c r="H159" s="29"/>
      <c r="I159" s="29" t="s">
        <v>54</v>
      </c>
      <c r="J159" s="29"/>
      <c r="K159" s="24" t="s">
        <v>47</v>
      </c>
      <c r="L159" s="49">
        <v>45460</v>
      </c>
      <c r="M159" s="49">
        <v>45473</v>
      </c>
      <c r="N159" s="25">
        <f t="shared" si="8"/>
        <v>13</v>
      </c>
      <c r="O159" s="29"/>
      <c r="P159" t="s">
        <v>88</v>
      </c>
      <c r="Q159" t="s">
        <v>88</v>
      </c>
      <c r="R159" t="s">
        <v>88</v>
      </c>
      <c r="S159" t="s">
        <v>88</v>
      </c>
      <c r="T159" t="s">
        <v>88</v>
      </c>
      <c r="U159" t="s">
        <v>20</v>
      </c>
    </row>
    <row r="160" spans="1:21" x14ac:dyDescent="0.45">
      <c r="A160" s="79" t="s">
        <v>1162</v>
      </c>
      <c r="B160" s="72" t="str">
        <f t="shared" si="7"/>
        <v>15.175.113-K</v>
      </c>
      <c r="C160" s="22" t="s">
        <v>22</v>
      </c>
      <c r="D160" s="29" t="s">
        <v>427</v>
      </c>
      <c r="E160" s="29" t="s">
        <v>352</v>
      </c>
      <c r="F160" s="29" t="s">
        <v>1163</v>
      </c>
      <c r="G160" s="49">
        <v>45458</v>
      </c>
      <c r="H160" s="49">
        <v>45460</v>
      </c>
      <c r="I160" s="29" t="s">
        <v>46</v>
      </c>
      <c r="J160" s="29" t="s">
        <v>22</v>
      </c>
      <c r="K160" s="24" t="s">
        <v>43</v>
      </c>
      <c r="L160" s="49">
        <v>45457</v>
      </c>
      <c r="M160" s="49">
        <v>45460</v>
      </c>
      <c r="N160" s="25">
        <f t="shared" si="8"/>
        <v>3</v>
      </c>
      <c r="O160" s="70" t="s">
        <v>14</v>
      </c>
      <c r="P160" t="s">
        <v>88</v>
      </c>
      <c r="Q160" t="s">
        <v>88</v>
      </c>
      <c r="R160" t="s">
        <v>88</v>
      </c>
      <c r="S160" t="s">
        <v>88</v>
      </c>
      <c r="T160" t="s">
        <v>88</v>
      </c>
      <c r="U160" t="s">
        <v>20</v>
      </c>
    </row>
    <row r="161" spans="1:21" x14ac:dyDescent="0.45">
      <c r="A161" s="79" t="s">
        <v>1162</v>
      </c>
      <c r="B161" s="72" t="str">
        <f t="shared" si="7"/>
        <v>15.175.113-K</v>
      </c>
      <c r="C161" s="22" t="s">
        <v>22</v>
      </c>
      <c r="D161" s="29" t="s">
        <v>427</v>
      </c>
      <c r="E161" s="29" t="s">
        <v>352</v>
      </c>
      <c r="F161" s="29" t="s">
        <v>1163</v>
      </c>
      <c r="G161" s="49">
        <v>45458</v>
      </c>
      <c r="H161" s="49">
        <v>45460</v>
      </c>
      <c r="I161" s="29" t="s">
        <v>46</v>
      </c>
      <c r="J161" s="29" t="s">
        <v>22</v>
      </c>
      <c r="K161" s="24" t="s">
        <v>47</v>
      </c>
      <c r="L161" s="49">
        <v>45457</v>
      </c>
      <c r="M161" s="49">
        <v>45460</v>
      </c>
      <c r="N161" s="25">
        <f t="shared" si="8"/>
        <v>3</v>
      </c>
      <c r="O161" s="29"/>
      <c r="P161" t="s">
        <v>88</v>
      </c>
      <c r="Q161" t="s">
        <v>88</v>
      </c>
      <c r="R161" t="s">
        <v>88</v>
      </c>
      <c r="S161" t="s">
        <v>88</v>
      </c>
      <c r="T161" t="s">
        <v>88</v>
      </c>
      <c r="U161" t="s">
        <v>20</v>
      </c>
    </row>
    <row r="162" spans="1:21" x14ac:dyDescent="0.45">
      <c r="A162" s="79">
        <v>33897324</v>
      </c>
      <c r="B162" s="72" t="str">
        <f t="shared" si="7"/>
        <v>3.389.732-4</v>
      </c>
      <c r="C162" s="22" t="s">
        <v>22</v>
      </c>
      <c r="D162" s="29" t="s">
        <v>278</v>
      </c>
      <c r="E162" s="29" t="s">
        <v>1164</v>
      </c>
      <c r="F162" s="29" t="s">
        <v>793</v>
      </c>
      <c r="G162" s="49">
        <v>45459</v>
      </c>
      <c r="H162" s="49">
        <v>45464</v>
      </c>
      <c r="I162" s="29" t="s">
        <v>54</v>
      </c>
      <c r="J162" s="29" t="s">
        <v>13</v>
      </c>
      <c r="K162" s="24" t="s">
        <v>47</v>
      </c>
      <c r="L162" s="49">
        <v>45460</v>
      </c>
      <c r="M162" s="49">
        <v>45464</v>
      </c>
      <c r="N162" s="25">
        <f t="shared" si="8"/>
        <v>4</v>
      </c>
      <c r="O162" s="29"/>
      <c r="P162" t="s">
        <v>88</v>
      </c>
      <c r="Q162" t="s">
        <v>88</v>
      </c>
      <c r="R162" t="s">
        <v>88</v>
      </c>
      <c r="S162" t="s">
        <v>88</v>
      </c>
      <c r="T162" t="s">
        <v>88</v>
      </c>
      <c r="U162" t="s">
        <v>20</v>
      </c>
    </row>
    <row r="163" spans="1:21" x14ac:dyDescent="0.45">
      <c r="A163" s="79">
        <v>51368932</v>
      </c>
      <c r="B163" s="72" t="str">
        <f t="shared" si="7"/>
        <v>5.136.893-2</v>
      </c>
      <c r="C163" s="22" t="s">
        <v>30</v>
      </c>
      <c r="D163" s="29" t="s">
        <v>353</v>
      </c>
      <c r="E163" s="29" t="s">
        <v>1044</v>
      </c>
      <c r="F163" s="29" t="s">
        <v>290</v>
      </c>
      <c r="G163" s="49">
        <v>45454</v>
      </c>
      <c r="H163" s="49">
        <v>45461</v>
      </c>
      <c r="I163" s="29" t="s">
        <v>54</v>
      </c>
      <c r="J163" s="29" t="s">
        <v>24</v>
      </c>
      <c r="K163" s="24" t="s">
        <v>43</v>
      </c>
      <c r="L163" s="49">
        <v>45454</v>
      </c>
      <c r="M163" s="49">
        <v>45461</v>
      </c>
      <c r="N163" s="25">
        <f t="shared" si="8"/>
        <v>7</v>
      </c>
      <c r="O163" s="29"/>
      <c r="P163" t="s">
        <v>88</v>
      </c>
      <c r="Q163" t="s">
        <v>88</v>
      </c>
      <c r="R163" t="s">
        <v>88</v>
      </c>
      <c r="S163" t="s">
        <v>88</v>
      </c>
      <c r="T163" t="s">
        <v>88</v>
      </c>
      <c r="U163" t="s">
        <v>20</v>
      </c>
    </row>
    <row r="164" spans="1:21" x14ac:dyDescent="0.45">
      <c r="A164" s="79">
        <v>118081382</v>
      </c>
      <c r="B164" s="72" t="str">
        <f t="shared" si="7"/>
        <v>11.808.138-2</v>
      </c>
      <c r="C164" s="22" t="s">
        <v>30</v>
      </c>
      <c r="D164" s="29" t="s">
        <v>964</v>
      </c>
      <c r="E164" s="29" t="s">
        <v>341</v>
      </c>
      <c r="F164" s="29" t="s">
        <v>1135</v>
      </c>
      <c r="G164" s="49">
        <v>45456</v>
      </c>
      <c r="H164" s="49">
        <v>45462</v>
      </c>
      <c r="I164" s="29" t="s">
        <v>24</v>
      </c>
      <c r="J164" s="29" t="s">
        <v>24</v>
      </c>
      <c r="K164" s="24" t="s">
        <v>43</v>
      </c>
      <c r="L164" s="49">
        <v>45458</v>
      </c>
      <c r="M164" s="49">
        <v>45462</v>
      </c>
      <c r="N164" s="25">
        <f t="shared" si="8"/>
        <v>4</v>
      </c>
      <c r="O164" s="29"/>
      <c r="P164" t="s">
        <v>88</v>
      </c>
      <c r="Q164" t="s">
        <v>88</v>
      </c>
      <c r="R164" t="s">
        <v>88</v>
      </c>
      <c r="S164" t="s">
        <v>88</v>
      </c>
      <c r="T164" t="s">
        <v>88</v>
      </c>
      <c r="U164" t="s">
        <v>20</v>
      </c>
    </row>
    <row r="165" spans="1:21" x14ac:dyDescent="0.45">
      <c r="A165" s="79">
        <v>47307856</v>
      </c>
      <c r="B165" s="72" t="str">
        <f t="shared" si="7"/>
        <v>4.730.785-6</v>
      </c>
      <c r="C165" s="22" t="s">
        <v>30</v>
      </c>
      <c r="D165" s="29" t="s">
        <v>869</v>
      </c>
      <c r="E165" s="29" t="s">
        <v>1165</v>
      </c>
      <c r="F165" s="29" t="s">
        <v>348</v>
      </c>
      <c r="G165" s="49">
        <v>45456</v>
      </c>
      <c r="H165" s="49">
        <v>45462</v>
      </c>
      <c r="I165" s="29" t="s">
        <v>24</v>
      </c>
      <c r="J165" s="29" t="s">
        <v>24</v>
      </c>
      <c r="K165" s="24" t="s">
        <v>43</v>
      </c>
      <c r="L165" s="49">
        <v>45459</v>
      </c>
      <c r="M165" s="49">
        <v>45462</v>
      </c>
      <c r="N165" s="25">
        <f t="shared" si="8"/>
        <v>3</v>
      </c>
      <c r="O165" s="29"/>
      <c r="P165" t="s">
        <v>88</v>
      </c>
      <c r="Q165" t="s">
        <v>88</v>
      </c>
      <c r="R165" t="s">
        <v>88</v>
      </c>
      <c r="S165" t="s">
        <v>88</v>
      </c>
      <c r="T165" t="s">
        <v>88</v>
      </c>
      <c r="U165" t="s">
        <v>20</v>
      </c>
    </row>
    <row r="166" spans="1:21" x14ac:dyDescent="0.45">
      <c r="A166" s="79">
        <v>59584367</v>
      </c>
      <c r="B166" s="72" t="str">
        <f t="shared" si="7"/>
        <v>5.958.436-7</v>
      </c>
      <c r="C166" s="22" t="s">
        <v>30</v>
      </c>
      <c r="D166" s="29" t="s">
        <v>1166</v>
      </c>
      <c r="E166" s="29" t="s">
        <v>781</v>
      </c>
      <c r="F166" s="29" t="s">
        <v>908</v>
      </c>
      <c r="G166" s="49">
        <v>45456</v>
      </c>
      <c r="H166" s="49">
        <v>45461</v>
      </c>
      <c r="I166" s="29" t="s">
        <v>24</v>
      </c>
      <c r="J166" s="29" t="s">
        <v>24</v>
      </c>
      <c r="K166" s="24" t="s">
        <v>47</v>
      </c>
      <c r="L166" s="49">
        <v>45457</v>
      </c>
      <c r="M166" s="49">
        <v>45461</v>
      </c>
      <c r="N166" s="25">
        <f t="shared" si="8"/>
        <v>4</v>
      </c>
      <c r="O166" s="29"/>
      <c r="P166" t="s">
        <v>88</v>
      </c>
      <c r="Q166" t="s">
        <v>88</v>
      </c>
      <c r="R166" t="s">
        <v>88</v>
      </c>
      <c r="S166" t="s">
        <v>88</v>
      </c>
      <c r="T166" t="s">
        <v>88</v>
      </c>
      <c r="U166" t="s">
        <v>20</v>
      </c>
    </row>
    <row r="167" spans="1:21" x14ac:dyDescent="0.45">
      <c r="A167" s="79">
        <v>59584367</v>
      </c>
      <c r="B167" s="72" t="str">
        <f t="shared" si="7"/>
        <v>5.958.436-7</v>
      </c>
      <c r="C167" s="22" t="s">
        <v>30</v>
      </c>
      <c r="D167" s="29" t="s">
        <v>1166</v>
      </c>
      <c r="E167" s="29" t="s">
        <v>781</v>
      </c>
      <c r="F167" s="29" t="s">
        <v>908</v>
      </c>
      <c r="G167" s="49">
        <v>45456</v>
      </c>
      <c r="H167" s="49">
        <v>45461</v>
      </c>
      <c r="I167" s="29" t="s">
        <v>24</v>
      </c>
      <c r="J167" s="29" t="s">
        <v>24</v>
      </c>
      <c r="K167" s="24" t="s">
        <v>43</v>
      </c>
      <c r="L167" s="49">
        <v>45457</v>
      </c>
      <c r="M167" s="49">
        <v>45461</v>
      </c>
      <c r="N167" s="25">
        <f t="shared" si="8"/>
        <v>4</v>
      </c>
      <c r="O167" s="29"/>
      <c r="P167" t="s">
        <v>88</v>
      </c>
      <c r="Q167" t="s">
        <v>88</v>
      </c>
      <c r="R167" t="s">
        <v>88</v>
      </c>
      <c r="S167" t="s">
        <v>88</v>
      </c>
      <c r="T167" t="s">
        <v>88</v>
      </c>
      <c r="U167" t="s">
        <v>20</v>
      </c>
    </row>
    <row r="168" spans="1:21" x14ac:dyDescent="0.45">
      <c r="A168" s="79">
        <v>90012428</v>
      </c>
      <c r="B168" s="72" t="str">
        <f t="shared" si="7"/>
        <v>9.001.242-8</v>
      </c>
      <c r="C168" s="22" t="s">
        <v>38</v>
      </c>
      <c r="D168" s="29" t="s">
        <v>1167</v>
      </c>
      <c r="E168" s="29" t="s">
        <v>640</v>
      </c>
      <c r="F168" s="29" t="s">
        <v>392</v>
      </c>
      <c r="G168" s="49">
        <v>45461</v>
      </c>
      <c r="H168" s="49">
        <v>45464</v>
      </c>
      <c r="I168" s="29" t="s">
        <v>63</v>
      </c>
      <c r="J168" s="29" t="s">
        <v>19</v>
      </c>
      <c r="K168" s="24" t="s">
        <v>47</v>
      </c>
      <c r="L168" s="49">
        <v>45460</v>
      </c>
      <c r="M168" s="49">
        <v>45464</v>
      </c>
      <c r="N168" s="25">
        <f t="shared" si="8"/>
        <v>4</v>
      </c>
      <c r="O168" s="29"/>
      <c r="P168" t="s">
        <v>88</v>
      </c>
      <c r="Q168" t="s">
        <v>88</v>
      </c>
      <c r="R168" t="s">
        <v>88</v>
      </c>
      <c r="S168" t="s">
        <v>88</v>
      </c>
      <c r="T168" t="s">
        <v>88</v>
      </c>
      <c r="U168" t="s">
        <v>20</v>
      </c>
    </row>
    <row r="169" spans="1:21" x14ac:dyDescent="0.45">
      <c r="A169" s="79">
        <v>67960890</v>
      </c>
      <c r="B169" s="72" t="str">
        <f t="shared" si="7"/>
        <v>6.796.089-0</v>
      </c>
      <c r="C169" s="22" t="s">
        <v>38</v>
      </c>
      <c r="D169" s="29" t="s">
        <v>417</v>
      </c>
      <c r="E169" s="29" t="s">
        <v>417</v>
      </c>
      <c r="F169" s="29" t="s">
        <v>833</v>
      </c>
      <c r="G169" s="49">
        <v>45459</v>
      </c>
      <c r="H169" s="49">
        <v>45464</v>
      </c>
      <c r="I169" s="29" t="s">
        <v>24</v>
      </c>
      <c r="J169" s="29" t="s">
        <v>24</v>
      </c>
      <c r="K169" s="24" t="s">
        <v>47</v>
      </c>
      <c r="L169" s="49">
        <v>45460</v>
      </c>
      <c r="M169" s="49">
        <v>45464</v>
      </c>
      <c r="N169" s="25">
        <f t="shared" si="8"/>
        <v>4</v>
      </c>
      <c r="O169" s="29"/>
      <c r="P169" t="s">
        <v>88</v>
      </c>
      <c r="Q169" t="s">
        <v>88</v>
      </c>
      <c r="R169" t="s">
        <v>88</v>
      </c>
      <c r="S169" t="s">
        <v>88</v>
      </c>
      <c r="T169" t="s">
        <v>88</v>
      </c>
      <c r="U169" t="s">
        <v>20</v>
      </c>
    </row>
    <row r="170" spans="1:21" x14ac:dyDescent="0.45">
      <c r="A170" s="79">
        <v>38116142</v>
      </c>
      <c r="B170" s="72" t="str">
        <f t="shared" si="7"/>
        <v>3.811.614-2</v>
      </c>
      <c r="C170" s="22" t="s">
        <v>38</v>
      </c>
      <c r="D170" s="29" t="s">
        <v>1168</v>
      </c>
      <c r="E170" s="29" t="s">
        <v>310</v>
      </c>
      <c r="F170" s="29" t="s">
        <v>928</v>
      </c>
      <c r="G170" s="49">
        <v>45461</v>
      </c>
      <c r="H170" s="49">
        <v>45461</v>
      </c>
      <c r="I170" s="29" t="s">
        <v>24</v>
      </c>
      <c r="J170" s="29" t="s">
        <v>36</v>
      </c>
      <c r="K170" s="24" t="s">
        <v>43</v>
      </c>
      <c r="L170" s="49">
        <v>45459</v>
      </c>
      <c r="M170" s="49">
        <v>45461</v>
      </c>
      <c r="N170" s="25">
        <f t="shared" si="8"/>
        <v>2</v>
      </c>
      <c r="O170" s="29"/>
      <c r="P170" t="s">
        <v>88</v>
      </c>
      <c r="Q170" t="s">
        <v>88</v>
      </c>
      <c r="R170" t="s">
        <v>88</v>
      </c>
      <c r="S170" t="s">
        <v>88</v>
      </c>
      <c r="T170" t="s">
        <v>88</v>
      </c>
      <c r="U170" t="s">
        <v>20</v>
      </c>
    </row>
    <row r="171" spans="1:21" x14ac:dyDescent="0.45">
      <c r="A171" s="79">
        <v>38116142</v>
      </c>
      <c r="B171" s="72" t="str">
        <f t="shared" si="7"/>
        <v>3.811.614-2</v>
      </c>
      <c r="C171" s="22" t="s">
        <v>38</v>
      </c>
      <c r="D171" s="29" t="s">
        <v>1168</v>
      </c>
      <c r="E171" s="29" t="s">
        <v>310</v>
      </c>
      <c r="F171" s="29" t="s">
        <v>928</v>
      </c>
      <c r="G171" s="49">
        <v>45459</v>
      </c>
      <c r="H171" s="49">
        <v>45461</v>
      </c>
      <c r="I171" s="29" t="s">
        <v>24</v>
      </c>
      <c r="J171" s="29" t="s">
        <v>36</v>
      </c>
      <c r="K171" s="24" t="s">
        <v>47</v>
      </c>
      <c r="L171" s="49">
        <v>45459</v>
      </c>
      <c r="M171" s="49">
        <v>45461</v>
      </c>
      <c r="N171" s="25">
        <f t="shared" si="8"/>
        <v>2</v>
      </c>
      <c r="O171" s="29"/>
      <c r="P171" t="s">
        <v>88</v>
      </c>
      <c r="Q171" t="s">
        <v>88</v>
      </c>
      <c r="R171" t="s">
        <v>88</v>
      </c>
      <c r="S171" t="s">
        <v>88</v>
      </c>
      <c r="T171" t="s">
        <v>88</v>
      </c>
      <c r="U171" t="s">
        <v>20</v>
      </c>
    </row>
    <row r="172" spans="1:21" x14ac:dyDescent="0.45">
      <c r="A172" s="79">
        <v>87590461</v>
      </c>
      <c r="B172" s="72" t="str">
        <f t="shared" si="7"/>
        <v>8.759.046-1</v>
      </c>
      <c r="C172" s="22" t="s">
        <v>38</v>
      </c>
      <c r="D172" s="29" t="s">
        <v>660</v>
      </c>
      <c r="E172" s="29" t="s">
        <v>660</v>
      </c>
      <c r="F172" s="29" t="s">
        <v>321</v>
      </c>
      <c r="G172" s="49">
        <v>45457</v>
      </c>
      <c r="H172" s="49">
        <v>45461</v>
      </c>
      <c r="I172" s="29" t="s">
        <v>63</v>
      </c>
      <c r="J172" s="29" t="s">
        <v>13</v>
      </c>
      <c r="K172" s="24" t="s">
        <v>43</v>
      </c>
      <c r="L172" s="49">
        <v>45457</v>
      </c>
      <c r="M172" s="49">
        <v>45461</v>
      </c>
      <c r="N172" s="25">
        <f t="shared" si="8"/>
        <v>4</v>
      </c>
      <c r="O172" s="29"/>
      <c r="P172" t="s">
        <v>88</v>
      </c>
      <c r="Q172" t="s">
        <v>88</v>
      </c>
      <c r="R172" t="s">
        <v>88</v>
      </c>
      <c r="S172" t="s">
        <v>88</v>
      </c>
      <c r="T172" t="s">
        <v>88</v>
      </c>
      <c r="U172" t="s">
        <v>20</v>
      </c>
    </row>
    <row r="173" spans="1:21" x14ac:dyDescent="0.45">
      <c r="A173" s="79">
        <v>284539680</v>
      </c>
      <c r="B173" s="72" t="str">
        <f t="shared" si="7"/>
        <v>28.453.968-0</v>
      </c>
      <c r="C173" s="22" t="s">
        <v>16</v>
      </c>
      <c r="D173" s="29" t="s">
        <v>751</v>
      </c>
      <c r="E173" s="29" t="s">
        <v>1137</v>
      </c>
      <c r="F173" s="29" t="s">
        <v>1139</v>
      </c>
      <c r="G173" s="49">
        <v>45451</v>
      </c>
      <c r="H173" s="29"/>
      <c r="I173" s="29" t="s">
        <v>36</v>
      </c>
      <c r="J173" s="29"/>
      <c r="K173" s="24" t="s">
        <v>18</v>
      </c>
      <c r="L173" s="49">
        <v>45455</v>
      </c>
      <c r="M173" s="49">
        <v>45463</v>
      </c>
      <c r="N173" s="99">
        <f t="shared" si="8"/>
        <v>8</v>
      </c>
      <c r="O173" s="29"/>
      <c r="P173" t="s">
        <v>88</v>
      </c>
      <c r="Q173" t="s">
        <v>88</v>
      </c>
      <c r="R173" t="s">
        <v>88</v>
      </c>
      <c r="S173" t="s">
        <v>88</v>
      </c>
      <c r="T173" t="s">
        <v>88</v>
      </c>
      <c r="U173" t="s">
        <v>20</v>
      </c>
    </row>
    <row r="174" spans="1:21" x14ac:dyDescent="0.45">
      <c r="A174" s="79">
        <v>284539540</v>
      </c>
      <c r="B174" s="72" t="str">
        <f t="shared" si="7"/>
        <v>28.453.954-0</v>
      </c>
      <c r="C174" s="22" t="s">
        <v>16</v>
      </c>
      <c r="D174" s="29" t="s">
        <v>751</v>
      </c>
      <c r="E174" s="29" t="s">
        <v>1137</v>
      </c>
      <c r="F174" s="29" t="s">
        <v>1138</v>
      </c>
      <c r="G174" s="49">
        <v>45451</v>
      </c>
      <c r="H174" s="29"/>
      <c r="I174" s="29" t="s">
        <v>36</v>
      </c>
      <c r="J174" s="29"/>
      <c r="K174" s="24" t="s">
        <v>18</v>
      </c>
      <c r="L174" s="49">
        <v>45457</v>
      </c>
      <c r="M174" s="49">
        <v>45463</v>
      </c>
      <c r="N174" s="99">
        <f t="shared" si="8"/>
        <v>6</v>
      </c>
      <c r="O174" s="29"/>
      <c r="P174" t="s">
        <v>88</v>
      </c>
      <c r="Q174" t="s">
        <v>88</v>
      </c>
      <c r="R174" t="s">
        <v>88</v>
      </c>
      <c r="S174" t="s">
        <v>88</v>
      </c>
      <c r="T174" t="s">
        <v>88</v>
      </c>
      <c r="U174" t="s">
        <v>20</v>
      </c>
    </row>
    <row r="175" spans="1:21" x14ac:dyDescent="0.45">
      <c r="A175" s="79">
        <v>62009225</v>
      </c>
      <c r="B175" s="72" t="str">
        <f t="shared" si="7"/>
        <v>6.200.922-5</v>
      </c>
      <c r="C175" s="22" t="s">
        <v>46</v>
      </c>
      <c r="D175" s="29" t="s">
        <v>433</v>
      </c>
      <c r="E175" s="29" t="s">
        <v>1169</v>
      </c>
      <c r="F175" s="29" t="s">
        <v>538</v>
      </c>
      <c r="G175" s="49">
        <v>45461</v>
      </c>
      <c r="H175" s="49">
        <v>45465</v>
      </c>
      <c r="I175" s="29" t="s">
        <v>54</v>
      </c>
      <c r="J175" s="29" t="s">
        <v>13</v>
      </c>
      <c r="K175" s="24" t="s">
        <v>43</v>
      </c>
      <c r="L175" s="49">
        <v>45461</v>
      </c>
      <c r="M175" s="49">
        <v>45465</v>
      </c>
      <c r="N175" s="99">
        <f t="shared" si="8"/>
        <v>4</v>
      </c>
      <c r="O175" s="29"/>
      <c r="P175" t="s">
        <v>88</v>
      </c>
      <c r="Q175" t="s">
        <v>88</v>
      </c>
      <c r="R175" t="s">
        <v>88</v>
      </c>
      <c r="S175" t="s">
        <v>88</v>
      </c>
      <c r="T175" t="s">
        <v>88</v>
      </c>
      <c r="U175" t="s">
        <v>20</v>
      </c>
    </row>
    <row r="176" spans="1:21" x14ac:dyDescent="0.45">
      <c r="A176" s="79">
        <v>38906569</v>
      </c>
      <c r="B176" s="72" t="str">
        <f t="shared" si="7"/>
        <v>3.890.656-9</v>
      </c>
      <c r="C176" s="22" t="s">
        <v>46</v>
      </c>
      <c r="D176" s="29" t="s">
        <v>473</v>
      </c>
      <c r="E176" s="29" t="s">
        <v>493</v>
      </c>
      <c r="F176" s="29" t="s">
        <v>1170</v>
      </c>
      <c r="G176" s="49">
        <v>45448</v>
      </c>
      <c r="H176" s="49">
        <v>45465</v>
      </c>
      <c r="I176" s="29" t="s">
        <v>54</v>
      </c>
      <c r="J176" s="29" t="s">
        <v>13</v>
      </c>
      <c r="K176" s="24" t="s">
        <v>47</v>
      </c>
      <c r="L176" s="49">
        <v>45457</v>
      </c>
      <c r="M176" s="49">
        <v>45465</v>
      </c>
      <c r="N176" s="99">
        <f t="shared" si="8"/>
        <v>8</v>
      </c>
      <c r="O176" s="29"/>
      <c r="P176" t="s">
        <v>88</v>
      </c>
      <c r="Q176" t="s">
        <v>88</v>
      </c>
      <c r="R176" t="s">
        <v>88</v>
      </c>
      <c r="S176" t="s">
        <v>88</v>
      </c>
      <c r="T176" t="s">
        <v>88</v>
      </c>
      <c r="U176" t="s">
        <v>20</v>
      </c>
    </row>
    <row r="177" spans="1:21" x14ac:dyDescent="0.45">
      <c r="A177" s="79">
        <v>38906569</v>
      </c>
      <c r="B177" s="72" t="str">
        <f t="shared" si="7"/>
        <v>3.890.656-9</v>
      </c>
      <c r="C177" s="22" t="s">
        <v>46</v>
      </c>
      <c r="D177" s="29" t="s">
        <v>473</v>
      </c>
      <c r="E177" s="29" t="s">
        <v>493</v>
      </c>
      <c r="F177" s="29" t="s">
        <v>1170</v>
      </c>
      <c r="G177" s="49">
        <v>45448</v>
      </c>
      <c r="H177" s="49">
        <v>45465</v>
      </c>
      <c r="I177" s="29" t="s">
        <v>54</v>
      </c>
      <c r="J177" s="29" t="s">
        <v>13</v>
      </c>
      <c r="K177" s="24" t="s">
        <v>43</v>
      </c>
      <c r="L177" s="49">
        <v>45445</v>
      </c>
      <c r="M177" s="49">
        <v>45465</v>
      </c>
      <c r="N177" s="99">
        <f t="shared" si="8"/>
        <v>20</v>
      </c>
      <c r="O177" s="29"/>
      <c r="P177" t="s">
        <v>88</v>
      </c>
      <c r="Q177" t="s">
        <v>88</v>
      </c>
      <c r="R177" t="s">
        <v>88</v>
      </c>
      <c r="S177" t="s">
        <v>88</v>
      </c>
      <c r="T177" t="s">
        <v>88</v>
      </c>
      <c r="U177" t="s">
        <v>20</v>
      </c>
    </row>
    <row r="178" spans="1:21" x14ac:dyDescent="0.45">
      <c r="A178" s="79">
        <v>93131835</v>
      </c>
      <c r="B178" s="72" t="str">
        <f t="shared" si="7"/>
        <v>9.313.183-5</v>
      </c>
      <c r="C178" s="22" t="s">
        <v>46</v>
      </c>
      <c r="D178" s="29" t="s">
        <v>563</v>
      </c>
      <c r="E178" s="29" t="s">
        <v>536</v>
      </c>
      <c r="F178" s="29" t="s">
        <v>564</v>
      </c>
      <c r="G178" s="49">
        <v>45458</v>
      </c>
      <c r="H178" s="49">
        <v>45469</v>
      </c>
      <c r="I178" s="29" t="s">
        <v>54</v>
      </c>
      <c r="J178" s="29"/>
      <c r="K178" s="24" t="s">
        <v>43</v>
      </c>
      <c r="L178" s="49">
        <v>45461</v>
      </c>
      <c r="M178" s="49">
        <v>45469</v>
      </c>
      <c r="N178" s="25">
        <f t="shared" si="8"/>
        <v>8</v>
      </c>
      <c r="O178" s="29"/>
      <c r="P178" t="s">
        <v>88</v>
      </c>
      <c r="Q178" t="s">
        <v>88</v>
      </c>
      <c r="R178" t="s">
        <v>88</v>
      </c>
      <c r="S178" t="s">
        <v>88</v>
      </c>
      <c r="T178" t="s">
        <v>88</v>
      </c>
      <c r="U178" t="s">
        <v>20</v>
      </c>
    </row>
    <row r="179" spans="1:21" x14ac:dyDescent="0.45">
      <c r="A179" s="29">
        <v>270632629</v>
      </c>
      <c r="B179" s="72" t="str">
        <f t="shared" si="7"/>
        <v>27.063.262-9</v>
      </c>
      <c r="C179" s="22" t="s">
        <v>10</v>
      </c>
      <c r="D179" s="29" t="s">
        <v>285</v>
      </c>
      <c r="E179" s="29" t="s">
        <v>352</v>
      </c>
      <c r="F179" s="29" t="s">
        <v>1171</v>
      </c>
      <c r="G179" s="49">
        <v>45460</v>
      </c>
      <c r="H179" s="49">
        <v>45464</v>
      </c>
      <c r="I179" s="29" t="s">
        <v>24</v>
      </c>
      <c r="J179" s="29" t="s">
        <v>24</v>
      </c>
      <c r="K179" s="24" t="s">
        <v>47</v>
      </c>
      <c r="L179" s="49">
        <v>45460</v>
      </c>
      <c r="M179" s="49">
        <v>45464</v>
      </c>
      <c r="N179" s="25">
        <f t="shared" si="8"/>
        <v>4</v>
      </c>
      <c r="O179" s="29"/>
      <c r="P179" t="s">
        <v>88</v>
      </c>
      <c r="Q179" t="s">
        <v>88</v>
      </c>
      <c r="R179" t="s">
        <v>88</v>
      </c>
      <c r="S179" t="s">
        <v>88</v>
      </c>
      <c r="T179" t="s">
        <v>88</v>
      </c>
      <c r="U179" t="s">
        <v>20</v>
      </c>
    </row>
    <row r="180" spans="1:21" x14ac:dyDescent="0.45">
      <c r="A180" s="79">
        <v>93247965</v>
      </c>
      <c r="B180" s="72" t="str">
        <f t="shared" si="7"/>
        <v>9.324.796-5</v>
      </c>
      <c r="C180" s="22" t="s">
        <v>22</v>
      </c>
      <c r="D180" s="29" t="s">
        <v>488</v>
      </c>
      <c r="E180" s="29" t="s">
        <v>338</v>
      </c>
      <c r="F180" s="29" t="s">
        <v>362</v>
      </c>
      <c r="G180" s="49">
        <v>45461</v>
      </c>
      <c r="H180" s="49">
        <v>45468</v>
      </c>
      <c r="I180" s="29" t="s">
        <v>22</v>
      </c>
      <c r="J180" s="29"/>
      <c r="K180" s="24" t="s">
        <v>43</v>
      </c>
      <c r="L180" s="49">
        <v>45454</v>
      </c>
      <c r="M180" s="49">
        <v>45468</v>
      </c>
      <c r="N180" s="25">
        <f t="shared" si="8"/>
        <v>14</v>
      </c>
      <c r="O180" s="29"/>
      <c r="P180" t="s">
        <v>88</v>
      </c>
      <c r="Q180" t="s">
        <v>88</v>
      </c>
      <c r="R180" t="s">
        <v>88</v>
      </c>
      <c r="S180" t="s">
        <v>88</v>
      </c>
      <c r="T180" t="s">
        <v>88</v>
      </c>
      <c r="U180" t="s">
        <v>20</v>
      </c>
    </row>
    <row r="181" spans="1:21" x14ac:dyDescent="0.45">
      <c r="A181" s="79">
        <v>93247965</v>
      </c>
      <c r="B181" s="72" t="str">
        <f t="shared" si="7"/>
        <v>9.324.796-5</v>
      </c>
      <c r="C181" s="22" t="s">
        <v>22</v>
      </c>
      <c r="D181" s="29" t="s">
        <v>488</v>
      </c>
      <c r="E181" s="29" t="s">
        <v>338</v>
      </c>
      <c r="F181" s="29" t="s">
        <v>362</v>
      </c>
      <c r="G181" s="49">
        <v>45461</v>
      </c>
      <c r="H181" s="49">
        <v>45468</v>
      </c>
      <c r="I181" s="29" t="s">
        <v>22</v>
      </c>
      <c r="J181" s="29"/>
      <c r="K181" s="24" t="s">
        <v>47</v>
      </c>
      <c r="L181" s="49">
        <v>45461</v>
      </c>
      <c r="M181" s="49">
        <v>45468</v>
      </c>
      <c r="N181" s="25">
        <f t="shared" si="8"/>
        <v>7</v>
      </c>
      <c r="O181" s="29"/>
      <c r="P181" t="s">
        <v>88</v>
      </c>
      <c r="Q181" t="s">
        <v>88</v>
      </c>
      <c r="R181" t="s">
        <v>88</v>
      </c>
      <c r="S181" t="s">
        <v>88</v>
      </c>
      <c r="T181" t="s">
        <v>88</v>
      </c>
      <c r="U181" t="s">
        <v>20</v>
      </c>
    </row>
    <row r="182" spans="1:21" x14ac:dyDescent="0.45">
      <c r="A182" s="79" t="s">
        <v>997</v>
      </c>
      <c r="B182" s="72" t="str">
        <f t="shared" si="7"/>
        <v>12.187.718-K</v>
      </c>
      <c r="C182" s="22" t="s">
        <v>22</v>
      </c>
      <c r="D182" s="29" t="s">
        <v>998</v>
      </c>
      <c r="E182" s="29" t="s">
        <v>493</v>
      </c>
      <c r="F182" s="29" t="s">
        <v>939</v>
      </c>
      <c r="G182" s="49">
        <v>45461</v>
      </c>
      <c r="H182" s="49">
        <v>45468</v>
      </c>
      <c r="I182" s="29" t="s">
        <v>22</v>
      </c>
      <c r="J182" s="29" t="s">
        <v>56</v>
      </c>
      <c r="K182" s="24" t="s">
        <v>43</v>
      </c>
      <c r="L182" s="49">
        <v>45461</v>
      </c>
      <c r="M182" s="49">
        <v>45468</v>
      </c>
      <c r="N182" s="25">
        <f t="shared" si="8"/>
        <v>7</v>
      </c>
      <c r="O182" s="70" t="s">
        <v>14</v>
      </c>
      <c r="P182" t="s">
        <v>88</v>
      </c>
      <c r="Q182" t="s">
        <v>88</v>
      </c>
      <c r="R182" t="s">
        <v>88</v>
      </c>
      <c r="S182" t="s">
        <v>88</v>
      </c>
      <c r="T182" t="s">
        <v>88</v>
      </c>
      <c r="U182" t="s">
        <v>20</v>
      </c>
    </row>
    <row r="183" spans="1:21" x14ac:dyDescent="0.45">
      <c r="A183" s="79">
        <v>49871155</v>
      </c>
      <c r="B183" s="72" t="str">
        <f t="shared" si="7"/>
        <v>4.987.115-5</v>
      </c>
      <c r="C183" s="22" t="s">
        <v>22</v>
      </c>
      <c r="D183" s="29" t="s">
        <v>677</v>
      </c>
      <c r="E183" s="29" t="s">
        <v>1172</v>
      </c>
      <c r="F183" s="29" t="s">
        <v>908</v>
      </c>
      <c r="G183" s="49">
        <v>45462</v>
      </c>
      <c r="H183" s="49">
        <v>45467</v>
      </c>
      <c r="I183" s="29" t="s">
        <v>22</v>
      </c>
      <c r="J183" s="29" t="s">
        <v>13</v>
      </c>
      <c r="K183" s="24" t="s">
        <v>43</v>
      </c>
      <c r="L183" s="49">
        <v>45460</v>
      </c>
      <c r="M183" s="49">
        <v>45467</v>
      </c>
      <c r="N183" s="25">
        <f t="shared" si="8"/>
        <v>7</v>
      </c>
      <c r="O183" s="29"/>
      <c r="P183" t="s">
        <v>88</v>
      </c>
      <c r="Q183" t="s">
        <v>88</v>
      </c>
      <c r="R183" t="s">
        <v>88</v>
      </c>
      <c r="S183" t="s">
        <v>88</v>
      </c>
      <c r="T183" t="s">
        <v>88</v>
      </c>
      <c r="U183" t="s">
        <v>20</v>
      </c>
    </row>
    <row r="184" spans="1:21" x14ac:dyDescent="0.45">
      <c r="A184" s="79">
        <v>80962290</v>
      </c>
      <c r="B184" s="72" t="str">
        <f t="shared" si="7"/>
        <v>8.096.229-0</v>
      </c>
      <c r="C184" s="22" t="s">
        <v>22</v>
      </c>
      <c r="D184" s="29" t="s">
        <v>1173</v>
      </c>
      <c r="E184" s="29" t="s">
        <v>306</v>
      </c>
      <c r="F184" s="29" t="s">
        <v>1174</v>
      </c>
      <c r="G184" s="49">
        <v>45462</v>
      </c>
      <c r="H184" s="49">
        <v>45467</v>
      </c>
      <c r="I184" s="29" t="s">
        <v>24</v>
      </c>
      <c r="J184" s="29" t="s">
        <v>19</v>
      </c>
      <c r="K184" s="24" t="s">
        <v>43</v>
      </c>
      <c r="L184" s="49">
        <v>45462</v>
      </c>
      <c r="M184" s="49">
        <v>45467</v>
      </c>
      <c r="N184" s="25">
        <f t="shared" si="8"/>
        <v>5</v>
      </c>
      <c r="O184" s="29"/>
      <c r="P184" t="s">
        <v>88</v>
      </c>
      <c r="Q184" t="s">
        <v>88</v>
      </c>
      <c r="R184" t="s">
        <v>88</v>
      </c>
      <c r="S184" t="s">
        <v>88</v>
      </c>
      <c r="T184" t="s">
        <v>88</v>
      </c>
      <c r="U184" t="s">
        <v>20</v>
      </c>
    </row>
    <row r="185" spans="1:21" x14ac:dyDescent="0.45">
      <c r="A185" s="79">
        <v>80962290</v>
      </c>
      <c r="B185" s="72" t="str">
        <f t="shared" si="7"/>
        <v>8.096.229-0</v>
      </c>
      <c r="C185" s="22" t="s">
        <v>22</v>
      </c>
      <c r="D185" s="29" t="s">
        <v>1173</v>
      </c>
      <c r="E185" s="29" t="s">
        <v>306</v>
      </c>
      <c r="F185" s="29" t="s">
        <v>1174</v>
      </c>
      <c r="G185" s="49">
        <v>45462</v>
      </c>
      <c r="H185" s="49">
        <v>45467</v>
      </c>
      <c r="I185" s="29" t="s">
        <v>24</v>
      </c>
      <c r="J185" s="29" t="s">
        <v>19</v>
      </c>
      <c r="K185" s="24" t="s">
        <v>47</v>
      </c>
      <c r="L185" s="49">
        <v>45462</v>
      </c>
      <c r="M185" s="49">
        <v>45467</v>
      </c>
      <c r="N185" s="25">
        <f t="shared" si="8"/>
        <v>5</v>
      </c>
      <c r="O185" s="29"/>
      <c r="P185" t="s">
        <v>88</v>
      </c>
      <c r="Q185" t="s">
        <v>88</v>
      </c>
      <c r="R185" t="s">
        <v>88</v>
      </c>
      <c r="S185" t="s">
        <v>88</v>
      </c>
      <c r="T185" t="s">
        <v>88</v>
      </c>
      <c r="U185" t="s">
        <v>20</v>
      </c>
    </row>
    <row r="186" spans="1:21" x14ac:dyDescent="0.45">
      <c r="A186" s="79">
        <v>80962290</v>
      </c>
      <c r="B186" s="72" t="str">
        <f t="shared" si="7"/>
        <v>8.096.229-0</v>
      </c>
      <c r="C186" s="22" t="s">
        <v>22</v>
      </c>
      <c r="D186" s="29" t="s">
        <v>1173</v>
      </c>
      <c r="E186" s="29" t="s">
        <v>306</v>
      </c>
      <c r="F186" s="29" t="s">
        <v>1174</v>
      </c>
      <c r="G186" s="49">
        <v>45462</v>
      </c>
      <c r="H186" s="49">
        <v>45467</v>
      </c>
      <c r="I186" s="29" t="s">
        <v>24</v>
      </c>
      <c r="J186" s="29" t="s">
        <v>19</v>
      </c>
      <c r="K186" s="24" t="s">
        <v>55</v>
      </c>
      <c r="L186" s="49">
        <v>45463</v>
      </c>
      <c r="M186" s="49">
        <v>45467</v>
      </c>
      <c r="N186" s="25">
        <f t="shared" si="8"/>
        <v>4</v>
      </c>
      <c r="O186" s="29"/>
      <c r="P186" t="s">
        <v>88</v>
      </c>
      <c r="Q186" t="s">
        <v>88</v>
      </c>
      <c r="R186" t="s">
        <v>88</v>
      </c>
      <c r="S186" t="s">
        <v>88</v>
      </c>
      <c r="T186" t="s">
        <v>88</v>
      </c>
      <c r="U186" t="s">
        <v>20</v>
      </c>
    </row>
    <row r="187" spans="1:21" x14ac:dyDescent="0.45">
      <c r="A187" s="79">
        <v>92246434</v>
      </c>
      <c r="B187" s="72" t="str">
        <f t="shared" si="7"/>
        <v>9.224.643-4</v>
      </c>
      <c r="C187" s="22" t="s">
        <v>22</v>
      </c>
      <c r="D187" s="29" t="s">
        <v>1175</v>
      </c>
      <c r="E187" s="29" t="s">
        <v>1160</v>
      </c>
      <c r="F187" s="29" t="s">
        <v>966</v>
      </c>
      <c r="G187" s="49">
        <v>45462</v>
      </c>
      <c r="H187" s="49">
        <v>45468</v>
      </c>
      <c r="I187" s="29" t="s">
        <v>54</v>
      </c>
      <c r="J187" s="29"/>
      <c r="K187" s="24" t="s">
        <v>43</v>
      </c>
      <c r="L187" s="49">
        <v>45462</v>
      </c>
      <c r="M187" s="49">
        <v>45468</v>
      </c>
      <c r="N187" s="25">
        <f t="shared" si="8"/>
        <v>6</v>
      </c>
      <c r="O187" s="29"/>
      <c r="P187" t="s">
        <v>88</v>
      </c>
      <c r="Q187" t="s">
        <v>88</v>
      </c>
      <c r="R187" t="s">
        <v>88</v>
      </c>
      <c r="S187" t="s">
        <v>88</v>
      </c>
      <c r="T187" t="s">
        <v>88</v>
      </c>
      <c r="U187" t="s">
        <v>20</v>
      </c>
    </row>
    <row r="188" spans="1:21" x14ac:dyDescent="0.45">
      <c r="A188" s="79">
        <v>92246434</v>
      </c>
      <c r="B188" s="72" t="str">
        <f t="shared" si="7"/>
        <v>9.224.643-4</v>
      </c>
      <c r="C188" s="22" t="s">
        <v>22</v>
      </c>
      <c r="D188" s="29" t="s">
        <v>1175</v>
      </c>
      <c r="E188" s="29" t="s">
        <v>1160</v>
      </c>
      <c r="F188" s="29" t="s">
        <v>966</v>
      </c>
      <c r="G188" s="49">
        <v>45462</v>
      </c>
      <c r="H188" s="49">
        <v>45468</v>
      </c>
      <c r="I188" s="29" t="s">
        <v>54</v>
      </c>
      <c r="J188" s="29"/>
      <c r="K188" s="24" t="s">
        <v>55</v>
      </c>
      <c r="L188" s="49">
        <v>45462</v>
      </c>
      <c r="M188" s="49">
        <v>45464</v>
      </c>
      <c r="N188" s="25">
        <f t="shared" si="8"/>
        <v>2</v>
      </c>
      <c r="O188" s="29"/>
      <c r="P188" t="s">
        <v>88</v>
      </c>
      <c r="Q188" t="s">
        <v>88</v>
      </c>
      <c r="R188" t="s">
        <v>88</v>
      </c>
      <c r="S188" t="s">
        <v>88</v>
      </c>
      <c r="T188" t="s">
        <v>88</v>
      </c>
      <c r="U188" t="s">
        <v>20</v>
      </c>
    </row>
    <row r="189" spans="1:21" x14ac:dyDescent="0.45">
      <c r="A189" s="79">
        <v>94286050</v>
      </c>
      <c r="B189" s="72" t="str">
        <f t="shared" si="7"/>
        <v>9.428.605-0</v>
      </c>
      <c r="C189" s="22" t="s">
        <v>22</v>
      </c>
      <c r="D189" s="29" t="s">
        <v>1176</v>
      </c>
      <c r="E189" s="29" t="s">
        <v>249</v>
      </c>
      <c r="F189" s="29" t="s">
        <v>746</v>
      </c>
      <c r="G189" s="49">
        <v>45461</v>
      </c>
      <c r="H189" s="49">
        <v>45465</v>
      </c>
      <c r="I189" s="29" t="s">
        <v>54</v>
      </c>
      <c r="J189" s="29" t="s">
        <v>19</v>
      </c>
      <c r="K189" s="24" t="s">
        <v>43</v>
      </c>
      <c r="L189" s="49">
        <v>45462</v>
      </c>
      <c r="M189" s="49">
        <v>45465</v>
      </c>
      <c r="N189" s="25">
        <f t="shared" si="8"/>
        <v>3</v>
      </c>
      <c r="O189" s="29"/>
      <c r="P189" t="s">
        <v>88</v>
      </c>
      <c r="Q189" t="s">
        <v>88</v>
      </c>
      <c r="R189" t="s">
        <v>88</v>
      </c>
      <c r="S189" t="s">
        <v>88</v>
      </c>
      <c r="T189" t="s">
        <v>88</v>
      </c>
      <c r="U189" t="s">
        <v>20</v>
      </c>
    </row>
    <row r="190" spans="1:21" x14ac:dyDescent="0.45">
      <c r="A190" s="79">
        <v>94286050</v>
      </c>
      <c r="B190" s="72" t="str">
        <f t="shared" si="7"/>
        <v>9.428.605-0</v>
      </c>
      <c r="C190" s="22" t="s">
        <v>22</v>
      </c>
      <c r="D190" s="29" t="s">
        <v>1176</v>
      </c>
      <c r="E190" s="29" t="s">
        <v>249</v>
      </c>
      <c r="F190" s="29" t="s">
        <v>746</v>
      </c>
      <c r="G190" s="49">
        <v>45461</v>
      </c>
      <c r="H190" s="49">
        <v>45465</v>
      </c>
      <c r="I190" s="29" t="s">
        <v>54</v>
      </c>
      <c r="J190" s="29" t="s">
        <v>19</v>
      </c>
      <c r="K190" s="24" t="s">
        <v>47</v>
      </c>
      <c r="L190" s="49">
        <v>45461</v>
      </c>
      <c r="M190" s="49">
        <v>45465</v>
      </c>
      <c r="N190" s="25">
        <f t="shared" ref="N190:N221" si="9">+M190-L190</f>
        <v>4</v>
      </c>
      <c r="O190" s="29"/>
      <c r="P190" t="s">
        <v>88</v>
      </c>
      <c r="Q190" t="s">
        <v>88</v>
      </c>
      <c r="R190" t="s">
        <v>88</v>
      </c>
      <c r="S190" t="s">
        <v>88</v>
      </c>
      <c r="T190" t="s">
        <v>88</v>
      </c>
      <c r="U190" t="s">
        <v>20</v>
      </c>
    </row>
    <row r="191" spans="1:21" x14ac:dyDescent="0.45">
      <c r="A191" s="79">
        <v>64611356</v>
      </c>
      <c r="B191" s="72" t="str">
        <f t="shared" si="7"/>
        <v>6.461.135-6</v>
      </c>
      <c r="C191" s="22" t="s">
        <v>22</v>
      </c>
      <c r="D191" s="29" t="s">
        <v>326</v>
      </c>
      <c r="E191" s="29" t="s">
        <v>300</v>
      </c>
      <c r="F191" s="29" t="s">
        <v>901</v>
      </c>
      <c r="G191" s="49">
        <v>45460</v>
      </c>
      <c r="H191" s="49">
        <v>45467</v>
      </c>
      <c r="I191" s="29" t="s">
        <v>54</v>
      </c>
      <c r="J191" s="29" t="s">
        <v>24</v>
      </c>
      <c r="K191" s="24" t="s">
        <v>43</v>
      </c>
      <c r="L191" s="49">
        <v>45460</v>
      </c>
      <c r="M191" s="49">
        <v>45467</v>
      </c>
      <c r="N191" s="25">
        <f t="shared" si="9"/>
        <v>7</v>
      </c>
      <c r="O191" s="29"/>
      <c r="P191" t="s">
        <v>88</v>
      </c>
      <c r="Q191" t="s">
        <v>88</v>
      </c>
      <c r="R191" t="s">
        <v>88</v>
      </c>
      <c r="S191" t="s">
        <v>88</v>
      </c>
      <c r="T191" t="s">
        <v>88</v>
      </c>
      <c r="U191" t="s">
        <v>20</v>
      </c>
    </row>
    <row r="192" spans="1:21" x14ac:dyDescent="0.45">
      <c r="A192" s="79">
        <v>89227003</v>
      </c>
      <c r="B192" s="72" t="str">
        <f t="shared" si="7"/>
        <v>8.922.700-3</v>
      </c>
      <c r="C192" s="22" t="s">
        <v>22</v>
      </c>
      <c r="D192" s="29" t="s">
        <v>393</v>
      </c>
      <c r="E192" s="29" t="s">
        <v>281</v>
      </c>
      <c r="F192" s="29" t="s">
        <v>1043</v>
      </c>
      <c r="G192" s="49">
        <v>45463</v>
      </c>
      <c r="H192" s="29"/>
      <c r="I192" s="29" t="s">
        <v>54</v>
      </c>
      <c r="J192" s="29"/>
      <c r="K192" s="24" t="s">
        <v>43</v>
      </c>
      <c r="L192" s="49">
        <v>45463</v>
      </c>
      <c r="M192" s="49">
        <v>45464</v>
      </c>
      <c r="N192" s="25">
        <f t="shared" si="9"/>
        <v>1</v>
      </c>
      <c r="O192" s="29"/>
      <c r="P192" t="s">
        <v>88</v>
      </c>
      <c r="Q192" t="s">
        <v>88</v>
      </c>
      <c r="R192" t="s">
        <v>88</v>
      </c>
      <c r="S192" t="s">
        <v>88</v>
      </c>
      <c r="T192" t="s">
        <v>88</v>
      </c>
      <c r="U192" t="s">
        <v>20</v>
      </c>
    </row>
    <row r="193" spans="1:21" x14ac:dyDescent="0.45">
      <c r="A193" s="79">
        <v>72229630</v>
      </c>
      <c r="B193" s="72" t="str">
        <f t="shared" si="7"/>
        <v>7.222.963-0</v>
      </c>
      <c r="C193" s="22" t="s">
        <v>30</v>
      </c>
      <c r="D193" s="29" t="s">
        <v>306</v>
      </c>
      <c r="E193" s="29" t="s">
        <v>1112</v>
      </c>
      <c r="F193" s="29" t="s">
        <v>663</v>
      </c>
      <c r="G193" s="49">
        <v>45464</v>
      </c>
      <c r="H193" s="29"/>
      <c r="I193" s="29" t="s">
        <v>24</v>
      </c>
      <c r="J193" s="29"/>
      <c r="K193" s="24" t="s">
        <v>43</v>
      </c>
      <c r="L193" s="49">
        <v>45464</v>
      </c>
      <c r="M193" s="49">
        <v>45468</v>
      </c>
      <c r="N193" s="25">
        <f t="shared" si="9"/>
        <v>4</v>
      </c>
      <c r="O193" s="29"/>
      <c r="P193" t="s">
        <v>88</v>
      </c>
      <c r="Q193" t="s">
        <v>88</v>
      </c>
      <c r="R193" t="s">
        <v>88</v>
      </c>
      <c r="S193" t="s">
        <v>88</v>
      </c>
      <c r="T193" t="s">
        <v>88</v>
      </c>
      <c r="U193" t="s">
        <v>20</v>
      </c>
    </row>
    <row r="194" spans="1:21" x14ac:dyDescent="0.45">
      <c r="A194" s="79">
        <v>72229630</v>
      </c>
      <c r="B194" s="72" t="str">
        <f t="shared" si="7"/>
        <v>7.222.963-0</v>
      </c>
      <c r="C194" s="22" t="s">
        <v>30</v>
      </c>
      <c r="D194" s="29" t="s">
        <v>306</v>
      </c>
      <c r="E194" s="29" t="s">
        <v>1112</v>
      </c>
      <c r="F194" s="29" t="s">
        <v>663</v>
      </c>
      <c r="G194" s="49">
        <v>45464</v>
      </c>
      <c r="H194" s="29"/>
      <c r="I194" s="29" t="s">
        <v>24</v>
      </c>
      <c r="J194" s="29"/>
      <c r="K194" s="24" t="s">
        <v>47</v>
      </c>
      <c r="L194" s="49">
        <v>45464</v>
      </c>
      <c r="M194" s="49">
        <v>45468</v>
      </c>
      <c r="N194" s="25">
        <f t="shared" si="9"/>
        <v>4</v>
      </c>
      <c r="O194" s="29"/>
      <c r="P194" t="s">
        <v>88</v>
      </c>
      <c r="Q194" t="s">
        <v>88</v>
      </c>
      <c r="R194" t="s">
        <v>88</v>
      </c>
      <c r="S194" t="s">
        <v>88</v>
      </c>
      <c r="T194" t="s">
        <v>88</v>
      </c>
      <c r="U194" t="s">
        <v>20</v>
      </c>
    </row>
    <row r="195" spans="1:21" x14ac:dyDescent="0.45">
      <c r="A195" s="79">
        <v>160525843</v>
      </c>
      <c r="B195" s="72" t="str">
        <f t="shared" si="7"/>
        <v>16.052.584-3</v>
      </c>
      <c r="C195" s="22" t="s">
        <v>30</v>
      </c>
      <c r="D195" s="29" t="s">
        <v>1081</v>
      </c>
      <c r="E195" s="29" t="s">
        <v>537</v>
      </c>
      <c r="F195" s="29" t="s">
        <v>290</v>
      </c>
      <c r="G195" s="49">
        <v>45401</v>
      </c>
      <c r="H195" s="49">
        <v>45467</v>
      </c>
      <c r="I195" s="29" t="s">
        <v>24</v>
      </c>
      <c r="J195" s="29" t="s">
        <v>24</v>
      </c>
      <c r="K195" s="24" t="s">
        <v>43</v>
      </c>
      <c r="L195" s="49">
        <v>45462</v>
      </c>
      <c r="M195" s="49">
        <v>45466</v>
      </c>
      <c r="N195" s="25">
        <f t="shared" si="9"/>
        <v>4</v>
      </c>
      <c r="O195" s="29"/>
      <c r="P195" t="s">
        <v>88</v>
      </c>
      <c r="Q195" t="s">
        <v>88</v>
      </c>
      <c r="R195" t="s">
        <v>88</v>
      </c>
      <c r="S195" t="s">
        <v>88</v>
      </c>
      <c r="T195" t="s">
        <v>88</v>
      </c>
      <c r="U195" t="s">
        <v>20</v>
      </c>
    </row>
    <row r="196" spans="1:21" x14ac:dyDescent="0.45">
      <c r="A196" s="79">
        <v>71216012</v>
      </c>
      <c r="B196" s="72" t="str">
        <f t="shared" si="7"/>
        <v>7.121.601-2</v>
      </c>
      <c r="C196" s="22" t="s">
        <v>30</v>
      </c>
      <c r="D196" s="29" t="s">
        <v>1177</v>
      </c>
      <c r="E196" s="29" t="s">
        <v>946</v>
      </c>
      <c r="F196" s="29" t="s">
        <v>1178</v>
      </c>
      <c r="G196" s="49">
        <v>45465</v>
      </c>
      <c r="H196" s="49">
        <v>45469</v>
      </c>
      <c r="I196" s="29" t="s">
        <v>22</v>
      </c>
      <c r="J196" s="29"/>
      <c r="K196" s="24" t="s">
        <v>43</v>
      </c>
      <c r="L196" s="49">
        <v>45466</v>
      </c>
      <c r="M196" s="49">
        <v>45469</v>
      </c>
      <c r="N196" s="25">
        <f t="shared" si="9"/>
        <v>3</v>
      </c>
      <c r="O196" s="29"/>
      <c r="P196" t="s">
        <v>88</v>
      </c>
      <c r="Q196" t="s">
        <v>88</v>
      </c>
      <c r="R196" t="s">
        <v>88</v>
      </c>
      <c r="S196" t="s">
        <v>88</v>
      </c>
      <c r="T196" t="s">
        <v>88</v>
      </c>
      <c r="U196" t="s">
        <v>20</v>
      </c>
    </row>
    <row r="197" spans="1:21" x14ac:dyDescent="0.45">
      <c r="A197" s="79">
        <v>71216012</v>
      </c>
      <c r="B197" s="72" t="str">
        <f t="shared" si="7"/>
        <v>7.121.601-2</v>
      </c>
      <c r="C197" s="22" t="s">
        <v>30</v>
      </c>
      <c r="D197" s="29" t="s">
        <v>1177</v>
      </c>
      <c r="E197" s="29" t="s">
        <v>946</v>
      </c>
      <c r="F197" s="29" t="s">
        <v>1178</v>
      </c>
      <c r="G197" s="49">
        <v>45465</v>
      </c>
      <c r="H197" s="29"/>
      <c r="I197" s="29" t="s">
        <v>22</v>
      </c>
      <c r="J197" s="29"/>
      <c r="K197" s="24" t="s">
        <v>47</v>
      </c>
      <c r="L197" s="49">
        <v>45466</v>
      </c>
      <c r="M197" s="49">
        <v>45466</v>
      </c>
      <c r="N197" s="25">
        <f t="shared" si="9"/>
        <v>0</v>
      </c>
      <c r="O197" s="29"/>
      <c r="P197" t="s">
        <v>88</v>
      </c>
      <c r="Q197" t="s">
        <v>88</v>
      </c>
      <c r="R197" t="s">
        <v>88</v>
      </c>
      <c r="S197" t="s">
        <v>88</v>
      </c>
      <c r="T197" t="s">
        <v>88</v>
      </c>
      <c r="U197" t="s">
        <v>20</v>
      </c>
    </row>
    <row r="198" spans="1:21" x14ac:dyDescent="0.45">
      <c r="A198" s="79">
        <v>78268786</v>
      </c>
      <c r="B198" s="72" t="str">
        <f t="shared" si="7"/>
        <v>7.826.878-6</v>
      </c>
      <c r="C198" s="22" t="s">
        <v>30</v>
      </c>
      <c r="D198" s="29" t="s">
        <v>307</v>
      </c>
      <c r="E198" s="29" t="s">
        <v>1179</v>
      </c>
      <c r="F198" s="29" t="s">
        <v>1180</v>
      </c>
      <c r="G198" s="49">
        <v>45464</v>
      </c>
      <c r="H198" s="29"/>
      <c r="I198" s="29" t="s">
        <v>24</v>
      </c>
      <c r="J198" s="29"/>
      <c r="K198" s="24" t="s">
        <v>43</v>
      </c>
      <c r="L198" s="49">
        <v>45464</v>
      </c>
      <c r="M198" s="49">
        <v>45467</v>
      </c>
      <c r="N198" s="25">
        <f t="shared" si="9"/>
        <v>3</v>
      </c>
      <c r="O198" s="29"/>
      <c r="P198" t="s">
        <v>88</v>
      </c>
      <c r="Q198" t="s">
        <v>88</v>
      </c>
      <c r="R198" t="s">
        <v>88</v>
      </c>
      <c r="S198" t="s">
        <v>88</v>
      </c>
      <c r="T198" t="s">
        <v>88</v>
      </c>
      <c r="U198" t="s">
        <v>20</v>
      </c>
    </row>
    <row r="199" spans="1:21" x14ac:dyDescent="0.45">
      <c r="A199" s="79">
        <v>78268786</v>
      </c>
      <c r="B199" s="72" t="str">
        <f t="shared" si="7"/>
        <v>7.826.878-6</v>
      </c>
      <c r="C199" s="22" t="s">
        <v>30</v>
      </c>
      <c r="D199" s="29" t="s">
        <v>307</v>
      </c>
      <c r="E199" s="29" t="s">
        <v>1179</v>
      </c>
      <c r="F199" s="29" t="s">
        <v>1180</v>
      </c>
      <c r="G199" s="49">
        <v>45464</v>
      </c>
      <c r="H199" s="29"/>
      <c r="I199" s="29" t="s">
        <v>24</v>
      </c>
      <c r="J199" s="29"/>
      <c r="K199" s="24" t="s">
        <v>47</v>
      </c>
      <c r="L199" s="49">
        <v>45464</v>
      </c>
      <c r="M199" s="49">
        <v>45464</v>
      </c>
      <c r="N199" s="25">
        <f t="shared" si="9"/>
        <v>0</v>
      </c>
      <c r="O199" s="29"/>
      <c r="P199" t="s">
        <v>88</v>
      </c>
      <c r="Q199" t="s">
        <v>88</v>
      </c>
      <c r="R199" t="s">
        <v>88</v>
      </c>
      <c r="S199" t="s">
        <v>88</v>
      </c>
      <c r="T199" t="s">
        <v>88</v>
      </c>
      <c r="U199" t="s">
        <v>20</v>
      </c>
    </row>
    <row r="200" spans="1:21" x14ac:dyDescent="0.45">
      <c r="A200" s="79">
        <v>87351726</v>
      </c>
      <c r="B200" s="72" t="str">
        <f t="shared" ref="B200:B262" si="10">IF(LEN(A200)=8,MID(A200,1,1)&amp;"."&amp;MID(A200,2,3)&amp;"."&amp;MID(A200,5,3)&amp;"-"&amp;RIGHT(A200,1),IF(LEFT(RIGHT(A200,2),1)="-",MID(A200,1,1)&amp;"."&amp;MID(A200,2,3)&amp;"."&amp;MID(A200,5,3)&amp;"-"&amp;RIGHT(A200,1),MID(A200,1,2)&amp;"."&amp;MID(A200,3,3)&amp;"."&amp;MID(A200,6,3)&amp;"-"&amp;MID(A200,9,1)))</f>
        <v>8.735.172-6</v>
      </c>
      <c r="C200" s="22" t="s">
        <v>30</v>
      </c>
      <c r="D200" s="29" t="s">
        <v>1181</v>
      </c>
      <c r="E200" s="29" t="s">
        <v>262</v>
      </c>
      <c r="F200" s="29" t="s">
        <v>1182</v>
      </c>
      <c r="G200" s="49">
        <v>45466</v>
      </c>
      <c r="H200" s="29"/>
      <c r="I200" s="29" t="s">
        <v>69</v>
      </c>
      <c r="J200" s="29"/>
      <c r="K200" s="24" t="s">
        <v>43</v>
      </c>
      <c r="L200" s="49">
        <v>45459</v>
      </c>
      <c r="M200" s="49">
        <v>45473</v>
      </c>
      <c r="N200" s="25">
        <f t="shared" si="9"/>
        <v>14</v>
      </c>
      <c r="O200" s="29"/>
      <c r="P200" t="s">
        <v>88</v>
      </c>
      <c r="Q200" t="s">
        <v>88</v>
      </c>
      <c r="R200" t="s">
        <v>88</v>
      </c>
      <c r="S200" t="s">
        <v>88</v>
      </c>
      <c r="T200" t="s">
        <v>88</v>
      </c>
      <c r="U200" t="s">
        <v>20</v>
      </c>
    </row>
    <row r="201" spans="1:21" x14ac:dyDescent="0.45">
      <c r="A201" s="79">
        <v>87351726</v>
      </c>
      <c r="B201" s="72" t="str">
        <f t="shared" si="10"/>
        <v>8.735.172-6</v>
      </c>
      <c r="C201" s="22" t="s">
        <v>30</v>
      </c>
      <c r="D201" s="29" t="s">
        <v>1181</v>
      </c>
      <c r="E201" s="29" t="s">
        <v>262</v>
      </c>
      <c r="F201" s="29" t="s">
        <v>1182</v>
      </c>
      <c r="G201" s="49">
        <v>45466</v>
      </c>
      <c r="H201" s="29"/>
      <c r="I201" s="29" t="s">
        <v>69</v>
      </c>
      <c r="J201" s="29"/>
      <c r="K201" s="24" t="s">
        <v>47</v>
      </c>
      <c r="L201" s="49">
        <v>45459</v>
      </c>
      <c r="M201" s="49">
        <v>45470</v>
      </c>
      <c r="N201" s="25">
        <f t="shared" si="9"/>
        <v>11</v>
      </c>
      <c r="O201" s="29"/>
      <c r="P201" t="s">
        <v>88</v>
      </c>
      <c r="Q201" t="s">
        <v>88</v>
      </c>
      <c r="R201" t="s">
        <v>88</v>
      </c>
      <c r="S201" t="s">
        <v>88</v>
      </c>
      <c r="T201" t="s">
        <v>88</v>
      </c>
      <c r="U201" t="s">
        <v>20</v>
      </c>
    </row>
    <row r="202" spans="1:21" x14ac:dyDescent="0.45">
      <c r="A202" s="79">
        <v>73377358</v>
      </c>
      <c r="B202" s="72" t="str">
        <f t="shared" si="10"/>
        <v>7.337.735-8</v>
      </c>
      <c r="C202" s="22" t="s">
        <v>30</v>
      </c>
      <c r="D202" s="29" t="s">
        <v>318</v>
      </c>
      <c r="E202" s="29" t="s">
        <v>1183</v>
      </c>
      <c r="F202" s="29" t="s">
        <v>475</v>
      </c>
      <c r="G202" s="49">
        <v>45464</v>
      </c>
      <c r="H202" s="49">
        <v>45470</v>
      </c>
      <c r="I202" s="29" t="s">
        <v>24</v>
      </c>
      <c r="J202" s="29" t="s">
        <v>82</v>
      </c>
      <c r="K202" s="24" t="s">
        <v>43</v>
      </c>
      <c r="L202" s="49">
        <v>45465</v>
      </c>
      <c r="M202" s="49">
        <v>45470</v>
      </c>
      <c r="N202" s="25">
        <f t="shared" si="9"/>
        <v>5</v>
      </c>
      <c r="O202" s="29"/>
      <c r="P202" t="s">
        <v>88</v>
      </c>
      <c r="Q202" t="s">
        <v>88</v>
      </c>
      <c r="R202" t="s">
        <v>88</v>
      </c>
      <c r="S202" t="s">
        <v>88</v>
      </c>
      <c r="T202" t="s">
        <v>88</v>
      </c>
      <c r="U202" t="s">
        <v>20</v>
      </c>
    </row>
    <row r="203" spans="1:21" x14ac:dyDescent="0.45">
      <c r="A203" s="79">
        <v>73377358</v>
      </c>
      <c r="B203" s="72" t="str">
        <f t="shared" si="10"/>
        <v>7.337.735-8</v>
      </c>
      <c r="C203" s="22" t="s">
        <v>30</v>
      </c>
      <c r="D203" s="29" t="s">
        <v>318</v>
      </c>
      <c r="E203" s="29" t="s">
        <v>1183</v>
      </c>
      <c r="F203" s="29" t="s">
        <v>475</v>
      </c>
      <c r="G203" s="49">
        <v>45464</v>
      </c>
      <c r="H203" s="49">
        <v>45470</v>
      </c>
      <c r="I203" s="29" t="s">
        <v>24</v>
      </c>
      <c r="J203" s="29" t="s">
        <v>82</v>
      </c>
      <c r="K203" s="24" t="s">
        <v>47</v>
      </c>
      <c r="L203" s="49">
        <v>45465</v>
      </c>
      <c r="M203" s="49">
        <v>45470</v>
      </c>
      <c r="N203" s="25">
        <f t="shared" si="9"/>
        <v>5</v>
      </c>
      <c r="O203" s="29"/>
      <c r="P203" t="s">
        <v>88</v>
      </c>
      <c r="Q203" t="s">
        <v>88</v>
      </c>
      <c r="R203" t="s">
        <v>88</v>
      </c>
      <c r="S203" t="s">
        <v>88</v>
      </c>
      <c r="T203" t="s">
        <v>88</v>
      </c>
      <c r="U203" t="s">
        <v>20</v>
      </c>
    </row>
    <row r="204" spans="1:21" x14ac:dyDescent="0.45">
      <c r="A204" s="79">
        <v>73377358</v>
      </c>
      <c r="B204" s="72" t="str">
        <f t="shared" si="10"/>
        <v>7.337.735-8</v>
      </c>
      <c r="C204" s="22" t="s">
        <v>30</v>
      </c>
      <c r="D204" s="29" t="s">
        <v>318</v>
      </c>
      <c r="E204" s="29" t="s">
        <v>1183</v>
      </c>
      <c r="F204" s="29" t="s">
        <v>475</v>
      </c>
      <c r="G204" s="49">
        <v>45464</v>
      </c>
      <c r="H204" s="49">
        <v>45470</v>
      </c>
      <c r="I204" s="29" t="s">
        <v>24</v>
      </c>
      <c r="J204" s="29" t="s">
        <v>82</v>
      </c>
      <c r="K204" s="24" t="s">
        <v>55</v>
      </c>
      <c r="L204" s="49">
        <v>45465</v>
      </c>
      <c r="M204" s="49">
        <v>45470</v>
      </c>
      <c r="N204" s="25">
        <f t="shared" si="9"/>
        <v>5</v>
      </c>
      <c r="O204" s="29"/>
      <c r="P204" t="s">
        <v>88</v>
      </c>
      <c r="Q204" t="s">
        <v>88</v>
      </c>
      <c r="R204" t="s">
        <v>88</v>
      </c>
      <c r="S204" t="s">
        <v>88</v>
      </c>
      <c r="T204" t="s">
        <v>88</v>
      </c>
      <c r="U204" t="s">
        <v>20</v>
      </c>
    </row>
    <row r="205" spans="1:21" x14ac:dyDescent="0.45">
      <c r="A205" s="79">
        <v>62722363</v>
      </c>
      <c r="B205" s="72" t="str">
        <f t="shared" si="10"/>
        <v>6.272.236-3</v>
      </c>
      <c r="C205" s="22" t="s">
        <v>22</v>
      </c>
      <c r="D205" s="29" t="s">
        <v>501</v>
      </c>
      <c r="E205" s="29" t="s">
        <v>315</v>
      </c>
      <c r="F205" s="29" t="s">
        <v>348</v>
      </c>
      <c r="G205" s="49">
        <v>45446</v>
      </c>
      <c r="H205" s="49">
        <v>45467</v>
      </c>
      <c r="I205" s="29" t="s">
        <v>22</v>
      </c>
      <c r="J205" s="29"/>
      <c r="K205" s="24" t="s">
        <v>43</v>
      </c>
      <c r="L205" s="49">
        <v>45447</v>
      </c>
      <c r="M205" s="49">
        <v>45467</v>
      </c>
      <c r="N205" s="25">
        <f t="shared" si="9"/>
        <v>20</v>
      </c>
      <c r="O205" s="29"/>
      <c r="P205" t="s">
        <v>88</v>
      </c>
      <c r="Q205" t="s">
        <v>88</v>
      </c>
      <c r="R205" t="s">
        <v>88</v>
      </c>
      <c r="S205" t="s">
        <v>88</v>
      </c>
      <c r="T205" t="s">
        <v>88</v>
      </c>
      <c r="U205" t="s">
        <v>20</v>
      </c>
    </row>
    <row r="206" spans="1:21" x14ac:dyDescent="0.45">
      <c r="A206" s="79" t="s">
        <v>1162</v>
      </c>
      <c r="B206" s="72" t="str">
        <f t="shared" si="10"/>
        <v>15.175.113-K</v>
      </c>
      <c r="C206" s="22" t="s">
        <v>22</v>
      </c>
      <c r="D206" s="29" t="s">
        <v>427</v>
      </c>
      <c r="E206" s="29" t="s">
        <v>352</v>
      </c>
      <c r="F206" s="29" t="s">
        <v>1163</v>
      </c>
      <c r="G206" s="49">
        <v>45460</v>
      </c>
      <c r="H206" s="29"/>
      <c r="I206" s="29" t="s">
        <v>22</v>
      </c>
      <c r="J206" s="29"/>
      <c r="K206" s="24" t="s">
        <v>18</v>
      </c>
      <c r="L206" s="49">
        <v>45464</v>
      </c>
      <c r="M206" s="49">
        <v>45473</v>
      </c>
      <c r="N206" s="25">
        <f t="shared" si="9"/>
        <v>9</v>
      </c>
      <c r="O206" s="57" t="s">
        <v>14</v>
      </c>
      <c r="P206" t="s">
        <v>88</v>
      </c>
      <c r="Q206" t="s">
        <v>88</v>
      </c>
      <c r="R206" t="s">
        <v>88</v>
      </c>
      <c r="S206" t="s">
        <v>88</v>
      </c>
      <c r="T206" t="s">
        <v>88</v>
      </c>
      <c r="U206" t="s">
        <v>20</v>
      </c>
    </row>
    <row r="207" spans="1:21" x14ac:dyDescent="0.45">
      <c r="A207" s="79">
        <v>41089512</v>
      </c>
      <c r="B207" s="72" t="str">
        <f t="shared" si="10"/>
        <v>4.108.951-2</v>
      </c>
      <c r="C207" s="22" t="s">
        <v>22</v>
      </c>
      <c r="D207" s="29" t="s">
        <v>363</v>
      </c>
      <c r="E207" s="29" t="s">
        <v>363</v>
      </c>
      <c r="F207" s="29" t="s">
        <v>386</v>
      </c>
      <c r="G207" s="49">
        <v>45466</v>
      </c>
      <c r="H207" s="29"/>
      <c r="I207" s="29" t="s">
        <v>22</v>
      </c>
      <c r="J207" s="29"/>
      <c r="K207" s="24" t="s">
        <v>43</v>
      </c>
      <c r="L207" s="49">
        <v>45454</v>
      </c>
      <c r="M207" s="49">
        <v>45473</v>
      </c>
      <c r="N207" s="25">
        <f t="shared" si="9"/>
        <v>19</v>
      </c>
      <c r="O207" s="29"/>
      <c r="P207" t="s">
        <v>88</v>
      </c>
      <c r="Q207" t="s">
        <v>88</v>
      </c>
      <c r="R207" t="s">
        <v>88</v>
      </c>
      <c r="S207" t="s">
        <v>88</v>
      </c>
      <c r="T207" t="s">
        <v>88</v>
      </c>
      <c r="U207" t="s">
        <v>20</v>
      </c>
    </row>
    <row r="208" spans="1:21" x14ac:dyDescent="0.45">
      <c r="A208" s="79">
        <v>41089512</v>
      </c>
      <c r="B208" s="72" t="str">
        <f t="shared" si="10"/>
        <v>4.108.951-2</v>
      </c>
      <c r="C208" s="22" t="s">
        <v>22</v>
      </c>
      <c r="D208" s="29" t="s">
        <v>363</v>
      </c>
      <c r="E208" s="29" t="s">
        <v>363</v>
      </c>
      <c r="F208" s="29" t="s">
        <v>386</v>
      </c>
      <c r="G208" s="49">
        <v>45466</v>
      </c>
      <c r="H208" s="29"/>
      <c r="I208" s="29" t="s">
        <v>22</v>
      </c>
      <c r="J208" s="29"/>
      <c r="K208" s="24" t="s">
        <v>47</v>
      </c>
      <c r="L208" s="49">
        <v>45454</v>
      </c>
      <c r="M208" s="49">
        <v>45473</v>
      </c>
      <c r="N208" s="25">
        <f t="shared" si="9"/>
        <v>19</v>
      </c>
      <c r="O208" s="29"/>
      <c r="P208" t="s">
        <v>88</v>
      </c>
      <c r="Q208" t="s">
        <v>88</v>
      </c>
      <c r="R208" t="s">
        <v>88</v>
      </c>
      <c r="S208" t="s">
        <v>88</v>
      </c>
      <c r="T208" t="s">
        <v>88</v>
      </c>
      <c r="U208" t="s">
        <v>20</v>
      </c>
    </row>
    <row r="209" spans="1:21" x14ac:dyDescent="0.45">
      <c r="A209" s="79">
        <v>114467294</v>
      </c>
      <c r="B209" s="72" t="str">
        <f t="shared" si="10"/>
        <v>11.446.729-4</v>
      </c>
      <c r="C209" s="22" t="s">
        <v>22</v>
      </c>
      <c r="D209" s="29" t="s">
        <v>241</v>
      </c>
      <c r="E209" s="29" t="s">
        <v>393</v>
      </c>
      <c r="F209" s="29" t="s">
        <v>738</v>
      </c>
      <c r="G209" s="49">
        <v>45465</v>
      </c>
      <c r="H209" s="29"/>
      <c r="I209" s="29" t="s">
        <v>22</v>
      </c>
      <c r="J209" s="29"/>
      <c r="K209" s="24" t="s">
        <v>43</v>
      </c>
      <c r="L209" s="49">
        <v>45462</v>
      </c>
      <c r="M209" s="49">
        <v>45473</v>
      </c>
      <c r="N209" s="25">
        <f t="shared" si="9"/>
        <v>11</v>
      </c>
      <c r="O209" s="29"/>
      <c r="P209" t="s">
        <v>88</v>
      </c>
      <c r="Q209" t="s">
        <v>88</v>
      </c>
      <c r="R209" t="s">
        <v>88</v>
      </c>
      <c r="S209" t="s">
        <v>88</v>
      </c>
      <c r="T209" t="s">
        <v>88</v>
      </c>
      <c r="U209" t="s">
        <v>20</v>
      </c>
    </row>
    <row r="210" spans="1:21" x14ac:dyDescent="0.45">
      <c r="A210" s="79">
        <v>114467294</v>
      </c>
      <c r="B210" s="72" t="str">
        <f t="shared" si="10"/>
        <v>11.446.729-4</v>
      </c>
      <c r="C210" s="22" t="s">
        <v>22</v>
      </c>
      <c r="D210" s="29" t="s">
        <v>241</v>
      </c>
      <c r="E210" s="29" t="s">
        <v>393</v>
      </c>
      <c r="F210" s="29" t="s">
        <v>738</v>
      </c>
      <c r="G210" s="49">
        <v>45465</v>
      </c>
      <c r="H210" s="29"/>
      <c r="I210" s="29" t="s">
        <v>22</v>
      </c>
      <c r="J210" s="29"/>
      <c r="K210" s="24" t="s">
        <v>47</v>
      </c>
      <c r="L210" s="49">
        <v>45462</v>
      </c>
      <c r="M210" s="49">
        <v>45471</v>
      </c>
      <c r="N210" s="25">
        <f t="shared" si="9"/>
        <v>9</v>
      </c>
      <c r="O210" s="29"/>
      <c r="P210" t="s">
        <v>88</v>
      </c>
      <c r="Q210" t="s">
        <v>88</v>
      </c>
      <c r="R210" t="s">
        <v>88</v>
      </c>
      <c r="S210" t="s">
        <v>88</v>
      </c>
      <c r="T210" t="s">
        <v>88</v>
      </c>
      <c r="U210" t="s">
        <v>20</v>
      </c>
    </row>
    <row r="211" spans="1:21" x14ac:dyDescent="0.45">
      <c r="A211" s="79">
        <v>92246434</v>
      </c>
      <c r="B211" s="72" t="str">
        <f t="shared" si="10"/>
        <v>9.224.643-4</v>
      </c>
      <c r="C211" s="22" t="s">
        <v>22</v>
      </c>
      <c r="D211" s="29" t="s">
        <v>1175</v>
      </c>
      <c r="E211" s="29" t="s">
        <v>1184</v>
      </c>
      <c r="F211" s="29" t="s">
        <v>966</v>
      </c>
      <c r="G211" s="49">
        <v>45466</v>
      </c>
      <c r="H211" s="49">
        <v>45468</v>
      </c>
      <c r="I211" s="29" t="s">
        <v>54</v>
      </c>
      <c r="J211" s="29" t="s">
        <v>46</v>
      </c>
      <c r="K211" s="24" t="s">
        <v>43</v>
      </c>
      <c r="L211" s="49">
        <v>45466</v>
      </c>
      <c r="M211" s="49">
        <v>45468</v>
      </c>
      <c r="N211" s="25">
        <f t="shared" si="9"/>
        <v>2</v>
      </c>
      <c r="O211" s="29"/>
      <c r="P211" t="s">
        <v>88</v>
      </c>
      <c r="Q211" t="s">
        <v>88</v>
      </c>
      <c r="R211" t="s">
        <v>88</v>
      </c>
      <c r="S211" t="s">
        <v>88</v>
      </c>
      <c r="T211" t="s">
        <v>88</v>
      </c>
      <c r="U211" t="s">
        <v>20</v>
      </c>
    </row>
    <row r="212" spans="1:21" ht="15" customHeight="1" x14ac:dyDescent="0.45">
      <c r="A212" s="79" t="s">
        <v>1185</v>
      </c>
      <c r="B212" s="72" t="str">
        <f t="shared" si="10"/>
        <v>5.754.225-K</v>
      </c>
      <c r="C212" s="22" t="s">
        <v>22</v>
      </c>
      <c r="D212" s="29" t="s">
        <v>550</v>
      </c>
      <c r="E212" s="29" t="s">
        <v>670</v>
      </c>
      <c r="F212" s="29" t="s">
        <v>1186</v>
      </c>
      <c r="G212" s="49">
        <v>45467</v>
      </c>
      <c r="H212" s="49">
        <v>45467</v>
      </c>
      <c r="I212" s="29" t="s">
        <v>22</v>
      </c>
      <c r="J212" s="29" t="s">
        <v>82</v>
      </c>
      <c r="K212" s="24" t="s">
        <v>43</v>
      </c>
      <c r="L212" s="49">
        <v>45466</v>
      </c>
      <c r="M212" s="49">
        <v>45467</v>
      </c>
      <c r="N212" s="25">
        <f t="shared" si="9"/>
        <v>1</v>
      </c>
      <c r="O212" s="29"/>
      <c r="P212" t="s">
        <v>88</v>
      </c>
      <c r="Q212" t="s">
        <v>88</v>
      </c>
      <c r="R212" t="s">
        <v>88</v>
      </c>
      <c r="S212" t="s">
        <v>88</v>
      </c>
      <c r="T212" t="s">
        <v>88</v>
      </c>
      <c r="U212" t="s">
        <v>20</v>
      </c>
    </row>
    <row r="213" spans="1:21" ht="15" customHeight="1" x14ac:dyDescent="0.45">
      <c r="A213" s="79" t="s">
        <v>1185</v>
      </c>
      <c r="B213" s="72" t="str">
        <f t="shared" si="10"/>
        <v>5.754.225-K</v>
      </c>
      <c r="C213" s="22" t="s">
        <v>22</v>
      </c>
      <c r="D213" s="29" t="s">
        <v>550</v>
      </c>
      <c r="E213" s="29" t="s">
        <v>670</v>
      </c>
      <c r="F213" s="29" t="s">
        <v>1186</v>
      </c>
      <c r="G213" s="49">
        <v>45467</v>
      </c>
      <c r="H213" s="49">
        <v>45467</v>
      </c>
      <c r="I213" s="29" t="s">
        <v>22</v>
      </c>
      <c r="J213" s="29" t="s">
        <v>82</v>
      </c>
      <c r="K213" s="24" t="s">
        <v>47</v>
      </c>
      <c r="L213" s="49">
        <v>45466</v>
      </c>
      <c r="M213" s="49">
        <v>45467</v>
      </c>
      <c r="N213" s="25">
        <f t="shared" si="9"/>
        <v>1</v>
      </c>
      <c r="O213" s="29"/>
      <c r="P213" t="s">
        <v>88</v>
      </c>
      <c r="Q213" t="s">
        <v>88</v>
      </c>
      <c r="R213" t="s">
        <v>88</v>
      </c>
      <c r="S213" t="s">
        <v>88</v>
      </c>
      <c r="T213" t="s">
        <v>88</v>
      </c>
      <c r="U213" t="s">
        <v>20</v>
      </c>
    </row>
    <row r="214" spans="1:21" x14ac:dyDescent="0.45">
      <c r="A214" s="79" t="s">
        <v>1185</v>
      </c>
      <c r="B214" s="72" t="str">
        <f t="shared" si="10"/>
        <v>5.754.225-K</v>
      </c>
      <c r="C214" s="22" t="s">
        <v>22</v>
      </c>
      <c r="D214" s="29" t="s">
        <v>550</v>
      </c>
      <c r="E214" s="29" t="s">
        <v>670</v>
      </c>
      <c r="F214" s="29" t="s">
        <v>1186</v>
      </c>
      <c r="G214" s="49">
        <v>45467</v>
      </c>
      <c r="H214" s="49">
        <v>45467</v>
      </c>
      <c r="I214" s="29" t="s">
        <v>22</v>
      </c>
      <c r="J214" s="29" t="s">
        <v>82</v>
      </c>
      <c r="K214" s="24" t="s">
        <v>55</v>
      </c>
      <c r="L214" s="49">
        <v>45466</v>
      </c>
      <c r="M214" s="49">
        <v>45467</v>
      </c>
      <c r="N214" s="25">
        <f t="shared" si="9"/>
        <v>1</v>
      </c>
      <c r="O214" s="29"/>
      <c r="P214" t="s">
        <v>88</v>
      </c>
      <c r="Q214" t="s">
        <v>88</v>
      </c>
      <c r="R214" t="s">
        <v>88</v>
      </c>
      <c r="S214" t="s">
        <v>88</v>
      </c>
      <c r="T214" t="s">
        <v>88</v>
      </c>
      <c r="U214" t="s">
        <v>20</v>
      </c>
    </row>
    <row r="215" spans="1:21" x14ac:dyDescent="0.45">
      <c r="A215" s="79" t="s">
        <v>1187</v>
      </c>
      <c r="B215" s="72" t="str">
        <f t="shared" si="10"/>
        <v>10.839.286-K</v>
      </c>
      <c r="C215" s="22" t="s">
        <v>22</v>
      </c>
      <c r="D215" s="29" t="s">
        <v>1188</v>
      </c>
      <c r="E215" s="29" t="s">
        <v>241</v>
      </c>
      <c r="F215" s="29" t="s">
        <v>598</v>
      </c>
      <c r="G215" s="49">
        <v>45466</v>
      </c>
      <c r="H215" s="49">
        <v>45472</v>
      </c>
      <c r="I215" s="29" t="s">
        <v>54</v>
      </c>
      <c r="J215" s="29" t="s">
        <v>69</v>
      </c>
      <c r="K215" s="24" t="s">
        <v>43</v>
      </c>
      <c r="L215" s="49">
        <v>45465</v>
      </c>
      <c r="M215" s="49">
        <v>45472</v>
      </c>
      <c r="N215" s="25">
        <f t="shared" si="9"/>
        <v>7</v>
      </c>
      <c r="O215" s="29"/>
      <c r="P215" t="s">
        <v>88</v>
      </c>
      <c r="Q215" t="s">
        <v>88</v>
      </c>
      <c r="R215" t="s">
        <v>88</v>
      </c>
      <c r="S215" t="s">
        <v>88</v>
      </c>
      <c r="T215" t="s">
        <v>88</v>
      </c>
      <c r="U215" t="s">
        <v>20</v>
      </c>
    </row>
    <row r="216" spans="1:21" x14ac:dyDescent="0.45">
      <c r="A216" s="79" t="s">
        <v>1187</v>
      </c>
      <c r="B216" s="72" t="str">
        <f t="shared" si="10"/>
        <v>10.839.286-K</v>
      </c>
      <c r="C216" s="22" t="s">
        <v>22</v>
      </c>
      <c r="D216" s="29" t="s">
        <v>1188</v>
      </c>
      <c r="E216" s="29" t="s">
        <v>241</v>
      </c>
      <c r="F216" s="29" t="s">
        <v>598</v>
      </c>
      <c r="G216" s="49">
        <v>45466</v>
      </c>
      <c r="H216" s="49">
        <v>45469</v>
      </c>
      <c r="I216" s="29" t="s">
        <v>54</v>
      </c>
      <c r="J216" s="29" t="s">
        <v>69</v>
      </c>
      <c r="K216" s="24" t="s">
        <v>47</v>
      </c>
      <c r="L216" s="49">
        <v>45465</v>
      </c>
      <c r="M216" s="49">
        <v>45472</v>
      </c>
      <c r="N216" s="25">
        <f t="shared" si="9"/>
        <v>7</v>
      </c>
      <c r="O216" s="29"/>
      <c r="P216" t="s">
        <v>88</v>
      </c>
      <c r="Q216" t="s">
        <v>88</v>
      </c>
      <c r="R216" t="s">
        <v>88</v>
      </c>
      <c r="S216" t="s">
        <v>88</v>
      </c>
      <c r="T216" t="s">
        <v>88</v>
      </c>
      <c r="U216" t="s">
        <v>20</v>
      </c>
    </row>
    <row r="217" spans="1:21" x14ac:dyDescent="0.45">
      <c r="A217" s="79" t="s">
        <v>1187</v>
      </c>
      <c r="B217" s="72" t="str">
        <f t="shared" si="10"/>
        <v>10.839.286-K</v>
      </c>
      <c r="C217" s="22" t="s">
        <v>22</v>
      </c>
      <c r="D217" s="29" t="s">
        <v>1188</v>
      </c>
      <c r="E217" s="29" t="s">
        <v>241</v>
      </c>
      <c r="F217" s="29" t="s">
        <v>598</v>
      </c>
      <c r="G217" s="49">
        <v>45466</v>
      </c>
      <c r="H217" s="49">
        <v>45469</v>
      </c>
      <c r="I217" s="29" t="s">
        <v>54</v>
      </c>
      <c r="J217" s="29" t="s">
        <v>69</v>
      </c>
      <c r="K217" s="24" t="s">
        <v>55</v>
      </c>
      <c r="L217" s="49">
        <v>45465</v>
      </c>
      <c r="M217" s="49">
        <v>45472</v>
      </c>
      <c r="N217" s="25">
        <f t="shared" si="9"/>
        <v>7</v>
      </c>
      <c r="O217" s="29"/>
      <c r="P217" t="s">
        <v>88</v>
      </c>
      <c r="Q217" t="s">
        <v>88</v>
      </c>
      <c r="R217" t="s">
        <v>88</v>
      </c>
      <c r="S217" t="s">
        <v>88</v>
      </c>
      <c r="T217" t="s">
        <v>88</v>
      </c>
      <c r="U217" t="s">
        <v>20</v>
      </c>
    </row>
    <row r="218" spans="1:21" x14ac:dyDescent="0.45">
      <c r="A218" s="101">
        <v>416259135</v>
      </c>
      <c r="B218" s="72" t="str">
        <f t="shared" si="10"/>
        <v>41.625.913-5</v>
      </c>
      <c r="C218" s="22" t="s">
        <v>22</v>
      </c>
      <c r="D218" s="29" t="s">
        <v>946</v>
      </c>
      <c r="E218" s="29" t="s">
        <v>1189</v>
      </c>
      <c r="F218" s="29" t="s">
        <v>1190</v>
      </c>
      <c r="G218" s="49">
        <v>45463</v>
      </c>
      <c r="H218" s="29"/>
      <c r="I218" s="29" t="s">
        <v>54</v>
      </c>
      <c r="J218" s="29"/>
      <c r="K218" s="24" t="s">
        <v>43</v>
      </c>
      <c r="L218" s="49">
        <v>45463</v>
      </c>
      <c r="M218" s="49">
        <v>45473</v>
      </c>
      <c r="N218" s="25">
        <f t="shared" si="9"/>
        <v>10</v>
      </c>
      <c r="O218" s="29"/>
      <c r="P218" t="s">
        <v>88</v>
      </c>
      <c r="Q218" t="s">
        <v>88</v>
      </c>
      <c r="R218" t="s">
        <v>88</v>
      </c>
      <c r="S218" t="s">
        <v>88</v>
      </c>
      <c r="T218" t="s">
        <v>88</v>
      </c>
      <c r="U218" t="s">
        <v>20</v>
      </c>
    </row>
    <row r="219" spans="1:21" x14ac:dyDescent="0.45">
      <c r="A219" s="101">
        <v>416259135</v>
      </c>
      <c r="B219" s="72" t="str">
        <f t="shared" si="10"/>
        <v>41.625.913-5</v>
      </c>
      <c r="C219" s="22" t="str">
        <f>IF(IFERROR(VLOOKUP(A219,$A$10:$I218,1,0),0)=0,"",VLOOKUP(A219,$A$10:$I218,3,0))</f>
        <v>UCI</v>
      </c>
      <c r="D219" s="29" t="str">
        <f>IF(IFERROR(VLOOKUP(A219,$A$10:$I218,1,0),0)=0,"",VLOOKUP(A219,$A$10:$I218,4,0))</f>
        <v>GOMEZ</v>
      </c>
      <c r="E219" s="29" t="str">
        <f>IF(IFERROR(VLOOKUP(A219,$A$10:$I218,1,0),0)=0,"",VLOOKUP(A219,$A$10:$I218,5,0))</f>
        <v xml:space="preserve">TERAN </v>
      </c>
      <c r="F219" s="29" t="str">
        <f>IF(IFERROR(VLOOKUP(A219,$A$10:$I218,1,0),0)=0,"",VLOOKUP(A219,$A$10:$I218,6,0))</f>
        <v xml:space="preserve">FABIAN </v>
      </c>
      <c r="G219" s="49">
        <f>IF(IFERROR(VLOOKUP(A219,$A$10:$I218,1,0),0)=0,"",VLOOKUP(A219,$A$10:$I218,7,0))</f>
        <v>45463</v>
      </c>
      <c r="H219" s="29"/>
      <c r="I219" s="29" t="s">
        <v>54</v>
      </c>
      <c r="J219" s="29"/>
      <c r="K219" s="24" t="s">
        <v>47</v>
      </c>
      <c r="L219" s="49">
        <v>45466</v>
      </c>
      <c r="M219" s="49">
        <v>45473</v>
      </c>
      <c r="N219" s="25">
        <f t="shared" si="9"/>
        <v>7</v>
      </c>
      <c r="O219" s="29"/>
      <c r="P219" t="s">
        <v>88</v>
      </c>
      <c r="Q219" t="s">
        <v>88</v>
      </c>
      <c r="R219" t="s">
        <v>88</v>
      </c>
      <c r="S219" t="s">
        <v>88</v>
      </c>
      <c r="T219" t="s">
        <v>88</v>
      </c>
      <c r="U219" t="s">
        <v>20</v>
      </c>
    </row>
    <row r="220" spans="1:21" x14ac:dyDescent="0.45">
      <c r="A220" s="79">
        <v>79975885</v>
      </c>
      <c r="B220" s="72" t="str">
        <f t="shared" si="10"/>
        <v>7.997.588-5</v>
      </c>
      <c r="C220" s="22" t="s">
        <v>22</v>
      </c>
      <c r="D220" s="29" t="s">
        <v>1191</v>
      </c>
      <c r="E220" s="29" t="s">
        <v>537</v>
      </c>
      <c r="F220" s="29" t="s">
        <v>1192</v>
      </c>
      <c r="G220" s="49">
        <v>45464</v>
      </c>
      <c r="H220" s="49">
        <v>45469</v>
      </c>
      <c r="I220" s="29" t="s">
        <v>54</v>
      </c>
      <c r="J220" s="29"/>
      <c r="K220" s="24" t="s">
        <v>43</v>
      </c>
      <c r="L220" s="49">
        <v>45462</v>
      </c>
      <c r="M220" s="49">
        <v>45473</v>
      </c>
      <c r="N220" s="25">
        <f t="shared" si="9"/>
        <v>11</v>
      </c>
      <c r="O220" s="29"/>
      <c r="P220" t="s">
        <v>88</v>
      </c>
      <c r="Q220" t="s">
        <v>88</v>
      </c>
      <c r="R220" t="s">
        <v>88</v>
      </c>
      <c r="S220" t="s">
        <v>88</v>
      </c>
      <c r="T220" t="s">
        <v>88</v>
      </c>
      <c r="U220" t="s">
        <v>20</v>
      </c>
    </row>
    <row r="221" spans="1:21" x14ac:dyDescent="0.45">
      <c r="A221" s="79">
        <v>79975885</v>
      </c>
      <c r="B221" s="72" t="str">
        <f t="shared" si="10"/>
        <v>7.997.588-5</v>
      </c>
      <c r="C221" s="22" t="s">
        <v>22</v>
      </c>
      <c r="D221" s="29" t="s">
        <v>1191</v>
      </c>
      <c r="E221" s="29" t="s">
        <v>537</v>
      </c>
      <c r="F221" s="29" t="s">
        <v>1192</v>
      </c>
      <c r="G221" s="49">
        <v>45464</v>
      </c>
      <c r="H221" s="49">
        <v>45469</v>
      </c>
      <c r="I221" s="29" t="s">
        <v>54</v>
      </c>
      <c r="J221" s="29"/>
      <c r="K221" s="24" t="s">
        <v>47</v>
      </c>
      <c r="L221" s="49">
        <v>45462</v>
      </c>
      <c r="M221" s="49">
        <v>45473</v>
      </c>
      <c r="N221" s="25">
        <f t="shared" si="9"/>
        <v>11</v>
      </c>
      <c r="O221" s="29"/>
      <c r="P221" t="s">
        <v>88</v>
      </c>
      <c r="Q221" t="s">
        <v>88</v>
      </c>
      <c r="R221" t="s">
        <v>88</v>
      </c>
      <c r="S221" t="s">
        <v>88</v>
      </c>
      <c r="T221" t="s">
        <v>88</v>
      </c>
      <c r="U221" t="s">
        <v>20</v>
      </c>
    </row>
    <row r="222" spans="1:21" x14ac:dyDescent="0.45">
      <c r="A222" s="79">
        <v>79975885</v>
      </c>
      <c r="B222" s="72" t="str">
        <f t="shared" si="10"/>
        <v>7.997.588-5</v>
      </c>
      <c r="C222" s="22" t="s">
        <v>22</v>
      </c>
      <c r="D222" s="29" t="s">
        <v>1191</v>
      </c>
      <c r="E222" s="29" t="s">
        <v>537</v>
      </c>
      <c r="F222" s="29" t="s">
        <v>1192</v>
      </c>
      <c r="G222" s="49">
        <v>45464</v>
      </c>
      <c r="H222" s="49">
        <v>45469</v>
      </c>
      <c r="I222" s="29" t="s">
        <v>54</v>
      </c>
      <c r="J222" s="29"/>
      <c r="K222" s="24" t="s">
        <v>55</v>
      </c>
      <c r="L222" s="49">
        <v>45464</v>
      </c>
      <c r="M222" s="49">
        <v>45467</v>
      </c>
      <c r="N222" s="25">
        <f t="shared" ref="N222:N253" si="11">+M222-L222</f>
        <v>3</v>
      </c>
      <c r="O222" s="29"/>
      <c r="P222" t="s">
        <v>88</v>
      </c>
      <c r="Q222" t="s">
        <v>88</v>
      </c>
      <c r="R222" t="s">
        <v>88</v>
      </c>
      <c r="S222" t="s">
        <v>88</v>
      </c>
      <c r="T222" t="s">
        <v>88</v>
      </c>
      <c r="U222" t="s">
        <v>20</v>
      </c>
    </row>
    <row r="223" spans="1:21" x14ac:dyDescent="0.45">
      <c r="A223" s="79">
        <v>75340753</v>
      </c>
      <c r="B223" s="72" t="str">
        <f t="shared" si="10"/>
        <v>7.534.075-3</v>
      </c>
      <c r="C223" s="22" t="s">
        <v>22</v>
      </c>
      <c r="D223" s="29" t="s">
        <v>1010</v>
      </c>
      <c r="E223" s="29" t="s">
        <v>389</v>
      </c>
      <c r="F223" s="29" t="s">
        <v>250</v>
      </c>
      <c r="G223" s="49">
        <v>45466</v>
      </c>
      <c r="H223" s="29"/>
      <c r="I223" s="29" t="s">
        <v>54</v>
      </c>
      <c r="J223" s="29"/>
      <c r="K223" s="24" t="s">
        <v>43</v>
      </c>
      <c r="L223" s="49">
        <v>45466</v>
      </c>
      <c r="M223" s="49">
        <v>45473</v>
      </c>
      <c r="N223" s="25">
        <f t="shared" si="11"/>
        <v>7</v>
      </c>
      <c r="O223" s="29"/>
      <c r="P223" t="s">
        <v>88</v>
      </c>
      <c r="Q223" t="s">
        <v>88</v>
      </c>
      <c r="R223" t="s">
        <v>88</v>
      </c>
      <c r="S223" t="s">
        <v>88</v>
      </c>
      <c r="T223" t="s">
        <v>88</v>
      </c>
      <c r="U223" t="s">
        <v>20</v>
      </c>
    </row>
    <row r="224" spans="1:21" x14ac:dyDescent="0.45">
      <c r="A224" s="79">
        <v>75340753</v>
      </c>
      <c r="B224" s="72" t="str">
        <f t="shared" si="10"/>
        <v>7.534.075-3</v>
      </c>
      <c r="C224" s="22" t="s">
        <v>22</v>
      </c>
      <c r="D224" s="29" t="s">
        <v>1010</v>
      </c>
      <c r="E224" s="29" t="s">
        <v>389</v>
      </c>
      <c r="F224" s="29" t="s">
        <v>250</v>
      </c>
      <c r="G224" s="49">
        <v>45466</v>
      </c>
      <c r="H224" s="29"/>
      <c r="I224" s="29" t="s">
        <v>54</v>
      </c>
      <c r="J224" s="29"/>
      <c r="K224" s="24" t="s">
        <v>47</v>
      </c>
      <c r="L224" s="49">
        <v>45466</v>
      </c>
      <c r="M224" s="49">
        <v>45473</v>
      </c>
      <c r="N224" s="25">
        <f t="shared" si="11"/>
        <v>7</v>
      </c>
      <c r="O224" s="29"/>
      <c r="P224" t="s">
        <v>88</v>
      </c>
      <c r="Q224" t="s">
        <v>88</v>
      </c>
      <c r="R224" t="s">
        <v>88</v>
      </c>
      <c r="S224" t="s">
        <v>88</v>
      </c>
      <c r="T224" t="s">
        <v>88</v>
      </c>
      <c r="U224" t="s">
        <v>20</v>
      </c>
    </row>
    <row r="225" spans="1:21" x14ac:dyDescent="0.45">
      <c r="A225" s="79">
        <v>75340753</v>
      </c>
      <c r="B225" s="72" t="str">
        <f t="shared" si="10"/>
        <v>7.534.075-3</v>
      </c>
      <c r="C225" s="22" t="s">
        <v>22</v>
      </c>
      <c r="D225" s="29" t="s">
        <v>1010</v>
      </c>
      <c r="E225" s="29" t="s">
        <v>389</v>
      </c>
      <c r="F225" s="29" t="s">
        <v>250</v>
      </c>
      <c r="G225" s="49">
        <v>45466</v>
      </c>
      <c r="H225" s="29"/>
      <c r="I225" s="29" t="s">
        <v>54</v>
      </c>
      <c r="J225" s="29"/>
      <c r="K225" s="24" t="s">
        <v>55</v>
      </c>
      <c r="L225" s="49">
        <v>45466</v>
      </c>
      <c r="M225" s="49">
        <v>45467</v>
      </c>
      <c r="N225" s="25">
        <f t="shared" si="11"/>
        <v>1</v>
      </c>
      <c r="O225" s="29"/>
      <c r="P225" t="s">
        <v>88</v>
      </c>
      <c r="Q225" t="s">
        <v>88</v>
      </c>
      <c r="R225" t="s">
        <v>88</v>
      </c>
      <c r="S225" t="s">
        <v>88</v>
      </c>
      <c r="T225" t="s">
        <v>88</v>
      </c>
      <c r="U225" t="s">
        <v>20</v>
      </c>
    </row>
    <row r="226" spans="1:21" x14ac:dyDescent="0.45">
      <c r="A226" s="79">
        <v>843859</v>
      </c>
      <c r="B226" s="72" t="str">
        <f t="shared" si="10"/>
        <v>84.385.9-</v>
      </c>
      <c r="C226" s="22" t="s">
        <v>16</v>
      </c>
      <c r="D226" s="29" t="s">
        <v>559</v>
      </c>
      <c r="E226" s="29" t="s">
        <v>902</v>
      </c>
      <c r="F226" s="29" t="s">
        <v>1193</v>
      </c>
      <c r="G226" s="49">
        <v>45462</v>
      </c>
      <c r="H226" s="29"/>
      <c r="I226" s="29"/>
      <c r="J226" s="29"/>
      <c r="K226" s="24" t="s">
        <v>18</v>
      </c>
      <c r="L226" s="49">
        <v>45464</v>
      </c>
      <c r="M226" s="49">
        <v>45470</v>
      </c>
      <c r="N226" s="25">
        <f t="shared" si="11"/>
        <v>6</v>
      </c>
      <c r="O226" s="29"/>
      <c r="P226" t="s">
        <v>88</v>
      </c>
      <c r="Q226" t="s">
        <v>88</v>
      </c>
      <c r="R226" t="s">
        <v>88</v>
      </c>
      <c r="S226" t="s">
        <v>88</v>
      </c>
      <c r="T226" t="s">
        <v>88</v>
      </c>
      <c r="U226" t="s">
        <v>20</v>
      </c>
    </row>
    <row r="227" spans="1:21" x14ac:dyDescent="0.45">
      <c r="A227" s="79">
        <v>843859</v>
      </c>
      <c r="B227" s="72" t="str">
        <f t="shared" si="10"/>
        <v>84.385.9-</v>
      </c>
      <c r="C227" s="22" t="s">
        <v>16</v>
      </c>
      <c r="D227" s="29" t="s">
        <v>559</v>
      </c>
      <c r="E227" s="29" t="s">
        <v>902</v>
      </c>
      <c r="F227" s="29" t="s">
        <v>948</v>
      </c>
      <c r="G227" s="49">
        <v>45462</v>
      </c>
      <c r="H227" s="29"/>
      <c r="I227" s="29"/>
      <c r="J227" s="29"/>
      <c r="K227" s="24" t="s">
        <v>55</v>
      </c>
      <c r="L227" s="49">
        <v>45464</v>
      </c>
      <c r="M227" s="49">
        <v>45468</v>
      </c>
      <c r="N227" s="25">
        <f t="shared" si="11"/>
        <v>4</v>
      </c>
      <c r="O227" s="29"/>
      <c r="P227" t="s">
        <v>88</v>
      </c>
      <c r="Q227" t="s">
        <v>88</v>
      </c>
      <c r="R227" t="s">
        <v>88</v>
      </c>
      <c r="S227" t="s">
        <v>88</v>
      </c>
      <c r="T227" t="s">
        <v>88</v>
      </c>
      <c r="U227" t="s">
        <v>20</v>
      </c>
    </row>
    <row r="228" spans="1:21" x14ac:dyDescent="0.45">
      <c r="A228" s="79">
        <v>284550374</v>
      </c>
      <c r="B228" s="72" t="str">
        <f t="shared" si="10"/>
        <v>28.455.037-4</v>
      </c>
      <c r="C228" s="22" t="str">
        <f>IF(IFERROR(VLOOKUP(A228,$A$10:$I227,1,0),0)=0,"",VLOOKUP(A228,$A$10:$I227,3,0))</f>
        <v>UCI neonatal</v>
      </c>
      <c r="D228" s="29" t="str">
        <f>IF(IFERROR(VLOOKUP(A228,$A$10:$I227,1,0),0)=0,"",VLOOKUP(A228,$A$10:$I227,4,0))</f>
        <v>CEBALLOS</v>
      </c>
      <c r="E228" s="29" t="str">
        <f>IF(IFERROR(VLOOKUP(A228,$A$10:$I227,1,0),0)=0,"",VLOOKUP(A228,$A$10:$I227,5,0))</f>
        <v>SEPULVEDA</v>
      </c>
      <c r="F228" s="29" t="str">
        <f>IF(IFERROR(VLOOKUP(A228,$A$10:$I227,1,0),0)=0,"",VLOOKUP(A228,$A$10:$I227,6,0))</f>
        <v xml:space="preserve">NOAH </v>
      </c>
      <c r="G228" s="49">
        <f>IF(IFERROR(VLOOKUP(A228,$A$10:$I227,1,0),0)=0,"",VLOOKUP(A228,$A$10:$I227,7,0))</f>
        <v>45450</v>
      </c>
      <c r="H228" s="29"/>
      <c r="I228" s="29"/>
      <c r="J228" s="29"/>
      <c r="K228" s="24" t="s">
        <v>18</v>
      </c>
      <c r="L228" s="49">
        <v>45460</v>
      </c>
      <c r="M228" s="49">
        <v>45473</v>
      </c>
      <c r="N228" s="25">
        <f t="shared" si="11"/>
        <v>13</v>
      </c>
      <c r="O228" s="29"/>
      <c r="P228" t="s">
        <v>88</v>
      </c>
      <c r="Q228" t="s">
        <v>88</v>
      </c>
      <c r="R228" t="s">
        <v>88</v>
      </c>
      <c r="S228" t="s">
        <v>88</v>
      </c>
      <c r="T228" t="s">
        <v>88</v>
      </c>
      <c r="U228" t="s">
        <v>20</v>
      </c>
    </row>
    <row r="229" spans="1:21" x14ac:dyDescent="0.45">
      <c r="A229" s="79">
        <v>284458796</v>
      </c>
      <c r="B229" s="72" t="str">
        <f t="shared" si="10"/>
        <v>28.445.879-6</v>
      </c>
      <c r="C229" s="22" t="str">
        <f>IF(IFERROR(VLOOKUP(A229,$A$10:$I228,1,0),0)=0,"",VLOOKUP(A229,$A$10:$I228,3,0))</f>
        <v>UCI neonatal</v>
      </c>
      <c r="D229" s="29" t="str">
        <f>IF(IFERROR(VLOOKUP(A229,$A$10:$I228,1,0),0)=0,"",VLOOKUP(A229,$A$10:$I228,4,0))</f>
        <v>MEDINA</v>
      </c>
      <c r="E229" s="29" t="str">
        <f>IF(IFERROR(VLOOKUP(A229,$A$10:$I228,1,0),0)=0,"",VLOOKUP(A229,$A$10:$I228,5,0))</f>
        <v>LEPEZ</v>
      </c>
      <c r="F229" s="29" t="str">
        <f>IF(IFERROR(VLOOKUP(A229,$A$10:$I228,1,0),0)=0,"",VLOOKUP(A229,$A$10:$I228,6,0))</f>
        <v>NICOLAS</v>
      </c>
      <c r="G229" s="49">
        <f>IF(IFERROR(VLOOKUP(A229,$A$10:$I228,1,0),0)=0,"",VLOOKUP(A229,$A$10:$I228,7,0))</f>
        <v>45442</v>
      </c>
      <c r="H229" s="29"/>
      <c r="I229" s="29"/>
      <c r="J229" s="29"/>
      <c r="K229" s="24" t="s">
        <v>18</v>
      </c>
      <c r="L229" s="49">
        <v>45459</v>
      </c>
      <c r="M229" s="49">
        <v>45473</v>
      </c>
      <c r="N229" s="25">
        <f t="shared" si="11"/>
        <v>14</v>
      </c>
      <c r="O229" s="29"/>
      <c r="P229" t="s">
        <v>88</v>
      </c>
      <c r="Q229" t="s">
        <v>88</v>
      </c>
      <c r="R229" t="s">
        <v>88</v>
      </c>
      <c r="S229" t="s">
        <v>88</v>
      </c>
      <c r="T229" t="s">
        <v>88</v>
      </c>
      <c r="U229" t="s">
        <v>20</v>
      </c>
    </row>
    <row r="230" spans="1:21" x14ac:dyDescent="0.45">
      <c r="A230" s="79">
        <v>223659918</v>
      </c>
      <c r="B230" s="72" t="str">
        <f t="shared" si="10"/>
        <v>22.365.991-8</v>
      </c>
      <c r="C230" s="22" t="s">
        <v>46</v>
      </c>
      <c r="D230" s="29" t="str">
        <f>IF(IFERROR(VLOOKUP(A230,$A$10:$I229,1,0),0)=0,"",VLOOKUP(A230,$A$10:$I229,4,0))</f>
        <v>GONZALEZ</v>
      </c>
      <c r="E230" s="29" t="str">
        <f>IF(IFERROR(VLOOKUP(A230,$A$10:$I229,1,0),0)=0,"",VLOOKUP(A230,$A$10:$I229,5,0))</f>
        <v>JARAMILLO</v>
      </c>
      <c r="F230" s="29" t="str">
        <f>IF(IFERROR(VLOOKUP(A230,$A$10:$I229,1,0),0)=0,"",VLOOKUP(A230,$A$10:$I229,6,0))</f>
        <v xml:space="preserve">BENJAMIN </v>
      </c>
      <c r="G230" s="49">
        <v>45466</v>
      </c>
      <c r="H230" s="29"/>
      <c r="I230" s="29" t="s">
        <v>22</v>
      </c>
      <c r="J230" s="29"/>
      <c r="K230" s="24" t="s">
        <v>18</v>
      </c>
      <c r="L230" s="49">
        <v>45466</v>
      </c>
      <c r="M230" s="49">
        <v>45473</v>
      </c>
      <c r="N230" s="25">
        <f t="shared" si="11"/>
        <v>7</v>
      </c>
      <c r="O230" s="29"/>
      <c r="P230" t="s">
        <v>88</v>
      </c>
      <c r="Q230" t="s">
        <v>88</v>
      </c>
      <c r="R230" t="s">
        <v>88</v>
      </c>
      <c r="S230" t="s">
        <v>88</v>
      </c>
      <c r="T230" t="s">
        <v>88</v>
      </c>
      <c r="U230" t="s">
        <v>20</v>
      </c>
    </row>
    <row r="231" spans="1:21" x14ac:dyDescent="0.45">
      <c r="A231" s="79" t="s">
        <v>1194</v>
      </c>
      <c r="B231" s="72" t="str">
        <f t="shared" si="10"/>
        <v>4.506.203-1</v>
      </c>
      <c r="C231" s="22" t="s">
        <v>46</v>
      </c>
      <c r="D231" s="29" t="s">
        <v>1195</v>
      </c>
      <c r="E231" s="29" t="s">
        <v>675</v>
      </c>
      <c r="F231" s="29" t="s">
        <v>603</v>
      </c>
      <c r="G231" s="49">
        <v>45465</v>
      </c>
      <c r="H231" s="49">
        <v>45469</v>
      </c>
      <c r="I231" s="29" t="s">
        <v>54</v>
      </c>
      <c r="J231" s="29" t="s">
        <v>13</v>
      </c>
      <c r="K231" s="24" t="s">
        <v>47</v>
      </c>
      <c r="L231" s="49">
        <v>45465</v>
      </c>
      <c r="M231" s="49">
        <v>45469</v>
      </c>
      <c r="N231" s="25">
        <f t="shared" si="11"/>
        <v>4</v>
      </c>
      <c r="O231" s="29"/>
      <c r="P231" t="s">
        <v>88</v>
      </c>
      <c r="Q231" t="s">
        <v>88</v>
      </c>
      <c r="R231" t="s">
        <v>88</v>
      </c>
      <c r="S231" t="s">
        <v>88</v>
      </c>
      <c r="T231" t="s">
        <v>88</v>
      </c>
      <c r="U231" t="s">
        <v>20</v>
      </c>
    </row>
    <row r="232" spans="1:21" x14ac:dyDescent="0.45">
      <c r="A232" s="79">
        <v>55609055</v>
      </c>
      <c r="B232" s="72" t="str">
        <f t="shared" si="10"/>
        <v>5.560.905-5</v>
      </c>
      <c r="C232" s="22" t="s">
        <v>46</v>
      </c>
      <c r="D232" s="29" t="s">
        <v>1196</v>
      </c>
      <c r="E232" s="29" t="s">
        <v>375</v>
      </c>
      <c r="F232" s="29" t="s">
        <v>250</v>
      </c>
      <c r="G232" s="49">
        <v>45465</v>
      </c>
      <c r="H232" s="29"/>
      <c r="I232" s="29" t="s">
        <v>22</v>
      </c>
      <c r="J232" s="29"/>
      <c r="K232" s="24" t="s">
        <v>43</v>
      </c>
      <c r="L232" s="49">
        <v>45465</v>
      </c>
      <c r="M232" s="49">
        <v>45468</v>
      </c>
      <c r="N232" s="25">
        <f t="shared" si="11"/>
        <v>3</v>
      </c>
      <c r="O232" s="29"/>
      <c r="P232" t="s">
        <v>88</v>
      </c>
      <c r="Q232" t="s">
        <v>88</v>
      </c>
      <c r="R232" t="s">
        <v>88</v>
      </c>
      <c r="S232" t="s">
        <v>88</v>
      </c>
      <c r="T232" t="s">
        <v>88</v>
      </c>
      <c r="U232" t="s">
        <v>20</v>
      </c>
    </row>
    <row r="233" spans="1:21" x14ac:dyDescent="0.45">
      <c r="A233" s="79">
        <v>55609055</v>
      </c>
      <c r="B233" s="72" t="str">
        <f t="shared" si="10"/>
        <v>5.560.905-5</v>
      </c>
      <c r="C233" s="22" t="str">
        <f>IF(IFERROR(VLOOKUP(A233,$A$10:$I232,1,0),0)=0,"",VLOOKUP(A233,$A$10:$I232,3,0))</f>
        <v>Pensionado</v>
      </c>
      <c r="D233" s="29" t="str">
        <f>IF(IFERROR(VLOOKUP(A233,$A$10:$I232,1,0),0)=0,"",VLOOKUP(A233,$A$10:$I232,4,0))</f>
        <v>VILLAGRA</v>
      </c>
      <c r="E233" s="29" t="str">
        <f>IF(IFERROR(VLOOKUP(A233,$A$10:$I232,1,0),0)=0,"",VLOOKUP(A233,$A$10:$I232,5,0))</f>
        <v>CASTILLO</v>
      </c>
      <c r="F233" s="29" t="str">
        <f>IF(IFERROR(VLOOKUP(A233,$A$10:$I232,1,0),0)=0,"",VLOOKUP(A233,$A$10:$I232,6,0))</f>
        <v>JOSE</v>
      </c>
      <c r="G233" s="49">
        <f>IF(IFERROR(VLOOKUP(A233,$A$10:$I232,1,0),0)=0,"",VLOOKUP(A233,$A$10:$I232,7,0))</f>
        <v>45465</v>
      </c>
      <c r="H233" s="29"/>
      <c r="I233" s="29" t="s">
        <v>22</v>
      </c>
      <c r="J233" s="29"/>
      <c r="K233" s="24" t="s">
        <v>47</v>
      </c>
      <c r="L233" s="49">
        <v>45465</v>
      </c>
      <c r="M233" s="49">
        <v>45468</v>
      </c>
      <c r="N233" s="25">
        <f t="shared" si="11"/>
        <v>3</v>
      </c>
      <c r="O233" s="29"/>
      <c r="P233" t="s">
        <v>88</v>
      </c>
      <c r="Q233" t="s">
        <v>88</v>
      </c>
      <c r="R233" t="s">
        <v>88</v>
      </c>
      <c r="S233" t="s">
        <v>88</v>
      </c>
      <c r="T233" t="s">
        <v>88</v>
      </c>
      <c r="U233" t="s">
        <v>20</v>
      </c>
    </row>
    <row r="234" spans="1:21" x14ac:dyDescent="0.45">
      <c r="A234" s="79">
        <v>74356982</v>
      </c>
      <c r="B234" s="72" t="str">
        <f t="shared" si="10"/>
        <v>7.435.698-2</v>
      </c>
      <c r="C234" s="22" t="s">
        <v>22</v>
      </c>
      <c r="D234" s="29" t="s">
        <v>315</v>
      </c>
      <c r="E234" s="29" t="s">
        <v>708</v>
      </c>
      <c r="F234" s="29" t="s">
        <v>370</v>
      </c>
      <c r="G234" s="49">
        <v>45468</v>
      </c>
      <c r="H234" s="49">
        <v>45471</v>
      </c>
      <c r="I234" s="29"/>
      <c r="J234" s="29" t="s">
        <v>82</v>
      </c>
      <c r="K234" s="24" t="s">
        <v>43</v>
      </c>
      <c r="L234" s="49">
        <v>45468</v>
      </c>
      <c r="M234" s="49">
        <v>45471</v>
      </c>
      <c r="N234" s="25">
        <f t="shared" si="11"/>
        <v>3</v>
      </c>
      <c r="O234" s="29"/>
      <c r="P234" t="s">
        <v>88</v>
      </c>
      <c r="Q234" t="s">
        <v>88</v>
      </c>
      <c r="R234" t="s">
        <v>88</v>
      </c>
      <c r="S234" t="s">
        <v>88</v>
      </c>
      <c r="T234" t="s">
        <v>88</v>
      </c>
      <c r="U234" t="s">
        <v>20</v>
      </c>
    </row>
    <row r="235" spans="1:21" x14ac:dyDescent="0.45">
      <c r="A235" s="79">
        <v>74356982</v>
      </c>
      <c r="B235" s="72" t="str">
        <f t="shared" si="10"/>
        <v>7.435.698-2</v>
      </c>
      <c r="C235" s="22" t="str">
        <f>IF(IFERROR(VLOOKUP(A235,$A$10:$I234,1,0),0)=0,"",VLOOKUP(A235,$A$10:$I234,3,0))</f>
        <v>UCI</v>
      </c>
      <c r="D235" s="29" t="str">
        <f>IF(IFERROR(VLOOKUP(A235,$A$10:$I234,1,0),0)=0,"",VLOOKUP(A235,$A$10:$I234,4,0))</f>
        <v>ARIAS</v>
      </c>
      <c r="E235" s="29" t="str">
        <f>IF(IFERROR(VLOOKUP(A235,$A$10:$I234,1,0),0)=0,"",VLOOKUP(A235,$A$10:$I234,5,0))</f>
        <v>TORO</v>
      </c>
      <c r="F235" s="29" t="str">
        <f>IF(IFERROR(VLOOKUP(A235,$A$10:$I234,1,0),0)=0,"",VLOOKUP(A235,$A$10:$I234,6,0))</f>
        <v>GERMAN</v>
      </c>
      <c r="G235" s="49">
        <f>IF(IFERROR(VLOOKUP(A235,$A$10:$I234,1,0),0)=0,"",VLOOKUP(A235,$A$10:$I234,7,0))</f>
        <v>45468</v>
      </c>
      <c r="H235" s="49">
        <v>45471</v>
      </c>
      <c r="I235" s="29"/>
      <c r="J235" s="29" t="s">
        <v>82</v>
      </c>
      <c r="K235" s="24" t="s">
        <v>47</v>
      </c>
      <c r="L235" s="49">
        <v>45468</v>
      </c>
      <c r="M235" s="49">
        <v>45471</v>
      </c>
      <c r="N235" s="25">
        <f t="shared" si="11"/>
        <v>3</v>
      </c>
      <c r="O235" s="29"/>
      <c r="P235" t="s">
        <v>88</v>
      </c>
      <c r="Q235" t="s">
        <v>88</v>
      </c>
      <c r="R235" t="s">
        <v>88</v>
      </c>
      <c r="S235" t="s">
        <v>88</v>
      </c>
      <c r="T235" t="s">
        <v>88</v>
      </c>
      <c r="U235" t="s">
        <v>20</v>
      </c>
    </row>
    <row r="236" spans="1:21" x14ac:dyDescent="0.45">
      <c r="A236" s="79">
        <v>74356982</v>
      </c>
      <c r="B236" s="72" t="str">
        <f t="shared" si="10"/>
        <v>7.435.698-2</v>
      </c>
      <c r="C236" s="22" t="str">
        <f>IF(IFERROR(VLOOKUP(A236,$A$10:$I235,1,0),0)=0,"",VLOOKUP(A236,$A$10:$I235,3,0))</f>
        <v>UCI</v>
      </c>
      <c r="D236" s="29" t="str">
        <f>IF(IFERROR(VLOOKUP(A236,$A$10:$I235,1,0),0)=0,"",VLOOKUP(A236,$A$10:$I235,4,0))</f>
        <v>ARIAS</v>
      </c>
      <c r="E236" s="29" t="str">
        <f>IF(IFERROR(VLOOKUP(A236,$A$10:$I235,1,0),0)=0,"",VLOOKUP(A236,$A$10:$I235,5,0))</f>
        <v>TORO</v>
      </c>
      <c r="F236" s="29" t="str">
        <f>IF(IFERROR(VLOOKUP(A236,$A$10:$I235,1,0),0)=0,"",VLOOKUP(A236,$A$10:$I235,6,0))</f>
        <v>GERMAN</v>
      </c>
      <c r="G236" s="49">
        <f>IF(IFERROR(VLOOKUP(A236,$A$10:$I235,1,0),0)=0,"",VLOOKUP(A236,$A$10:$I235,7,0))</f>
        <v>45468</v>
      </c>
      <c r="H236" s="49">
        <v>45471</v>
      </c>
      <c r="I236" s="29"/>
      <c r="J236" s="29" t="s">
        <v>82</v>
      </c>
      <c r="K236" s="24" t="s">
        <v>55</v>
      </c>
      <c r="L236" s="49">
        <v>45468</v>
      </c>
      <c r="M236" s="49">
        <v>45471</v>
      </c>
      <c r="N236" s="25">
        <f t="shared" si="11"/>
        <v>3</v>
      </c>
      <c r="O236" s="29"/>
      <c r="P236" t="s">
        <v>88</v>
      </c>
      <c r="Q236" t="s">
        <v>88</v>
      </c>
      <c r="R236" t="s">
        <v>88</v>
      </c>
      <c r="S236" t="s">
        <v>88</v>
      </c>
      <c r="T236" t="s">
        <v>88</v>
      </c>
      <c r="U236" t="s">
        <v>20</v>
      </c>
    </row>
    <row r="237" spans="1:21" x14ac:dyDescent="0.45">
      <c r="A237" s="79" t="s">
        <v>1197</v>
      </c>
      <c r="B237" s="72" t="str">
        <f t="shared" si="10"/>
        <v>9.938.994-K</v>
      </c>
      <c r="C237" s="22" t="s">
        <v>22</v>
      </c>
      <c r="D237" s="29" t="s">
        <v>612</v>
      </c>
      <c r="E237" s="29" t="s">
        <v>282</v>
      </c>
      <c r="F237" s="29" t="s">
        <v>944</v>
      </c>
      <c r="G237" s="49">
        <v>45470</v>
      </c>
      <c r="H237" s="29"/>
      <c r="I237" s="29"/>
      <c r="J237" s="29"/>
      <c r="K237" s="24" t="s">
        <v>43</v>
      </c>
      <c r="L237" s="49">
        <v>45470</v>
      </c>
      <c r="M237" s="49">
        <v>45472</v>
      </c>
      <c r="N237" s="25">
        <f t="shared" si="11"/>
        <v>2</v>
      </c>
      <c r="O237" s="29"/>
      <c r="P237" t="s">
        <v>88</v>
      </c>
      <c r="Q237" t="s">
        <v>88</v>
      </c>
      <c r="R237" t="s">
        <v>88</v>
      </c>
      <c r="S237" t="s">
        <v>88</v>
      </c>
      <c r="T237" t="s">
        <v>88</v>
      </c>
      <c r="U237" t="s">
        <v>20</v>
      </c>
    </row>
    <row r="238" spans="1:21" x14ac:dyDescent="0.45">
      <c r="A238" s="79" t="s">
        <v>1197</v>
      </c>
      <c r="B238" s="72" t="str">
        <f t="shared" si="10"/>
        <v>9.938.994-K</v>
      </c>
      <c r="C238" s="22" t="str">
        <f>IF(IFERROR(VLOOKUP(A238,$A$10:$I237,1,0),0)=0,"",VLOOKUP(A238,$A$10:$I237,3,0))</f>
        <v>UCI</v>
      </c>
      <c r="D238" s="29" t="str">
        <f>IF(IFERROR(VLOOKUP(A238,$A$10:$I237,1,0),0)=0,"",VLOOKUP(A238,$A$10:$I237,4,0))</f>
        <v xml:space="preserve">RIQUELME </v>
      </c>
      <c r="E238" s="29" t="str">
        <f>IF(IFERROR(VLOOKUP(A238,$A$10:$I237,1,0),0)=0,"",VLOOKUP(A238,$A$10:$I237,5,0))</f>
        <v>CARRASCO</v>
      </c>
      <c r="F238" s="29" t="str">
        <f>IF(IFERROR(VLOOKUP(A238,$A$10:$I237,1,0),0)=0,"",VLOOKUP(A238,$A$10:$I237,6,0))</f>
        <v>ELIANA</v>
      </c>
      <c r="G238" s="49">
        <f>IF(IFERROR(VLOOKUP(A238,$A$10:$I237,1,0),0)=0,"",VLOOKUP(A238,$A$10:$I237,7,0))</f>
        <v>45470</v>
      </c>
      <c r="H238" s="29"/>
      <c r="I238" s="29"/>
      <c r="J238" s="29"/>
      <c r="K238" s="24" t="s">
        <v>47</v>
      </c>
      <c r="L238" s="49">
        <v>45470</v>
      </c>
      <c r="M238" s="49">
        <v>45472</v>
      </c>
      <c r="N238" s="25">
        <f t="shared" si="11"/>
        <v>2</v>
      </c>
      <c r="O238" s="29"/>
      <c r="P238" t="s">
        <v>88</v>
      </c>
      <c r="Q238" t="s">
        <v>88</v>
      </c>
      <c r="R238" t="s">
        <v>88</v>
      </c>
      <c r="S238" t="s">
        <v>88</v>
      </c>
      <c r="T238" t="s">
        <v>88</v>
      </c>
      <c r="U238" t="s">
        <v>20</v>
      </c>
    </row>
    <row r="239" spans="1:21" x14ac:dyDescent="0.45">
      <c r="A239" s="79" t="s">
        <v>1197</v>
      </c>
      <c r="B239" s="72" t="str">
        <f t="shared" si="10"/>
        <v>9.938.994-K</v>
      </c>
      <c r="C239" s="22" t="str">
        <f>IF(IFERROR(VLOOKUP(A239,$A$10:$I238,1,0),0)=0,"",VLOOKUP(A239,$A$10:$I238,3,0))</f>
        <v>UCI</v>
      </c>
      <c r="D239" s="29" t="str">
        <f>IF(IFERROR(VLOOKUP(A239,$A$10:$I238,1,0),0)=0,"",VLOOKUP(A239,$A$10:$I238,4,0))</f>
        <v xml:space="preserve">RIQUELME </v>
      </c>
      <c r="E239" s="29" t="str">
        <f>IF(IFERROR(VLOOKUP(A239,$A$10:$I238,1,0),0)=0,"",VLOOKUP(A239,$A$10:$I238,5,0))</f>
        <v>CARRASCO</v>
      </c>
      <c r="F239" s="29" t="str">
        <f>IF(IFERROR(VLOOKUP(A239,$A$10:$I238,1,0),0)=0,"",VLOOKUP(A239,$A$10:$I238,6,0))</f>
        <v>ELIANA</v>
      </c>
      <c r="G239" s="49">
        <f>IF(IFERROR(VLOOKUP(A239,$A$10:$I238,1,0),0)=0,"",VLOOKUP(A239,$A$10:$I238,7,0))</f>
        <v>45470</v>
      </c>
      <c r="H239" s="29"/>
      <c r="I239" s="29"/>
      <c r="J239" s="29"/>
      <c r="K239" s="24" t="s">
        <v>55</v>
      </c>
      <c r="L239" s="49">
        <v>45470</v>
      </c>
      <c r="M239" s="49">
        <v>45471</v>
      </c>
      <c r="N239" s="25">
        <f t="shared" si="11"/>
        <v>1</v>
      </c>
      <c r="O239" s="29"/>
      <c r="P239" t="s">
        <v>88</v>
      </c>
      <c r="Q239" t="s">
        <v>88</v>
      </c>
      <c r="R239" t="s">
        <v>88</v>
      </c>
      <c r="S239" t="s">
        <v>88</v>
      </c>
      <c r="T239" t="s">
        <v>88</v>
      </c>
      <c r="U239" t="s">
        <v>20</v>
      </c>
    </row>
    <row r="240" spans="1:21" x14ac:dyDescent="0.45">
      <c r="A240" s="79">
        <v>10371546</v>
      </c>
      <c r="B240" s="72" t="str">
        <f t="shared" si="10"/>
        <v>1.037.154-6</v>
      </c>
      <c r="C240" s="22" t="str">
        <f>IF(IFERROR(VLOOKUP(A240,$A$10:$I239,1,0),0)=0,"",VLOOKUP(A240,$A$10:$I239,3,0))</f>
        <v>UCI</v>
      </c>
      <c r="D240" s="29" t="str">
        <f>IF(IFERROR(VLOOKUP(A240,$A$10:$I239,1,0),0)=0,"",VLOOKUP(A240,$A$10:$I239,4,0))</f>
        <v>AVELLO</v>
      </c>
      <c r="E240" s="29" t="str">
        <f>IF(IFERROR(VLOOKUP(A240,$A$10:$I239,1,0),0)=0,"",VLOOKUP(A240,$A$10:$I239,5,0))</f>
        <v>CACERES</v>
      </c>
      <c r="F240" s="29" t="str">
        <f>IF(IFERROR(VLOOKUP(A240,$A$10:$I239,1,0),0)=0,"",VLOOKUP(A240,$A$10:$I239,6,0))</f>
        <v>ALICIA</v>
      </c>
      <c r="G240" s="49">
        <f>IF(IFERROR(VLOOKUP(A240,$A$10:$I239,1,0),0)=0,"",VLOOKUP(A240,$A$10:$I239,7,0))</f>
        <v>45459</v>
      </c>
      <c r="H240" s="29"/>
      <c r="I240" s="29"/>
      <c r="J240" s="29"/>
      <c r="K240" s="24" t="s">
        <v>55</v>
      </c>
      <c r="L240" s="49">
        <v>45460</v>
      </c>
      <c r="M240" s="49">
        <v>45473</v>
      </c>
      <c r="N240" s="25">
        <f t="shared" si="11"/>
        <v>13</v>
      </c>
      <c r="O240" s="29"/>
      <c r="P240" t="s">
        <v>88</v>
      </c>
      <c r="Q240" t="s">
        <v>88</v>
      </c>
      <c r="R240" t="s">
        <v>88</v>
      </c>
      <c r="S240" t="s">
        <v>88</v>
      </c>
      <c r="T240" t="s">
        <v>88</v>
      </c>
      <c r="U240" t="s">
        <v>20</v>
      </c>
    </row>
    <row r="241" spans="1:21" x14ac:dyDescent="0.45">
      <c r="A241" s="79">
        <v>36726679</v>
      </c>
      <c r="B241" s="72" t="str">
        <f t="shared" si="10"/>
        <v>3.672.667-9</v>
      </c>
      <c r="C241" s="22" t="s">
        <v>22</v>
      </c>
      <c r="D241" s="29" t="s">
        <v>1198</v>
      </c>
      <c r="E241" s="29" t="s">
        <v>539</v>
      </c>
      <c r="F241" s="29" t="s">
        <v>502</v>
      </c>
      <c r="G241" s="49">
        <v>45468</v>
      </c>
      <c r="H241" s="29"/>
      <c r="I241" s="29"/>
      <c r="J241" s="29"/>
      <c r="K241" s="24" t="s">
        <v>43</v>
      </c>
      <c r="L241" s="49">
        <v>45468</v>
      </c>
      <c r="M241" s="49">
        <v>45470</v>
      </c>
      <c r="N241" s="25">
        <f t="shared" si="11"/>
        <v>2</v>
      </c>
      <c r="O241" s="29"/>
      <c r="P241" t="s">
        <v>88</v>
      </c>
      <c r="Q241" t="s">
        <v>88</v>
      </c>
      <c r="R241" t="s">
        <v>88</v>
      </c>
      <c r="S241" t="s">
        <v>88</v>
      </c>
      <c r="T241" t="s">
        <v>88</v>
      </c>
      <c r="U241" t="s">
        <v>20</v>
      </c>
    </row>
    <row r="242" spans="1:21" x14ac:dyDescent="0.45">
      <c r="A242" s="79">
        <v>36726679</v>
      </c>
      <c r="B242" s="72" t="str">
        <f t="shared" si="10"/>
        <v>3.672.667-9</v>
      </c>
      <c r="C242" s="22" t="str">
        <f>IF(IFERROR(VLOOKUP(A242,$A$10:$I241,1,0),0)=0,"",VLOOKUP(A242,$A$10:$I241,3,0))</f>
        <v>UCI</v>
      </c>
      <c r="D242" s="29" t="str">
        <f>IF(IFERROR(VLOOKUP(A242,$A$10:$I241,1,0),0)=0,"",VLOOKUP(A242,$A$10:$I241,4,0))</f>
        <v>TERAN</v>
      </c>
      <c r="E242" s="29" t="str">
        <f>IF(IFERROR(VLOOKUP(A242,$A$10:$I241,1,0),0)=0,"",VLOOKUP(A242,$A$10:$I241,5,0))</f>
        <v>CARRILLO</v>
      </c>
      <c r="F242" s="29" t="str">
        <f>IF(IFERROR(VLOOKUP(A242,$A$10:$I241,1,0),0)=0,"",VLOOKUP(A242,$A$10:$I241,6,0))</f>
        <v>RUBEN</v>
      </c>
      <c r="G242" s="49">
        <f>IF(IFERROR(VLOOKUP(A242,$A$10:$I241,1,0),0)=0,"",VLOOKUP(A242,$A$10:$I241,7,0))</f>
        <v>45468</v>
      </c>
      <c r="H242" s="29"/>
      <c r="I242" s="29"/>
      <c r="J242" s="29"/>
      <c r="K242" s="24" t="s">
        <v>47</v>
      </c>
      <c r="L242" s="49">
        <v>45468</v>
      </c>
      <c r="M242" s="49">
        <v>45470</v>
      </c>
      <c r="N242" s="25">
        <f t="shared" si="11"/>
        <v>2</v>
      </c>
      <c r="O242" s="29"/>
      <c r="P242" t="s">
        <v>88</v>
      </c>
      <c r="Q242" t="s">
        <v>88</v>
      </c>
      <c r="R242" t="s">
        <v>88</v>
      </c>
      <c r="S242" t="s">
        <v>88</v>
      </c>
      <c r="T242" t="s">
        <v>88</v>
      </c>
      <c r="U242" t="s">
        <v>20</v>
      </c>
    </row>
    <row r="243" spans="1:21" x14ac:dyDescent="0.45">
      <c r="A243" s="79">
        <v>36726679</v>
      </c>
      <c r="B243" s="72" t="str">
        <f t="shared" si="10"/>
        <v>3.672.667-9</v>
      </c>
      <c r="C243" s="22" t="str">
        <f>IF(IFERROR(VLOOKUP(A243,$A$10:$I242,1,0),0)=0,"",VLOOKUP(A243,$A$10:$I242,3,0))</f>
        <v>UCI</v>
      </c>
      <c r="D243" s="29" t="str">
        <f>IF(IFERROR(VLOOKUP(A243,$A$10:$I242,1,0),0)=0,"",VLOOKUP(A243,$A$10:$I242,4,0))</f>
        <v>TERAN</v>
      </c>
      <c r="E243" s="29" t="str">
        <f>IF(IFERROR(VLOOKUP(A243,$A$10:$I242,1,0),0)=0,"",VLOOKUP(A243,$A$10:$I242,5,0))</f>
        <v>CARRILLO</v>
      </c>
      <c r="F243" s="29" t="str">
        <f>IF(IFERROR(VLOOKUP(A243,$A$10:$I242,1,0),0)=0,"",VLOOKUP(A243,$A$10:$I242,6,0))</f>
        <v>RUBEN</v>
      </c>
      <c r="G243" s="49">
        <f>IF(IFERROR(VLOOKUP(A243,$A$10:$I242,1,0),0)=0,"",VLOOKUP(A243,$A$10:$I242,7,0))</f>
        <v>45468</v>
      </c>
      <c r="H243" s="29"/>
      <c r="I243" s="29"/>
      <c r="J243" s="29"/>
      <c r="K243" s="24" t="s">
        <v>55</v>
      </c>
      <c r="L243" s="49">
        <v>45468</v>
      </c>
      <c r="M243" s="49">
        <v>45470</v>
      </c>
      <c r="N243" s="25">
        <f t="shared" si="11"/>
        <v>2</v>
      </c>
      <c r="O243" s="29"/>
      <c r="P243" t="s">
        <v>88</v>
      </c>
      <c r="Q243" t="s">
        <v>88</v>
      </c>
      <c r="R243" t="s">
        <v>88</v>
      </c>
      <c r="S243" t="s">
        <v>88</v>
      </c>
      <c r="T243" t="s">
        <v>88</v>
      </c>
      <c r="U243" t="s">
        <v>20</v>
      </c>
    </row>
    <row r="244" spans="1:21" x14ac:dyDescent="0.45">
      <c r="A244" s="79">
        <v>62722363</v>
      </c>
      <c r="B244" s="72" t="str">
        <f t="shared" si="10"/>
        <v>6.272.236-3</v>
      </c>
      <c r="C244" s="22" t="str">
        <f>IF(IFERROR(VLOOKUP(A244,$A$10:$I243,1,0),0)=0,"",VLOOKUP(A244,$A$10:$I243,3,0))</f>
        <v>UCI</v>
      </c>
      <c r="D244" s="29" t="str">
        <f>IF(IFERROR(VLOOKUP(A244,$A$10:$I243,1,0),0)=0,"",VLOOKUP(A244,$A$10:$I243,4,0))</f>
        <v>REYES</v>
      </c>
      <c r="E244" s="29" t="str">
        <f>IF(IFERROR(VLOOKUP(A244,$A$10:$I243,1,0),0)=0,"",VLOOKUP(A244,$A$10:$I243,5,0))</f>
        <v>ARIAS</v>
      </c>
      <c r="F244" s="29" t="str">
        <f>IF(IFERROR(VLOOKUP(A244,$A$10:$I243,1,0),0)=0,"",VLOOKUP(A244,$A$10:$I243,6,0))</f>
        <v>MARIA</v>
      </c>
      <c r="G244" s="49">
        <v>45467</v>
      </c>
      <c r="H244" s="49">
        <v>45470</v>
      </c>
      <c r="I244" s="29"/>
      <c r="J244" s="29" t="s">
        <v>82</v>
      </c>
      <c r="K244" s="24" t="s">
        <v>43</v>
      </c>
      <c r="L244" s="49">
        <v>45467</v>
      </c>
      <c r="M244" s="49">
        <v>45470</v>
      </c>
      <c r="N244" s="25">
        <f t="shared" si="11"/>
        <v>3</v>
      </c>
      <c r="O244" s="29"/>
      <c r="P244" t="s">
        <v>88</v>
      </c>
      <c r="Q244" t="s">
        <v>88</v>
      </c>
      <c r="R244" t="s">
        <v>88</v>
      </c>
      <c r="S244" t="s">
        <v>88</v>
      </c>
      <c r="T244" t="s">
        <v>88</v>
      </c>
      <c r="U244" t="s">
        <v>20</v>
      </c>
    </row>
    <row r="245" spans="1:21" x14ac:dyDescent="0.45">
      <c r="A245" s="79">
        <v>62722363</v>
      </c>
      <c r="B245" s="72" t="str">
        <f t="shared" si="10"/>
        <v>6.272.236-3</v>
      </c>
      <c r="C245" s="22" t="str">
        <f>IF(IFERROR(VLOOKUP(A245,$A$10:$I244,1,0),0)=0,"",VLOOKUP(A245,$A$10:$I244,3,0))</f>
        <v>UCI</v>
      </c>
      <c r="D245" s="29" t="str">
        <f>IF(IFERROR(VLOOKUP(A245,$A$10:$I244,1,0),0)=0,"",VLOOKUP(A245,$A$10:$I244,4,0))</f>
        <v>REYES</v>
      </c>
      <c r="E245" s="29" t="str">
        <f>IF(IFERROR(VLOOKUP(A245,$A$10:$I244,1,0),0)=0,"",VLOOKUP(A245,$A$10:$I244,5,0))</f>
        <v>ARIAS</v>
      </c>
      <c r="F245" s="29" t="str">
        <f>IF(IFERROR(VLOOKUP(A245,$A$10:$I244,1,0),0)=0,"",VLOOKUP(A245,$A$10:$I244,6,0))</f>
        <v>MARIA</v>
      </c>
      <c r="G245" s="49">
        <v>45467</v>
      </c>
      <c r="H245" s="49">
        <v>45470</v>
      </c>
      <c r="I245" s="29"/>
      <c r="J245" s="29" t="s">
        <v>82</v>
      </c>
      <c r="K245" s="24" t="s">
        <v>47</v>
      </c>
      <c r="L245" s="49">
        <v>45467</v>
      </c>
      <c r="M245" s="49">
        <v>45470</v>
      </c>
      <c r="N245" s="25">
        <f t="shared" si="11"/>
        <v>3</v>
      </c>
      <c r="O245" s="29"/>
      <c r="P245" t="s">
        <v>88</v>
      </c>
      <c r="Q245" t="s">
        <v>88</v>
      </c>
      <c r="R245" t="s">
        <v>88</v>
      </c>
      <c r="S245" t="s">
        <v>88</v>
      </c>
      <c r="T245" t="s">
        <v>88</v>
      </c>
      <c r="U245" t="s">
        <v>20</v>
      </c>
    </row>
    <row r="246" spans="1:21" x14ac:dyDescent="0.45">
      <c r="A246" s="79">
        <v>62722363</v>
      </c>
      <c r="B246" s="72" t="str">
        <f t="shared" si="10"/>
        <v>6.272.236-3</v>
      </c>
      <c r="C246" s="22" t="str">
        <f>IF(IFERROR(VLOOKUP(A246,$A$10:$I245,1,0),0)=0,"",VLOOKUP(A246,$A$10:$I245,3,0))</f>
        <v>UCI</v>
      </c>
      <c r="D246" s="29" t="str">
        <f>IF(IFERROR(VLOOKUP(A246,$A$10:$I245,1,0),0)=0,"",VLOOKUP(A246,$A$10:$I245,4,0))</f>
        <v>REYES</v>
      </c>
      <c r="E246" s="29" t="str">
        <f>IF(IFERROR(VLOOKUP(A246,$A$10:$I245,1,0),0)=0,"",VLOOKUP(A246,$A$10:$I245,5,0))</f>
        <v>ARIAS</v>
      </c>
      <c r="F246" s="29" t="str">
        <f>IF(IFERROR(VLOOKUP(A246,$A$10:$I245,1,0),0)=0,"",VLOOKUP(A246,$A$10:$I245,6,0))</f>
        <v>MARIA</v>
      </c>
      <c r="G246" s="49">
        <v>45467</v>
      </c>
      <c r="H246" s="49">
        <v>45470</v>
      </c>
      <c r="I246" s="29"/>
      <c r="J246" s="29" t="s">
        <v>82</v>
      </c>
      <c r="K246" s="24" t="s">
        <v>55</v>
      </c>
      <c r="L246" s="49">
        <v>45467</v>
      </c>
      <c r="M246" s="49">
        <v>45470</v>
      </c>
      <c r="N246" s="25">
        <f t="shared" si="11"/>
        <v>3</v>
      </c>
      <c r="O246" s="29"/>
      <c r="P246" t="s">
        <v>88</v>
      </c>
      <c r="Q246" t="s">
        <v>88</v>
      </c>
      <c r="R246" t="s">
        <v>88</v>
      </c>
      <c r="S246" t="s">
        <v>88</v>
      </c>
      <c r="T246" t="s">
        <v>88</v>
      </c>
      <c r="U246" t="s">
        <v>20</v>
      </c>
    </row>
    <row r="247" spans="1:21" x14ac:dyDescent="0.45">
      <c r="A247" s="79">
        <v>165362691</v>
      </c>
      <c r="B247" s="72" t="str">
        <f t="shared" si="10"/>
        <v>16.536.269-1</v>
      </c>
      <c r="C247" s="22" t="s">
        <v>22</v>
      </c>
      <c r="D247" s="29" t="s">
        <v>1147</v>
      </c>
      <c r="E247" s="29" t="s">
        <v>1199</v>
      </c>
      <c r="F247" s="29" t="s">
        <v>1200</v>
      </c>
      <c r="G247" s="49">
        <v>45470</v>
      </c>
      <c r="H247" s="29"/>
      <c r="I247" s="29"/>
      <c r="J247" s="29"/>
      <c r="K247" s="24" t="s">
        <v>43</v>
      </c>
      <c r="L247" s="49">
        <v>45470</v>
      </c>
      <c r="M247" s="49">
        <v>45470</v>
      </c>
      <c r="N247" s="25">
        <f t="shared" si="11"/>
        <v>0</v>
      </c>
      <c r="O247" s="29"/>
      <c r="P247" t="s">
        <v>88</v>
      </c>
      <c r="Q247" t="s">
        <v>88</v>
      </c>
      <c r="R247" t="s">
        <v>88</v>
      </c>
      <c r="S247" t="s">
        <v>88</v>
      </c>
      <c r="T247" t="s">
        <v>88</v>
      </c>
      <c r="U247" t="s">
        <v>20</v>
      </c>
    </row>
    <row r="248" spans="1:21" x14ac:dyDescent="0.45">
      <c r="A248" s="79">
        <v>165362691</v>
      </c>
      <c r="B248" s="72" t="str">
        <f t="shared" si="10"/>
        <v>16.536.269-1</v>
      </c>
      <c r="C248" s="22" t="s">
        <v>22</v>
      </c>
      <c r="D248" s="29" t="str">
        <f>IF(IFERROR(VLOOKUP(A248,$A$10:$I247,1,0),0)=0,"",VLOOKUP(A248,$A$10:$I247,4,0))</f>
        <v>MONSALVEZ</v>
      </c>
      <c r="E248" s="29" t="str">
        <f>IF(IFERROR(VLOOKUP(A248,$A$10:$I247,1,0),0)=0,"",VLOOKUP(A248,$A$10:$I247,5,0))</f>
        <v>CARMONA</v>
      </c>
      <c r="F248" s="29" t="str">
        <f>IF(IFERROR(VLOOKUP(A248,$A$10:$I247,1,0),0)=0,"",VLOOKUP(A248,$A$10:$I247,6,0))</f>
        <v>FELIPE</v>
      </c>
      <c r="G248" s="49">
        <f>IF(IFERROR(VLOOKUP(A248,$A$10:$I247,1,0),0)=0,"",VLOOKUP(A248,$A$10:$I247,7,0))</f>
        <v>45470</v>
      </c>
      <c r="H248" s="29"/>
      <c r="I248" s="29"/>
      <c r="J248" s="29"/>
      <c r="K248" s="24" t="s">
        <v>47</v>
      </c>
      <c r="L248" s="49">
        <v>45470</v>
      </c>
      <c r="M248" s="49">
        <v>45470</v>
      </c>
      <c r="N248" s="25">
        <f t="shared" si="11"/>
        <v>0</v>
      </c>
      <c r="O248" s="29"/>
      <c r="P248" t="s">
        <v>88</v>
      </c>
      <c r="Q248" t="s">
        <v>88</v>
      </c>
      <c r="R248" t="s">
        <v>88</v>
      </c>
      <c r="S248" t="s">
        <v>88</v>
      </c>
      <c r="T248" t="s">
        <v>88</v>
      </c>
      <c r="U248" t="s">
        <v>20</v>
      </c>
    </row>
    <row r="249" spans="1:21" x14ac:dyDescent="0.45">
      <c r="A249" s="79">
        <v>165362691</v>
      </c>
      <c r="B249" s="72" t="str">
        <f t="shared" si="10"/>
        <v>16.536.269-1</v>
      </c>
      <c r="C249" s="22" t="s">
        <v>22</v>
      </c>
      <c r="D249" s="29" t="str">
        <f>IF(IFERROR(VLOOKUP(A249,$A$10:$I248,1,0),0)=0,"",VLOOKUP(A249,$A$10:$I248,4,0))</f>
        <v>MONSALVEZ</v>
      </c>
      <c r="E249" s="29" t="str">
        <f>IF(IFERROR(VLOOKUP(A249,$A$10:$I248,1,0),0)=0,"",VLOOKUP(A249,$A$10:$I248,5,0))</f>
        <v>CARMONA</v>
      </c>
      <c r="F249" s="29" t="str">
        <f>IF(IFERROR(VLOOKUP(A249,$A$10:$I248,1,0),0)=0,"",VLOOKUP(A249,$A$10:$I248,6,0))</f>
        <v>FELIPE</v>
      </c>
      <c r="G249" s="49">
        <f>IF(IFERROR(VLOOKUP(A249,$A$10:$I248,1,0),0)=0,"",VLOOKUP(A249,$A$10:$I248,7,0))</f>
        <v>45470</v>
      </c>
      <c r="H249" s="29"/>
      <c r="I249" s="29"/>
      <c r="J249" s="29"/>
      <c r="K249" s="24" t="s">
        <v>55</v>
      </c>
      <c r="L249" s="49">
        <v>45470</v>
      </c>
      <c r="M249" s="49">
        <v>45470</v>
      </c>
      <c r="N249" s="25">
        <f t="shared" si="11"/>
        <v>0</v>
      </c>
      <c r="O249" s="29"/>
      <c r="P249" t="s">
        <v>88</v>
      </c>
      <c r="Q249" t="s">
        <v>88</v>
      </c>
      <c r="R249" t="s">
        <v>88</v>
      </c>
      <c r="S249" t="s">
        <v>88</v>
      </c>
      <c r="T249" t="s">
        <v>88</v>
      </c>
      <c r="U249" t="s">
        <v>20</v>
      </c>
    </row>
    <row r="250" spans="1:21" x14ac:dyDescent="0.45">
      <c r="A250" s="79">
        <v>62584920</v>
      </c>
      <c r="B250" s="72" t="str">
        <f t="shared" si="10"/>
        <v>6.258.492-0</v>
      </c>
      <c r="C250" s="22" t="s">
        <v>22</v>
      </c>
      <c r="D250" s="29" t="s">
        <v>266</v>
      </c>
      <c r="E250" s="29" t="s">
        <v>559</v>
      </c>
      <c r="F250" s="29" t="s">
        <v>1017</v>
      </c>
      <c r="G250" s="49">
        <v>45468</v>
      </c>
      <c r="H250" s="29"/>
      <c r="I250" s="29" t="s">
        <v>54</v>
      </c>
      <c r="J250" s="29"/>
      <c r="K250" s="24" t="s">
        <v>43</v>
      </c>
      <c r="L250" s="49">
        <v>45468</v>
      </c>
      <c r="M250" s="49">
        <v>45470</v>
      </c>
      <c r="N250" s="25">
        <f t="shared" si="11"/>
        <v>2</v>
      </c>
      <c r="O250" s="29"/>
      <c r="P250" t="s">
        <v>96</v>
      </c>
      <c r="Q250" t="s">
        <v>88</v>
      </c>
      <c r="R250" t="s">
        <v>88</v>
      </c>
      <c r="S250" t="s">
        <v>88</v>
      </c>
      <c r="T250" t="s">
        <v>88</v>
      </c>
      <c r="U250" t="s">
        <v>14</v>
      </c>
    </row>
    <row r="251" spans="1:21" x14ac:dyDescent="0.45">
      <c r="A251" s="79">
        <v>62584920</v>
      </c>
      <c r="B251" s="72" t="str">
        <f t="shared" si="10"/>
        <v>6.258.492-0</v>
      </c>
      <c r="C251" s="22" t="str">
        <f>IF(IFERROR(VLOOKUP(A251,$A$10:$I250,1,0),0)=0,"",VLOOKUP(A251,$A$10:$I250,3,0))</f>
        <v>UCI</v>
      </c>
      <c r="D251" s="29" t="str">
        <f>IF(IFERROR(VLOOKUP(A251,$A$10:$I250,1,0),0)=0,"",VLOOKUP(A251,$A$10:$I250,4,0))</f>
        <v>SOTO</v>
      </c>
      <c r="E251" s="29" t="str">
        <f>IF(IFERROR(VLOOKUP(A251,$A$10:$I250,1,0),0)=0,"",VLOOKUP(A251,$A$10:$I250,5,0))</f>
        <v>SEPULVEDA</v>
      </c>
      <c r="F251" s="29" t="str">
        <f>IF(IFERROR(VLOOKUP(A251,$A$10:$I250,1,0),0)=0,"",VLOOKUP(A251,$A$10:$I250,6,0))</f>
        <v>HERNAN</v>
      </c>
      <c r="G251" s="49">
        <f>IF(IFERROR(VLOOKUP(A251,$A$10:$I250,1,0),0)=0,"",VLOOKUP(A251,$A$10:$I250,7,0))</f>
        <v>45468</v>
      </c>
      <c r="H251" s="29"/>
      <c r="I251" s="29" t="s">
        <v>54</v>
      </c>
      <c r="J251" s="29"/>
      <c r="K251" s="24" t="s">
        <v>47</v>
      </c>
      <c r="L251" s="49">
        <v>45468</v>
      </c>
      <c r="M251" s="49">
        <v>45470</v>
      </c>
      <c r="N251" s="25">
        <f t="shared" si="11"/>
        <v>2</v>
      </c>
      <c r="O251" s="29"/>
      <c r="P251" t="s">
        <v>88</v>
      </c>
      <c r="Q251" t="s">
        <v>88</v>
      </c>
      <c r="R251" t="s">
        <v>88</v>
      </c>
      <c r="S251" t="s">
        <v>88</v>
      </c>
      <c r="T251" t="s">
        <v>88</v>
      </c>
      <c r="U251" t="s">
        <v>20</v>
      </c>
    </row>
    <row r="252" spans="1:21" x14ac:dyDescent="0.45">
      <c r="A252" s="79">
        <v>56861092</v>
      </c>
      <c r="B252" s="72" t="str">
        <f t="shared" si="10"/>
        <v>5.686.109-2</v>
      </c>
      <c r="C252" s="22" t="s">
        <v>22</v>
      </c>
      <c r="D252" s="29" t="str">
        <f>IF(IFERROR(VLOOKUP(A252,$A$10:$I251,1,0),0)=0,"",VLOOKUP(A252,$A$10:$I251,4,0))</f>
        <v>CASTILLO</v>
      </c>
      <c r="E252" s="29" t="str">
        <f>IF(IFERROR(VLOOKUP(A252,$A$10:$I251,1,0),0)=0,"",VLOOKUP(A252,$A$10:$I251,5,0))</f>
        <v>JOFRE</v>
      </c>
      <c r="F252" s="29" t="str">
        <f>IF(IFERROR(VLOOKUP(A252,$A$10:$I251,1,0),0)=0,"",VLOOKUP(A252,$A$10:$I251,6,0))</f>
        <v xml:space="preserve">SARO </v>
      </c>
      <c r="G252" s="49">
        <f>IF(IFERROR(VLOOKUP(A252,$A$10:$I251,1,0),0)=0,"",VLOOKUP(A252,$A$10:$I251,7,0))</f>
        <v>45422</v>
      </c>
      <c r="H252" s="29"/>
      <c r="I252" s="29" t="s">
        <v>46</v>
      </c>
      <c r="J252" s="29" t="s">
        <v>46</v>
      </c>
      <c r="K252" s="24" t="s">
        <v>43</v>
      </c>
      <c r="L252" s="49">
        <v>45469</v>
      </c>
      <c r="M252" s="49">
        <v>45470</v>
      </c>
      <c r="N252" s="25">
        <f t="shared" si="11"/>
        <v>1</v>
      </c>
      <c r="O252" s="29"/>
      <c r="P252" t="s">
        <v>88</v>
      </c>
      <c r="Q252" t="s">
        <v>88</v>
      </c>
      <c r="R252" t="s">
        <v>88</v>
      </c>
      <c r="S252" t="s">
        <v>88</v>
      </c>
      <c r="T252" t="s">
        <v>88</v>
      </c>
      <c r="U252" t="s">
        <v>20</v>
      </c>
    </row>
    <row r="253" spans="1:21" x14ac:dyDescent="0.45">
      <c r="A253" s="79">
        <v>56861092</v>
      </c>
      <c r="B253" s="72" t="str">
        <f t="shared" si="10"/>
        <v>5.686.109-2</v>
      </c>
      <c r="C253" s="22" t="s">
        <v>22</v>
      </c>
      <c r="D253" s="29" t="str">
        <f>IF(IFERROR(VLOOKUP(A253,$A$10:$I252,1,0),0)=0,"",VLOOKUP(A253,$A$10:$I252,4,0))</f>
        <v>CASTILLO</v>
      </c>
      <c r="E253" s="29" t="str">
        <f>IF(IFERROR(VLOOKUP(A253,$A$10:$I252,1,0),0)=0,"",VLOOKUP(A253,$A$10:$I252,5,0))</f>
        <v>JOFRE</v>
      </c>
      <c r="F253" s="29" t="str">
        <f>IF(IFERROR(VLOOKUP(A253,$A$10:$I252,1,0),0)=0,"",VLOOKUP(A253,$A$10:$I252,6,0))</f>
        <v xml:space="preserve">SARO </v>
      </c>
      <c r="G253" s="49">
        <v>45469</v>
      </c>
      <c r="H253" s="29"/>
      <c r="I253" s="29" t="s">
        <v>46</v>
      </c>
      <c r="J253" s="29" t="s">
        <v>46</v>
      </c>
      <c r="K253" s="24" t="s">
        <v>47</v>
      </c>
      <c r="L253" s="49">
        <v>45469</v>
      </c>
      <c r="M253" s="49">
        <v>45470</v>
      </c>
      <c r="N253" s="25">
        <f t="shared" si="11"/>
        <v>1</v>
      </c>
      <c r="O253" s="29"/>
      <c r="P253" t="s">
        <v>88</v>
      </c>
      <c r="Q253" t="s">
        <v>88</v>
      </c>
      <c r="R253" t="s">
        <v>88</v>
      </c>
      <c r="S253" t="s">
        <v>88</v>
      </c>
      <c r="T253" t="s">
        <v>88</v>
      </c>
      <c r="U253" t="s">
        <v>20</v>
      </c>
    </row>
    <row r="254" spans="1:21" x14ac:dyDescent="0.45">
      <c r="A254" s="79">
        <v>91776316</v>
      </c>
      <c r="B254" s="72" t="str">
        <f t="shared" si="10"/>
        <v>9.177.631-6</v>
      </c>
      <c r="C254" s="22" t="s">
        <v>22</v>
      </c>
      <c r="D254" s="29" t="s">
        <v>253</v>
      </c>
      <c r="E254" s="29" t="s">
        <v>374</v>
      </c>
      <c r="F254" s="29" t="s">
        <v>348</v>
      </c>
      <c r="G254" s="49">
        <v>45468</v>
      </c>
      <c r="H254" s="49">
        <v>45470</v>
      </c>
      <c r="I254" s="29" t="s">
        <v>30</v>
      </c>
      <c r="J254" s="29"/>
      <c r="K254" s="24" t="s">
        <v>43</v>
      </c>
      <c r="L254" s="49">
        <v>45468</v>
      </c>
      <c r="M254" s="49">
        <v>45470</v>
      </c>
      <c r="N254" s="25">
        <f t="shared" ref="N254:N262" si="12">+M254-L254</f>
        <v>2</v>
      </c>
      <c r="O254" s="29"/>
      <c r="P254" t="s">
        <v>88</v>
      </c>
      <c r="Q254" t="s">
        <v>88</v>
      </c>
      <c r="R254" t="s">
        <v>88</v>
      </c>
      <c r="S254" t="s">
        <v>88</v>
      </c>
      <c r="T254" t="s">
        <v>88</v>
      </c>
      <c r="U254" t="s">
        <v>20</v>
      </c>
    </row>
    <row r="255" spans="1:21" x14ac:dyDescent="0.45">
      <c r="A255" s="79">
        <v>47780713</v>
      </c>
      <c r="B255" s="72" t="str">
        <f t="shared" si="10"/>
        <v>4.778.071-3</v>
      </c>
      <c r="C255" s="22" t="s">
        <v>22</v>
      </c>
      <c r="D255" s="29" t="s">
        <v>887</v>
      </c>
      <c r="E255" s="29" t="s">
        <v>403</v>
      </c>
      <c r="F255" s="29" t="s">
        <v>343</v>
      </c>
      <c r="G255" s="49">
        <v>45469</v>
      </c>
      <c r="H255" s="29"/>
      <c r="I255" s="29" t="s">
        <v>22</v>
      </c>
      <c r="J255" s="29"/>
      <c r="K255" s="24" t="s">
        <v>43</v>
      </c>
      <c r="L255" s="49">
        <v>45469</v>
      </c>
      <c r="M255" s="49">
        <v>45473</v>
      </c>
      <c r="N255" s="25">
        <f t="shared" si="12"/>
        <v>4</v>
      </c>
      <c r="O255" s="29"/>
      <c r="P255" t="s">
        <v>88</v>
      </c>
      <c r="Q255" t="s">
        <v>88</v>
      </c>
      <c r="R255" t="s">
        <v>88</v>
      </c>
      <c r="S255" t="s">
        <v>88</v>
      </c>
      <c r="T255" t="s">
        <v>88</v>
      </c>
      <c r="U255" t="s">
        <v>20</v>
      </c>
    </row>
    <row r="256" spans="1:21" x14ac:dyDescent="0.45">
      <c r="A256" s="79">
        <v>47780713</v>
      </c>
      <c r="B256" s="72" t="str">
        <f t="shared" si="10"/>
        <v>4.778.071-3</v>
      </c>
      <c r="C256" s="22" t="str">
        <f>IF(IFERROR(VLOOKUP(A256,$A$10:$I255,1,0),0)=0,"",VLOOKUP(A256,$A$10:$I255,3,0))</f>
        <v>UCI</v>
      </c>
      <c r="D256" s="29" t="str">
        <f>IF(IFERROR(VLOOKUP(A256,$A$10:$I255,1,0),0)=0,"",VLOOKUP(A256,$A$10:$I255,4,0))</f>
        <v>RETAMAL</v>
      </c>
      <c r="E256" s="29" t="str">
        <f>IF(IFERROR(VLOOKUP(A256,$A$10:$I255,1,0),0)=0,"",VLOOKUP(A256,$A$10:$I255,5,0))</f>
        <v>GARRIDO</v>
      </c>
      <c r="F256" s="29" t="str">
        <f>IF(IFERROR(VLOOKUP(A256,$A$10:$I255,1,0),0)=0,"",VLOOKUP(A256,$A$10:$I255,6,0))</f>
        <v>RUTH</v>
      </c>
      <c r="G256" s="49">
        <f>IF(IFERROR(VLOOKUP(A256,$A$10:$I255,1,0),0)=0,"",VLOOKUP(A256,$A$10:$I255,7,0))</f>
        <v>45469</v>
      </c>
      <c r="H256" s="29"/>
      <c r="I256" s="29"/>
      <c r="J256" s="29"/>
      <c r="K256" s="24" t="s">
        <v>47</v>
      </c>
      <c r="L256" s="49">
        <v>45469</v>
      </c>
      <c r="M256" s="49">
        <v>45473</v>
      </c>
      <c r="N256" s="25">
        <f t="shared" si="12"/>
        <v>4</v>
      </c>
      <c r="O256" s="29"/>
      <c r="P256" t="s">
        <v>88</v>
      </c>
      <c r="Q256" t="s">
        <v>88</v>
      </c>
      <c r="R256" t="s">
        <v>88</v>
      </c>
      <c r="S256" t="s">
        <v>88</v>
      </c>
      <c r="T256" t="s">
        <v>88</v>
      </c>
      <c r="U256" t="s">
        <v>20</v>
      </c>
    </row>
    <row r="257" spans="1:21" x14ac:dyDescent="0.45">
      <c r="A257" s="79" t="s">
        <v>1162</v>
      </c>
      <c r="B257" s="72" t="str">
        <f t="shared" si="10"/>
        <v>15.175.113-K</v>
      </c>
      <c r="C257" s="22" t="s">
        <v>22</v>
      </c>
      <c r="D257" s="29" t="str">
        <f>IF(IFERROR(VLOOKUP(A257,$A$10:$I256,1,0),0)=0,"",VLOOKUP(A257,$A$10:$I256,4,0))</f>
        <v>MOLINA</v>
      </c>
      <c r="E257" s="29" t="str">
        <f>IF(IFERROR(VLOOKUP(A257,$A$10:$I256,1,0),0)=0,"",VLOOKUP(A257,$A$10:$I256,5,0))</f>
        <v>CONTRERAS</v>
      </c>
      <c r="F257" s="29" t="str">
        <f>IF(IFERROR(VLOOKUP(A257,$A$10:$I256,1,0),0)=0,"",VLOOKUP(A257,$A$10:$I256,6,0))</f>
        <v xml:space="preserve">CLAUDIO </v>
      </c>
      <c r="G257" s="49">
        <v>45460</v>
      </c>
      <c r="H257" s="29"/>
      <c r="I257" s="29"/>
      <c r="J257" s="29"/>
      <c r="K257" s="24" t="s">
        <v>47</v>
      </c>
      <c r="L257" s="49">
        <v>45468</v>
      </c>
      <c r="M257" s="49">
        <v>45473</v>
      </c>
      <c r="N257" s="25">
        <f t="shared" si="12"/>
        <v>5</v>
      </c>
      <c r="O257" s="29"/>
      <c r="P257" t="s">
        <v>88</v>
      </c>
      <c r="Q257" t="s">
        <v>88</v>
      </c>
      <c r="R257" t="s">
        <v>88</v>
      </c>
      <c r="S257" t="s">
        <v>88</v>
      </c>
      <c r="T257" t="s">
        <v>88</v>
      </c>
      <c r="U257" t="s">
        <v>20</v>
      </c>
    </row>
    <row r="258" spans="1:21" x14ac:dyDescent="0.45">
      <c r="A258" s="79">
        <v>106549710</v>
      </c>
      <c r="B258" s="72" t="str">
        <f t="shared" si="10"/>
        <v>10.654.971-0</v>
      </c>
      <c r="C258" s="22" t="str">
        <f>IF(IFERROR(VLOOKUP(A258,$A$10:$I257,1,0),0)=0,"",VLOOKUP(A258,$A$10:$I257,3,0))</f>
        <v>UCI</v>
      </c>
      <c r="D258" s="29" t="str">
        <f>IF(IFERROR(VLOOKUP(A258,$A$10:$I257,1,0),0)=0,"",VLOOKUP(A258,$A$10:$I257,4,0))</f>
        <v>CONTRERAS</v>
      </c>
      <c r="E258" s="29" t="str">
        <f>IF(IFERROR(VLOOKUP(A258,$A$10:$I257,1,0),0)=0,"",VLOOKUP(A258,$A$10:$I257,5,0))</f>
        <v>CUEVAS</v>
      </c>
      <c r="F258" s="29" t="str">
        <f>IF(IFERROR(VLOOKUP(A258,$A$10:$I257,1,0),0)=0,"",VLOOKUP(A258,$A$10:$I257,6,0))</f>
        <v>MARTA ISABEL</v>
      </c>
      <c r="G258" s="49">
        <f>IF(IFERROR(VLOOKUP(A258,$A$10:$I257,1,0),0)=0,"",VLOOKUP(A258,$A$10:$I257,7,0))</f>
        <v>45411</v>
      </c>
      <c r="H258" s="29"/>
      <c r="I258" s="29"/>
      <c r="J258" s="29"/>
      <c r="K258" s="24" t="s">
        <v>18</v>
      </c>
      <c r="L258" s="49">
        <v>45459</v>
      </c>
      <c r="M258" s="49">
        <v>45471</v>
      </c>
      <c r="N258" s="25">
        <f t="shared" si="12"/>
        <v>12</v>
      </c>
      <c r="O258" s="29"/>
      <c r="P258" t="s">
        <v>88</v>
      </c>
      <c r="Q258" t="s">
        <v>88</v>
      </c>
      <c r="R258" t="s">
        <v>88</v>
      </c>
      <c r="S258" t="s">
        <v>88</v>
      </c>
      <c r="T258" t="s">
        <v>88</v>
      </c>
      <c r="U258" t="s">
        <v>20</v>
      </c>
    </row>
    <row r="259" spans="1:21" x14ac:dyDescent="0.45">
      <c r="A259" s="79">
        <v>86329840</v>
      </c>
      <c r="B259" s="72" t="str">
        <f t="shared" si="10"/>
        <v>8.632.984-0</v>
      </c>
      <c r="C259" s="22" t="s">
        <v>38</v>
      </c>
      <c r="D259" s="29" t="s">
        <v>285</v>
      </c>
      <c r="E259" s="29" t="s">
        <v>1201</v>
      </c>
      <c r="F259" s="29" t="s">
        <v>343</v>
      </c>
      <c r="G259" s="49">
        <v>45467</v>
      </c>
      <c r="H259" s="29"/>
      <c r="I259" s="29"/>
      <c r="J259" s="29"/>
      <c r="K259" s="24" t="s">
        <v>47</v>
      </c>
      <c r="L259" s="49">
        <v>45467</v>
      </c>
      <c r="M259" s="49">
        <v>45473</v>
      </c>
      <c r="N259" s="25">
        <f t="shared" si="12"/>
        <v>6</v>
      </c>
      <c r="O259" s="29"/>
      <c r="P259" t="s">
        <v>88</v>
      </c>
      <c r="Q259" t="s">
        <v>88</v>
      </c>
      <c r="R259" t="s">
        <v>88</v>
      </c>
      <c r="S259" t="s">
        <v>88</v>
      </c>
      <c r="T259" t="s">
        <v>88</v>
      </c>
      <c r="U259" t="s">
        <v>20</v>
      </c>
    </row>
    <row r="260" spans="1:21" x14ac:dyDescent="0.45">
      <c r="A260" s="79" t="s">
        <v>1202</v>
      </c>
      <c r="B260" s="72" t="str">
        <f t="shared" si="10"/>
        <v>6.666.449-K</v>
      </c>
      <c r="C260" s="22" t="s">
        <v>38</v>
      </c>
      <c r="D260" s="29" t="s">
        <v>1203</v>
      </c>
      <c r="E260" s="29" t="s">
        <v>375</v>
      </c>
      <c r="F260" s="29" t="s">
        <v>362</v>
      </c>
      <c r="G260" s="49">
        <v>45467</v>
      </c>
      <c r="H260" s="49">
        <v>45471</v>
      </c>
      <c r="I260" s="29" t="s">
        <v>24</v>
      </c>
      <c r="J260" s="29" t="s">
        <v>24</v>
      </c>
      <c r="K260" s="24" t="s">
        <v>43</v>
      </c>
      <c r="L260" s="49">
        <v>45467</v>
      </c>
      <c r="M260" s="49">
        <v>45471</v>
      </c>
      <c r="N260" s="25">
        <f t="shared" si="12"/>
        <v>4</v>
      </c>
      <c r="O260" s="29"/>
      <c r="P260" t="s">
        <v>88</v>
      </c>
      <c r="Q260" t="s">
        <v>88</v>
      </c>
      <c r="R260" t="s">
        <v>88</v>
      </c>
      <c r="S260" t="s">
        <v>88</v>
      </c>
      <c r="T260" t="s">
        <v>88</v>
      </c>
      <c r="U260" t="s">
        <v>20</v>
      </c>
    </row>
    <row r="261" spans="1:21" x14ac:dyDescent="0.45">
      <c r="A261" s="79">
        <v>43578588</v>
      </c>
      <c r="B261" s="72" t="str">
        <f t="shared" si="10"/>
        <v>4.357.858-8</v>
      </c>
      <c r="C261" s="22" t="s">
        <v>38</v>
      </c>
      <c r="D261" s="29" t="s">
        <v>781</v>
      </c>
      <c r="E261" s="29" t="s">
        <v>781</v>
      </c>
      <c r="F261" s="29" t="s">
        <v>508</v>
      </c>
      <c r="G261" s="49">
        <v>45468</v>
      </c>
      <c r="H261" s="29"/>
      <c r="I261" s="29"/>
      <c r="J261" s="29"/>
      <c r="K261" s="24" t="s">
        <v>43</v>
      </c>
      <c r="L261" s="49">
        <v>45468</v>
      </c>
      <c r="M261" s="49">
        <v>45473</v>
      </c>
      <c r="N261" s="25">
        <f t="shared" si="12"/>
        <v>5</v>
      </c>
      <c r="O261" s="29"/>
      <c r="P261" t="s">
        <v>88</v>
      </c>
      <c r="Q261" t="s">
        <v>88</v>
      </c>
      <c r="R261" t="s">
        <v>88</v>
      </c>
      <c r="S261" t="s">
        <v>88</v>
      </c>
      <c r="T261" t="s">
        <v>88</v>
      </c>
      <c r="U261" t="s">
        <v>20</v>
      </c>
    </row>
    <row r="262" spans="1:21" x14ac:dyDescent="0.45">
      <c r="A262" s="79">
        <v>72153391</v>
      </c>
      <c r="B262" s="72" t="str">
        <f t="shared" si="10"/>
        <v>7.215.339-1</v>
      </c>
      <c r="C262" s="22" t="s">
        <v>38</v>
      </c>
      <c r="D262" s="29" t="s">
        <v>690</v>
      </c>
      <c r="E262" s="29" t="s">
        <v>403</v>
      </c>
      <c r="F262" s="29" t="s">
        <v>1204</v>
      </c>
      <c r="G262" s="49">
        <v>45466</v>
      </c>
      <c r="H262" s="49">
        <v>45470</v>
      </c>
      <c r="I262" s="29"/>
      <c r="J262" s="29" t="s">
        <v>66</v>
      </c>
      <c r="K262" s="24" t="s">
        <v>47</v>
      </c>
      <c r="L262" s="49">
        <v>45466</v>
      </c>
      <c r="M262" s="49">
        <v>45470</v>
      </c>
      <c r="N262" s="25">
        <f t="shared" si="12"/>
        <v>4</v>
      </c>
      <c r="O262" s="29"/>
      <c r="P262" t="s">
        <v>88</v>
      </c>
      <c r="Q262" t="s">
        <v>88</v>
      </c>
      <c r="R262" t="s">
        <v>88</v>
      </c>
      <c r="S262" t="s">
        <v>88</v>
      </c>
      <c r="T262" t="s">
        <v>88</v>
      </c>
      <c r="U262" t="s">
        <v>20</v>
      </c>
    </row>
    <row r="263" spans="1:21" x14ac:dyDescent="0.45">
      <c r="U263">
        <f>COUNTIF(U8:U262,"si")</f>
        <v>8</v>
      </c>
    </row>
    <row r="1048556" spans="12:12" x14ac:dyDescent="0.45">
      <c r="L1048556" s="49"/>
    </row>
  </sheetData>
  <dataValidations count="2">
    <dataValidation allowBlank="1" showInputMessage="1" sqref="O1:O7" xr:uid="{00000000-0002-0000-0700-000000000000}"/>
    <dataValidation allowBlank="1" sqref="N1:N262" xr:uid="{00000000-0002-0000-0700-000001000000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54"/>
  <sheetViews>
    <sheetView topLeftCell="A208" zoomScale="80" zoomScaleNormal="80" workbookViewId="0">
      <pane xSplit="2" topLeftCell="K1" activePane="topRight" state="frozen"/>
      <selection pane="topRight" activeCell="N226" sqref="N226"/>
    </sheetView>
  </sheetViews>
  <sheetFormatPr baseColWidth="10" defaultRowHeight="14.25" x14ac:dyDescent="0.45"/>
  <cols>
    <col min="1" max="1" width="10.796875" customWidth="1"/>
    <col min="3" max="3" width="12.53125" bestFit="1" customWidth="1"/>
    <col min="6" max="6" width="14" customWidth="1"/>
    <col min="7" max="7" width="11.46484375" style="32" customWidth="1"/>
    <col min="10" max="10" width="8.53125" customWidth="1"/>
    <col min="11" max="11" width="22.46484375" customWidth="1"/>
  </cols>
  <sheetData>
    <row r="1" spans="1:21" x14ac:dyDescent="0.45">
      <c r="A1" s="1" t="s">
        <v>215</v>
      </c>
      <c r="B1" s="1"/>
      <c r="C1" s="94"/>
      <c r="D1" s="1"/>
      <c r="E1" s="1"/>
      <c r="F1" s="1"/>
      <c r="G1" s="103"/>
      <c r="H1" s="1"/>
      <c r="I1" s="1"/>
      <c r="J1" s="2"/>
      <c r="K1" s="87"/>
      <c r="L1" s="1"/>
      <c r="M1" s="1"/>
      <c r="N1" s="1"/>
      <c r="O1" s="1"/>
    </row>
    <row r="2" spans="1:21" x14ac:dyDescent="0.45">
      <c r="A2" s="3"/>
      <c r="B2" s="3"/>
      <c r="C2" s="67"/>
      <c r="D2" s="3"/>
      <c r="E2" s="3"/>
      <c r="F2" s="3"/>
      <c r="G2" s="104"/>
      <c r="H2" s="3"/>
      <c r="I2" s="3"/>
      <c r="J2" s="54"/>
      <c r="K2" s="88"/>
      <c r="L2" s="3"/>
      <c r="M2" s="3"/>
      <c r="N2" s="3"/>
      <c r="O2" s="3"/>
    </row>
    <row r="3" spans="1:21" x14ac:dyDescent="0.45">
      <c r="A3" s="5" t="s">
        <v>216</v>
      </c>
      <c r="B3" s="6"/>
      <c r="C3" s="95" t="s">
        <v>22</v>
      </c>
      <c r="D3" s="6" t="s">
        <v>217</v>
      </c>
      <c r="E3" s="7" t="s">
        <v>1091</v>
      </c>
      <c r="F3" s="6" t="s">
        <v>218</v>
      </c>
      <c r="G3" s="105"/>
      <c r="H3" s="6" t="s">
        <v>219</v>
      </c>
      <c r="I3" s="7">
        <v>2024</v>
      </c>
      <c r="J3" s="55"/>
      <c r="K3" s="89"/>
      <c r="L3" s="6"/>
      <c r="M3" s="6"/>
      <c r="N3" s="6"/>
      <c r="O3" s="6"/>
    </row>
    <row r="4" spans="1:21" x14ac:dyDescent="0.45">
      <c r="A4" s="3"/>
      <c r="B4" s="3"/>
      <c r="C4" s="67"/>
      <c r="D4" s="3"/>
      <c r="E4" s="3"/>
      <c r="F4" s="3"/>
      <c r="G4" s="104"/>
      <c r="H4" s="3"/>
      <c r="I4" s="3"/>
      <c r="J4" s="54"/>
      <c r="K4" s="90"/>
      <c r="L4" s="3"/>
      <c r="M4" s="3"/>
      <c r="N4" s="3"/>
      <c r="O4" s="3"/>
    </row>
    <row r="5" spans="1:21" x14ac:dyDescent="0.45">
      <c r="A5" s="3"/>
      <c r="B5" s="3"/>
      <c r="C5" s="67"/>
      <c r="D5" s="3"/>
      <c r="E5" s="3"/>
      <c r="F5" s="3"/>
      <c r="G5" s="104"/>
      <c r="H5" s="3"/>
      <c r="I5" s="3"/>
      <c r="J5" s="54"/>
      <c r="K5" s="90"/>
      <c r="L5" s="3"/>
      <c r="M5" s="3"/>
      <c r="N5" s="3"/>
      <c r="O5" s="3"/>
    </row>
    <row r="6" spans="1:21" ht="14.65" customHeight="1" thickBot="1" x14ac:dyDescent="0.5">
      <c r="A6" s="3"/>
      <c r="B6" s="3"/>
      <c r="C6" s="67"/>
      <c r="D6" s="3"/>
      <c r="E6" s="3"/>
      <c r="F6" s="3"/>
      <c r="G6" s="104"/>
      <c r="H6" s="3"/>
      <c r="I6" s="3"/>
      <c r="J6" s="54"/>
      <c r="K6" s="90"/>
      <c r="L6" s="3"/>
      <c r="M6" s="3"/>
      <c r="N6" s="3"/>
      <c r="O6" s="3"/>
    </row>
    <row r="7" spans="1:21" ht="30.75" customHeight="1" x14ac:dyDescent="0.45">
      <c r="A7" s="10" t="s">
        <v>220</v>
      </c>
      <c r="B7" s="11" t="s">
        <v>221</v>
      </c>
      <c r="C7" s="96" t="s">
        <v>222</v>
      </c>
      <c r="D7" s="12" t="s">
        <v>223</v>
      </c>
      <c r="E7" s="12" t="s">
        <v>224</v>
      </c>
      <c r="F7" s="11" t="s">
        <v>225</v>
      </c>
      <c r="G7" s="106" t="s">
        <v>226</v>
      </c>
      <c r="H7" s="12" t="s">
        <v>227</v>
      </c>
      <c r="I7" s="11" t="s">
        <v>4</v>
      </c>
      <c r="J7" s="86" t="s">
        <v>5</v>
      </c>
      <c r="K7" s="91" t="s">
        <v>3</v>
      </c>
      <c r="L7" s="12" t="s">
        <v>228</v>
      </c>
      <c r="M7" s="12" t="s">
        <v>229</v>
      </c>
      <c r="N7" s="14" t="s">
        <v>230</v>
      </c>
      <c r="O7" s="16" t="s">
        <v>7</v>
      </c>
      <c r="P7" s="127" t="s">
        <v>231</v>
      </c>
      <c r="Q7" s="127" t="s">
        <v>232</v>
      </c>
      <c r="R7" s="127" t="s">
        <v>233</v>
      </c>
      <c r="S7" s="127" t="s">
        <v>234</v>
      </c>
      <c r="T7" s="127" t="s">
        <v>235</v>
      </c>
      <c r="U7" s="127" t="s">
        <v>8</v>
      </c>
    </row>
    <row r="8" spans="1:21" x14ac:dyDescent="0.45">
      <c r="A8" s="79">
        <v>178423231</v>
      </c>
      <c r="B8" s="29" t="str">
        <f t="shared" ref="B8:B22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17.842.323-1</v>
      </c>
      <c r="C8" s="22" t="s">
        <v>22</v>
      </c>
      <c r="D8" s="29" t="s">
        <v>1205</v>
      </c>
      <c r="E8" s="29" t="s">
        <v>426</v>
      </c>
      <c r="F8" s="29" t="s">
        <v>1043</v>
      </c>
      <c r="G8" s="49">
        <v>45473</v>
      </c>
      <c r="H8" s="49">
        <v>45483</v>
      </c>
      <c r="I8" s="29" t="s">
        <v>19</v>
      </c>
      <c r="J8" s="29" t="s">
        <v>22</v>
      </c>
      <c r="K8" s="24" t="s">
        <v>43</v>
      </c>
      <c r="L8" s="49">
        <v>45474</v>
      </c>
      <c r="M8" s="49">
        <v>45483</v>
      </c>
      <c r="N8" s="29">
        <f t="shared" ref="N8:N71" si="1">+M8-L8</f>
        <v>9</v>
      </c>
      <c r="O8" s="29"/>
      <c r="P8" t="s">
        <v>88</v>
      </c>
      <c r="Q8" t="s">
        <v>88</v>
      </c>
      <c r="R8" t="s">
        <v>88</v>
      </c>
      <c r="S8" t="s">
        <v>88</v>
      </c>
      <c r="T8" t="s">
        <v>88</v>
      </c>
      <c r="U8" t="s">
        <v>20</v>
      </c>
    </row>
    <row r="9" spans="1:21" x14ac:dyDescent="0.45">
      <c r="A9" s="79">
        <v>178423231</v>
      </c>
      <c r="B9" s="29" t="str">
        <f t="shared" si="0"/>
        <v>17.842.323-1</v>
      </c>
      <c r="C9" s="22" t="str">
        <f>IF(IFERROR(VLOOKUP(A9,$A8:$I$10,1,0),0)=0,"",VLOOKUP(A9,$A8:$I$10,3,0))</f>
        <v>UCI</v>
      </c>
      <c r="D9" s="29" t="str">
        <f>IF(IFERROR(VLOOKUP(A9,$A8:$I$10,1,0),0)=0,"",VLOOKUP(A9,$A8:$I$10,4,0))</f>
        <v>MONTANARES</v>
      </c>
      <c r="E9" s="29" t="str">
        <f>IF(IFERROR(VLOOKUP(A9,$A8:$I$10,1,0),0)=0,"",VLOOKUP(A9,$A8:$I$10,5,0))</f>
        <v>GODOY</v>
      </c>
      <c r="F9" s="29" t="str">
        <f>IF(IFERROR(VLOOKUP(A9,$A8:$I$10,1,0),0)=0,"",VLOOKUP(A9,$A8:$I$10,6,0))</f>
        <v>DAVID</v>
      </c>
      <c r="G9" s="49">
        <f>IF(IFERROR(VLOOKUP(A9,$A8:$I$10,1,0),0)=0,"",VLOOKUP(A9,$A8:$I$10,7,0))</f>
        <v>45473</v>
      </c>
      <c r="H9" s="49">
        <v>45483</v>
      </c>
      <c r="I9" s="29" t="s">
        <v>19</v>
      </c>
      <c r="J9" s="29" t="s">
        <v>22</v>
      </c>
      <c r="K9" s="24" t="s">
        <v>47</v>
      </c>
      <c r="L9" s="49">
        <v>45474</v>
      </c>
      <c r="M9" s="49">
        <v>45483</v>
      </c>
      <c r="N9" s="29">
        <f t="shared" si="1"/>
        <v>9</v>
      </c>
      <c r="O9" s="29"/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20</v>
      </c>
    </row>
    <row r="10" spans="1:21" x14ac:dyDescent="0.45">
      <c r="A10" s="79">
        <v>178423231</v>
      </c>
      <c r="B10" s="29" t="str">
        <f t="shared" si="0"/>
        <v>17.842.323-1</v>
      </c>
      <c r="C10" s="22" t="str">
        <f>IF(IFERROR(VLOOKUP(A10,$A9:$I$10,1,0),0)=0,"",VLOOKUP(A10,$A9:$I$10,3,0))</f>
        <v>UCI</v>
      </c>
      <c r="D10" s="29" t="str">
        <f>IF(IFERROR(VLOOKUP(A10,$A9:$I$10,1,0),0)=0,"",VLOOKUP(A10,$A9:$I$10,4,0))</f>
        <v>MONTANARES</v>
      </c>
      <c r="E10" s="29" t="str">
        <f>IF(IFERROR(VLOOKUP(A10,$A9:$I$10,1,0),0)=0,"",VLOOKUP(A10,$A9:$I$10,5,0))</f>
        <v>GODOY</v>
      </c>
      <c r="F10" s="29" t="str">
        <f>IF(IFERROR(VLOOKUP(A10,$A9:$I$10,1,0),0)=0,"",VLOOKUP(A10,$A9:$I$10,6,0))</f>
        <v>DAVID</v>
      </c>
      <c r="G10" s="49">
        <f>IF(IFERROR(VLOOKUP(A10,$A9:$I$10,1,0),0)=0,"",VLOOKUP(A10,$A9:$I$10,7,0))</f>
        <v>45473</v>
      </c>
      <c r="H10" s="49">
        <v>45483</v>
      </c>
      <c r="I10" s="29" t="s">
        <v>19</v>
      </c>
      <c r="J10" s="29" t="s">
        <v>22</v>
      </c>
      <c r="K10" s="24" t="s">
        <v>55</v>
      </c>
      <c r="L10" s="49">
        <v>45474</v>
      </c>
      <c r="M10" s="49">
        <v>45482</v>
      </c>
      <c r="N10" s="29">
        <f t="shared" si="1"/>
        <v>8</v>
      </c>
      <c r="O10" s="29"/>
      <c r="P10" t="s">
        <v>88</v>
      </c>
      <c r="Q10" t="s">
        <v>88</v>
      </c>
      <c r="R10" t="s">
        <v>88</v>
      </c>
      <c r="S10" t="s">
        <v>88</v>
      </c>
      <c r="T10" t="s">
        <v>88</v>
      </c>
      <c r="U10" t="s">
        <v>20</v>
      </c>
    </row>
    <row r="11" spans="1:21" x14ac:dyDescent="0.45">
      <c r="A11" s="79" t="s">
        <v>1206</v>
      </c>
      <c r="B11" s="29" t="str">
        <f t="shared" si="0"/>
        <v>15.157.436-K</v>
      </c>
      <c r="C11" s="22" t="s">
        <v>22</v>
      </c>
      <c r="D11" s="29" t="s">
        <v>614</v>
      </c>
      <c r="E11" s="29" t="s">
        <v>559</v>
      </c>
      <c r="F11" s="29" t="s">
        <v>1207</v>
      </c>
      <c r="G11" s="49">
        <v>45473</v>
      </c>
      <c r="H11" s="49">
        <v>45476</v>
      </c>
      <c r="I11" s="29" t="s">
        <v>19</v>
      </c>
      <c r="J11" s="29"/>
      <c r="K11" s="24" t="s">
        <v>43</v>
      </c>
      <c r="L11" s="49">
        <v>45474</v>
      </c>
      <c r="M11" s="49">
        <v>45476</v>
      </c>
      <c r="N11" s="29">
        <f t="shared" si="1"/>
        <v>2</v>
      </c>
      <c r="O11" s="29"/>
      <c r="P11" t="s">
        <v>88</v>
      </c>
      <c r="Q11" t="s">
        <v>88</v>
      </c>
      <c r="R11" t="s">
        <v>88</v>
      </c>
      <c r="S11" t="s">
        <v>88</v>
      </c>
      <c r="T11" t="s">
        <v>88</v>
      </c>
      <c r="U11" t="s">
        <v>20</v>
      </c>
    </row>
    <row r="12" spans="1:21" x14ac:dyDescent="0.45">
      <c r="A12" s="79" t="s">
        <v>1206</v>
      </c>
      <c r="B12" s="29" t="str">
        <f t="shared" si="0"/>
        <v>15.157.436-K</v>
      </c>
      <c r="C12" s="22" t="str">
        <f>IF(IFERROR(VLOOKUP(A12,$A$10:$I11,1,0),0)=0,"",VLOOKUP(A12,$A$10:$I11,3,0))</f>
        <v>UCI</v>
      </c>
      <c r="D12" s="29" t="str">
        <f>IF(IFERROR(VLOOKUP(A12,$A$10:$I11,1,0),0)=0,"",VLOOKUP(A12,$A$10:$I11,4,0))</f>
        <v>OVIEDO</v>
      </c>
      <c r="E12" s="29" t="str">
        <f>IF(IFERROR(VLOOKUP(A12,$A$10:$I11,1,0),0)=0,"",VLOOKUP(A12,$A$10:$I11,5,0))</f>
        <v>SEPULVEDA</v>
      </c>
      <c r="F12" s="29" t="str">
        <f>IF(IFERROR(VLOOKUP(A12,$A$10:$I11,1,0),0)=0,"",VLOOKUP(A12,$A$10:$I11,6,0))</f>
        <v>UBERLINDA</v>
      </c>
      <c r="G12" s="49">
        <f>IF(IFERROR(VLOOKUP(A12,$A$10:$I11,1,0),0)=0,"",VLOOKUP(A12,$A$10:$I11,7,0))</f>
        <v>45473</v>
      </c>
      <c r="H12" s="49">
        <v>45476</v>
      </c>
      <c r="I12" s="29" t="s">
        <v>19</v>
      </c>
      <c r="J12" s="29"/>
      <c r="K12" s="24" t="s">
        <v>47</v>
      </c>
      <c r="L12" s="49">
        <v>45474</v>
      </c>
      <c r="M12" s="49">
        <v>45476</v>
      </c>
      <c r="N12" s="29">
        <f t="shared" si="1"/>
        <v>2</v>
      </c>
      <c r="O12" s="29"/>
      <c r="P12" t="s">
        <v>88</v>
      </c>
      <c r="Q12" t="s">
        <v>88</v>
      </c>
      <c r="R12" t="s">
        <v>88</v>
      </c>
      <c r="S12" t="s">
        <v>88</v>
      </c>
      <c r="T12" t="s">
        <v>88</v>
      </c>
      <c r="U12" t="s">
        <v>20</v>
      </c>
    </row>
    <row r="13" spans="1:21" x14ac:dyDescent="0.45">
      <c r="A13" s="79">
        <v>10371546</v>
      </c>
      <c r="B13" s="29" t="str">
        <f t="shared" si="0"/>
        <v>1.037.154-6</v>
      </c>
      <c r="C13" s="22" t="s">
        <v>22</v>
      </c>
      <c r="D13" s="29" t="s">
        <v>1161</v>
      </c>
      <c r="E13" s="29" t="s">
        <v>512</v>
      </c>
      <c r="F13" s="29" t="s">
        <v>311</v>
      </c>
      <c r="G13" s="49">
        <v>45459</v>
      </c>
      <c r="H13" s="49">
        <v>45481</v>
      </c>
      <c r="I13" s="29" t="s">
        <v>54</v>
      </c>
      <c r="J13" s="29"/>
      <c r="K13" s="24" t="s">
        <v>43</v>
      </c>
      <c r="L13" s="49">
        <v>45474</v>
      </c>
      <c r="M13" s="49">
        <v>45481</v>
      </c>
      <c r="N13" s="29">
        <f t="shared" si="1"/>
        <v>7</v>
      </c>
      <c r="O13" s="29"/>
      <c r="P13" t="s">
        <v>88</v>
      </c>
      <c r="Q13" t="s">
        <v>88</v>
      </c>
      <c r="R13" t="s">
        <v>88</v>
      </c>
      <c r="S13" t="s">
        <v>88</v>
      </c>
      <c r="T13" t="s">
        <v>88</v>
      </c>
      <c r="U13" t="s">
        <v>20</v>
      </c>
    </row>
    <row r="14" spans="1:21" x14ac:dyDescent="0.45">
      <c r="A14" s="79">
        <v>10371546</v>
      </c>
      <c r="B14" s="29" t="str">
        <f t="shared" si="0"/>
        <v>1.037.154-6</v>
      </c>
      <c r="C14" s="22" t="str">
        <f>IF(IFERROR(VLOOKUP(A14,$A$10:$I13,1,0),0)=0,"",VLOOKUP(A14,$A$10:$I13,3,0))</f>
        <v>UCI</v>
      </c>
      <c r="D14" s="29" t="str">
        <f>IF(IFERROR(VLOOKUP(A14,$A$10:$I13,1,0),0)=0,"",VLOOKUP(A14,$A$10:$I13,4,0))</f>
        <v>AVELLO</v>
      </c>
      <c r="E14" s="29" t="str">
        <f>IF(IFERROR(VLOOKUP(A14,$A$10:$I13,1,0),0)=0,"",VLOOKUP(A14,$A$10:$I13,5,0))</f>
        <v>CACERES</v>
      </c>
      <c r="F14" s="29" t="str">
        <f>IF(IFERROR(VLOOKUP(A14,$A$10:$I13,1,0),0)=0,"",VLOOKUP(A14,$A$10:$I13,6,0))</f>
        <v>ALICIA</v>
      </c>
      <c r="G14" s="49">
        <f>IF(IFERROR(VLOOKUP(A14,$A$10:$I13,1,0),0)=0,"",VLOOKUP(A14,$A$10:$I13,7,0))</f>
        <v>45459</v>
      </c>
      <c r="H14" s="49">
        <v>45481</v>
      </c>
      <c r="I14" s="29" t="s">
        <v>54</v>
      </c>
      <c r="J14" s="29"/>
      <c r="K14" s="24" t="s">
        <v>47</v>
      </c>
      <c r="L14" s="49">
        <v>45474</v>
      </c>
      <c r="M14" s="49">
        <v>45481</v>
      </c>
      <c r="N14" s="29">
        <f t="shared" si="1"/>
        <v>7</v>
      </c>
      <c r="O14" s="29"/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20</v>
      </c>
    </row>
    <row r="15" spans="1:21" x14ac:dyDescent="0.45">
      <c r="A15" s="79">
        <v>10371546</v>
      </c>
      <c r="B15" s="29" t="str">
        <f t="shared" si="0"/>
        <v>1.037.154-6</v>
      </c>
      <c r="C15" s="22" t="str">
        <f>IF(IFERROR(VLOOKUP(A15,$A$10:$I14,1,0),0)=0,"",VLOOKUP(A15,$A$10:$I14,3,0))</f>
        <v>UCI</v>
      </c>
      <c r="D15" s="29" t="str">
        <f>IF(IFERROR(VLOOKUP(A15,$A$10:$I14,1,0),0)=0,"",VLOOKUP(A15,$A$10:$I14,4,0))</f>
        <v>AVELLO</v>
      </c>
      <c r="E15" s="29" t="str">
        <f>IF(IFERROR(VLOOKUP(A15,$A$10:$I14,1,0),0)=0,"",VLOOKUP(A15,$A$10:$I14,5,0))</f>
        <v>CACERES</v>
      </c>
      <c r="F15" s="29" t="str">
        <f>IF(IFERROR(VLOOKUP(A15,$A$10:$I14,1,0),0)=0,"",VLOOKUP(A15,$A$10:$I14,6,0))</f>
        <v>ALICIA</v>
      </c>
      <c r="G15" s="49">
        <f>IF(IFERROR(VLOOKUP(A15,$A$10:$I14,1,0),0)=0,"",VLOOKUP(A15,$A$10:$I14,7,0))</f>
        <v>45459</v>
      </c>
      <c r="H15" s="49">
        <v>45481</v>
      </c>
      <c r="I15" s="29" t="s">
        <v>54</v>
      </c>
      <c r="J15" s="29"/>
      <c r="K15" s="24" t="s">
        <v>55</v>
      </c>
      <c r="L15" s="49">
        <v>45474</v>
      </c>
      <c r="M15" s="49">
        <v>45478</v>
      </c>
      <c r="N15" s="29">
        <f t="shared" si="1"/>
        <v>4</v>
      </c>
      <c r="O15" s="29"/>
      <c r="P15" t="s">
        <v>88</v>
      </c>
      <c r="Q15" t="s">
        <v>88</v>
      </c>
      <c r="R15" t="s">
        <v>88</v>
      </c>
      <c r="S15" t="s">
        <v>88</v>
      </c>
      <c r="T15" t="s">
        <v>88</v>
      </c>
      <c r="U15" t="s">
        <v>20</v>
      </c>
    </row>
    <row r="16" spans="1:21" x14ac:dyDescent="0.45">
      <c r="A16" s="79">
        <v>416259135</v>
      </c>
      <c r="B16" s="29" t="str">
        <f t="shared" si="0"/>
        <v>41.625.913-5</v>
      </c>
      <c r="C16" s="22" t="s">
        <v>22</v>
      </c>
      <c r="D16" s="29" t="s">
        <v>946</v>
      </c>
      <c r="E16" s="29" t="s">
        <v>1189</v>
      </c>
      <c r="F16" s="29" t="s">
        <v>1190</v>
      </c>
      <c r="G16" s="49">
        <v>45463</v>
      </c>
      <c r="H16" s="49">
        <v>45474</v>
      </c>
      <c r="I16" s="29"/>
      <c r="J16" s="29"/>
      <c r="K16" s="24" t="s">
        <v>43</v>
      </c>
      <c r="L16" s="49">
        <v>45474</v>
      </c>
      <c r="M16" s="49">
        <v>45474</v>
      </c>
      <c r="N16" s="29">
        <f t="shared" si="1"/>
        <v>0</v>
      </c>
      <c r="O16" s="29"/>
      <c r="P16" t="s">
        <v>88</v>
      </c>
      <c r="Q16" t="s">
        <v>88</v>
      </c>
      <c r="R16" t="s">
        <v>88</v>
      </c>
      <c r="S16" t="s">
        <v>88</v>
      </c>
      <c r="T16" t="s">
        <v>88</v>
      </c>
      <c r="U16" t="s">
        <v>20</v>
      </c>
    </row>
    <row r="17" spans="1:21" x14ac:dyDescent="0.45">
      <c r="A17" s="79">
        <v>416259135</v>
      </c>
      <c r="B17" s="29" t="str">
        <f t="shared" si="0"/>
        <v>41.625.913-5</v>
      </c>
      <c r="C17" s="22" t="str">
        <f>IF(IFERROR(VLOOKUP(A17,$A$10:$I16,1,0),0)=0,"",VLOOKUP(A17,$A$10:$I16,3,0))</f>
        <v>UCI</v>
      </c>
      <c r="D17" s="29" t="str">
        <f>IF(IFERROR(VLOOKUP(A17,$A$10:$I16,1,0),0)=0,"",VLOOKUP(A17,$A$10:$I16,4,0))</f>
        <v>GOMEZ</v>
      </c>
      <c r="E17" s="29" t="str">
        <f>IF(IFERROR(VLOOKUP(A17,$A$10:$I16,1,0),0)=0,"",VLOOKUP(A17,$A$10:$I16,5,0))</f>
        <v xml:space="preserve">TERAN </v>
      </c>
      <c r="F17" s="29" t="str">
        <f>IF(IFERROR(VLOOKUP(A17,$A$10:$I16,1,0),0)=0,"",VLOOKUP(A17,$A$10:$I16,6,0))</f>
        <v xml:space="preserve">FABIAN </v>
      </c>
      <c r="G17" s="49">
        <f>IF(IFERROR(VLOOKUP(A17,$A$10:$I16,1,0),0)=0,"",VLOOKUP(A17,$A$10:$I16,7,0))</f>
        <v>45463</v>
      </c>
      <c r="H17" s="29"/>
      <c r="I17" s="29"/>
      <c r="J17" s="29"/>
      <c r="K17" s="24" t="s">
        <v>47</v>
      </c>
      <c r="L17" s="49">
        <v>45474</v>
      </c>
      <c r="M17" s="49">
        <v>45474</v>
      </c>
      <c r="N17" s="29">
        <f t="shared" si="1"/>
        <v>0</v>
      </c>
      <c r="O17" s="29"/>
      <c r="P17" t="s">
        <v>88</v>
      </c>
      <c r="Q17" t="s">
        <v>88</v>
      </c>
      <c r="R17" t="s">
        <v>88</v>
      </c>
      <c r="S17" t="s">
        <v>88</v>
      </c>
      <c r="T17" t="s">
        <v>88</v>
      </c>
      <c r="U17" t="s">
        <v>20</v>
      </c>
    </row>
    <row r="18" spans="1:21" x14ac:dyDescent="0.45">
      <c r="A18" s="79">
        <v>88388526</v>
      </c>
      <c r="B18" s="29" t="str">
        <f t="shared" si="0"/>
        <v>8.838.852-6</v>
      </c>
      <c r="C18" s="22" t="s">
        <v>22</v>
      </c>
      <c r="D18" s="29" t="s">
        <v>306</v>
      </c>
      <c r="E18" s="29" t="s">
        <v>249</v>
      </c>
      <c r="F18" s="29" t="s">
        <v>601</v>
      </c>
      <c r="G18" s="49">
        <v>45472</v>
      </c>
      <c r="H18" s="29"/>
      <c r="I18" s="29"/>
      <c r="J18" s="29"/>
      <c r="K18" s="24" t="s">
        <v>43</v>
      </c>
      <c r="L18" s="49">
        <v>45472</v>
      </c>
      <c r="M18" s="49">
        <v>45474</v>
      </c>
      <c r="N18" s="29">
        <f t="shared" si="1"/>
        <v>2</v>
      </c>
      <c r="O18" s="29"/>
      <c r="P18" t="s">
        <v>88</v>
      </c>
      <c r="Q18" t="s">
        <v>88</v>
      </c>
      <c r="R18" t="s">
        <v>88</v>
      </c>
      <c r="S18" t="s">
        <v>88</v>
      </c>
      <c r="T18" t="s">
        <v>88</v>
      </c>
      <c r="U18" t="s">
        <v>20</v>
      </c>
    </row>
    <row r="19" spans="1:21" x14ac:dyDescent="0.45">
      <c r="A19" s="79" t="s">
        <v>1208</v>
      </c>
      <c r="B19" s="29" t="str">
        <f t="shared" si="0"/>
        <v>9.237.517-K</v>
      </c>
      <c r="C19" s="22" t="s">
        <v>22</v>
      </c>
      <c r="D19" s="29" t="s">
        <v>767</v>
      </c>
      <c r="E19" s="29" t="s">
        <v>240</v>
      </c>
      <c r="F19" s="29" t="s">
        <v>250</v>
      </c>
      <c r="G19" s="49">
        <v>45473</v>
      </c>
      <c r="H19" s="49">
        <v>45499</v>
      </c>
      <c r="I19" s="29" t="s">
        <v>78</v>
      </c>
      <c r="J19" s="29"/>
      <c r="K19" s="24" t="s">
        <v>43</v>
      </c>
      <c r="L19" s="49">
        <v>45474</v>
      </c>
      <c r="M19" s="49">
        <v>45498</v>
      </c>
      <c r="N19" s="29">
        <f t="shared" si="1"/>
        <v>24</v>
      </c>
      <c r="O19" s="29"/>
      <c r="P19" t="s">
        <v>88</v>
      </c>
      <c r="Q19" t="s">
        <v>88</v>
      </c>
      <c r="R19" t="s">
        <v>88</v>
      </c>
      <c r="S19" t="s">
        <v>88</v>
      </c>
      <c r="T19" t="s">
        <v>88</v>
      </c>
      <c r="U19" t="s">
        <v>20</v>
      </c>
    </row>
    <row r="20" spans="1:21" x14ac:dyDescent="0.45">
      <c r="A20" s="79" t="s">
        <v>1208</v>
      </c>
      <c r="B20" s="29" t="str">
        <f t="shared" si="0"/>
        <v>9.237.517-K</v>
      </c>
      <c r="C20" s="22" t="str">
        <f>IF(IFERROR(VLOOKUP(A20,$A$10:$I19,1,0),0)=0,"",VLOOKUP(A20,$A$10:$I19,3,0))</f>
        <v>UCI</v>
      </c>
      <c r="D20" s="29" t="str">
        <f>IF(IFERROR(VLOOKUP(A20,$A$10:$I19,1,0),0)=0,"",VLOOKUP(A20,$A$10:$I19,4,0))</f>
        <v>NEIRA</v>
      </c>
      <c r="E20" s="29" t="str">
        <f>IF(IFERROR(VLOOKUP(A20,$A$10:$I19,1,0),0)=0,"",VLOOKUP(A20,$A$10:$I19,5,0))</f>
        <v>MARTINEZ</v>
      </c>
      <c r="F20" s="29" t="str">
        <f>IF(IFERROR(VLOOKUP(A20,$A$10:$I19,1,0),0)=0,"",VLOOKUP(A20,$A$10:$I19,6,0))</f>
        <v>JOSE</v>
      </c>
      <c r="G20" s="49">
        <f>IF(IFERROR(VLOOKUP(A20,$A$10:$I19,1,0),0)=0,"",VLOOKUP(A20,$A$10:$I19,7,0))</f>
        <v>45473</v>
      </c>
      <c r="H20" s="49">
        <v>45499</v>
      </c>
      <c r="I20" s="29" t="s">
        <v>78</v>
      </c>
      <c r="J20" s="29"/>
      <c r="K20" s="24" t="s">
        <v>47</v>
      </c>
      <c r="L20" s="49">
        <v>45474</v>
      </c>
      <c r="M20" s="49">
        <v>45499</v>
      </c>
      <c r="N20" s="29">
        <f t="shared" si="1"/>
        <v>25</v>
      </c>
      <c r="O20" s="29"/>
      <c r="P20" t="s">
        <v>106</v>
      </c>
      <c r="Q20" t="s">
        <v>88</v>
      </c>
      <c r="R20" t="s">
        <v>88</v>
      </c>
      <c r="S20" t="s">
        <v>88</v>
      </c>
      <c r="T20" t="s">
        <v>88</v>
      </c>
      <c r="U20" t="s">
        <v>14</v>
      </c>
    </row>
    <row r="21" spans="1:21" x14ac:dyDescent="0.45">
      <c r="A21" s="79" t="s">
        <v>1208</v>
      </c>
      <c r="B21" s="29" t="str">
        <f t="shared" si="0"/>
        <v>9.237.517-K</v>
      </c>
      <c r="C21" s="22" t="str">
        <f>IF(IFERROR(VLOOKUP(A21,$A$10:$I20,1,0),0)=0,"",VLOOKUP(A21,$A$10:$I20,3,0))</f>
        <v>UCI</v>
      </c>
      <c r="D21" s="29" t="str">
        <f>IF(IFERROR(VLOOKUP(A21,$A$10:$I20,1,0),0)=0,"",VLOOKUP(A21,$A$10:$I20,4,0))</f>
        <v>NEIRA</v>
      </c>
      <c r="E21" s="29" t="str">
        <f>IF(IFERROR(VLOOKUP(A21,$A$10:$I20,1,0),0)=0,"",VLOOKUP(A21,$A$10:$I20,5,0))</f>
        <v>MARTINEZ</v>
      </c>
      <c r="F21" s="29" t="str">
        <f>IF(IFERROR(VLOOKUP(A21,$A$10:$I20,1,0),0)=0,"",VLOOKUP(A21,$A$10:$I20,6,0))</f>
        <v>JOSE</v>
      </c>
      <c r="G21" s="49">
        <f>IF(IFERROR(VLOOKUP(A21,$A$10:$I20,1,0),0)=0,"",VLOOKUP(A21,$A$10:$I20,7,0))</f>
        <v>45473</v>
      </c>
      <c r="H21" s="49">
        <v>45499</v>
      </c>
      <c r="I21" s="29" t="s">
        <v>78</v>
      </c>
      <c r="J21" s="29"/>
      <c r="K21" s="24" t="s">
        <v>55</v>
      </c>
      <c r="L21" s="49">
        <v>45474</v>
      </c>
      <c r="M21" s="49">
        <v>45497</v>
      </c>
      <c r="N21" s="29">
        <f t="shared" si="1"/>
        <v>23</v>
      </c>
      <c r="O21" s="29"/>
      <c r="P21" t="s">
        <v>88</v>
      </c>
      <c r="Q21" t="s">
        <v>88</v>
      </c>
      <c r="R21" t="s">
        <v>88</v>
      </c>
      <c r="S21" t="s">
        <v>88</v>
      </c>
      <c r="T21" t="s">
        <v>88</v>
      </c>
      <c r="U21" t="s">
        <v>20</v>
      </c>
    </row>
    <row r="22" spans="1:21" x14ac:dyDescent="0.45">
      <c r="A22" s="79" t="s">
        <v>1208</v>
      </c>
      <c r="B22" s="29" t="str">
        <f t="shared" si="0"/>
        <v>9.237.517-K</v>
      </c>
      <c r="C22" s="22" t="str">
        <f>IF(IFERROR(VLOOKUP(A22,$A$10:$I21,1,0),0)=0,"",VLOOKUP(A22,$A$10:$I21,3,0))</f>
        <v>UCI</v>
      </c>
      <c r="D22" s="29" t="str">
        <f>IF(IFERROR(VLOOKUP(A22,$A$10:$I21,1,0),0)=0,"",VLOOKUP(A22,$A$10:$I21,4,0))</f>
        <v>NEIRA</v>
      </c>
      <c r="E22" s="29" t="str">
        <f>IF(IFERROR(VLOOKUP(A22,$A$10:$I21,1,0),0)=0,"",VLOOKUP(A22,$A$10:$I21,5,0))</f>
        <v>MARTINEZ</v>
      </c>
      <c r="F22" s="29" t="str">
        <f>IF(IFERROR(VLOOKUP(A22,$A$10:$I21,1,0),0)=0,"",VLOOKUP(A22,$A$10:$I21,6,0))</f>
        <v>JOSE</v>
      </c>
      <c r="G22" s="49">
        <f>IF(IFERROR(VLOOKUP(A22,$A$10:$I21,1,0),0)=0,"",VLOOKUP(A22,$A$10:$I21,7,0))</f>
        <v>45473</v>
      </c>
      <c r="H22" s="49">
        <v>45499</v>
      </c>
      <c r="I22" s="29" t="s">
        <v>78</v>
      </c>
      <c r="J22" s="29"/>
      <c r="K22" s="24" t="s">
        <v>62</v>
      </c>
      <c r="L22" s="49">
        <v>45476</v>
      </c>
      <c r="M22" s="49">
        <v>45491</v>
      </c>
      <c r="N22" s="29">
        <f t="shared" si="1"/>
        <v>15</v>
      </c>
      <c r="O22" s="29"/>
      <c r="P22" t="s">
        <v>88</v>
      </c>
      <c r="Q22" t="s">
        <v>88</v>
      </c>
      <c r="R22" t="s">
        <v>88</v>
      </c>
      <c r="S22" t="s">
        <v>88</v>
      </c>
      <c r="T22" t="s">
        <v>88</v>
      </c>
      <c r="U22" t="s">
        <v>20</v>
      </c>
    </row>
    <row r="23" spans="1:21" x14ac:dyDescent="0.45">
      <c r="A23" s="79">
        <v>75340753</v>
      </c>
      <c r="B23" s="29" t="s">
        <v>1209</v>
      </c>
      <c r="C23" s="22" t="s">
        <v>22</v>
      </c>
      <c r="D23" s="29" t="s">
        <v>1010</v>
      </c>
      <c r="E23" s="29" t="s">
        <v>389</v>
      </c>
      <c r="F23" s="29" t="s">
        <v>250</v>
      </c>
      <c r="G23" s="49">
        <v>45466</v>
      </c>
      <c r="H23" s="49">
        <v>45475</v>
      </c>
      <c r="I23" s="29"/>
      <c r="J23" s="29" t="s">
        <v>46</v>
      </c>
      <c r="K23" s="24" t="s">
        <v>43</v>
      </c>
      <c r="L23" s="49">
        <v>45474</v>
      </c>
      <c r="M23" s="49">
        <v>45475</v>
      </c>
      <c r="N23" s="29">
        <f t="shared" si="1"/>
        <v>1</v>
      </c>
      <c r="O23" s="29" t="s">
        <v>531</v>
      </c>
      <c r="P23" t="s">
        <v>88</v>
      </c>
      <c r="Q23" t="s">
        <v>88</v>
      </c>
      <c r="R23" t="s">
        <v>88</v>
      </c>
      <c r="S23" t="s">
        <v>88</v>
      </c>
      <c r="T23" t="s">
        <v>88</v>
      </c>
      <c r="U23" t="s">
        <v>20</v>
      </c>
    </row>
    <row r="24" spans="1:21" x14ac:dyDescent="0.45">
      <c r="A24" s="79">
        <v>75340753</v>
      </c>
      <c r="B24" s="29" t="str">
        <f t="shared" ref="B24:B29" si="2">IF(LEN(A24)=8,MID(A24,1,1)&amp;"."&amp;MID(A24,2,3)&amp;"."&amp;MID(A24,5,3)&amp;"-"&amp;RIGHT(A24,1),IF(LEFT(RIGHT(A24,2),1)="-",MID(A24,1,1)&amp;"."&amp;MID(A24,2,3)&amp;"."&amp;MID(A24,5,3)&amp;"-"&amp;RIGHT(A24,1),MID(A24,1,2)&amp;"."&amp;MID(A24,3,3)&amp;"."&amp;MID(A24,6,3)&amp;"-"&amp;MID(A24,9,1)))</f>
        <v>7.534.075-3</v>
      </c>
      <c r="C24" s="22" t="str">
        <f>IF(IFERROR(VLOOKUP(A24,$A$10:$I23,1,0),0)=0,"",VLOOKUP(A24,$A$10:$I23,3,0))</f>
        <v>UCI</v>
      </c>
      <c r="D24" s="29" t="str">
        <f>IF(IFERROR(VLOOKUP(A24,$A$10:$I23,1,0),0)=0,"",VLOOKUP(A24,$A$10:$I23,4,0))</f>
        <v xml:space="preserve">MUÑOZ </v>
      </c>
      <c r="E24" s="29" t="str">
        <f>IF(IFERROR(VLOOKUP(A24,$A$10:$I23,1,0),0)=0,"",VLOOKUP(A24,$A$10:$I23,5,0))</f>
        <v>SALINAS</v>
      </c>
      <c r="F24" s="29" t="str">
        <f>IF(IFERROR(VLOOKUP(A24,$A$10:$I23,1,0),0)=0,"",VLOOKUP(A24,$A$10:$I23,6,0))</f>
        <v>JOSE</v>
      </c>
      <c r="G24" s="49">
        <f>IF(IFERROR(VLOOKUP(A24,$A$10:$I23,1,0),0)=0,"",VLOOKUP(A24,$A$10:$I23,7,0))</f>
        <v>45466</v>
      </c>
      <c r="H24" s="49">
        <v>45475</v>
      </c>
      <c r="I24" s="29"/>
      <c r="J24" s="29" t="s">
        <v>46</v>
      </c>
      <c r="K24" s="24" t="s">
        <v>47</v>
      </c>
      <c r="L24" s="49">
        <v>45474</v>
      </c>
      <c r="M24" s="49">
        <v>45475</v>
      </c>
      <c r="N24" s="29">
        <f t="shared" si="1"/>
        <v>1</v>
      </c>
      <c r="O24" s="29" t="s">
        <v>531</v>
      </c>
      <c r="P24" t="s">
        <v>88</v>
      </c>
      <c r="Q24" t="s">
        <v>88</v>
      </c>
      <c r="R24" t="s">
        <v>88</v>
      </c>
      <c r="S24" t="s">
        <v>88</v>
      </c>
      <c r="T24" t="s">
        <v>88</v>
      </c>
      <c r="U24" t="s">
        <v>20</v>
      </c>
    </row>
    <row r="25" spans="1:21" x14ac:dyDescent="0.45">
      <c r="A25" s="29">
        <v>47780713</v>
      </c>
      <c r="B25" s="29" t="str">
        <f t="shared" si="2"/>
        <v>4.778.071-3</v>
      </c>
      <c r="C25" s="22" t="s">
        <v>22</v>
      </c>
      <c r="D25" s="29" t="s">
        <v>887</v>
      </c>
      <c r="E25" s="29" t="s">
        <v>403</v>
      </c>
      <c r="F25" s="29" t="s">
        <v>343</v>
      </c>
      <c r="G25" s="49">
        <v>45469</v>
      </c>
      <c r="H25" s="49">
        <v>45481</v>
      </c>
      <c r="I25" s="29" t="s">
        <v>22</v>
      </c>
      <c r="J25" s="29" t="s">
        <v>56</v>
      </c>
      <c r="K25" s="24" t="s">
        <v>43</v>
      </c>
      <c r="L25" s="49">
        <v>45474</v>
      </c>
      <c r="M25" s="49">
        <v>45481</v>
      </c>
      <c r="N25" s="29">
        <f t="shared" si="1"/>
        <v>7</v>
      </c>
      <c r="O25" s="29"/>
      <c r="P25" t="s">
        <v>88</v>
      </c>
      <c r="Q25" t="s">
        <v>88</v>
      </c>
      <c r="R25" t="s">
        <v>88</v>
      </c>
      <c r="S25" t="s">
        <v>88</v>
      </c>
      <c r="T25" t="s">
        <v>88</v>
      </c>
      <c r="U25" t="s">
        <v>20</v>
      </c>
    </row>
    <row r="26" spans="1:21" x14ac:dyDescent="0.45">
      <c r="A26" s="29">
        <v>47780713</v>
      </c>
      <c r="B26" s="29" t="str">
        <f t="shared" si="2"/>
        <v>4.778.071-3</v>
      </c>
      <c r="C26" s="22" t="str">
        <f>IF(IFERROR(VLOOKUP(A26,$A$10:$I25,1,0),0)=0,"",VLOOKUP(A26,$A$10:$I25,3,0))</f>
        <v>UCI</v>
      </c>
      <c r="D26" s="29" t="str">
        <f>IF(IFERROR(VLOOKUP(A26,$A$10:$I25,1,0),0)=0,"",VLOOKUP(A26,$A$10:$I25,4,0))</f>
        <v>RETAMAL</v>
      </c>
      <c r="E26" s="29" t="str">
        <f>IF(IFERROR(VLOOKUP(A26,$A$10:$I25,1,0),0)=0,"",VLOOKUP(A26,$A$10:$I25,5,0))</f>
        <v>GARRIDO</v>
      </c>
      <c r="F26" s="29" t="str">
        <f>IF(IFERROR(VLOOKUP(A26,$A$10:$I25,1,0),0)=0,"",VLOOKUP(A26,$A$10:$I25,6,0))</f>
        <v>RUTH</v>
      </c>
      <c r="G26" s="49">
        <f>IF(IFERROR(VLOOKUP(A26,$A$10:$I25,1,0),0)=0,"",VLOOKUP(A26,$A$10:$I25,7,0))</f>
        <v>45469</v>
      </c>
      <c r="H26" s="49">
        <v>45481</v>
      </c>
      <c r="I26" s="29" t="s">
        <v>22</v>
      </c>
      <c r="J26" s="29" t="s">
        <v>56</v>
      </c>
      <c r="K26" s="24" t="s">
        <v>47</v>
      </c>
      <c r="L26" s="49">
        <v>45474</v>
      </c>
      <c r="M26" s="49">
        <v>45481</v>
      </c>
      <c r="N26" s="29">
        <f t="shared" si="1"/>
        <v>7</v>
      </c>
      <c r="O26" s="29"/>
      <c r="P26" t="s">
        <v>88</v>
      </c>
      <c r="Q26" t="s">
        <v>88</v>
      </c>
      <c r="R26" t="s">
        <v>88</v>
      </c>
      <c r="S26" t="s">
        <v>88</v>
      </c>
      <c r="T26" t="s">
        <v>88</v>
      </c>
      <c r="U26" t="s">
        <v>20</v>
      </c>
    </row>
    <row r="27" spans="1:21" x14ac:dyDescent="0.45">
      <c r="A27" s="29">
        <v>79975885</v>
      </c>
      <c r="B27" s="29" t="str">
        <f t="shared" si="2"/>
        <v>7.997.588-5</v>
      </c>
      <c r="C27" s="22" t="s">
        <v>22</v>
      </c>
      <c r="D27" s="29" t="s">
        <v>1191</v>
      </c>
      <c r="E27" s="29" t="s">
        <v>537</v>
      </c>
      <c r="F27" s="29" t="s">
        <v>1192</v>
      </c>
      <c r="G27" s="49">
        <v>45464</v>
      </c>
      <c r="H27" s="49">
        <v>45476</v>
      </c>
      <c r="I27" s="29" t="s">
        <v>54</v>
      </c>
      <c r="J27" s="29" t="s">
        <v>56</v>
      </c>
      <c r="K27" s="24" t="s">
        <v>47</v>
      </c>
      <c r="L27" s="49">
        <v>45474</v>
      </c>
      <c r="M27" s="49">
        <v>45476</v>
      </c>
      <c r="N27" s="29">
        <f t="shared" si="1"/>
        <v>2</v>
      </c>
      <c r="O27" s="29"/>
      <c r="P27" t="s">
        <v>88</v>
      </c>
      <c r="Q27" t="s">
        <v>88</v>
      </c>
      <c r="R27" t="s">
        <v>88</v>
      </c>
      <c r="S27" t="s">
        <v>88</v>
      </c>
      <c r="T27" t="s">
        <v>88</v>
      </c>
      <c r="U27" t="s">
        <v>20</v>
      </c>
    </row>
    <row r="28" spans="1:21" x14ac:dyDescent="0.45">
      <c r="A28" s="29" t="s">
        <v>1210</v>
      </c>
      <c r="B28" s="29" t="str">
        <f t="shared" si="2"/>
        <v>15.175.113-k</v>
      </c>
      <c r="C28" s="22" t="s">
        <v>22</v>
      </c>
      <c r="D28" s="29" t="s">
        <v>427</v>
      </c>
      <c r="E28" s="29" t="s">
        <v>352</v>
      </c>
      <c r="F28" s="29" t="s">
        <v>798</v>
      </c>
      <c r="G28" s="49">
        <v>45460</v>
      </c>
      <c r="H28" s="49">
        <v>45487</v>
      </c>
      <c r="I28" s="29" t="s">
        <v>22</v>
      </c>
      <c r="J28" s="29" t="s">
        <v>19</v>
      </c>
      <c r="K28" s="24" t="s">
        <v>43</v>
      </c>
      <c r="L28" s="49">
        <v>45474</v>
      </c>
      <c r="M28" s="49">
        <v>45487</v>
      </c>
      <c r="N28" s="29">
        <f t="shared" si="1"/>
        <v>13</v>
      </c>
      <c r="O28" s="29"/>
      <c r="P28" t="s">
        <v>88</v>
      </c>
      <c r="Q28" t="s">
        <v>88</v>
      </c>
      <c r="R28" t="s">
        <v>88</v>
      </c>
      <c r="S28" t="s">
        <v>88</v>
      </c>
      <c r="T28" t="s">
        <v>88</v>
      </c>
      <c r="U28" t="s">
        <v>20</v>
      </c>
    </row>
    <row r="29" spans="1:21" x14ac:dyDescent="0.45">
      <c r="A29" s="29" t="s">
        <v>1210</v>
      </c>
      <c r="B29" s="29" t="str">
        <f t="shared" si="2"/>
        <v>15.175.113-k</v>
      </c>
      <c r="C29" s="22" t="s">
        <v>22</v>
      </c>
      <c r="D29" s="29" t="s">
        <v>427</v>
      </c>
      <c r="E29" s="29" t="s">
        <v>352</v>
      </c>
      <c r="F29" s="29" t="s">
        <v>798</v>
      </c>
      <c r="G29" s="49">
        <v>45460</v>
      </c>
      <c r="H29" s="49">
        <v>45487</v>
      </c>
      <c r="I29" s="29" t="s">
        <v>22</v>
      </c>
      <c r="J29" s="29" t="s">
        <v>19</v>
      </c>
      <c r="K29" s="24" t="s">
        <v>47</v>
      </c>
      <c r="L29" s="49">
        <v>45475</v>
      </c>
      <c r="M29" s="49">
        <v>45487</v>
      </c>
      <c r="N29" s="29">
        <f t="shared" si="1"/>
        <v>12</v>
      </c>
      <c r="O29" s="29"/>
      <c r="P29" t="s">
        <v>88</v>
      </c>
      <c r="Q29" t="s">
        <v>88</v>
      </c>
      <c r="R29" t="s">
        <v>88</v>
      </c>
      <c r="S29" t="s">
        <v>88</v>
      </c>
      <c r="T29" t="s">
        <v>88</v>
      </c>
      <c r="U29" t="s">
        <v>20</v>
      </c>
    </row>
    <row r="30" spans="1:21" x14ac:dyDescent="0.45">
      <c r="A30" s="29">
        <v>106549710</v>
      </c>
      <c r="B30" s="29" t="s">
        <v>1211</v>
      </c>
      <c r="C30" s="22" t="s">
        <v>22</v>
      </c>
      <c r="D30" s="29" t="s">
        <v>352</v>
      </c>
      <c r="E30" s="29" t="s">
        <v>486</v>
      </c>
      <c r="F30" s="29" t="s">
        <v>956</v>
      </c>
      <c r="G30" s="49">
        <v>45411</v>
      </c>
      <c r="H30" s="49">
        <v>45482</v>
      </c>
      <c r="I30" s="29"/>
      <c r="J30" s="29" t="s">
        <v>19</v>
      </c>
      <c r="K30" s="24" t="s">
        <v>43</v>
      </c>
      <c r="L30" s="49">
        <v>45474</v>
      </c>
      <c r="M30" s="49">
        <v>45482</v>
      </c>
      <c r="N30" s="29">
        <f t="shared" si="1"/>
        <v>8</v>
      </c>
      <c r="O30" s="29"/>
      <c r="P30" t="s">
        <v>88</v>
      </c>
      <c r="Q30" t="s">
        <v>88</v>
      </c>
      <c r="R30" t="s">
        <v>88</v>
      </c>
      <c r="S30" t="s">
        <v>88</v>
      </c>
      <c r="T30" t="s">
        <v>88</v>
      </c>
      <c r="U30" t="s">
        <v>20</v>
      </c>
    </row>
    <row r="31" spans="1:21" x14ac:dyDescent="0.45">
      <c r="A31" s="29">
        <v>106549710</v>
      </c>
      <c r="B31" s="29" t="str">
        <f>IF(LEN(A31)=8,MID(A31,1,1)&amp;"."&amp;MID(A31,2,3)&amp;"."&amp;MID(A31,5,3)&amp;"-"&amp;RIGHT(A31,1),IF(LEFT(RIGHT(A31,2),1)="-",MID(A31,1,1)&amp;"."&amp;MID(A31,2,3)&amp;"."&amp;MID(A31,5,3)&amp;"-"&amp;RIGHT(A31,1),MID(A31,1,2)&amp;"."&amp;MID(A31,3,3)&amp;"."&amp;MID(A31,6,3)&amp;"-"&amp;MID(A31,9,1)))</f>
        <v>10.654.971-0</v>
      </c>
      <c r="C31" s="22" t="str">
        <f>IF(IFERROR(VLOOKUP(A31,$A$10:$I30,1,0),0)=0,"",VLOOKUP(A31,$A$10:$I30,3,0))</f>
        <v>UCI</v>
      </c>
      <c r="D31" s="29" t="str">
        <f>IF(IFERROR(VLOOKUP(A31,$A$10:$I30,1,0),0)=0,"",VLOOKUP(A31,$A$10:$I30,4,0))</f>
        <v>CONTRERAS</v>
      </c>
      <c r="E31" s="29" t="str">
        <f>IF(IFERROR(VLOOKUP(A31,$A$10:$I30,1,0),0)=0,"",VLOOKUP(A31,$A$10:$I30,5,0))</f>
        <v>CUEVAS</v>
      </c>
      <c r="F31" s="29" t="str">
        <f>IF(IFERROR(VLOOKUP(A31,$A$10:$I30,1,0),0)=0,"",VLOOKUP(A31,$A$10:$I30,6,0))</f>
        <v>MARTA ISABEL</v>
      </c>
      <c r="G31" s="49">
        <f>IF(IFERROR(VLOOKUP(A31,$A$10:$I30,1,0),0)=0,"",VLOOKUP(A31,$A$10:$I30,7,0))</f>
        <v>45411</v>
      </c>
      <c r="H31" s="49">
        <v>45482</v>
      </c>
      <c r="I31" s="29"/>
      <c r="J31" s="29" t="s">
        <v>19</v>
      </c>
      <c r="K31" s="24" t="s">
        <v>47</v>
      </c>
      <c r="L31" s="49">
        <v>45474</v>
      </c>
      <c r="M31" s="49">
        <v>45482</v>
      </c>
      <c r="N31" s="29">
        <f t="shared" si="1"/>
        <v>8</v>
      </c>
      <c r="O31" s="29"/>
      <c r="P31" t="s">
        <v>88</v>
      </c>
      <c r="Q31" t="s">
        <v>88</v>
      </c>
      <c r="R31" t="s">
        <v>88</v>
      </c>
      <c r="S31" t="s">
        <v>88</v>
      </c>
      <c r="T31" t="s">
        <v>88</v>
      </c>
      <c r="U31" t="s">
        <v>20</v>
      </c>
    </row>
    <row r="32" spans="1:21" x14ac:dyDescent="0.45">
      <c r="A32" s="29">
        <v>41089512</v>
      </c>
      <c r="B32" s="29" t="s">
        <v>1212</v>
      </c>
      <c r="C32" s="22" t="s">
        <v>22</v>
      </c>
      <c r="D32" s="29" t="s">
        <v>363</v>
      </c>
      <c r="E32" s="29" t="s">
        <v>363</v>
      </c>
      <c r="F32" s="29" t="s">
        <v>386</v>
      </c>
      <c r="G32" s="49">
        <v>45466</v>
      </c>
      <c r="H32" s="49">
        <v>45482</v>
      </c>
      <c r="I32" s="29" t="s">
        <v>22</v>
      </c>
      <c r="J32" s="29" t="s">
        <v>19</v>
      </c>
      <c r="K32" s="24" t="s">
        <v>43</v>
      </c>
      <c r="L32" s="49">
        <v>45474</v>
      </c>
      <c r="M32" s="49">
        <v>45482</v>
      </c>
      <c r="N32" s="29">
        <f t="shared" si="1"/>
        <v>8</v>
      </c>
      <c r="O32" s="29"/>
      <c r="P32" t="s">
        <v>88</v>
      </c>
      <c r="Q32" t="s">
        <v>88</v>
      </c>
      <c r="R32" t="s">
        <v>88</v>
      </c>
      <c r="S32" t="s">
        <v>88</v>
      </c>
      <c r="T32" t="s">
        <v>88</v>
      </c>
      <c r="U32" t="s">
        <v>20</v>
      </c>
    </row>
    <row r="33" spans="1:21" x14ac:dyDescent="0.45">
      <c r="A33" s="29">
        <v>41089512</v>
      </c>
      <c r="B33" s="29" t="str">
        <f>IF(LEN(A33)=8,MID(A33,1,1)&amp;"."&amp;MID(A33,2,3)&amp;"."&amp;MID(A33,5,3)&amp;"-"&amp;RIGHT(A33,1),IF(LEFT(RIGHT(A33,2),1)="-",MID(A33,1,1)&amp;"."&amp;MID(A33,2,3)&amp;"."&amp;MID(A33,5,3)&amp;"-"&amp;RIGHT(A33,1),MID(A33,1,2)&amp;"."&amp;MID(A33,3,3)&amp;"."&amp;MID(A33,6,3)&amp;"-"&amp;MID(A33,9,1)))</f>
        <v>4.108.951-2</v>
      </c>
      <c r="C33" s="22" t="str">
        <f>IF(IFERROR(VLOOKUP(A33,$A$10:$I32,1,0),0)=0,"",VLOOKUP(A33,$A$10:$I32,3,0))</f>
        <v>UCI</v>
      </c>
      <c r="D33" s="29" t="str">
        <f>IF(IFERROR(VLOOKUP(A33,$A$10:$I32,1,0),0)=0,"",VLOOKUP(A33,$A$10:$I32,4,0))</f>
        <v>DIAZ</v>
      </c>
      <c r="E33" s="29" t="str">
        <f>IF(IFERROR(VLOOKUP(A33,$A$10:$I32,1,0),0)=0,"",VLOOKUP(A33,$A$10:$I32,5,0))</f>
        <v>DIAZ</v>
      </c>
      <c r="F33" s="29" t="str">
        <f>IF(IFERROR(VLOOKUP(A33,$A$10:$I32,1,0),0)=0,"",VLOOKUP(A33,$A$10:$I32,6,0))</f>
        <v>OLGA</v>
      </c>
      <c r="G33" s="49">
        <f>IF(IFERROR(VLOOKUP(A33,$A$10:$I32,1,0),0)=0,"",VLOOKUP(A33,$A$10:$I32,7,0))</f>
        <v>45466</v>
      </c>
      <c r="H33" s="49">
        <v>45482</v>
      </c>
      <c r="I33" s="29"/>
      <c r="J33" s="29" t="s">
        <v>19</v>
      </c>
      <c r="K33" s="24" t="s">
        <v>47</v>
      </c>
      <c r="L33" s="49">
        <v>45474</v>
      </c>
      <c r="M33" s="49">
        <v>45482</v>
      </c>
      <c r="N33" s="29">
        <f t="shared" si="1"/>
        <v>8</v>
      </c>
      <c r="O33" s="29"/>
      <c r="P33" t="s">
        <v>88</v>
      </c>
      <c r="Q33" t="s">
        <v>88</v>
      </c>
      <c r="R33" t="s">
        <v>88</v>
      </c>
      <c r="S33" t="s">
        <v>88</v>
      </c>
      <c r="T33" t="s">
        <v>88</v>
      </c>
      <c r="U33" t="s">
        <v>20</v>
      </c>
    </row>
    <row r="34" spans="1:21" x14ac:dyDescent="0.45">
      <c r="A34" s="29">
        <v>114467294</v>
      </c>
      <c r="B34" s="29" t="s">
        <v>1213</v>
      </c>
      <c r="C34" s="22" t="s">
        <v>22</v>
      </c>
      <c r="D34" s="29" t="s">
        <v>241</v>
      </c>
      <c r="E34" s="29" t="s">
        <v>393</v>
      </c>
      <c r="F34" s="29" t="s">
        <v>738</v>
      </c>
      <c r="G34" s="49">
        <v>45465</v>
      </c>
      <c r="H34" s="29"/>
      <c r="I34" s="29" t="s">
        <v>22</v>
      </c>
      <c r="J34" s="29"/>
      <c r="K34" s="24" t="s">
        <v>43</v>
      </c>
      <c r="L34" s="49">
        <v>45474</v>
      </c>
      <c r="M34" s="49">
        <v>45493</v>
      </c>
      <c r="N34" s="29">
        <f t="shared" si="1"/>
        <v>19</v>
      </c>
      <c r="P34" t="s">
        <v>88</v>
      </c>
      <c r="Q34" t="s">
        <v>88</v>
      </c>
      <c r="R34" t="s">
        <v>88</v>
      </c>
      <c r="S34" t="s">
        <v>88</v>
      </c>
      <c r="T34" t="s">
        <v>88</v>
      </c>
      <c r="U34" t="s">
        <v>20</v>
      </c>
    </row>
    <row r="35" spans="1:21" x14ac:dyDescent="0.45">
      <c r="A35" s="29">
        <v>62584920</v>
      </c>
      <c r="B35" s="29" t="str">
        <f>IF(LEN(A35)=8,MID(A35,1,1)&amp;"."&amp;MID(A35,2,3)&amp;"."&amp;MID(A35,5,3)&amp;"-"&amp;RIGHT(A35,1),IF(LEFT(RIGHT(A35,2),1)="-",MID(A35,1,1)&amp;"."&amp;MID(A35,2,3)&amp;"."&amp;MID(A35,5,3)&amp;"-"&amp;RIGHT(A35,1),MID(A35,1,2)&amp;"."&amp;MID(A35,3,3)&amp;"."&amp;MID(A35,6,3)&amp;"-"&amp;MID(A35,9,1)))</f>
        <v>6.258.492-0</v>
      </c>
      <c r="C35" s="22" t="s">
        <v>22</v>
      </c>
      <c r="D35" s="29" t="s">
        <v>266</v>
      </c>
      <c r="E35" s="29" t="s">
        <v>559</v>
      </c>
      <c r="F35" s="29" t="s">
        <v>1017</v>
      </c>
      <c r="G35" s="49">
        <v>45468</v>
      </c>
      <c r="H35" s="49">
        <v>45478</v>
      </c>
      <c r="I35" s="29" t="s">
        <v>22</v>
      </c>
      <c r="J35" s="29"/>
      <c r="K35" s="24" t="s">
        <v>43</v>
      </c>
      <c r="L35" s="49">
        <v>45474</v>
      </c>
      <c r="M35" s="49">
        <v>45477</v>
      </c>
      <c r="N35" s="29">
        <f t="shared" si="1"/>
        <v>3</v>
      </c>
      <c r="O35" s="29" t="s">
        <v>1214</v>
      </c>
      <c r="P35" t="s">
        <v>88</v>
      </c>
      <c r="Q35" t="s">
        <v>88</v>
      </c>
      <c r="R35" t="s">
        <v>88</v>
      </c>
      <c r="S35" t="s">
        <v>88</v>
      </c>
      <c r="T35" t="s">
        <v>88</v>
      </c>
      <c r="U35" t="s">
        <v>20</v>
      </c>
    </row>
    <row r="36" spans="1:21" x14ac:dyDescent="0.45">
      <c r="A36" s="29">
        <v>100270293</v>
      </c>
      <c r="B36" s="29" t="s">
        <v>1215</v>
      </c>
      <c r="C36" s="22" t="s">
        <v>22</v>
      </c>
      <c r="D36" s="29" t="s">
        <v>964</v>
      </c>
      <c r="E36" s="29" t="s">
        <v>1156</v>
      </c>
      <c r="F36" s="29" t="s">
        <v>428</v>
      </c>
      <c r="G36" s="49">
        <v>45457</v>
      </c>
      <c r="H36" s="29"/>
      <c r="I36" s="29" t="s">
        <v>22</v>
      </c>
      <c r="J36" s="29"/>
      <c r="K36" s="24" t="s">
        <v>43</v>
      </c>
      <c r="L36" s="49">
        <v>45474</v>
      </c>
      <c r="M36" s="49">
        <v>45476</v>
      </c>
      <c r="N36" s="29">
        <f t="shared" si="1"/>
        <v>2</v>
      </c>
      <c r="O36" s="29"/>
      <c r="P36" t="s">
        <v>88</v>
      </c>
      <c r="Q36" t="s">
        <v>88</v>
      </c>
      <c r="R36" t="s">
        <v>88</v>
      </c>
      <c r="S36" t="s">
        <v>88</v>
      </c>
      <c r="T36" t="s">
        <v>88</v>
      </c>
      <c r="U36" t="s">
        <v>20</v>
      </c>
    </row>
    <row r="37" spans="1:21" x14ac:dyDescent="0.45">
      <c r="A37" s="29">
        <v>100270293</v>
      </c>
      <c r="B37" s="29" t="str">
        <f>IF(LEN(A37)=8,MID(A37,1,1)&amp;"."&amp;MID(A37,2,3)&amp;"."&amp;MID(A37,5,3)&amp;"-"&amp;RIGHT(A37,1),IF(LEFT(RIGHT(A37,2),1)="-",MID(A37,1,1)&amp;"."&amp;MID(A37,2,3)&amp;"."&amp;MID(A37,5,3)&amp;"-"&amp;RIGHT(A37,1),MID(A37,1,2)&amp;"."&amp;MID(A37,3,3)&amp;"."&amp;MID(A37,6,3)&amp;"-"&amp;MID(A37,9,1)))</f>
        <v>10.027.029-3</v>
      </c>
      <c r="C37" s="22" t="str">
        <f>IF(IFERROR(VLOOKUP(A37,$A$10:$I36,1,0),0)=0,"",VLOOKUP(A37,$A$10:$I36,3,0))</f>
        <v>UCI</v>
      </c>
      <c r="D37" s="29" t="str">
        <f>IF(IFERROR(VLOOKUP(A37,$A$10:$I36,1,0),0)=0,"",VLOOKUP(A37,$A$10:$I36,4,0))</f>
        <v>GATICA</v>
      </c>
      <c r="E37" s="29" t="str">
        <f>IF(IFERROR(VLOOKUP(A37,$A$10:$I36,1,0),0)=0,"",VLOOKUP(A37,$A$10:$I36,5,0))</f>
        <v>ENCINA</v>
      </c>
      <c r="F37" s="29" t="str">
        <f>IF(IFERROR(VLOOKUP(A37,$A$10:$I36,1,0),0)=0,"",VLOOKUP(A37,$A$10:$I36,6,0))</f>
        <v>CLAUDIA</v>
      </c>
      <c r="G37" s="49">
        <f>IF(IFERROR(VLOOKUP(A37,$A$10:$I36,1,0),0)=0,"",VLOOKUP(A37,$A$10:$I36,7,0))</f>
        <v>45457</v>
      </c>
      <c r="H37" s="29"/>
      <c r="I37" s="29" t="s">
        <v>22</v>
      </c>
      <c r="J37" s="29"/>
      <c r="K37" s="24" t="s">
        <v>47</v>
      </c>
      <c r="L37" s="49">
        <v>45474</v>
      </c>
      <c r="M37" s="49">
        <v>45477</v>
      </c>
      <c r="N37" s="29">
        <f t="shared" si="1"/>
        <v>3</v>
      </c>
      <c r="O37" s="29"/>
      <c r="P37" t="s">
        <v>88</v>
      </c>
      <c r="Q37" t="s">
        <v>88</v>
      </c>
      <c r="R37" t="s">
        <v>88</v>
      </c>
      <c r="S37" t="s">
        <v>88</v>
      </c>
      <c r="T37" t="s">
        <v>88</v>
      </c>
      <c r="U37" t="s">
        <v>20</v>
      </c>
    </row>
    <row r="38" spans="1:21" x14ac:dyDescent="0.45">
      <c r="A38" s="29">
        <v>284458796</v>
      </c>
      <c r="B38" s="29" t="s">
        <v>1216</v>
      </c>
      <c r="C38" s="22" t="s">
        <v>16</v>
      </c>
      <c r="D38" s="29" t="s">
        <v>461</v>
      </c>
      <c r="E38" s="29" t="s">
        <v>1115</v>
      </c>
      <c r="F38" s="29" t="s">
        <v>524</v>
      </c>
      <c r="G38" s="49">
        <v>45442</v>
      </c>
      <c r="H38" s="29"/>
      <c r="I38" s="29"/>
      <c r="J38" s="29"/>
      <c r="K38" s="24" t="s">
        <v>18</v>
      </c>
      <c r="L38" s="49">
        <v>45474</v>
      </c>
      <c r="M38" s="49">
        <v>45485</v>
      </c>
      <c r="N38" s="29">
        <f t="shared" si="1"/>
        <v>11</v>
      </c>
      <c r="O38" s="29"/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20</v>
      </c>
    </row>
    <row r="39" spans="1:21" x14ac:dyDescent="0.45">
      <c r="A39" s="29">
        <v>284768574</v>
      </c>
      <c r="B39" s="29" t="str">
        <f>IF(LEN(A39)=8,MID(A39,1,1)&amp;"."&amp;MID(A39,2,3)&amp;"."&amp;MID(A39,5,3)&amp;"-"&amp;RIGHT(A39,1),IF(LEFT(RIGHT(A39,2),1)="-",MID(A39,1,1)&amp;"."&amp;MID(A39,2,3)&amp;"."&amp;MID(A39,5,3)&amp;"-"&amp;RIGHT(A39,1),MID(A39,1,2)&amp;"."&amp;MID(A39,3,3)&amp;"."&amp;MID(A39,6,3)&amp;"-"&amp;MID(A39,9,1)))</f>
        <v>28.476.857-4</v>
      </c>
      <c r="C39" s="22" t="s">
        <v>16</v>
      </c>
      <c r="D39" s="29" t="s">
        <v>780</v>
      </c>
      <c r="E39" s="29" t="s">
        <v>328</v>
      </c>
      <c r="F39" s="29" t="s">
        <v>947</v>
      </c>
      <c r="G39" s="49">
        <v>45476</v>
      </c>
      <c r="H39" s="29"/>
      <c r="I39" s="29"/>
      <c r="J39" s="29"/>
      <c r="K39" s="24" t="s">
        <v>35</v>
      </c>
      <c r="L39" s="49">
        <v>45476</v>
      </c>
      <c r="M39" s="49">
        <v>45497</v>
      </c>
      <c r="N39" s="29">
        <f t="shared" si="1"/>
        <v>21</v>
      </c>
      <c r="O39" s="29"/>
      <c r="P39" t="s">
        <v>88</v>
      </c>
      <c r="Q39" t="s">
        <v>88</v>
      </c>
      <c r="R39" t="s">
        <v>88</v>
      </c>
      <c r="S39" t="s">
        <v>88</v>
      </c>
      <c r="T39" t="s">
        <v>88</v>
      </c>
      <c r="U39" t="s">
        <v>20</v>
      </c>
    </row>
    <row r="40" spans="1:21" x14ac:dyDescent="0.45">
      <c r="A40" s="29">
        <v>284768574</v>
      </c>
      <c r="B40" s="29" t="str">
        <f>IF(LEN(A40)=8,MID(A40,1,1)&amp;"."&amp;MID(A40,2,3)&amp;"."&amp;MID(A40,5,3)&amp;"-"&amp;RIGHT(A40,1),IF(LEFT(RIGHT(A40,2),1)="-",MID(A40,1,1)&amp;"."&amp;MID(A40,2,3)&amp;"."&amp;MID(A40,5,3)&amp;"-"&amp;RIGHT(A40,1),MID(A40,1,2)&amp;"."&amp;MID(A40,3,3)&amp;"."&amp;MID(A40,6,3)&amp;"-"&amp;MID(A40,9,1)))</f>
        <v>28.476.857-4</v>
      </c>
      <c r="C40" s="22" t="str">
        <f>IF(IFERROR(VLOOKUP(A40,$A$10:$I39,1,0),0)=0,"",VLOOKUP(A40,$A$10:$I39,3,0))</f>
        <v>UCI neonatal</v>
      </c>
      <c r="D40" s="29" t="str">
        <f>IF(IFERROR(VLOOKUP(A40,$A$10:$I39,1,0),0)=0,"",VLOOKUP(A40,$A$10:$I39,4,0))</f>
        <v>LUENGO</v>
      </c>
      <c r="E40" s="29" t="str">
        <f>IF(IFERROR(VLOOKUP(A40,$A$10:$I39,1,0),0)=0,"",VLOOKUP(A40,$A$10:$I39,5,0))</f>
        <v>GUTIERREZ</v>
      </c>
      <c r="F40" s="29" t="str">
        <f>IF(IFERROR(VLOOKUP(A40,$A$10:$I39,1,0),0)=0,"",VLOOKUP(A40,$A$10:$I39,6,0))</f>
        <v>JULIETA</v>
      </c>
      <c r="G40" s="49">
        <f>IF(IFERROR(VLOOKUP(A40,$A$10:$I39,1,0),0)=0,"",VLOOKUP(A40,$A$10:$I39,7,0))</f>
        <v>45476</v>
      </c>
      <c r="H40" s="29"/>
      <c r="I40" s="29"/>
      <c r="J40" s="29"/>
      <c r="K40" s="24" t="s">
        <v>39</v>
      </c>
      <c r="L40" s="49">
        <v>45476</v>
      </c>
      <c r="M40" s="49">
        <v>45477</v>
      </c>
      <c r="N40" s="29">
        <f t="shared" si="1"/>
        <v>1</v>
      </c>
      <c r="O40" s="29"/>
      <c r="P40" t="s">
        <v>88</v>
      </c>
      <c r="Q40" t="s">
        <v>88</v>
      </c>
      <c r="R40" t="s">
        <v>88</v>
      </c>
      <c r="S40" t="s">
        <v>88</v>
      </c>
      <c r="T40" t="s">
        <v>88</v>
      </c>
      <c r="U40" t="s">
        <v>20</v>
      </c>
    </row>
    <row r="41" spans="1:21" x14ac:dyDescent="0.45">
      <c r="A41" s="29">
        <v>284768574</v>
      </c>
      <c r="B41" s="29" t="str">
        <f>IF(LEN(A41)=8,MID(A41,1,1)&amp;"."&amp;MID(A41,2,3)&amp;"."&amp;MID(A41,5,3)&amp;"-"&amp;RIGHT(A41,1),IF(LEFT(RIGHT(A41,2),1)="-",MID(A41,1,1)&amp;"."&amp;MID(A41,2,3)&amp;"."&amp;MID(A41,5,3)&amp;"-"&amp;RIGHT(A41,1),MID(A41,1,2)&amp;"."&amp;MID(A41,3,3)&amp;"."&amp;MID(A41,6,3)&amp;"-"&amp;MID(A41,9,1)))</f>
        <v>28.476.857-4</v>
      </c>
      <c r="C41" s="22" t="str">
        <f>IF(IFERROR(VLOOKUP(A41,$A$10:$I40,1,0),0)=0,"",VLOOKUP(A41,$A$10:$I40,3,0))</f>
        <v>UCI neonatal</v>
      </c>
      <c r="D41" s="29" t="str">
        <f>IF(IFERROR(VLOOKUP(A41,$A$10:$I40,1,0),0)=0,"",VLOOKUP(A41,$A$10:$I40,4,0))</f>
        <v>LUENGO</v>
      </c>
      <c r="E41" s="29" t="str">
        <f>IF(IFERROR(VLOOKUP(A41,$A$10:$I40,1,0),0)=0,"",VLOOKUP(A41,$A$10:$I40,5,0))</f>
        <v>GUTIERREZ</v>
      </c>
      <c r="F41" s="29" t="str">
        <f>IF(IFERROR(VLOOKUP(A41,$A$10:$I40,1,0),0)=0,"",VLOOKUP(A41,$A$10:$I40,6,0))</f>
        <v>JULIETA</v>
      </c>
      <c r="G41" s="49">
        <f>IF(IFERROR(VLOOKUP(A41,$A$10:$I40,1,0),0)=0,"",VLOOKUP(A41,$A$10:$I40,7,0))</f>
        <v>45476</v>
      </c>
      <c r="H41" s="29"/>
      <c r="I41" s="29"/>
      <c r="J41" s="29"/>
      <c r="K41" s="24" t="s">
        <v>55</v>
      </c>
      <c r="L41" s="49">
        <v>45476</v>
      </c>
      <c r="M41" s="49">
        <v>45504</v>
      </c>
      <c r="N41" s="29">
        <f t="shared" si="1"/>
        <v>28</v>
      </c>
      <c r="O41" s="29"/>
      <c r="P41" t="s">
        <v>134</v>
      </c>
      <c r="Q41" t="s">
        <v>143</v>
      </c>
      <c r="R41" t="s">
        <v>88</v>
      </c>
      <c r="S41" t="s">
        <v>88</v>
      </c>
      <c r="T41" t="s">
        <v>88</v>
      </c>
      <c r="U41" t="s">
        <v>14</v>
      </c>
    </row>
    <row r="42" spans="1:21" x14ac:dyDescent="0.45">
      <c r="A42" s="29">
        <v>284768574</v>
      </c>
      <c r="B42" s="29" t="str">
        <f>IF(LEN(A42)=8,MID(A42,1,1)&amp;"."&amp;MID(A42,2,3)&amp;"."&amp;MID(A42,5,3)&amp;"-"&amp;RIGHT(A42,1),IF(LEFT(RIGHT(A42,2),1)="-",MID(A42,1,1)&amp;"."&amp;MID(A42,2,3)&amp;"."&amp;MID(A42,5,3)&amp;"-"&amp;RIGHT(A42,1),MID(A42,1,2)&amp;"."&amp;MID(A42,3,3)&amp;"."&amp;MID(A42,6,3)&amp;"-"&amp;MID(A42,9,1)))</f>
        <v>28.476.857-4</v>
      </c>
      <c r="C42" s="22" t="s">
        <v>16</v>
      </c>
      <c r="D42" s="29" t="str">
        <f>IF(IFERROR(VLOOKUP(A42,$A$10:$I41,1,0),0)=0,"",VLOOKUP(A42,$A$10:$I41,4,0))</f>
        <v>LUENGO</v>
      </c>
      <c r="E42" s="29" t="str">
        <f>IF(IFERROR(VLOOKUP(A42,$A$10:$I41,1,0),0)=0,"",VLOOKUP(A42,$A$10:$I41,5,0))</f>
        <v>GUTIERREZ</v>
      </c>
      <c r="F42" s="29" t="str">
        <f>IF(IFERROR(VLOOKUP(A42,$A$10:$I41,1,0),0)=0,"",VLOOKUP(A42,$A$10:$I41,6,0))</f>
        <v>JULIETA</v>
      </c>
      <c r="G42" s="49">
        <f>IF(IFERROR(VLOOKUP(A42,$A$10:$I41,1,0),0)=0,"",VLOOKUP(A42,$A$10:$I41,7,0))</f>
        <v>45476</v>
      </c>
      <c r="H42" s="29"/>
      <c r="I42" s="29"/>
      <c r="J42" s="29"/>
      <c r="K42" s="24" t="s">
        <v>18</v>
      </c>
      <c r="L42" s="49">
        <v>45477</v>
      </c>
      <c r="M42" s="49">
        <v>45504</v>
      </c>
      <c r="N42" s="29">
        <f t="shared" si="1"/>
        <v>27</v>
      </c>
      <c r="O42" s="29"/>
      <c r="P42" t="s">
        <v>88</v>
      </c>
      <c r="Q42" t="s">
        <v>88</v>
      </c>
      <c r="R42" t="s">
        <v>88</v>
      </c>
      <c r="S42" t="s">
        <v>88</v>
      </c>
      <c r="T42" t="s">
        <v>88</v>
      </c>
      <c r="U42" t="s">
        <v>20</v>
      </c>
    </row>
    <row r="43" spans="1:21" x14ac:dyDescent="0.45">
      <c r="A43" s="29">
        <v>284550374</v>
      </c>
      <c r="B43" s="29" t="s">
        <v>1217</v>
      </c>
      <c r="C43" s="22" t="s">
        <v>16</v>
      </c>
      <c r="D43" s="29" t="s">
        <v>679</v>
      </c>
      <c r="E43" s="29" t="s">
        <v>559</v>
      </c>
      <c r="F43" s="29" t="s">
        <v>1142</v>
      </c>
      <c r="G43" s="49">
        <v>45450</v>
      </c>
      <c r="H43" s="29"/>
      <c r="I43" s="29"/>
      <c r="J43" s="29"/>
      <c r="K43" s="24" t="s">
        <v>18</v>
      </c>
      <c r="L43" s="49">
        <v>45474</v>
      </c>
      <c r="M43" s="49">
        <v>45478</v>
      </c>
      <c r="N43" s="29">
        <f t="shared" si="1"/>
        <v>4</v>
      </c>
      <c r="O43" s="29"/>
      <c r="P43" t="s">
        <v>88</v>
      </c>
      <c r="Q43" t="s">
        <v>88</v>
      </c>
      <c r="R43" t="s">
        <v>88</v>
      </c>
      <c r="S43" t="s">
        <v>88</v>
      </c>
      <c r="T43" t="s">
        <v>88</v>
      </c>
      <c r="U43" t="s">
        <v>20</v>
      </c>
    </row>
    <row r="44" spans="1:21" x14ac:dyDescent="0.45">
      <c r="A44" s="29">
        <v>284550374</v>
      </c>
      <c r="B44" s="29" t="str">
        <f t="shared" ref="B44:B107" si="3">IF(LEN(A44)=8,MID(A44,1,1)&amp;"."&amp;MID(A44,2,3)&amp;"."&amp;MID(A44,5,3)&amp;"-"&amp;RIGHT(A44,1),IF(LEFT(RIGHT(A44,2),1)="-",MID(A44,1,1)&amp;"."&amp;MID(A44,2,3)&amp;"."&amp;MID(A44,5,3)&amp;"-"&amp;RIGHT(A44,1),MID(A44,1,2)&amp;"."&amp;MID(A44,3,3)&amp;"."&amp;MID(A44,6,3)&amp;"-"&amp;MID(A44,9,1)))</f>
        <v>28.455.037-4</v>
      </c>
      <c r="C44" s="22" t="str">
        <f>IF(IFERROR(VLOOKUP(A44,$A$10:$I43,1,0),0)=0,"",VLOOKUP(A44,$A$10:$I43,3,0))</f>
        <v>UCI neonatal</v>
      </c>
      <c r="D44" s="29" t="str">
        <f>IF(IFERROR(VLOOKUP(A44,$A$10:$I43,1,0),0)=0,"",VLOOKUP(A44,$A$10:$I43,4,0))</f>
        <v>CEBALLOS</v>
      </c>
      <c r="E44" s="29" t="str">
        <f>IF(IFERROR(VLOOKUP(A44,$A$10:$I43,1,0),0)=0,"",VLOOKUP(A44,$A$10:$I43,5,0))</f>
        <v>SEPULVEDA</v>
      </c>
      <c r="F44" s="29" t="str">
        <f>IF(IFERROR(VLOOKUP(A44,$A$10:$I43,1,0),0)=0,"",VLOOKUP(A44,$A$10:$I43,6,0))</f>
        <v xml:space="preserve">NOAH </v>
      </c>
      <c r="G44" s="49">
        <f>IF(IFERROR(VLOOKUP(A44,$A$10:$I43,1,0),0)=0,"",VLOOKUP(A44,$A$10:$I43,7,0))</f>
        <v>45450</v>
      </c>
      <c r="H44" s="29"/>
      <c r="I44" s="29"/>
      <c r="J44" s="29"/>
      <c r="K44" s="24" t="s">
        <v>55</v>
      </c>
      <c r="L44" s="49">
        <v>45474</v>
      </c>
      <c r="M44" s="49">
        <v>45490</v>
      </c>
      <c r="N44" s="29">
        <f t="shared" si="1"/>
        <v>16</v>
      </c>
      <c r="O44" s="29"/>
      <c r="P44" t="s">
        <v>88</v>
      </c>
      <c r="Q44" t="s">
        <v>88</v>
      </c>
      <c r="R44" t="s">
        <v>88</v>
      </c>
      <c r="S44" t="s">
        <v>88</v>
      </c>
      <c r="T44" t="s">
        <v>88</v>
      </c>
      <c r="U44" t="s">
        <v>20</v>
      </c>
    </row>
    <row r="45" spans="1:21" x14ac:dyDescent="0.45">
      <c r="A45" s="29">
        <v>172215343</v>
      </c>
      <c r="B45" s="29" t="str">
        <f t="shared" si="3"/>
        <v>17.221.534-3</v>
      </c>
      <c r="C45" s="22" t="s">
        <v>30</v>
      </c>
      <c r="D45" s="29" t="s">
        <v>1218</v>
      </c>
      <c r="E45" s="29" t="s">
        <v>384</v>
      </c>
      <c r="F45" s="29" t="s">
        <v>380</v>
      </c>
      <c r="G45" s="49">
        <v>45471</v>
      </c>
      <c r="H45" s="49">
        <v>45476</v>
      </c>
      <c r="I45" s="29"/>
      <c r="J45" s="29" t="s">
        <v>46</v>
      </c>
      <c r="K45" s="24" t="s">
        <v>43</v>
      </c>
      <c r="L45" s="49">
        <v>45474</v>
      </c>
      <c r="M45" s="49">
        <v>45476</v>
      </c>
      <c r="N45" s="29">
        <f t="shared" si="1"/>
        <v>2</v>
      </c>
      <c r="O45" s="29"/>
      <c r="P45" t="s">
        <v>88</v>
      </c>
      <c r="Q45" t="s">
        <v>88</v>
      </c>
      <c r="R45" t="s">
        <v>88</v>
      </c>
      <c r="S45" t="s">
        <v>88</v>
      </c>
      <c r="T45" t="s">
        <v>88</v>
      </c>
      <c r="U45" t="s">
        <v>20</v>
      </c>
    </row>
    <row r="46" spans="1:21" x14ac:dyDescent="0.45">
      <c r="A46" s="29">
        <v>172215343</v>
      </c>
      <c r="B46" s="29" t="str">
        <f t="shared" si="3"/>
        <v>17.221.534-3</v>
      </c>
      <c r="C46" s="22" t="str">
        <f>IF(IFERROR(VLOOKUP(A46,$A$10:$I45,1,0),0)=0,"",VLOOKUP(A46,$A$10:$I45,3,0))</f>
        <v>UCO</v>
      </c>
      <c r="D46" s="29" t="str">
        <f>IF(IFERROR(VLOOKUP(A46,$A$10:$I45,1,0),0)=0,"",VLOOKUP(A46,$A$10:$I45,4,0))</f>
        <v>HUAITRO</v>
      </c>
      <c r="E46" s="29" t="str">
        <f>IF(IFERROR(VLOOKUP(A46,$A$10:$I45,1,0),0)=0,"",VLOOKUP(A46,$A$10:$I45,5,0))</f>
        <v>MUÑOZ</v>
      </c>
      <c r="F46" s="29" t="str">
        <f>IF(IFERROR(VLOOKUP(A46,$A$10:$I45,1,0),0)=0,"",VLOOKUP(A46,$A$10:$I45,6,0))</f>
        <v>VICTOR</v>
      </c>
      <c r="G46" s="49">
        <f>IF(IFERROR(VLOOKUP(A46,$A$10:$I45,1,0),0)=0,"",VLOOKUP(A46,$A$10:$I45,7,0))</f>
        <v>45471</v>
      </c>
      <c r="H46" s="49">
        <v>45476</v>
      </c>
      <c r="I46" s="29"/>
      <c r="J46" s="29" t="s">
        <v>46</v>
      </c>
      <c r="K46" s="24" t="s">
        <v>47</v>
      </c>
      <c r="L46" s="49">
        <v>45474</v>
      </c>
      <c r="M46" s="49">
        <v>45476</v>
      </c>
      <c r="N46" s="29">
        <f t="shared" si="1"/>
        <v>2</v>
      </c>
      <c r="O46" s="29"/>
      <c r="P46" t="s">
        <v>88</v>
      </c>
      <c r="Q46" t="s">
        <v>88</v>
      </c>
      <c r="R46" t="s">
        <v>88</v>
      </c>
      <c r="S46" t="s">
        <v>88</v>
      </c>
      <c r="T46" t="s">
        <v>88</v>
      </c>
      <c r="U46" t="s">
        <v>20</v>
      </c>
    </row>
    <row r="47" spans="1:21" x14ac:dyDescent="0.45">
      <c r="A47" s="29" t="s">
        <v>1219</v>
      </c>
      <c r="B47" s="29" t="str">
        <f t="shared" si="3"/>
        <v>9.658.459-8</v>
      </c>
      <c r="C47" s="22" t="s">
        <v>30</v>
      </c>
      <c r="D47" s="29" t="s">
        <v>574</v>
      </c>
      <c r="E47" s="29" t="s">
        <v>1220</v>
      </c>
      <c r="F47" s="29" t="s">
        <v>1015</v>
      </c>
      <c r="G47" s="49">
        <v>45469</v>
      </c>
      <c r="H47" s="49">
        <v>45475</v>
      </c>
      <c r="I47" s="29"/>
      <c r="J47" s="29" t="s">
        <v>46</v>
      </c>
      <c r="K47" s="24" t="s">
        <v>43</v>
      </c>
      <c r="L47" s="49">
        <v>45474</v>
      </c>
      <c r="M47" s="49">
        <v>45475</v>
      </c>
      <c r="N47" s="29">
        <f t="shared" si="1"/>
        <v>1</v>
      </c>
      <c r="O47" s="29"/>
      <c r="P47" t="s">
        <v>88</v>
      </c>
      <c r="Q47" t="s">
        <v>88</v>
      </c>
      <c r="R47" t="s">
        <v>88</v>
      </c>
      <c r="S47" t="s">
        <v>88</v>
      </c>
      <c r="T47" t="s">
        <v>88</v>
      </c>
      <c r="U47" t="s">
        <v>20</v>
      </c>
    </row>
    <row r="48" spans="1:21" x14ac:dyDescent="0.45">
      <c r="A48" s="29">
        <v>75340753</v>
      </c>
      <c r="B48" s="29" t="str">
        <f t="shared" si="3"/>
        <v>7.534.075-3</v>
      </c>
      <c r="C48" s="22" t="s">
        <v>46</v>
      </c>
      <c r="D48" s="29" t="str">
        <f>IF(IFERROR(VLOOKUP(A48,$A$10:$I47,1,0),0)=0,"",VLOOKUP(A48,$A$10:$I47,4,0))</f>
        <v xml:space="preserve">MUÑOZ </v>
      </c>
      <c r="E48" s="29" t="str">
        <f>IF(IFERROR(VLOOKUP(A48,$A$10:$I47,1,0),0)=0,"",VLOOKUP(A48,$A$10:$I47,5,0))</f>
        <v>SALINAS</v>
      </c>
      <c r="F48" s="29" t="str">
        <f>IF(IFERROR(VLOOKUP(A48,$A$10:$I47,1,0),0)=0,"",VLOOKUP(A48,$A$10:$I47,6,0))</f>
        <v>JOSE</v>
      </c>
      <c r="G48" s="49">
        <v>45475</v>
      </c>
      <c r="H48" s="29"/>
      <c r="I48" s="29" t="s">
        <v>22</v>
      </c>
      <c r="J48" s="29"/>
      <c r="K48" s="24" t="s">
        <v>43</v>
      </c>
      <c r="L48" s="49">
        <v>45475</v>
      </c>
      <c r="M48" s="49">
        <v>45488</v>
      </c>
      <c r="N48" s="29">
        <f t="shared" si="1"/>
        <v>13</v>
      </c>
      <c r="O48" s="29" t="s">
        <v>531</v>
      </c>
      <c r="P48" t="s">
        <v>88</v>
      </c>
      <c r="Q48" t="s">
        <v>88</v>
      </c>
      <c r="R48" t="s">
        <v>88</v>
      </c>
      <c r="S48" t="s">
        <v>88</v>
      </c>
      <c r="T48" t="s">
        <v>88</v>
      </c>
      <c r="U48" t="s">
        <v>20</v>
      </c>
    </row>
    <row r="49" spans="1:21" x14ac:dyDescent="0.45">
      <c r="A49" s="29">
        <v>46317696</v>
      </c>
      <c r="B49" s="29" t="str">
        <f t="shared" si="3"/>
        <v>4.631.769-6</v>
      </c>
      <c r="C49" s="22" t="s">
        <v>46</v>
      </c>
      <c r="D49" s="29" t="s">
        <v>435</v>
      </c>
      <c r="E49" s="29" t="s">
        <v>312</v>
      </c>
      <c r="F49" s="29" t="s">
        <v>1009</v>
      </c>
      <c r="G49" s="49">
        <v>45475</v>
      </c>
      <c r="H49" s="49">
        <v>45478</v>
      </c>
      <c r="I49" s="29"/>
      <c r="J49" s="29"/>
      <c r="K49" s="24" t="s">
        <v>47</v>
      </c>
      <c r="L49" s="49">
        <v>45475</v>
      </c>
      <c r="M49" s="49">
        <v>45478</v>
      </c>
      <c r="N49" s="29">
        <f t="shared" si="1"/>
        <v>3</v>
      </c>
      <c r="O49" s="29"/>
      <c r="P49" t="s">
        <v>88</v>
      </c>
      <c r="Q49" t="s">
        <v>88</v>
      </c>
      <c r="R49" t="s">
        <v>88</v>
      </c>
      <c r="S49" t="s">
        <v>88</v>
      </c>
      <c r="T49" t="s">
        <v>88</v>
      </c>
      <c r="U49" t="s">
        <v>20</v>
      </c>
    </row>
    <row r="50" spans="1:21" x14ac:dyDescent="0.45">
      <c r="A50" s="29">
        <v>58301744</v>
      </c>
      <c r="B50" s="29" t="str">
        <f t="shared" si="3"/>
        <v>5.830.174-4</v>
      </c>
      <c r="C50" s="22" t="s">
        <v>46</v>
      </c>
      <c r="D50" s="29" t="s">
        <v>261</v>
      </c>
      <c r="E50" s="29" t="s">
        <v>639</v>
      </c>
      <c r="F50" s="29" t="s">
        <v>738</v>
      </c>
      <c r="G50" s="49">
        <v>45469</v>
      </c>
      <c r="H50" s="29"/>
      <c r="I50" s="29"/>
      <c r="J50" s="29"/>
      <c r="K50" s="24" t="s">
        <v>43</v>
      </c>
      <c r="L50" s="49">
        <v>45474</v>
      </c>
      <c r="M50" s="49">
        <v>45476</v>
      </c>
      <c r="N50" s="29">
        <f t="shared" si="1"/>
        <v>2</v>
      </c>
      <c r="O50" s="29"/>
      <c r="P50" t="s">
        <v>88</v>
      </c>
      <c r="Q50" t="s">
        <v>88</v>
      </c>
      <c r="R50" t="s">
        <v>88</v>
      </c>
      <c r="S50" t="s">
        <v>88</v>
      </c>
      <c r="T50" t="s">
        <v>88</v>
      </c>
      <c r="U50" t="s">
        <v>20</v>
      </c>
    </row>
    <row r="51" spans="1:21" x14ac:dyDescent="0.45">
      <c r="A51" s="29">
        <v>61155171</v>
      </c>
      <c r="B51" s="29" t="str">
        <f t="shared" si="3"/>
        <v>6.115.517-1</v>
      </c>
      <c r="C51" s="22" t="s">
        <v>46</v>
      </c>
      <c r="D51" s="29" t="s">
        <v>322</v>
      </c>
      <c r="E51" s="29" t="s">
        <v>788</v>
      </c>
      <c r="F51" s="29" t="s">
        <v>925</v>
      </c>
      <c r="G51" s="49">
        <v>45460</v>
      </c>
      <c r="H51" s="29"/>
      <c r="I51" s="29"/>
      <c r="J51" s="29"/>
      <c r="K51" s="24" t="s">
        <v>43</v>
      </c>
      <c r="L51" s="49">
        <v>45476</v>
      </c>
      <c r="M51" s="49">
        <v>45483</v>
      </c>
      <c r="N51" s="29">
        <f t="shared" si="1"/>
        <v>7</v>
      </c>
      <c r="O51" s="29"/>
      <c r="P51" t="s">
        <v>88</v>
      </c>
      <c r="Q51" t="s">
        <v>88</v>
      </c>
      <c r="R51" t="s">
        <v>88</v>
      </c>
      <c r="S51" t="s">
        <v>88</v>
      </c>
      <c r="T51" t="s">
        <v>88</v>
      </c>
      <c r="U51" t="s">
        <v>20</v>
      </c>
    </row>
    <row r="52" spans="1:21" x14ac:dyDescent="0.45">
      <c r="A52" s="29">
        <v>68463521</v>
      </c>
      <c r="B52" s="29" t="str">
        <f t="shared" si="3"/>
        <v>6.846.352-1</v>
      </c>
      <c r="C52" s="22" t="s">
        <v>46</v>
      </c>
      <c r="D52" s="29" t="s">
        <v>303</v>
      </c>
      <c r="E52" s="29" t="s">
        <v>1221</v>
      </c>
      <c r="F52" s="29" t="s">
        <v>474</v>
      </c>
      <c r="G52" s="49">
        <v>45478</v>
      </c>
      <c r="H52" s="29"/>
      <c r="I52" s="29" t="s">
        <v>54</v>
      </c>
      <c r="J52" s="29"/>
      <c r="K52" s="24" t="s">
        <v>47</v>
      </c>
      <c r="L52" s="49">
        <v>45478</v>
      </c>
      <c r="M52" s="49">
        <v>45484</v>
      </c>
      <c r="N52" s="29">
        <f t="shared" si="1"/>
        <v>6</v>
      </c>
      <c r="O52" s="29"/>
      <c r="P52" t="s">
        <v>88</v>
      </c>
      <c r="Q52" t="s">
        <v>88</v>
      </c>
      <c r="R52" t="s">
        <v>88</v>
      </c>
      <c r="S52" t="s">
        <v>88</v>
      </c>
      <c r="T52" t="s">
        <v>88</v>
      </c>
      <c r="U52" t="s">
        <v>20</v>
      </c>
    </row>
    <row r="53" spans="1:21" x14ac:dyDescent="0.45">
      <c r="A53" s="29">
        <v>68463521</v>
      </c>
      <c r="B53" s="29" t="str">
        <f t="shared" si="3"/>
        <v>6.846.352-1</v>
      </c>
      <c r="C53" s="22" t="s">
        <v>46</v>
      </c>
      <c r="D53" s="29" t="s">
        <v>303</v>
      </c>
      <c r="E53" s="29" t="s">
        <v>1221</v>
      </c>
      <c r="F53" s="29" t="s">
        <v>474</v>
      </c>
      <c r="G53" s="49">
        <v>45478</v>
      </c>
      <c r="H53" s="29"/>
      <c r="I53" s="29" t="s">
        <v>54</v>
      </c>
      <c r="J53" s="29"/>
      <c r="K53" s="24" t="s">
        <v>47</v>
      </c>
      <c r="L53" s="49">
        <v>45488</v>
      </c>
      <c r="M53" s="49">
        <v>45504</v>
      </c>
      <c r="N53" s="29">
        <f t="shared" si="1"/>
        <v>16</v>
      </c>
      <c r="O53" s="29" t="s">
        <v>14</v>
      </c>
      <c r="P53" t="s">
        <v>106</v>
      </c>
      <c r="Q53" t="s">
        <v>88</v>
      </c>
      <c r="R53" t="s">
        <v>88</v>
      </c>
      <c r="S53" t="s">
        <v>88</v>
      </c>
      <c r="T53" t="s">
        <v>88</v>
      </c>
      <c r="U53" t="s">
        <v>14</v>
      </c>
    </row>
    <row r="54" spans="1:21" x14ac:dyDescent="0.45">
      <c r="A54" s="29">
        <v>159922936</v>
      </c>
      <c r="B54" s="29" t="str">
        <f t="shared" si="3"/>
        <v>15.992.293-6</v>
      </c>
      <c r="C54" s="22" t="s">
        <v>46</v>
      </c>
      <c r="D54" s="29" t="s">
        <v>344</v>
      </c>
      <c r="E54" s="29" t="s">
        <v>344</v>
      </c>
      <c r="F54" s="29" t="s">
        <v>380</v>
      </c>
      <c r="G54" s="49">
        <v>45433</v>
      </c>
      <c r="H54" s="29"/>
      <c r="I54" s="29"/>
      <c r="J54" s="29"/>
      <c r="K54" s="24" t="s">
        <v>43</v>
      </c>
      <c r="L54" s="49">
        <v>45474</v>
      </c>
      <c r="M54" s="49">
        <v>45504</v>
      </c>
      <c r="N54" s="29">
        <f t="shared" si="1"/>
        <v>30</v>
      </c>
      <c r="O54" s="29"/>
      <c r="P54" t="s">
        <v>88</v>
      </c>
      <c r="Q54" t="s">
        <v>88</v>
      </c>
      <c r="R54" t="s">
        <v>88</v>
      </c>
      <c r="S54" t="s">
        <v>88</v>
      </c>
      <c r="T54" t="s">
        <v>88</v>
      </c>
      <c r="U54" t="s">
        <v>20</v>
      </c>
    </row>
    <row r="55" spans="1:21" x14ac:dyDescent="0.45">
      <c r="A55" s="29">
        <v>68293448</v>
      </c>
      <c r="B55" s="29" t="str">
        <f t="shared" si="3"/>
        <v>6.829.344-8</v>
      </c>
      <c r="C55" s="22" t="s">
        <v>46</v>
      </c>
      <c r="D55" s="29" t="s">
        <v>1222</v>
      </c>
      <c r="E55" s="29" t="s">
        <v>1191</v>
      </c>
      <c r="F55" s="29" t="s">
        <v>663</v>
      </c>
      <c r="G55" s="49">
        <v>45462</v>
      </c>
      <c r="H55" s="29"/>
      <c r="I55" s="29"/>
      <c r="J55" s="29"/>
      <c r="K55" s="24" t="s">
        <v>43</v>
      </c>
      <c r="L55" s="49">
        <v>45474</v>
      </c>
      <c r="M55" s="49">
        <v>45502</v>
      </c>
      <c r="N55" s="29">
        <f t="shared" si="1"/>
        <v>28</v>
      </c>
      <c r="O55" s="29"/>
      <c r="P55" t="s">
        <v>88</v>
      </c>
      <c r="Q55" t="s">
        <v>88</v>
      </c>
      <c r="R55" t="s">
        <v>88</v>
      </c>
      <c r="S55" t="s">
        <v>88</v>
      </c>
      <c r="T55" t="s">
        <v>88</v>
      </c>
      <c r="U55" t="s">
        <v>20</v>
      </c>
    </row>
    <row r="56" spans="1:21" x14ac:dyDescent="0.45">
      <c r="A56" s="29">
        <v>35472460</v>
      </c>
      <c r="B56" s="29" t="str">
        <f t="shared" si="3"/>
        <v>3.547.246-0</v>
      </c>
      <c r="C56" s="22" t="s">
        <v>38</v>
      </c>
      <c r="D56" s="29" t="s">
        <v>1201</v>
      </c>
      <c r="E56" s="29" t="s">
        <v>387</v>
      </c>
      <c r="F56" s="29" t="s">
        <v>1223</v>
      </c>
      <c r="G56" s="49">
        <v>45476</v>
      </c>
      <c r="H56" s="49">
        <v>45478</v>
      </c>
      <c r="I56" s="29"/>
      <c r="J56" s="29" t="s">
        <v>56</v>
      </c>
      <c r="K56" s="24" t="s">
        <v>47</v>
      </c>
      <c r="L56" s="49">
        <v>45476</v>
      </c>
      <c r="M56" s="49">
        <v>45478</v>
      </c>
      <c r="N56" s="29">
        <f t="shared" si="1"/>
        <v>2</v>
      </c>
      <c r="O56" s="29"/>
      <c r="P56" t="s">
        <v>88</v>
      </c>
      <c r="Q56" t="s">
        <v>88</v>
      </c>
      <c r="R56" t="s">
        <v>88</v>
      </c>
      <c r="S56" t="s">
        <v>88</v>
      </c>
      <c r="T56" t="s">
        <v>88</v>
      </c>
      <c r="U56" t="s">
        <v>20</v>
      </c>
    </row>
    <row r="57" spans="1:21" x14ac:dyDescent="0.45">
      <c r="A57" s="29">
        <v>162397850</v>
      </c>
      <c r="B57" s="29" t="str">
        <f t="shared" si="3"/>
        <v>16.239.785-0</v>
      </c>
      <c r="C57" s="22" t="s">
        <v>38</v>
      </c>
      <c r="D57" s="29" t="s">
        <v>363</v>
      </c>
      <c r="E57" s="29" t="s">
        <v>262</v>
      </c>
      <c r="F57" s="29" t="s">
        <v>1224</v>
      </c>
      <c r="G57" s="49">
        <v>45477</v>
      </c>
      <c r="H57" s="49">
        <v>45488</v>
      </c>
      <c r="I57" s="29"/>
      <c r="J57" s="29"/>
      <c r="K57" s="24" t="s">
        <v>43</v>
      </c>
      <c r="L57" s="49">
        <v>45477</v>
      </c>
      <c r="M57" s="49">
        <v>45488</v>
      </c>
      <c r="N57" s="29">
        <f t="shared" si="1"/>
        <v>11</v>
      </c>
      <c r="O57" s="29"/>
      <c r="P57" t="s">
        <v>88</v>
      </c>
      <c r="Q57" t="s">
        <v>88</v>
      </c>
      <c r="R57" t="s">
        <v>88</v>
      </c>
      <c r="S57" t="s">
        <v>88</v>
      </c>
      <c r="T57" t="s">
        <v>88</v>
      </c>
      <c r="U57" t="s">
        <v>20</v>
      </c>
    </row>
    <row r="58" spans="1:21" x14ac:dyDescent="0.45">
      <c r="A58" s="29">
        <v>43578588</v>
      </c>
      <c r="B58" s="29" t="str">
        <f t="shared" si="3"/>
        <v>4.357.858-8</v>
      </c>
      <c r="C58" s="22" t="s">
        <v>38</v>
      </c>
      <c r="D58" s="29" t="s">
        <v>781</v>
      </c>
      <c r="E58" s="29" t="s">
        <v>781</v>
      </c>
      <c r="F58" s="29" t="s">
        <v>508</v>
      </c>
      <c r="G58" s="49">
        <v>45468</v>
      </c>
      <c r="H58" s="49">
        <v>45479</v>
      </c>
      <c r="I58" s="29"/>
      <c r="J58" s="29" t="s">
        <v>24</v>
      </c>
      <c r="K58" s="24" t="s">
        <v>43</v>
      </c>
      <c r="L58" s="49">
        <v>45474</v>
      </c>
      <c r="M58" s="49">
        <v>45479</v>
      </c>
      <c r="N58" s="29">
        <f t="shared" si="1"/>
        <v>5</v>
      </c>
      <c r="O58" s="29"/>
      <c r="P58" t="s">
        <v>88</v>
      </c>
      <c r="Q58" t="s">
        <v>88</v>
      </c>
      <c r="R58" t="s">
        <v>88</v>
      </c>
      <c r="S58" t="s">
        <v>88</v>
      </c>
      <c r="T58" t="s">
        <v>88</v>
      </c>
      <c r="U58" t="s">
        <v>20</v>
      </c>
    </row>
    <row r="59" spans="1:21" x14ac:dyDescent="0.45">
      <c r="A59" s="29">
        <v>101208710</v>
      </c>
      <c r="B59" s="29" t="str">
        <f t="shared" si="3"/>
        <v>10.120.871-0</v>
      </c>
      <c r="C59" s="22" t="s">
        <v>38</v>
      </c>
      <c r="D59" s="29" t="s">
        <v>465</v>
      </c>
      <c r="E59" s="29" t="s">
        <v>616</v>
      </c>
      <c r="F59" s="29" t="s">
        <v>504</v>
      </c>
      <c r="G59" s="49">
        <v>45474</v>
      </c>
      <c r="H59" s="49">
        <v>45481</v>
      </c>
      <c r="I59" s="29"/>
      <c r="J59" s="29" t="s">
        <v>13</v>
      </c>
      <c r="K59" s="24" t="s">
        <v>43</v>
      </c>
      <c r="L59" s="49">
        <v>45474</v>
      </c>
      <c r="M59" s="49">
        <v>45481</v>
      </c>
      <c r="N59" s="29">
        <f t="shared" si="1"/>
        <v>7</v>
      </c>
      <c r="O59" s="29"/>
      <c r="P59" t="s">
        <v>88</v>
      </c>
      <c r="Q59" t="s">
        <v>88</v>
      </c>
      <c r="R59" t="s">
        <v>88</v>
      </c>
      <c r="S59" t="s">
        <v>88</v>
      </c>
      <c r="T59" t="s">
        <v>88</v>
      </c>
      <c r="U59" t="s">
        <v>20</v>
      </c>
    </row>
    <row r="60" spans="1:21" x14ac:dyDescent="0.45">
      <c r="A60" s="29">
        <v>75079486</v>
      </c>
      <c r="B60" s="29" t="str">
        <f t="shared" si="3"/>
        <v>7.507.948-6</v>
      </c>
      <c r="C60" s="22" t="s">
        <v>30</v>
      </c>
      <c r="D60" s="29" t="s">
        <v>403</v>
      </c>
      <c r="E60" s="29" t="s">
        <v>403</v>
      </c>
      <c r="F60" s="29" t="s">
        <v>782</v>
      </c>
      <c r="G60" s="49">
        <v>45472</v>
      </c>
      <c r="H60" s="49">
        <v>45480</v>
      </c>
      <c r="I60" s="29"/>
      <c r="J60" s="29"/>
      <c r="K60" s="24" t="s">
        <v>43</v>
      </c>
      <c r="L60" s="49">
        <v>45474</v>
      </c>
      <c r="M60" s="49">
        <v>45480</v>
      </c>
      <c r="N60" s="29">
        <f t="shared" si="1"/>
        <v>6</v>
      </c>
      <c r="O60" s="29"/>
      <c r="P60" t="s">
        <v>88</v>
      </c>
      <c r="Q60" t="s">
        <v>88</v>
      </c>
      <c r="R60" t="s">
        <v>88</v>
      </c>
      <c r="S60" t="s">
        <v>88</v>
      </c>
      <c r="T60" t="s">
        <v>88</v>
      </c>
      <c r="U60" t="s">
        <v>20</v>
      </c>
    </row>
    <row r="61" spans="1:21" x14ac:dyDescent="0.45">
      <c r="A61" s="29">
        <v>64621858</v>
      </c>
      <c r="B61" s="29" t="str">
        <f t="shared" si="3"/>
        <v>6.462.185-8</v>
      </c>
      <c r="C61" s="22" t="s">
        <v>30</v>
      </c>
      <c r="D61" s="29" t="s">
        <v>1225</v>
      </c>
      <c r="E61" s="29" t="s">
        <v>236</v>
      </c>
      <c r="F61" s="29" t="s">
        <v>1226</v>
      </c>
      <c r="G61" s="49">
        <v>45474</v>
      </c>
      <c r="H61" s="49">
        <v>45480</v>
      </c>
      <c r="I61" s="29"/>
      <c r="J61" s="29"/>
      <c r="K61" s="24" t="s">
        <v>43</v>
      </c>
      <c r="L61" s="49">
        <v>45474</v>
      </c>
      <c r="M61" s="49">
        <v>45479</v>
      </c>
      <c r="N61" s="29">
        <f t="shared" si="1"/>
        <v>5</v>
      </c>
      <c r="O61" s="29"/>
      <c r="P61" t="s">
        <v>90</v>
      </c>
      <c r="Q61" t="s">
        <v>88</v>
      </c>
      <c r="R61" t="s">
        <v>88</v>
      </c>
      <c r="S61" t="s">
        <v>88</v>
      </c>
      <c r="T61" t="s">
        <v>88</v>
      </c>
      <c r="U61" t="s">
        <v>20</v>
      </c>
    </row>
    <row r="62" spans="1:21" x14ac:dyDescent="0.45">
      <c r="A62" s="29">
        <v>64621858</v>
      </c>
      <c r="B62" s="29" t="str">
        <f t="shared" si="3"/>
        <v>6.462.185-8</v>
      </c>
      <c r="C62" s="22" t="str">
        <f>IF(IFERROR(VLOOKUP(A62,$A$10:$I61,1,0),0)=0,"",VLOOKUP(A62,$A$10:$I61,3,0))</f>
        <v>UCO</v>
      </c>
      <c r="D62" s="29" t="str">
        <f>IF(IFERROR(VLOOKUP(A62,$A$10:$I61,1,0),0)=0,"",VLOOKUP(A62,$A$10:$I61,4,0))</f>
        <v>VELOSO</v>
      </c>
      <c r="E62" s="29" t="str">
        <f>IF(IFERROR(VLOOKUP(A62,$A$10:$I61,1,0),0)=0,"",VLOOKUP(A62,$A$10:$I61,5,0))</f>
        <v>LARA</v>
      </c>
      <c r="F62" s="29" t="str">
        <f>IF(IFERROR(VLOOKUP(A62,$A$10:$I61,1,0),0)=0,"",VLOOKUP(A62,$A$10:$I61,6,0))</f>
        <v>GUILLERMINA</v>
      </c>
      <c r="G62" s="49">
        <f>IF(IFERROR(VLOOKUP(A62,$A$10:$I61,1,0),0)=0,"",VLOOKUP(A62,$A$10:$I61,7,0))</f>
        <v>45474</v>
      </c>
      <c r="H62" s="49">
        <v>45480</v>
      </c>
      <c r="I62" s="29"/>
      <c r="J62" s="29"/>
      <c r="K62" s="24" t="s">
        <v>47</v>
      </c>
      <c r="L62" s="49">
        <v>45474</v>
      </c>
      <c r="M62" s="49">
        <v>45477</v>
      </c>
      <c r="N62" s="29">
        <f t="shared" si="1"/>
        <v>3</v>
      </c>
      <c r="O62" s="29"/>
      <c r="P62" t="s">
        <v>88</v>
      </c>
      <c r="Q62" t="s">
        <v>88</v>
      </c>
      <c r="R62" t="s">
        <v>88</v>
      </c>
      <c r="S62" t="s">
        <v>88</v>
      </c>
      <c r="T62" t="s">
        <v>88</v>
      </c>
      <c r="U62" t="s">
        <v>20</v>
      </c>
    </row>
    <row r="63" spans="1:21" x14ac:dyDescent="0.45">
      <c r="A63" s="29">
        <v>142785579</v>
      </c>
      <c r="B63" s="29" t="str">
        <f t="shared" si="3"/>
        <v>14.278.557-9</v>
      </c>
      <c r="C63" s="22" t="s">
        <v>30</v>
      </c>
      <c r="D63" s="29" t="s">
        <v>559</v>
      </c>
      <c r="E63" s="29" t="s">
        <v>559</v>
      </c>
      <c r="F63" s="29" t="s">
        <v>437</v>
      </c>
      <c r="G63" s="49">
        <v>45473</v>
      </c>
      <c r="H63" s="49">
        <v>45476</v>
      </c>
      <c r="I63" s="29"/>
      <c r="J63" s="29"/>
      <c r="K63" s="24" t="s">
        <v>43</v>
      </c>
      <c r="L63" s="49">
        <v>45474</v>
      </c>
      <c r="M63" s="49">
        <v>45476</v>
      </c>
      <c r="N63" s="29">
        <f t="shared" si="1"/>
        <v>2</v>
      </c>
      <c r="O63" s="29"/>
      <c r="P63" t="s">
        <v>88</v>
      </c>
      <c r="Q63" t="s">
        <v>88</v>
      </c>
      <c r="R63" t="s">
        <v>88</v>
      </c>
      <c r="S63" t="s">
        <v>88</v>
      </c>
      <c r="T63" t="s">
        <v>88</v>
      </c>
      <c r="U63" t="s">
        <v>20</v>
      </c>
    </row>
    <row r="64" spans="1:21" x14ac:dyDescent="0.45">
      <c r="A64" s="29">
        <v>142785579</v>
      </c>
      <c r="B64" s="29" t="str">
        <f t="shared" si="3"/>
        <v>14.278.557-9</v>
      </c>
      <c r="C64" s="22" t="str">
        <f>IF(IFERROR(VLOOKUP(A64,$A$10:$I63,1,0),0)=0,"",VLOOKUP(A64,$A$10:$I63,3,0))</f>
        <v>UCO</v>
      </c>
      <c r="D64" s="29" t="str">
        <f>IF(IFERROR(VLOOKUP(A64,$A$10:$I63,1,0),0)=0,"",VLOOKUP(A64,$A$10:$I63,4,0))</f>
        <v>SEPULVEDA</v>
      </c>
      <c r="E64" s="29" t="str">
        <f>IF(IFERROR(VLOOKUP(A64,$A$10:$I63,1,0),0)=0,"",VLOOKUP(A64,$A$10:$I63,5,0))</f>
        <v>SEPULVEDA</v>
      </c>
      <c r="F64" s="29" t="str">
        <f>IF(IFERROR(VLOOKUP(A64,$A$10:$I63,1,0),0)=0,"",VLOOKUP(A64,$A$10:$I63,6,0))</f>
        <v>MARCELO</v>
      </c>
      <c r="G64" s="49">
        <f>IF(IFERROR(VLOOKUP(A64,$A$10:$I63,1,0),0)=0,"",VLOOKUP(A64,$A$10:$I63,7,0))</f>
        <v>45473</v>
      </c>
      <c r="H64" s="29"/>
      <c r="I64" s="29"/>
      <c r="J64" s="29"/>
      <c r="K64" s="24" t="s">
        <v>47</v>
      </c>
      <c r="L64" s="49">
        <v>45474</v>
      </c>
      <c r="M64" s="49">
        <v>45476</v>
      </c>
      <c r="N64" s="29">
        <f t="shared" si="1"/>
        <v>2</v>
      </c>
      <c r="O64" s="29"/>
      <c r="P64" t="s">
        <v>88</v>
      </c>
      <c r="Q64" t="s">
        <v>88</v>
      </c>
      <c r="R64" t="s">
        <v>88</v>
      </c>
      <c r="S64" t="s">
        <v>88</v>
      </c>
      <c r="T64" t="s">
        <v>88</v>
      </c>
      <c r="U64" t="s">
        <v>20</v>
      </c>
    </row>
    <row r="65" spans="1:21" x14ac:dyDescent="0.45">
      <c r="A65" s="79" t="s">
        <v>1227</v>
      </c>
      <c r="B65" s="29" t="str">
        <f t="shared" si="3"/>
        <v>6.310.087-K</v>
      </c>
      <c r="C65" s="22" t="s">
        <v>22</v>
      </c>
      <c r="D65" s="29" t="s">
        <v>1228</v>
      </c>
      <c r="E65" s="29" t="s">
        <v>632</v>
      </c>
      <c r="F65" s="29" t="s">
        <v>971</v>
      </c>
      <c r="G65" s="49">
        <v>45477</v>
      </c>
      <c r="H65" s="29"/>
      <c r="I65" s="29"/>
      <c r="J65" s="29"/>
      <c r="K65" s="24" t="s">
        <v>43</v>
      </c>
      <c r="L65" s="49">
        <v>45477</v>
      </c>
      <c r="M65" s="49">
        <v>45478</v>
      </c>
      <c r="N65" s="29">
        <f t="shared" si="1"/>
        <v>1</v>
      </c>
      <c r="O65" s="29"/>
      <c r="P65" t="s">
        <v>88</v>
      </c>
      <c r="Q65" t="s">
        <v>88</v>
      </c>
      <c r="R65" t="s">
        <v>88</v>
      </c>
      <c r="S65" t="s">
        <v>88</v>
      </c>
      <c r="T65" t="s">
        <v>88</v>
      </c>
      <c r="U65" t="s">
        <v>20</v>
      </c>
    </row>
    <row r="66" spans="1:21" x14ac:dyDescent="0.45">
      <c r="A66" s="79">
        <v>52681812</v>
      </c>
      <c r="B66" s="29" t="str">
        <f t="shared" si="3"/>
        <v>5.268.181-2</v>
      </c>
      <c r="C66" s="22" t="s">
        <v>22</v>
      </c>
      <c r="D66" s="29" t="s">
        <v>285</v>
      </c>
      <c r="E66" s="29" t="s">
        <v>439</v>
      </c>
      <c r="F66" s="29" t="s">
        <v>933</v>
      </c>
      <c r="G66" s="49">
        <v>45474</v>
      </c>
      <c r="H66" s="49">
        <v>45480</v>
      </c>
      <c r="I66" s="29"/>
      <c r="J66" s="29" t="s">
        <v>22</v>
      </c>
      <c r="K66" s="24" t="s">
        <v>43</v>
      </c>
      <c r="L66" s="49">
        <v>45474</v>
      </c>
      <c r="M66" s="49">
        <v>45480</v>
      </c>
      <c r="N66" s="29">
        <f t="shared" si="1"/>
        <v>6</v>
      </c>
      <c r="O66" s="29"/>
      <c r="P66" t="s">
        <v>88</v>
      </c>
      <c r="Q66" t="s">
        <v>88</v>
      </c>
      <c r="R66" t="s">
        <v>88</v>
      </c>
      <c r="S66" t="s">
        <v>88</v>
      </c>
      <c r="T66" t="s">
        <v>88</v>
      </c>
      <c r="U66" t="s">
        <v>20</v>
      </c>
    </row>
    <row r="67" spans="1:21" x14ac:dyDescent="0.45">
      <c r="A67" s="79">
        <v>52681812</v>
      </c>
      <c r="B67" s="29" t="str">
        <f t="shared" si="3"/>
        <v>5.268.181-2</v>
      </c>
      <c r="C67" s="22" t="s">
        <v>22</v>
      </c>
      <c r="D67" s="29" t="str">
        <f>IF(IFERROR(VLOOKUP(A67,$A$10:$I66,1,0),0)=0,"",VLOOKUP(A67,$A$10:$I66,4,0))</f>
        <v>JARA</v>
      </c>
      <c r="E67" s="29" t="str">
        <f>IF(IFERROR(VLOOKUP(A67,$A$10:$I66,1,0),0)=0,"",VLOOKUP(A67,$A$10:$I66,5,0))</f>
        <v>GONZALEZ</v>
      </c>
      <c r="F67" s="29" t="str">
        <f>IF(IFERROR(VLOOKUP(A67,$A$10:$I66,1,0),0)=0,"",VLOOKUP(A67,$A$10:$I66,6,0))</f>
        <v>JAIME</v>
      </c>
      <c r="G67" s="49">
        <v>45480</v>
      </c>
      <c r="H67" s="49">
        <v>45487</v>
      </c>
      <c r="I67" s="29"/>
      <c r="J67" s="29" t="s">
        <v>24</v>
      </c>
      <c r="K67" s="24" t="s">
        <v>43</v>
      </c>
      <c r="L67" s="49">
        <v>45480</v>
      </c>
      <c r="M67" s="49">
        <v>45487</v>
      </c>
      <c r="N67" s="29">
        <f t="shared" si="1"/>
        <v>7</v>
      </c>
      <c r="O67" s="29"/>
      <c r="P67" t="s">
        <v>88</v>
      </c>
      <c r="Q67" t="s">
        <v>88</v>
      </c>
      <c r="R67" t="s">
        <v>88</v>
      </c>
      <c r="S67" t="s">
        <v>88</v>
      </c>
      <c r="T67" t="s">
        <v>88</v>
      </c>
      <c r="U67" t="s">
        <v>20</v>
      </c>
    </row>
    <row r="68" spans="1:21" x14ac:dyDescent="0.45">
      <c r="A68" s="29">
        <v>98464131</v>
      </c>
      <c r="B68" s="29" t="str">
        <f t="shared" si="3"/>
        <v>9.846.413-1</v>
      </c>
      <c r="C68" s="22" t="s">
        <v>22</v>
      </c>
      <c r="D68" s="29" t="s">
        <v>322</v>
      </c>
      <c r="E68" s="29" t="s">
        <v>353</v>
      </c>
      <c r="F68" s="29" t="s">
        <v>250</v>
      </c>
      <c r="G68" s="49">
        <v>45476</v>
      </c>
      <c r="H68" s="49">
        <v>45480</v>
      </c>
      <c r="I68" s="29"/>
      <c r="J68" s="29"/>
      <c r="K68" s="24" t="s">
        <v>43</v>
      </c>
      <c r="L68" s="49">
        <v>45476</v>
      </c>
      <c r="M68" s="49">
        <v>45480</v>
      </c>
      <c r="N68" s="29">
        <f t="shared" si="1"/>
        <v>4</v>
      </c>
      <c r="O68" s="29"/>
      <c r="P68" t="s">
        <v>88</v>
      </c>
      <c r="Q68" t="s">
        <v>88</v>
      </c>
      <c r="R68" t="s">
        <v>88</v>
      </c>
      <c r="S68" t="s">
        <v>88</v>
      </c>
      <c r="T68" t="s">
        <v>88</v>
      </c>
      <c r="U68" t="s">
        <v>20</v>
      </c>
    </row>
    <row r="69" spans="1:21" x14ac:dyDescent="0.45">
      <c r="A69" s="29">
        <v>98464131</v>
      </c>
      <c r="B69" s="29" t="str">
        <f t="shared" si="3"/>
        <v>9.846.413-1</v>
      </c>
      <c r="C69" s="22" t="str">
        <f>IF(IFERROR(VLOOKUP(A69,$A$10:$I68,1,0),0)=0,"",VLOOKUP(A69,$A$10:$I68,3,0))</f>
        <v>UCI</v>
      </c>
      <c r="D69" s="29" t="str">
        <f>IF(IFERROR(VLOOKUP(A69,$A$10:$I68,1,0),0)=0,"",VLOOKUP(A69,$A$10:$I68,4,0))</f>
        <v>VENEGAS</v>
      </c>
      <c r="E69" s="29" t="str">
        <f>IF(IFERROR(VLOOKUP(A69,$A$10:$I68,1,0),0)=0,"",VLOOKUP(A69,$A$10:$I68,5,0))</f>
        <v>BASTIAS</v>
      </c>
      <c r="F69" s="29" t="str">
        <f>IF(IFERROR(VLOOKUP(A69,$A$10:$I68,1,0),0)=0,"",VLOOKUP(A69,$A$10:$I68,6,0))</f>
        <v>JOSE</v>
      </c>
      <c r="G69" s="49">
        <v>45476</v>
      </c>
      <c r="H69" s="49">
        <v>45480</v>
      </c>
      <c r="I69" s="29"/>
      <c r="J69" s="29"/>
      <c r="K69" s="24" t="s">
        <v>47</v>
      </c>
      <c r="L69" s="49">
        <v>45476</v>
      </c>
      <c r="M69" s="49">
        <v>45480</v>
      </c>
      <c r="N69" s="29">
        <f t="shared" si="1"/>
        <v>4</v>
      </c>
      <c r="O69" s="29"/>
      <c r="P69" t="s">
        <v>88</v>
      </c>
      <c r="Q69" t="s">
        <v>88</v>
      </c>
      <c r="R69" t="s">
        <v>88</v>
      </c>
      <c r="S69" t="s">
        <v>88</v>
      </c>
      <c r="T69" t="s">
        <v>88</v>
      </c>
      <c r="U69" t="s">
        <v>20</v>
      </c>
    </row>
    <row r="70" spans="1:21" x14ac:dyDescent="0.45">
      <c r="A70" s="29" t="s">
        <v>1229</v>
      </c>
      <c r="B70" s="29" t="str">
        <f t="shared" si="3"/>
        <v>8.155.224-K</v>
      </c>
      <c r="C70" s="22" t="s">
        <v>22</v>
      </c>
      <c r="D70" s="29" t="s">
        <v>266</v>
      </c>
      <c r="E70" s="29" t="s">
        <v>266</v>
      </c>
      <c r="F70" s="29" t="s">
        <v>348</v>
      </c>
      <c r="G70" s="49">
        <v>45476</v>
      </c>
      <c r="H70" s="49">
        <v>45481</v>
      </c>
      <c r="I70" s="29"/>
      <c r="J70" s="29" t="s">
        <v>82</v>
      </c>
      <c r="K70" s="24" t="s">
        <v>43</v>
      </c>
      <c r="L70" s="49">
        <v>45476</v>
      </c>
      <c r="M70" s="49">
        <v>45481</v>
      </c>
      <c r="N70" s="29">
        <f t="shared" si="1"/>
        <v>5</v>
      </c>
      <c r="O70" s="29"/>
      <c r="P70" t="s">
        <v>88</v>
      </c>
      <c r="Q70" t="s">
        <v>88</v>
      </c>
      <c r="R70" t="s">
        <v>88</v>
      </c>
      <c r="S70" t="s">
        <v>88</v>
      </c>
      <c r="T70" t="s">
        <v>88</v>
      </c>
      <c r="U70" t="s">
        <v>20</v>
      </c>
    </row>
    <row r="71" spans="1:21" x14ac:dyDescent="0.45">
      <c r="A71" s="29" t="s">
        <v>1229</v>
      </c>
      <c r="B71" s="29" t="str">
        <f t="shared" si="3"/>
        <v>8.155.224-K</v>
      </c>
      <c r="C71" s="22" t="str">
        <f>IF(IFERROR(VLOOKUP(A71,$A$10:$I70,1,0),0)=0,"",VLOOKUP(A71,$A$10:$I70,3,0))</f>
        <v>UCI</v>
      </c>
      <c r="D71" s="29" t="str">
        <f>IF(IFERROR(VLOOKUP(A71,$A$10:$I70,1,0),0)=0,"",VLOOKUP(A71,$A$10:$I70,4,0))</f>
        <v>SOTO</v>
      </c>
      <c r="E71" s="29" t="str">
        <f>IF(IFERROR(VLOOKUP(A71,$A$10:$I70,1,0),0)=0,"",VLOOKUP(A71,$A$10:$I70,5,0))</f>
        <v>SOTO</v>
      </c>
      <c r="F71" s="29" t="str">
        <f>IF(IFERROR(VLOOKUP(A71,$A$10:$I70,1,0),0)=0,"",VLOOKUP(A71,$A$10:$I70,6,0))</f>
        <v>MARIA</v>
      </c>
      <c r="G71" s="49">
        <v>45476</v>
      </c>
      <c r="H71" s="49">
        <v>45481</v>
      </c>
      <c r="I71" s="29"/>
      <c r="J71" s="29" t="s">
        <v>82</v>
      </c>
      <c r="K71" s="24" t="s">
        <v>47</v>
      </c>
      <c r="L71" s="49">
        <v>45476</v>
      </c>
      <c r="M71" s="49">
        <v>45481</v>
      </c>
      <c r="N71" s="29">
        <f t="shared" si="1"/>
        <v>5</v>
      </c>
      <c r="O71" s="29"/>
      <c r="P71" t="s">
        <v>88</v>
      </c>
      <c r="Q71" t="s">
        <v>88</v>
      </c>
      <c r="R71" t="s">
        <v>88</v>
      </c>
      <c r="S71" t="s">
        <v>88</v>
      </c>
      <c r="T71" t="s">
        <v>88</v>
      </c>
      <c r="U71" t="s">
        <v>20</v>
      </c>
    </row>
    <row r="72" spans="1:21" x14ac:dyDescent="0.45">
      <c r="A72" s="29" t="s">
        <v>1229</v>
      </c>
      <c r="B72" s="29" t="str">
        <f t="shared" si="3"/>
        <v>8.155.224-K</v>
      </c>
      <c r="C72" s="22" t="str">
        <f>IF(IFERROR(VLOOKUP(A72,$A$10:$I71,1,0),0)=0,"",VLOOKUP(A72,$A$10:$I71,3,0))</f>
        <v>UCI</v>
      </c>
      <c r="D72" s="29" t="str">
        <f>IF(IFERROR(VLOOKUP(A72,$A$10:$I71,1,0),0)=0,"",VLOOKUP(A72,$A$10:$I71,4,0))</f>
        <v>SOTO</v>
      </c>
      <c r="E72" s="29" t="str">
        <f>IF(IFERROR(VLOOKUP(A72,$A$10:$I71,1,0),0)=0,"",VLOOKUP(A72,$A$10:$I71,5,0))</f>
        <v>SOTO</v>
      </c>
      <c r="F72" s="29" t="str">
        <f>IF(IFERROR(VLOOKUP(A72,$A$10:$I71,1,0),0)=0,"",VLOOKUP(A72,$A$10:$I71,6,0))</f>
        <v>MARIA</v>
      </c>
      <c r="G72" s="49">
        <v>45476</v>
      </c>
      <c r="H72" s="49">
        <v>45481</v>
      </c>
      <c r="I72" s="29"/>
      <c r="J72" s="29" t="s">
        <v>82</v>
      </c>
      <c r="K72" s="24" t="s">
        <v>55</v>
      </c>
      <c r="L72" s="49">
        <v>45476</v>
      </c>
      <c r="M72" s="49">
        <v>45481</v>
      </c>
      <c r="N72" s="29">
        <f t="shared" ref="N72:N135" si="4">+M72-L72</f>
        <v>5</v>
      </c>
      <c r="O72" s="29"/>
      <c r="P72" t="s">
        <v>88</v>
      </c>
      <c r="Q72" t="s">
        <v>88</v>
      </c>
      <c r="R72" t="s">
        <v>88</v>
      </c>
      <c r="S72" t="s">
        <v>88</v>
      </c>
      <c r="T72" t="s">
        <v>88</v>
      </c>
      <c r="U72" t="s">
        <v>20</v>
      </c>
    </row>
    <row r="73" spans="1:21" x14ac:dyDescent="0.45">
      <c r="A73" s="29" t="s">
        <v>1229</v>
      </c>
      <c r="B73" s="29" t="str">
        <f t="shared" si="3"/>
        <v>8.155.224-K</v>
      </c>
      <c r="C73" s="22" t="str">
        <f>IF(IFERROR(VLOOKUP(A73,$A$10:$I72,1,0),0)=0,"",VLOOKUP(A73,$A$10:$I72,3,0))</f>
        <v>UCI</v>
      </c>
      <c r="D73" s="29" t="str">
        <f>IF(IFERROR(VLOOKUP(A73,$A$10:$I72,1,0),0)=0,"",VLOOKUP(A73,$A$10:$I72,4,0))</f>
        <v>SOTO</v>
      </c>
      <c r="E73" s="29" t="str">
        <f>IF(IFERROR(VLOOKUP(A73,$A$10:$I72,1,0),0)=0,"",VLOOKUP(A73,$A$10:$I72,5,0))</f>
        <v>SOTO</v>
      </c>
      <c r="F73" s="29" t="str">
        <f>IF(IFERROR(VLOOKUP(A73,$A$10:$I72,1,0),0)=0,"",VLOOKUP(A73,$A$10:$I72,6,0))</f>
        <v>MARIA</v>
      </c>
      <c r="G73" s="49">
        <v>45476</v>
      </c>
      <c r="H73" s="49">
        <v>45481</v>
      </c>
      <c r="I73" s="29"/>
      <c r="J73" s="29" t="s">
        <v>82</v>
      </c>
      <c r="K73" s="24" t="s">
        <v>59</v>
      </c>
      <c r="L73" s="49">
        <v>45476</v>
      </c>
      <c r="M73" s="49">
        <v>45481</v>
      </c>
      <c r="N73" s="29">
        <f t="shared" si="4"/>
        <v>5</v>
      </c>
      <c r="O73" s="29"/>
      <c r="P73" t="s">
        <v>88</v>
      </c>
      <c r="Q73" t="s">
        <v>88</v>
      </c>
      <c r="R73" t="s">
        <v>88</v>
      </c>
      <c r="S73" t="s">
        <v>88</v>
      </c>
      <c r="T73" t="s">
        <v>88</v>
      </c>
      <c r="U73" t="s">
        <v>20</v>
      </c>
    </row>
    <row r="74" spans="1:21" x14ac:dyDescent="0.45">
      <c r="A74" s="29">
        <v>60138559</v>
      </c>
      <c r="B74" s="29" t="str">
        <f t="shared" si="3"/>
        <v>6.013.855-9</v>
      </c>
      <c r="C74" s="22" t="s">
        <v>22</v>
      </c>
      <c r="D74" s="29" t="s">
        <v>399</v>
      </c>
      <c r="E74" s="29" t="s">
        <v>558</v>
      </c>
      <c r="F74" s="29" t="s">
        <v>1230</v>
      </c>
      <c r="G74" s="49">
        <v>45474</v>
      </c>
      <c r="H74" s="49">
        <v>45480</v>
      </c>
      <c r="I74" s="29"/>
      <c r="J74" s="29" t="s">
        <v>22</v>
      </c>
      <c r="K74" s="24" t="s">
        <v>43</v>
      </c>
      <c r="L74" s="49">
        <v>45474</v>
      </c>
      <c r="M74" s="49">
        <v>45480</v>
      </c>
      <c r="N74" s="29">
        <f t="shared" si="4"/>
        <v>6</v>
      </c>
      <c r="O74" s="29"/>
      <c r="P74" t="s">
        <v>88</v>
      </c>
      <c r="Q74" t="s">
        <v>88</v>
      </c>
      <c r="R74" t="s">
        <v>88</v>
      </c>
      <c r="S74" t="s">
        <v>88</v>
      </c>
      <c r="T74" t="s">
        <v>88</v>
      </c>
      <c r="U74" t="s">
        <v>20</v>
      </c>
    </row>
    <row r="75" spans="1:21" x14ac:dyDescent="0.45">
      <c r="A75" s="29">
        <v>60138559</v>
      </c>
      <c r="B75" s="29" t="str">
        <f t="shared" si="3"/>
        <v>6.013.855-9</v>
      </c>
      <c r="C75" s="22" t="str">
        <f>IF(IFERROR(VLOOKUP(A75,$A$10:$I74,1,0),0)=0,"",VLOOKUP(A75,$A$10:$I74,3,0))</f>
        <v>UCI</v>
      </c>
      <c r="D75" s="29" t="str">
        <f>IF(IFERROR(VLOOKUP(A75,$A$10:$I74,1,0),0)=0,"",VLOOKUP(A75,$A$10:$I74,4,0))</f>
        <v>ARROYO</v>
      </c>
      <c r="E75" s="29" t="str">
        <f>IF(IFERROR(VLOOKUP(A75,$A$10:$I74,1,0),0)=0,"",VLOOKUP(A75,$A$10:$I74,5,0))</f>
        <v>CIFUENTES</v>
      </c>
      <c r="F75" s="29" t="str">
        <f>IF(IFERROR(VLOOKUP(A75,$A$10:$I74,1,0),0)=0,"",VLOOKUP(A75,$A$10:$I74,6,0))</f>
        <v>URBANO</v>
      </c>
      <c r="G75" s="49">
        <v>45474</v>
      </c>
      <c r="H75" s="49">
        <v>45480</v>
      </c>
      <c r="I75" s="29"/>
      <c r="J75" s="29" t="s">
        <v>22</v>
      </c>
      <c r="K75" s="24" t="s">
        <v>47</v>
      </c>
      <c r="L75" s="49">
        <v>45474</v>
      </c>
      <c r="M75" s="49">
        <v>45480</v>
      </c>
      <c r="N75" s="29">
        <f t="shared" si="4"/>
        <v>6</v>
      </c>
      <c r="O75" s="29"/>
      <c r="P75" t="s">
        <v>88</v>
      </c>
      <c r="Q75" t="s">
        <v>88</v>
      </c>
      <c r="R75" t="s">
        <v>88</v>
      </c>
      <c r="S75" t="s">
        <v>88</v>
      </c>
      <c r="T75" t="s">
        <v>88</v>
      </c>
      <c r="U75" t="s">
        <v>20</v>
      </c>
    </row>
    <row r="76" spans="1:21" x14ac:dyDescent="0.45">
      <c r="A76" s="29">
        <v>60138559</v>
      </c>
      <c r="B76" s="29" t="str">
        <f t="shared" si="3"/>
        <v>6.013.855-9</v>
      </c>
      <c r="C76" s="22" t="s">
        <v>22</v>
      </c>
      <c r="D76" s="29" t="str">
        <f>IF(IFERROR(VLOOKUP(A76,$A$10:$I75,1,0),0)=0,"",VLOOKUP(A76,$A$10:$I75,4,0))</f>
        <v>ARROYO</v>
      </c>
      <c r="E76" s="29" t="str">
        <f>IF(IFERROR(VLOOKUP(A76,$A$10:$I75,1,0),0)=0,"",VLOOKUP(A76,$A$10:$I75,5,0))</f>
        <v>CIFUENTES</v>
      </c>
      <c r="F76" s="29" t="str">
        <f>IF(IFERROR(VLOOKUP(A76,$A$10:$I75,1,0),0)=0,"",VLOOKUP(A76,$A$10:$I75,6,0))</f>
        <v>URBANO</v>
      </c>
      <c r="G76" s="49">
        <v>45480</v>
      </c>
      <c r="H76" s="49">
        <v>45485</v>
      </c>
      <c r="I76" s="29" t="s">
        <v>22</v>
      </c>
      <c r="J76" s="29" t="s">
        <v>56</v>
      </c>
      <c r="K76" s="24" t="s">
        <v>43</v>
      </c>
      <c r="L76" s="49">
        <v>45480</v>
      </c>
      <c r="M76" s="49">
        <v>45485</v>
      </c>
      <c r="N76" s="29">
        <f t="shared" si="4"/>
        <v>5</v>
      </c>
      <c r="O76" s="29"/>
      <c r="P76" t="s">
        <v>88</v>
      </c>
      <c r="Q76" t="s">
        <v>88</v>
      </c>
      <c r="R76" t="s">
        <v>88</v>
      </c>
      <c r="S76" t="s">
        <v>88</v>
      </c>
      <c r="T76" t="s">
        <v>88</v>
      </c>
      <c r="U76" t="s">
        <v>20</v>
      </c>
    </row>
    <row r="77" spans="1:21" ht="17.25" customHeight="1" x14ac:dyDescent="0.45">
      <c r="A77" s="29">
        <v>46374851</v>
      </c>
      <c r="B77" s="29" t="str">
        <f t="shared" si="3"/>
        <v>4.637.485-1</v>
      </c>
      <c r="C77" s="22" t="s">
        <v>22</v>
      </c>
      <c r="D77" s="29" t="s">
        <v>1231</v>
      </c>
      <c r="E77" s="29" t="s">
        <v>1232</v>
      </c>
      <c r="F77" s="29" t="s">
        <v>1233</v>
      </c>
      <c r="G77" s="49">
        <v>45477</v>
      </c>
      <c r="H77" s="49">
        <v>45483</v>
      </c>
      <c r="I77" s="29"/>
      <c r="J77" s="29"/>
      <c r="K77" s="24" t="s">
        <v>43</v>
      </c>
      <c r="L77" s="49">
        <v>45477</v>
      </c>
      <c r="M77" s="49">
        <v>45483</v>
      </c>
      <c r="N77" s="29">
        <f t="shared" si="4"/>
        <v>6</v>
      </c>
      <c r="O77" s="29"/>
      <c r="P77" t="s">
        <v>88</v>
      </c>
      <c r="Q77" t="s">
        <v>88</v>
      </c>
      <c r="R77" t="s">
        <v>88</v>
      </c>
      <c r="S77" t="s">
        <v>88</v>
      </c>
      <c r="T77" t="s">
        <v>88</v>
      </c>
      <c r="U77" t="s">
        <v>20</v>
      </c>
    </row>
    <row r="78" spans="1:21" x14ac:dyDescent="0.45">
      <c r="A78" s="29">
        <v>46374851</v>
      </c>
      <c r="B78" s="29" t="str">
        <f t="shared" si="3"/>
        <v>4.637.485-1</v>
      </c>
      <c r="C78" s="22" t="str">
        <f>IF(IFERROR(VLOOKUP(A78,$A$10:$I77,1,0),0)=0,"",VLOOKUP(A78,$A$10:$I77,3,0))</f>
        <v>UCI</v>
      </c>
      <c r="D78" s="29" t="str">
        <f>IF(IFERROR(VLOOKUP(A78,$A$10:$I77,1,0),0)=0,"",VLOOKUP(A78,$A$10:$I77,4,0))</f>
        <v>RISSO</v>
      </c>
      <c r="E78" s="29" t="str">
        <f>IF(IFERROR(VLOOKUP(A78,$A$10:$I77,1,0),0)=0,"",VLOOKUP(A78,$A$10:$I77,5,0))</f>
        <v>CHARPE</v>
      </c>
      <c r="F78" s="29" t="str">
        <f>IF(IFERROR(VLOOKUP(A78,$A$10:$I77,1,0),0)=0,"",VLOOKUP(A78,$A$10:$I77,6,0))</f>
        <v>LEONIDAS</v>
      </c>
      <c r="G78" s="49">
        <v>45477</v>
      </c>
      <c r="H78" s="49">
        <v>45483</v>
      </c>
      <c r="I78" s="29"/>
      <c r="J78" s="29"/>
      <c r="K78" s="24" t="s">
        <v>55</v>
      </c>
      <c r="L78" s="49">
        <v>45477</v>
      </c>
      <c r="M78" s="49">
        <v>45482</v>
      </c>
      <c r="N78" s="29">
        <f t="shared" si="4"/>
        <v>5</v>
      </c>
      <c r="O78" s="29"/>
      <c r="P78" t="s">
        <v>88</v>
      </c>
      <c r="Q78" t="s">
        <v>88</v>
      </c>
      <c r="R78" t="s">
        <v>88</v>
      </c>
      <c r="S78" t="s">
        <v>88</v>
      </c>
      <c r="T78" t="s">
        <v>88</v>
      </c>
      <c r="U78" t="s">
        <v>20</v>
      </c>
    </row>
    <row r="79" spans="1:21" x14ac:dyDescent="0.45">
      <c r="A79" s="29" t="s">
        <v>1234</v>
      </c>
      <c r="B79" s="29" t="str">
        <f t="shared" si="3"/>
        <v>5.485.210-K</v>
      </c>
      <c r="C79" s="22" t="s">
        <v>22</v>
      </c>
      <c r="D79" s="29" t="s">
        <v>461</v>
      </c>
      <c r="E79" s="29" t="s">
        <v>1235</v>
      </c>
      <c r="F79" s="29" t="s">
        <v>485</v>
      </c>
      <c r="G79" s="49">
        <v>45476</v>
      </c>
      <c r="H79" s="49">
        <v>45481</v>
      </c>
      <c r="I79" s="29" t="s">
        <v>22</v>
      </c>
      <c r="J79" s="29" t="s">
        <v>46</v>
      </c>
      <c r="K79" s="24" t="s">
        <v>43</v>
      </c>
      <c r="L79" s="49">
        <v>45476</v>
      </c>
      <c r="M79" s="49">
        <v>45481</v>
      </c>
      <c r="N79" s="29">
        <f t="shared" si="4"/>
        <v>5</v>
      </c>
      <c r="O79" s="29"/>
      <c r="P79" t="s">
        <v>88</v>
      </c>
      <c r="Q79" t="s">
        <v>88</v>
      </c>
      <c r="R79" t="s">
        <v>88</v>
      </c>
      <c r="S79" t="s">
        <v>88</v>
      </c>
      <c r="T79" t="s">
        <v>88</v>
      </c>
      <c r="U79" t="s">
        <v>20</v>
      </c>
    </row>
    <row r="80" spans="1:21" x14ac:dyDescent="0.45">
      <c r="A80" s="29">
        <v>70007150</v>
      </c>
      <c r="B80" s="29" t="str">
        <f t="shared" si="3"/>
        <v>7.000.715-0</v>
      </c>
      <c r="C80" s="22" t="s">
        <v>22</v>
      </c>
      <c r="D80" s="29" t="s">
        <v>322</v>
      </c>
      <c r="E80" s="29" t="s">
        <v>261</v>
      </c>
      <c r="F80" s="29" t="s">
        <v>1149</v>
      </c>
      <c r="G80" s="49">
        <v>45476</v>
      </c>
      <c r="H80" s="49">
        <v>45483</v>
      </c>
      <c r="I80" s="29" t="s">
        <v>22</v>
      </c>
      <c r="J80" s="29" t="s">
        <v>19</v>
      </c>
      <c r="K80" s="24" t="s">
        <v>43</v>
      </c>
      <c r="L80" s="49">
        <v>45476</v>
      </c>
      <c r="M80" s="49">
        <v>45483</v>
      </c>
      <c r="N80" s="29">
        <f t="shared" si="4"/>
        <v>7</v>
      </c>
      <c r="O80" s="29"/>
      <c r="P80" t="s">
        <v>88</v>
      </c>
      <c r="Q80" t="s">
        <v>88</v>
      </c>
      <c r="R80" t="s">
        <v>88</v>
      </c>
      <c r="S80" t="s">
        <v>88</v>
      </c>
      <c r="T80" t="s">
        <v>88</v>
      </c>
      <c r="U80" t="s">
        <v>20</v>
      </c>
    </row>
    <row r="81" spans="1:21" x14ac:dyDescent="0.45">
      <c r="A81" s="29">
        <v>70007150</v>
      </c>
      <c r="B81" s="29" t="str">
        <f t="shared" si="3"/>
        <v>7.000.715-0</v>
      </c>
      <c r="C81" s="22" t="str">
        <f>IF(IFERROR(VLOOKUP(A81,$A$10:$I80,1,0),0)=0,"",VLOOKUP(A81,$A$10:$I80,3,0))</f>
        <v>UCI</v>
      </c>
      <c r="D81" s="29" t="str">
        <f>IF(IFERROR(VLOOKUP(A81,$A$10:$I80,1,0),0)=0,"",VLOOKUP(A81,$A$10:$I80,4,0))</f>
        <v>VENEGAS</v>
      </c>
      <c r="E81" s="29" t="str">
        <f>IF(IFERROR(VLOOKUP(A81,$A$10:$I80,1,0),0)=0,"",VLOOKUP(A81,$A$10:$I80,5,0))</f>
        <v>ARAVENA</v>
      </c>
      <c r="F81" s="29" t="str">
        <f>IF(IFERROR(VLOOKUP(A81,$A$10:$I80,1,0),0)=0,"",VLOOKUP(A81,$A$10:$I80,6,0))</f>
        <v>FLORENCIO</v>
      </c>
      <c r="G81" s="49">
        <v>45476</v>
      </c>
      <c r="H81" s="49">
        <v>45483</v>
      </c>
      <c r="I81" s="29" t="s">
        <v>22</v>
      </c>
      <c r="J81" s="29" t="s">
        <v>19</v>
      </c>
      <c r="K81" s="24" t="s">
        <v>47</v>
      </c>
      <c r="L81" s="49">
        <v>45476</v>
      </c>
      <c r="M81" s="49">
        <v>45483</v>
      </c>
      <c r="N81" s="29">
        <f t="shared" si="4"/>
        <v>7</v>
      </c>
      <c r="O81" s="29"/>
      <c r="P81" t="s">
        <v>88</v>
      </c>
      <c r="Q81" t="s">
        <v>88</v>
      </c>
      <c r="R81" t="s">
        <v>88</v>
      </c>
      <c r="S81" t="s">
        <v>88</v>
      </c>
      <c r="T81" t="s">
        <v>88</v>
      </c>
      <c r="U81" t="s">
        <v>20</v>
      </c>
    </row>
    <row r="82" spans="1:21" x14ac:dyDescent="0.45">
      <c r="A82" s="29">
        <v>120881833</v>
      </c>
      <c r="B82" s="29" t="str">
        <f t="shared" si="3"/>
        <v>12.088.183-3</v>
      </c>
      <c r="C82" s="22" t="s">
        <v>22</v>
      </c>
      <c r="D82" s="29" t="s">
        <v>493</v>
      </c>
      <c r="E82" s="29" t="s">
        <v>312</v>
      </c>
      <c r="F82" s="29" t="s">
        <v>1236</v>
      </c>
      <c r="G82" s="49">
        <v>45476</v>
      </c>
      <c r="H82" s="49">
        <v>45479</v>
      </c>
      <c r="I82" s="29" t="s">
        <v>22</v>
      </c>
      <c r="J82" s="29" t="s">
        <v>56</v>
      </c>
      <c r="K82" s="24" t="s">
        <v>43</v>
      </c>
      <c r="L82" s="49">
        <v>45476</v>
      </c>
      <c r="M82" s="49">
        <v>45479</v>
      </c>
      <c r="N82" s="29">
        <f t="shared" si="4"/>
        <v>3</v>
      </c>
      <c r="O82" s="29"/>
      <c r="P82" t="s">
        <v>88</v>
      </c>
      <c r="Q82" t="s">
        <v>88</v>
      </c>
      <c r="R82" t="s">
        <v>88</v>
      </c>
      <c r="S82" t="s">
        <v>88</v>
      </c>
      <c r="T82" t="s">
        <v>88</v>
      </c>
      <c r="U82" t="s">
        <v>20</v>
      </c>
    </row>
    <row r="83" spans="1:21" x14ac:dyDescent="0.45">
      <c r="A83" s="29">
        <v>120881833</v>
      </c>
      <c r="B83" s="29" t="str">
        <f t="shared" si="3"/>
        <v>12.088.183-3</v>
      </c>
      <c r="C83" s="22" t="str">
        <f>IF(IFERROR(VLOOKUP(A83,$A$10:$I82,1,0),0)=0,"",VLOOKUP(A83,$A$10:$I82,3,0))</f>
        <v>UCI</v>
      </c>
      <c r="D83" s="29" t="str">
        <f>IF(IFERROR(VLOOKUP(A83,$A$10:$I82,1,0),0)=0,"",VLOOKUP(A83,$A$10:$I82,4,0))</f>
        <v>BAEZA</v>
      </c>
      <c r="E83" s="29" t="str">
        <f>IF(IFERROR(VLOOKUP(A83,$A$10:$I82,1,0),0)=0,"",VLOOKUP(A83,$A$10:$I82,5,0))</f>
        <v>BUSTOS</v>
      </c>
      <c r="F83" s="29" t="str">
        <f>IF(IFERROR(VLOOKUP(A83,$A$10:$I82,1,0),0)=0,"",VLOOKUP(A83,$A$10:$I82,6,0))</f>
        <v>YASNA</v>
      </c>
      <c r="G83" s="49">
        <v>45476</v>
      </c>
      <c r="H83" s="49">
        <v>45479</v>
      </c>
      <c r="I83" s="29" t="s">
        <v>22</v>
      </c>
      <c r="J83" s="29" t="s">
        <v>56</v>
      </c>
      <c r="K83" s="24" t="s">
        <v>47</v>
      </c>
      <c r="L83" s="49">
        <v>45476</v>
      </c>
      <c r="M83" s="49">
        <v>45479</v>
      </c>
      <c r="N83" s="29">
        <f t="shared" si="4"/>
        <v>3</v>
      </c>
      <c r="O83" s="29"/>
      <c r="P83" t="s">
        <v>88</v>
      </c>
      <c r="Q83" t="s">
        <v>88</v>
      </c>
      <c r="R83" t="s">
        <v>88</v>
      </c>
      <c r="S83" t="s">
        <v>88</v>
      </c>
      <c r="T83" t="s">
        <v>88</v>
      </c>
      <c r="U83" t="s">
        <v>20</v>
      </c>
    </row>
    <row r="84" spans="1:21" x14ac:dyDescent="0.45">
      <c r="A84" s="29" t="s">
        <v>1237</v>
      </c>
      <c r="B84" s="29" t="str">
        <f t="shared" si="3"/>
        <v>7.507.948-6</v>
      </c>
      <c r="C84" s="22" t="s">
        <v>22</v>
      </c>
      <c r="D84" s="29" t="s">
        <v>403</v>
      </c>
      <c r="E84" s="29" t="s">
        <v>403</v>
      </c>
      <c r="F84" s="29" t="s">
        <v>782</v>
      </c>
      <c r="G84" s="49">
        <v>45475</v>
      </c>
      <c r="H84" s="49">
        <v>45479</v>
      </c>
      <c r="I84" s="29" t="s">
        <v>30</v>
      </c>
      <c r="J84" s="29" t="s">
        <v>46</v>
      </c>
      <c r="K84" s="24" t="s">
        <v>43</v>
      </c>
      <c r="L84" s="49">
        <v>45475</v>
      </c>
      <c r="M84" s="49">
        <v>45479</v>
      </c>
      <c r="N84" s="29">
        <f t="shared" si="4"/>
        <v>4</v>
      </c>
      <c r="O84" s="29"/>
      <c r="P84" t="s">
        <v>88</v>
      </c>
      <c r="Q84" t="s">
        <v>88</v>
      </c>
      <c r="R84" t="s">
        <v>88</v>
      </c>
      <c r="S84" t="s">
        <v>88</v>
      </c>
      <c r="T84" t="s">
        <v>88</v>
      </c>
      <c r="U84" t="s">
        <v>20</v>
      </c>
    </row>
    <row r="85" spans="1:21" x14ac:dyDescent="0.45">
      <c r="A85" s="29" t="s">
        <v>1237</v>
      </c>
      <c r="B85" s="29" t="str">
        <f t="shared" si="3"/>
        <v>7.507.948-6</v>
      </c>
      <c r="C85" s="22" t="str">
        <f>IF(IFERROR(VLOOKUP(A85,$A$10:$I84,1,0),0)=0,"",VLOOKUP(A85,$A$10:$I84,3,0))</f>
        <v>UCI</v>
      </c>
      <c r="D85" s="29" t="str">
        <f>IF(IFERROR(VLOOKUP(A85,$A$10:$I84,1,0),0)=0,"",VLOOKUP(A85,$A$10:$I84,4,0))</f>
        <v>GARRIDO</v>
      </c>
      <c r="E85" s="29" t="str">
        <f>IF(IFERROR(VLOOKUP(A85,$A$10:$I84,1,0),0)=0,"",VLOOKUP(A85,$A$10:$I84,5,0))</f>
        <v>GARRIDO</v>
      </c>
      <c r="F85" s="29" t="str">
        <f>IF(IFERROR(VLOOKUP(A85,$A$10:$I84,1,0),0)=0,"",VLOOKUP(A85,$A$10:$I84,6,0))</f>
        <v>TERESA</v>
      </c>
      <c r="G85" s="49">
        <v>45475</v>
      </c>
      <c r="H85" s="49">
        <v>45479</v>
      </c>
      <c r="I85" s="29" t="s">
        <v>30</v>
      </c>
      <c r="J85" s="29" t="s">
        <v>46</v>
      </c>
      <c r="K85" s="24" t="s">
        <v>47</v>
      </c>
      <c r="L85" s="49">
        <v>45475</v>
      </c>
      <c r="M85" s="49">
        <v>45477</v>
      </c>
      <c r="N85" s="29">
        <f t="shared" si="4"/>
        <v>2</v>
      </c>
      <c r="O85" s="29"/>
      <c r="P85" t="s">
        <v>88</v>
      </c>
      <c r="Q85" t="s">
        <v>88</v>
      </c>
      <c r="R85" t="s">
        <v>88</v>
      </c>
      <c r="S85" t="s">
        <v>88</v>
      </c>
      <c r="T85" t="s">
        <v>88</v>
      </c>
      <c r="U85" t="s">
        <v>20</v>
      </c>
    </row>
    <row r="86" spans="1:21" x14ac:dyDescent="0.45">
      <c r="A86" s="29">
        <v>74091032</v>
      </c>
      <c r="B86" s="29" t="str">
        <f t="shared" si="3"/>
        <v>7.409.103-2</v>
      </c>
      <c r="C86" s="22" t="s">
        <v>22</v>
      </c>
      <c r="D86" s="29" t="s">
        <v>367</v>
      </c>
      <c r="E86" s="29" t="s">
        <v>417</v>
      </c>
      <c r="F86" s="29" t="s">
        <v>1238</v>
      </c>
      <c r="G86" s="49">
        <v>45477</v>
      </c>
      <c r="H86" s="29"/>
      <c r="I86" s="29" t="s">
        <v>22</v>
      </c>
      <c r="J86" s="29"/>
      <c r="K86" s="24" t="s">
        <v>47</v>
      </c>
      <c r="L86" s="49">
        <v>45477</v>
      </c>
      <c r="M86" s="49">
        <v>45496</v>
      </c>
      <c r="N86" s="29">
        <f t="shared" si="4"/>
        <v>19</v>
      </c>
      <c r="O86" s="29"/>
      <c r="P86" t="s">
        <v>88</v>
      </c>
      <c r="Q86" t="s">
        <v>88</v>
      </c>
      <c r="R86" t="s">
        <v>88</v>
      </c>
      <c r="S86" t="s">
        <v>88</v>
      </c>
      <c r="T86" t="s">
        <v>88</v>
      </c>
      <c r="U86" t="s">
        <v>20</v>
      </c>
    </row>
    <row r="87" spans="1:21" x14ac:dyDescent="0.45">
      <c r="A87" s="29">
        <v>205140603</v>
      </c>
      <c r="B87" s="29" t="str">
        <f t="shared" si="3"/>
        <v>20.514.060-3</v>
      </c>
      <c r="C87" s="22" t="s">
        <v>22</v>
      </c>
      <c r="D87" s="29" t="s">
        <v>623</v>
      </c>
      <c r="E87" s="29" t="s">
        <v>623</v>
      </c>
      <c r="F87" s="29" t="s">
        <v>624</v>
      </c>
      <c r="G87" s="49">
        <v>45481</v>
      </c>
      <c r="H87" s="49">
        <v>45484</v>
      </c>
      <c r="I87" s="29"/>
      <c r="J87" s="29"/>
      <c r="K87" s="24" t="s">
        <v>43</v>
      </c>
      <c r="L87" s="49">
        <v>45481</v>
      </c>
      <c r="M87" s="49">
        <v>45482</v>
      </c>
      <c r="N87" s="29">
        <f t="shared" si="4"/>
        <v>1</v>
      </c>
      <c r="O87" s="29"/>
      <c r="P87" t="s">
        <v>88</v>
      </c>
      <c r="Q87" t="s">
        <v>88</v>
      </c>
      <c r="R87" t="s">
        <v>88</v>
      </c>
      <c r="S87" t="s">
        <v>88</v>
      </c>
      <c r="T87" t="s">
        <v>88</v>
      </c>
      <c r="U87" t="s">
        <v>20</v>
      </c>
    </row>
    <row r="88" spans="1:21" x14ac:dyDescent="0.45">
      <c r="A88" s="29">
        <v>205140603</v>
      </c>
      <c r="B88" s="29" t="str">
        <f t="shared" si="3"/>
        <v>20.514.060-3</v>
      </c>
      <c r="C88" s="22" t="str">
        <f>IF(IFERROR(VLOOKUP(A88,$A$10:$I87,1,0),0)=0,"",VLOOKUP(A88,$A$10:$I87,3,0))</f>
        <v>UCI</v>
      </c>
      <c r="D88" s="29" t="str">
        <f>IF(IFERROR(VLOOKUP(A88,$A$10:$I87,1,0),0)=0,"",VLOOKUP(A88,$A$10:$I87,4,0))</f>
        <v>TIZNADO</v>
      </c>
      <c r="E88" s="29" t="str">
        <f>IF(IFERROR(VLOOKUP(A88,$A$10:$I87,1,0),0)=0,"",VLOOKUP(A88,$A$10:$I87,5,0))</f>
        <v>TIZNADO</v>
      </c>
      <c r="F88" s="29" t="str">
        <f>IF(IFERROR(VLOOKUP(A88,$A$10:$I87,1,0),0)=0,"",VLOOKUP(A88,$A$10:$I87,6,0))</f>
        <v>MICHELLE</v>
      </c>
      <c r="G88" s="49">
        <f>IF(IFERROR(VLOOKUP(A88,$A$10:$I87,1,0),0)=0,"",VLOOKUP(A88,$A$10:$I87,7,0))</f>
        <v>45481</v>
      </c>
      <c r="H88" s="49">
        <v>45484</v>
      </c>
      <c r="I88" s="29"/>
      <c r="J88" s="29"/>
      <c r="K88" s="24" t="s">
        <v>47</v>
      </c>
      <c r="L88" s="49">
        <v>45481</v>
      </c>
      <c r="M88" s="49">
        <v>45482</v>
      </c>
      <c r="N88" s="29">
        <f t="shared" si="4"/>
        <v>1</v>
      </c>
      <c r="O88" s="29"/>
      <c r="P88" t="s">
        <v>88</v>
      </c>
      <c r="Q88" t="s">
        <v>88</v>
      </c>
      <c r="R88" t="s">
        <v>88</v>
      </c>
      <c r="S88" t="s">
        <v>88</v>
      </c>
      <c r="T88" t="s">
        <v>88</v>
      </c>
      <c r="U88" t="s">
        <v>20</v>
      </c>
    </row>
    <row r="89" spans="1:21" x14ac:dyDescent="0.45">
      <c r="A89" s="29">
        <v>205140603</v>
      </c>
      <c r="B89" s="29" t="str">
        <f t="shared" si="3"/>
        <v>20.514.060-3</v>
      </c>
      <c r="C89" s="22" t="str">
        <f>IF(IFERROR(VLOOKUP(A89,$A$10:$I88,1,0),0)=0,"",VLOOKUP(A89,$A$10:$I88,3,0))</f>
        <v>UCI</v>
      </c>
      <c r="D89" s="29" t="str">
        <f>IF(IFERROR(VLOOKUP(A89,$A$10:$I88,1,0),0)=0,"",VLOOKUP(A89,$A$10:$I88,4,0))</f>
        <v>TIZNADO</v>
      </c>
      <c r="E89" s="29" t="str">
        <f>IF(IFERROR(VLOOKUP(A89,$A$10:$I88,1,0),0)=0,"",VLOOKUP(A89,$A$10:$I88,5,0))</f>
        <v>TIZNADO</v>
      </c>
      <c r="F89" s="29" t="str">
        <f>IF(IFERROR(VLOOKUP(A89,$A$10:$I88,1,0),0)=0,"",VLOOKUP(A89,$A$10:$I88,6,0))</f>
        <v>MICHELLE</v>
      </c>
      <c r="G89" s="49">
        <f>IF(IFERROR(VLOOKUP(A89,$A$10:$I88,1,0),0)=0,"",VLOOKUP(A89,$A$10:$I88,7,0))</f>
        <v>45481</v>
      </c>
      <c r="H89" s="49">
        <v>45484</v>
      </c>
      <c r="I89" s="29"/>
      <c r="J89" s="29"/>
      <c r="K89" s="24" t="s">
        <v>55</v>
      </c>
      <c r="L89" s="49">
        <v>45481</v>
      </c>
      <c r="M89" s="49">
        <v>45482</v>
      </c>
      <c r="N89" s="29">
        <f t="shared" si="4"/>
        <v>1</v>
      </c>
      <c r="O89" s="29"/>
      <c r="P89" t="s">
        <v>88</v>
      </c>
      <c r="Q89" t="s">
        <v>88</v>
      </c>
      <c r="R89" t="s">
        <v>88</v>
      </c>
      <c r="S89" t="s">
        <v>88</v>
      </c>
      <c r="T89" t="s">
        <v>88</v>
      </c>
      <c r="U89" t="s">
        <v>20</v>
      </c>
    </row>
    <row r="90" spans="1:21" x14ac:dyDescent="0.45">
      <c r="A90" s="29">
        <v>58835773</v>
      </c>
      <c r="B90" s="29" t="str">
        <f t="shared" si="3"/>
        <v>5.883.577-3</v>
      </c>
      <c r="C90" s="22" t="s">
        <v>22</v>
      </c>
      <c r="D90" s="29" t="s">
        <v>375</v>
      </c>
      <c r="E90" s="29" t="s">
        <v>405</v>
      </c>
      <c r="F90" s="29" t="s">
        <v>279</v>
      </c>
      <c r="G90" s="49">
        <v>45481</v>
      </c>
      <c r="H90" s="49">
        <v>45483</v>
      </c>
      <c r="I90" s="29"/>
      <c r="J90" s="29"/>
      <c r="K90" s="24" t="s">
        <v>43</v>
      </c>
      <c r="L90" s="49">
        <v>45481</v>
      </c>
      <c r="M90" s="49">
        <v>45483</v>
      </c>
      <c r="N90" s="29">
        <f t="shared" si="4"/>
        <v>2</v>
      </c>
      <c r="O90" s="29"/>
      <c r="P90" t="s">
        <v>88</v>
      </c>
      <c r="Q90" t="s">
        <v>88</v>
      </c>
      <c r="R90" t="s">
        <v>88</v>
      </c>
      <c r="S90" t="s">
        <v>88</v>
      </c>
      <c r="T90" t="s">
        <v>88</v>
      </c>
      <c r="U90" t="s">
        <v>20</v>
      </c>
    </row>
    <row r="91" spans="1:21" x14ac:dyDescent="0.45">
      <c r="A91" s="29">
        <v>58835773</v>
      </c>
      <c r="B91" s="29" t="str">
        <f t="shared" si="3"/>
        <v>5.883.577-3</v>
      </c>
      <c r="C91" s="22" t="str">
        <f>IF(IFERROR(VLOOKUP(A91,$A$10:$I90,1,0),0)=0,"",VLOOKUP(A91,$A$10:$I90,3,0))</f>
        <v>UCI</v>
      </c>
      <c r="D91" s="29" t="str">
        <f>IF(IFERROR(VLOOKUP(A91,$A$10:$I90,1,0),0)=0,"",VLOOKUP(A91,$A$10:$I90,4,0))</f>
        <v>CASTILLO</v>
      </c>
      <c r="E91" s="29" t="str">
        <f>IF(IFERROR(VLOOKUP(A91,$A$10:$I90,1,0),0)=0,"",VLOOKUP(A91,$A$10:$I90,5,0))</f>
        <v>MONSALVES</v>
      </c>
      <c r="F91" s="29" t="str">
        <f>IF(IFERROR(VLOOKUP(A91,$A$10:$I90,1,0),0)=0,"",VLOOKUP(A91,$A$10:$I90,6,0))</f>
        <v>SILVIA</v>
      </c>
      <c r="G91" s="49">
        <f>IF(IFERROR(VLOOKUP(A91,$A$10:$I90,1,0),0)=0,"",VLOOKUP(A91,$A$10:$I90,7,0))</f>
        <v>45481</v>
      </c>
      <c r="H91" s="49">
        <v>45483</v>
      </c>
      <c r="I91" s="29"/>
      <c r="J91" s="29"/>
      <c r="K91" s="24" t="s">
        <v>47</v>
      </c>
      <c r="L91" s="49">
        <v>45481</v>
      </c>
      <c r="M91" s="49">
        <v>45483</v>
      </c>
      <c r="N91" s="29">
        <f t="shared" si="4"/>
        <v>2</v>
      </c>
      <c r="O91" s="29"/>
      <c r="P91" t="s">
        <v>88</v>
      </c>
      <c r="Q91" t="s">
        <v>88</v>
      </c>
      <c r="R91" t="s">
        <v>88</v>
      </c>
      <c r="S91" t="s">
        <v>88</v>
      </c>
      <c r="T91" t="s">
        <v>88</v>
      </c>
      <c r="U91" t="s">
        <v>20</v>
      </c>
    </row>
    <row r="92" spans="1:21" x14ac:dyDescent="0.45">
      <c r="A92" s="29">
        <v>80855656</v>
      </c>
      <c r="B92" s="29" t="str">
        <f t="shared" si="3"/>
        <v>8.085.565-6</v>
      </c>
      <c r="C92" s="22" t="s">
        <v>22</v>
      </c>
      <c r="D92" s="29" t="s">
        <v>1239</v>
      </c>
      <c r="E92" s="29" t="s">
        <v>887</v>
      </c>
      <c r="F92" s="29" t="s">
        <v>1240</v>
      </c>
      <c r="G92" s="49">
        <v>45478</v>
      </c>
      <c r="H92" s="49">
        <v>45483</v>
      </c>
      <c r="I92" s="29"/>
      <c r="J92" s="29" t="s">
        <v>22</v>
      </c>
      <c r="K92" s="24" t="s">
        <v>43</v>
      </c>
      <c r="L92" s="49">
        <v>45478</v>
      </c>
      <c r="M92" s="49">
        <v>45483</v>
      </c>
      <c r="N92" s="29">
        <f t="shared" si="4"/>
        <v>5</v>
      </c>
      <c r="O92" s="29"/>
      <c r="P92" t="s">
        <v>88</v>
      </c>
      <c r="Q92" t="s">
        <v>88</v>
      </c>
      <c r="R92" t="s">
        <v>88</v>
      </c>
      <c r="S92" t="s">
        <v>88</v>
      </c>
      <c r="T92" t="s">
        <v>88</v>
      </c>
      <c r="U92" t="s">
        <v>20</v>
      </c>
    </row>
    <row r="93" spans="1:21" x14ac:dyDescent="0.45">
      <c r="A93" s="29">
        <v>80855656</v>
      </c>
      <c r="B93" s="29" t="str">
        <f t="shared" si="3"/>
        <v>8.085.565-6</v>
      </c>
      <c r="C93" s="22" t="str">
        <f>IF(IFERROR(VLOOKUP(A93,$A$10:$I92,1,0),0)=0,"",VLOOKUP(A93,$A$10:$I92,3,0))</f>
        <v>UCI</v>
      </c>
      <c r="D93" s="29" t="str">
        <f>IF(IFERROR(VLOOKUP(A93,$A$10:$I92,1,0),0)=0,"",VLOOKUP(A93,$A$10:$I92,4,0))</f>
        <v>MATAMOROS</v>
      </c>
      <c r="E93" s="29" t="str">
        <f>IF(IFERROR(VLOOKUP(A93,$A$10:$I92,1,0),0)=0,"",VLOOKUP(A93,$A$10:$I92,5,0))</f>
        <v>RETAMAL</v>
      </c>
      <c r="F93" s="29" t="str">
        <f>IF(IFERROR(VLOOKUP(A93,$A$10:$I92,1,0),0)=0,"",VLOOKUP(A93,$A$10:$I92,6,0))</f>
        <v>SEBASTIAN</v>
      </c>
      <c r="G93" s="49">
        <v>45478</v>
      </c>
      <c r="H93" s="49">
        <v>45483</v>
      </c>
      <c r="I93" s="29"/>
      <c r="J93" s="29" t="s">
        <v>22</v>
      </c>
      <c r="K93" s="24" t="s">
        <v>47</v>
      </c>
      <c r="L93" s="49">
        <v>45478</v>
      </c>
      <c r="M93" s="49">
        <v>45483</v>
      </c>
      <c r="N93" s="29">
        <f t="shared" si="4"/>
        <v>5</v>
      </c>
      <c r="O93" s="29"/>
      <c r="P93" t="s">
        <v>88</v>
      </c>
      <c r="Q93" t="s">
        <v>88</v>
      </c>
      <c r="R93" t="s">
        <v>88</v>
      </c>
      <c r="S93" t="s">
        <v>88</v>
      </c>
      <c r="T93" t="s">
        <v>88</v>
      </c>
      <c r="U93" t="s">
        <v>20</v>
      </c>
    </row>
    <row r="94" spans="1:21" x14ac:dyDescent="0.45">
      <c r="A94" s="29">
        <v>55066760</v>
      </c>
      <c r="B94" s="29" t="str">
        <f t="shared" si="3"/>
        <v>5.506.676-0</v>
      </c>
      <c r="C94" s="22" t="s">
        <v>30</v>
      </c>
      <c r="D94" s="29" t="s">
        <v>1241</v>
      </c>
      <c r="E94" s="29" t="s">
        <v>393</v>
      </c>
      <c r="F94" s="29" t="s">
        <v>1242</v>
      </c>
      <c r="G94" s="49">
        <v>45481</v>
      </c>
      <c r="H94" s="29"/>
      <c r="I94" s="29"/>
      <c r="J94" s="29" t="s">
        <v>22</v>
      </c>
      <c r="K94" s="24" t="s">
        <v>43</v>
      </c>
      <c r="L94" s="49">
        <v>45481</v>
      </c>
      <c r="M94" s="49">
        <v>45483</v>
      </c>
      <c r="N94" s="29">
        <f t="shared" si="4"/>
        <v>2</v>
      </c>
      <c r="O94" s="29"/>
      <c r="P94" t="s">
        <v>88</v>
      </c>
      <c r="Q94" t="s">
        <v>88</v>
      </c>
      <c r="R94" t="s">
        <v>88</v>
      </c>
      <c r="S94" t="s">
        <v>88</v>
      </c>
      <c r="T94" t="s">
        <v>88</v>
      </c>
      <c r="U94" t="s">
        <v>20</v>
      </c>
    </row>
    <row r="95" spans="1:21" x14ac:dyDescent="0.45">
      <c r="A95" s="29">
        <v>55066760</v>
      </c>
      <c r="B95" s="29" t="str">
        <f t="shared" si="3"/>
        <v>5.506.676-0</v>
      </c>
      <c r="C95" s="22" t="str">
        <f>IF(IFERROR(VLOOKUP(A95,$A$10:$I94,1,0),0)=0,"",VLOOKUP(A95,$A$10:$I94,3,0))</f>
        <v>UCO</v>
      </c>
      <c r="D95" s="29" t="str">
        <f>IF(IFERROR(VLOOKUP(A95,$A$10:$I94,1,0),0)=0,"",VLOOKUP(A95,$A$10:$I94,4,0))</f>
        <v>LOBOS</v>
      </c>
      <c r="E95" s="29" t="str">
        <f>IF(IFERROR(VLOOKUP(A95,$A$10:$I94,1,0),0)=0,"",VLOOKUP(A95,$A$10:$I94,5,0))</f>
        <v>FERNANDEZ</v>
      </c>
      <c r="F95" s="29" t="str">
        <f>IF(IFERROR(VLOOKUP(A95,$A$10:$I94,1,0),0)=0,"",VLOOKUP(A95,$A$10:$I94,6,0))</f>
        <v>ARMANDO</v>
      </c>
      <c r="G95" s="49">
        <v>45481</v>
      </c>
      <c r="H95" s="29"/>
      <c r="I95" s="29"/>
      <c r="J95" s="29" t="s">
        <v>22</v>
      </c>
      <c r="K95" s="24" t="s">
        <v>47</v>
      </c>
      <c r="L95" s="49">
        <v>45481</v>
      </c>
      <c r="M95" s="49">
        <v>45483</v>
      </c>
      <c r="N95" s="29">
        <f t="shared" si="4"/>
        <v>2</v>
      </c>
      <c r="O95" s="29"/>
      <c r="P95" t="s">
        <v>88</v>
      </c>
      <c r="Q95" t="s">
        <v>88</v>
      </c>
      <c r="R95" t="s">
        <v>88</v>
      </c>
      <c r="S95" t="s">
        <v>88</v>
      </c>
      <c r="T95" t="s">
        <v>88</v>
      </c>
      <c r="U95" t="s">
        <v>20</v>
      </c>
    </row>
    <row r="96" spans="1:21" s="93" customFormat="1" x14ac:dyDescent="0.45">
      <c r="A96" s="97" t="s">
        <v>1243</v>
      </c>
      <c r="B96" s="97" t="str">
        <f t="shared" si="3"/>
        <v>6.319.087-K</v>
      </c>
      <c r="C96" s="107" t="s">
        <v>30</v>
      </c>
      <c r="D96" s="97" t="s">
        <v>1228</v>
      </c>
      <c r="E96" s="97" t="s">
        <v>632</v>
      </c>
      <c r="F96" s="97" t="s">
        <v>971</v>
      </c>
      <c r="G96" s="108">
        <v>45479</v>
      </c>
      <c r="H96" s="108">
        <v>45499</v>
      </c>
      <c r="I96" s="97" t="s">
        <v>22</v>
      </c>
      <c r="J96" s="97" t="s">
        <v>22</v>
      </c>
      <c r="K96" s="109" t="s">
        <v>43</v>
      </c>
      <c r="L96" s="108">
        <v>45479</v>
      </c>
      <c r="M96" s="108">
        <v>45499</v>
      </c>
      <c r="N96" s="97">
        <f t="shared" si="4"/>
        <v>20</v>
      </c>
      <c r="O96" s="97"/>
      <c r="P96" t="s">
        <v>88</v>
      </c>
      <c r="Q96" t="s">
        <v>88</v>
      </c>
      <c r="R96" t="s">
        <v>88</v>
      </c>
      <c r="S96" t="s">
        <v>88</v>
      </c>
      <c r="T96" t="s">
        <v>88</v>
      </c>
      <c r="U96" t="s">
        <v>20</v>
      </c>
    </row>
    <row r="97" spans="1:21" s="93" customFormat="1" x14ac:dyDescent="0.45">
      <c r="A97" s="97" t="s">
        <v>1243</v>
      </c>
      <c r="B97" s="97" t="str">
        <f t="shared" si="3"/>
        <v>6.319.087-K</v>
      </c>
      <c r="C97" s="107" t="str">
        <f>IF(IFERROR(VLOOKUP(A97,$A$10:$I96,1,0),0)=0,"",VLOOKUP(A97,$A$10:$I96,3,0))</f>
        <v>UCO</v>
      </c>
      <c r="D97" s="97" t="str">
        <f>IF(IFERROR(VLOOKUP(A97,$A$10:$I96,1,0),0)=0,"",VLOOKUP(A97,$A$10:$I96,4,0))</f>
        <v>TUSCHNER</v>
      </c>
      <c r="E97" s="97" t="str">
        <f>IF(IFERROR(VLOOKUP(A97,$A$10:$I96,1,0),0)=0,"",VLOOKUP(A97,$A$10:$I96,5,0))</f>
        <v>ROA</v>
      </c>
      <c r="F97" s="97" t="str">
        <f>IF(IFERROR(VLOOKUP(A97,$A$10:$I96,1,0),0)=0,"",VLOOKUP(A97,$A$10:$I96,6,0))</f>
        <v>GUILLERMO</v>
      </c>
      <c r="G97" s="108">
        <v>45479</v>
      </c>
      <c r="H97" s="108">
        <v>45499</v>
      </c>
      <c r="I97" s="97" t="s">
        <v>22</v>
      </c>
      <c r="J97" s="97" t="s">
        <v>22</v>
      </c>
      <c r="K97" s="109" t="s">
        <v>47</v>
      </c>
      <c r="L97" s="108">
        <v>45479</v>
      </c>
      <c r="M97" s="108">
        <v>45499</v>
      </c>
      <c r="N97" s="97">
        <f t="shared" si="4"/>
        <v>20</v>
      </c>
      <c r="O97" s="97"/>
      <c r="P97" t="s">
        <v>88</v>
      </c>
      <c r="Q97" t="s">
        <v>88</v>
      </c>
      <c r="R97" t="s">
        <v>88</v>
      </c>
      <c r="S97" t="s">
        <v>88</v>
      </c>
      <c r="T97" t="s">
        <v>88</v>
      </c>
      <c r="U97" t="s">
        <v>20</v>
      </c>
    </row>
    <row r="98" spans="1:21" s="93" customFormat="1" x14ac:dyDescent="0.45">
      <c r="A98" s="97" t="s">
        <v>1243</v>
      </c>
      <c r="B98" s="97" t="str">
        <f t="shared" si="3"/>
        <v>6.319.087-K</v>
      </c>
      <c r="C98" s="107" t="str">
        <f>IF(IFERROR(VLOOKUP(A98,$A$10:$I97,1,0),0)=0,"",VLOOKUP(A98,$A$10:$I97,3,0))</f>
        <v>UCO</v>
      </c>
      <c r="D98" s="97" t="str">
        <f>IF(IFERROR(VLOOKUP(A98,$A$10:$I97,1,0),0)=0,"",VLOOKUP(A98,$A$10:$I97,4,0))</f>
        <v>TUSCHNER</v>
      </c>
      <c r="E98" s="97" t="str">
        <f>IF(IFERROR(VLOOKUP(A98,$A$10:$I97,1,0),0)=0,"",VLOOKUP(A98,$A$10:$I97,5,0))</f>
        <v>ROA</v>
      </c>
      <c r="F98" s="97" t="str">
        <f>IF(IFERROR(VLOOKUP(A98,$A$10:$I97,1,0),0)=0,"",VLOOKUP(A98,$A$10:$I97,6,0))</f>
        <v>GUILLERMO</v>
      </c>
      <c r="G98" s="108">
        <v>45479</v>
      </c>
      <c r="H98" s="108">
        <v>45499</v>
      </c>
      <c r="I98" s="97" t="s">
        <v>22</v>
      </c>
      <c r="J98" s="97" t="s">
        <v>22</v>
      </c>
      <c r="K98" s="109" t="s">
        <v>55</v>
      </c>
      <c r="L98" s="108">
        <v>45479</v>
      </c>
      <c r="M98" s="108">
        <v>45499</v>
      </c>
      <c r="N98" s="97">
        <f t="shared" si="4"/>
        <v>20</v>
      </c>
      <c r="O98" s="97"/>
      <c r="P98" t="s">
        <v>143</v>
      </c>
      <c r="Q98" t="s">
        <v>88</v>
      </c>
      <c r="R98" t="s">
        <v>88</v>
      </c>
      <c r="S98" t="s">
        <v>88</v>
      </c>
      <c r="T98" t="s">
        <v>88</v>
      </c>
      <c r="U98" t="s">
        <v>20</v>
      </c>
    </row>
    <row r="99" spans="1:21" x14ac:dyDescent="0.45">
      <c r="A99" s="29" t="s">
        <v>1244</v>
      </c>
      <c r="B99" s="29" t="str">
        <f t="shared" si="3"/>
        <v>9.367.779-K</v>
      </c>
      <c r="C99" s="22" t="s">
        <v>30</v>
      </c>
      <c r="D99" s="29" t="s">
        <v>277</v>
      </c>
      <c r="E99" s="29" t="s">
        <v>1245</v>
      </c>
      <c r="F99" s="29" t="s">
        <v>348</v>
      </c>
      <c r="G99" s="49">
        <v>45482</v>
      </c>
      <c r="H99" s="49">
        <v>45483</v>
      </c>
      <c r="I99" s="29"/>
      <c r="J99" s="29" t="s">
        <v>19</v>
      </c>
      <c r="K99" s="24" t="s">
        <v>43</v>
      </c>
      <c r="L99" s="49">
        <v>45482</v>
      </c>
      <c r="M99" s="49">
        <v>45483</v>
      </c>
      <c r="N99" s="29">
        <f t="shared" si="4"/>
        <v>1</v>
      </c>
      <c r="O99" s="29"/>
      <c r="P99" t="s">
        <v>88</v>
      </c>
      <c r="Q99" t="s">
        <v>88</v>
      </c>
      <c r="R99" t="s">
        <v>88</v>
      </c>
      <c r="S99" t="s">
        <v>88</v>
      </c>
      <c r="T99" t="s">
        <v>88</v>
      </c>
      <c r="U99" t="s">
        <v>20</v>
      </c>
    </row>
    <row r="100" spans="1:21" x14ac:dyDescent="0.45">
      <c r="A100" s="29" t="s">
        <v>1244</v>
      </c>
      <c r="B100" s="29" t="str">
        <f t="shared" si="3"/>
        <v>9.367.779-K</v>
      </c>
      <c r="C100" s="22" t="str">
        <f>IF(IFERROR(VLOOKUP(A100,$A$10:$I99,1,0),0)=0,"",VLOOKUP(A100,$A$10:$I99,3,0))</f>
        <v>UCO</v>
      </c>
      <c r="D100" s="29" t="str">
        <f>IF(IFERROR(VLOOKUP(A100,$A$10:$I99,1,0),0)=0,"",VLOOKUP(A100,$A$10:$I99,4,0))</f>
        <v>MORA</v>
      </c>
      <c r="E100" s="29" t="str">
        <f>IF(IFERROR(VLOOKUP(A100,$A$10:$I99,1,0),0)=0,"",VLOOKUP(A100,$A$10:$I99,5,0))</f>
        <v>MATORGA</v>
      </c>
      <c r="F100" s="29" t="str">
        <f>IF(IFERROR(VLOOKUP(A100,$A$10:$I99,1,0),0)=0,"",VLOOKUP(A100,$A$10:$I99,6,0))</f>
        <v>MARIA</v>
      </c>
      <c r="G100" s="49">
        <v>45482</v>
      </c>
      <c r="H100" s="49">
        <v>45483</v>
      </c>
      <c r="I100" s="29"/>
      <c r="J100" s="29" t="s">
        <v>19</v>
      </c>
      <c r="K100" s="24" t="s">
        <v>47</v>
      </c>
      <c r="L100" s="49">
        <v>45482</v>
      </c>
      <c r="M100" s="49">
        <v>45483</v>
      </c>
      <c r="N100" s="29">
        <f t="shared" si="4"/>
        <v>1</v>
      </c>
      <c r="O100" s="29"/>
      <c r="P100" t="s">
        <v>88</v>
      </c>
      <c r="Q100" t="s">
        <v>88</v>
      </c>
      <c r="R100" t="s">
        <v>88</v>
      </c>
      <c r="S100" t="s">
        <v>88</v>
      </c>
      <c r="T100" t="s">
        <v>88</v>
      </c>
      <c r="U100" t="s">
        <v>20</v>
      </c>
    </row>
    <row r="101" spans="1:21" x14ac:dyDescent="0.45">
      <c r="A101" s="29" t="s">
        <v>1244</v>
      </c>
      <c r="B101" s="29" t="str">
        <f t="shared" si="3"/>
        <v>9.367.779-K</v>
      </c>
      <c r="C101" s="22" t="str">
        <f>IF(IFERROR(VLOOKUP(A101,$A$10:$I100,1,0),0)=0,"",VLOOKUP(A101,$A$10:$I100,3,0))</f>
        <v>UCO</v>
      </c>
      <c r="D101" s="29" t="str">
        <f>IF(IFERROR(VLOOKUP(A101,$A$10:$I100,1,0),0)=0,"",VLOOKUP(A101,$A$10:$I100,4,0))</f>
        <v>MORA</v>
      </c>
      <c r="E101" s="29" t="str">
        <f>IF(IFERROR(VLOOKUP(A101,$A$10:$I100,1,0),0)=0,"",VLOOKUP(A101,$A$10:$I100,5,0))</f>
        <v>MATORGA</v>
      </c>
      <c r="F101" s="29" t="str">
        <f>IF(IFERROR(VLOOKUP(A101,$A$10:$I100,1,0),0)=0,"",VLOOKUP(A101,$A$10:$I100,6,0))</f>
        <v>MARIA</v>
      </c>
      <c r="G101" s="49">
        <v>45482</v>
      </c>
      <c r="H101" s="49">
        <v>45483</v>
      </c>
      <c r="I101" s="29"/>
      <c r="J101" s="29" t="s">
        <v>19</v>
      </c>
      <c r="K101" s="24" t="s">
        <v>55</v>
      </c>
      <c r="L101" s="49">
        <v>45482</v>
      </c>
      <c r="M101" s="49">
        <v>45483</v>
      </c>
      <c r="N101" s="29">
        <f t="shared" si="4"/>
        <v>1</v>
      </c>
      <c r="O101" s="29"/>
      <c r="P101" t="s">
        <v>88</v>
      </c>
      <c r="Q101" t="s">
        <v>88</v>
      </c>
      <c r="R101" t="s">
        <v>88</v>
      </c>
      <c r="S101" t="s">
        <v>88</v>
      </c>
      <c r="T101" t="s">
        <v>88</v>
      </c>
      <c r="U101" t="s">
        <v>20</v>
      </c>
    </row>
    <row r="102" spans="1:21" x14ac:dyDescent="0.45">
      <c r="A102" s="29">
        <v>119667577</v>
      </c>
      <c r="B102" s="29" t="str">
        <f t="shared" si="3"/>
        <v>11.966.757-7</v>
      </c>
      <c r="C102" s="22" t="s">
        <v>30</v>
      </c>
      <c r="D102" s="29" t="s">
        <v>503</v>
      </c>
      <c r="E102" s="29" t="s">
        <v>848</v>
      </c>
      <c r="F102" s="29" t="s">
        <v>279</v>
      </c>
      <c r="G102" s="49">
        <v>45478</v>
      </c>
      <c r="H102" s="49">
        <v>45482</v>
      </c>
      <c r="I102" s="29"/>
      <c r="J102" s="29" t="s">
        <v>46</v>
      </c>
      <c r="K102" s="24" t="s">
        <v>43</v>
      </c>
      <c r="L102" s="49">
        <v>45478</v>
      </c>
      <c r="M102" s="49">
        <v>45482</v>
      </c>
      <c r="N102" s="29">
        <f t="shared" si="4"/>
        <v>4</v>
      </c>
      <c r="O102" s="29"/>
      <c r="P102" t="s">
        <v>88</v>
      </c>
      <c r="Q102" t="s">
        <v>88</v>
      </c>
      <c r="R102" t="s">
        <v>88</v>
      </c>
      <c r="S102" t="s">
        <v>88</v>
      </c>
      <c r="T102" t="s">
        <v>88</v>
      </c>
      <c r="U102" t="s">
        <v>20</v>
      </c>
    </row>
    <row r="103" spans="1:21" x14ac:dyDescent="0.45">
      <c r="A103" s="29">
        <v>195205736</v>
      </c>
      <c r="B103" s="29" t="str">
        <f t="shared" si="3"/>
        <v>19.520.573-6</v>
      </c>
      <c r="C103" s="22" t="s">
        <v>30</v>
      </c>
      <c r="D103" s="29" t="s">
        <v>1094</v>
      </c>
      <c r="E103" s="29" t="s">
        <v>315</v>
      </c>
      <c r="F103" s="29" t="s">
        <v>1246</v>
      </c>
      <c r="G103" s="49">
        <v>45477</v>
      </c>
      <c r="H103" s="49">
        <v>45488</v>
      </c>
      <c r="I103" s="29"/>
      <c r="J103" s="29" t="s">
        <v>22</v>
      </c>
      <c r="K103" s="24" t="s">
        <v>43</v>
      </c>
      <c r="L103" s="49">
        <v>45477</v>
      </c>
      <c r="M103" s="49">
        <v>45488</v>
      </c>
      <c r="N103" s="29">
        <f t="shared" si="4"/>
        <v>11</v>
      </c>
      <c r="O103" s="29"/>
      <c r="P103" t="s">
        <v>88</v>
      </c>
      <c r="Q103" t="s">
        <v>88</v>
      </c>
      <c r="R103" t="s">
        <v>88</v>
      </c>
      <c r="S103" t="s">
        <v>88</v>
      </c>
      <c r="T103" t="s">
        <v>88</v>
      </c>
      <c r="U103" t="s">
        <v>20</v>
      </c>
    </row>
    <row r="104" spans="1:21" x14ac:dyDescent="0.45">
      <c r="A104" s="29">
        <v>195205736</v>
      </c>
      <c r="B104" s="29" t="str">
        <f t="shared" si="3"/>
        <v>19.520.573-6</v>
      </c>
      <c r="C104" s="22" t="str">
        <f>IF(IFERROR(VLOOKUP(A104,$A$10:$I103,1,0),0)=0,"",VLOOKUP(A104,$A$10:$I103,3,0))</f>
        <v>UCO</v>
      </c>
      <c r="D104" s="29" t="str">
        <f>IF(IFERROR(VLOOKUP(A104,$A$10:$I103,1,0),0)=0,"",VLOOKUP(A104,$A$10:$I103,4,0))</f>
        <v>OLIVARES</v>
      </c>
      <c r="E104" s="29" t="str">
        <f>IF(IFERROR(VLOOKUP(A104,$A$10:$I103,1,0),0)=0,"",VLOOKUP(A104,$A$10:$I103,5,0))</f>
        <v>ARIAS</v>
      </c>
      <c r="F104" s="29" t="str">
        <f>IF(IFERROR(VLOOKUP(A104,$A$10:$I103,1,0),0)=0,"",VLOOKUP(A104,$A$10:$I103,6,0))</f>
        <v>HAYRA</v>
      </c>
      <c r="G104" s="49">
        <f>IF(IFERROR(VLOOKUP(A104,$A$10:$I103,1,0),0)=0,"",VLOOKUP(A104,$A$10:$I103,7,0))</f>
        <v>45477</v>
      </c>
      <c r="H104" s="49">
        <v>45488</v>
      </c>
      <c r="I104" s="29"/>
      <c r="J104" s="29"/>
      <c r="K104" s="24" t="s">
        <v>47</v>
      </c>
      <c r="L104" s="49">
        <v>45477</v>
      </c>
      <c r="M104" s="49">
        <v>45488</v>
      </c>
      <c r="N104" s="29">
        <f t="shared" si="4"/>
        <v>11</v>
      </c>
      <c r="O104" s="29"/>
      <c r="P104" t="s">
        <v>88</v>
      </c>
      <c r="Q104" t="s">
        <v>88</v>
      </c>
      <c r="R104" t="s">
        <v>88</v>
      </c>
      <c r="S104" t="s">
        <v>88</v>
      </c>
      <c r="T104" t="s">
        <v>88</v>
      </c>
      <c r="U104" t="s">
        <v>20</v>
      </c>
    </row>
    <row r="105" spans="1:21" x14ac:dyDescent="0.45">
      <c r="A105" s="29">
        <v>195205736</v>
      </c>
      <c r="B105" s="29" t="str">
        <f t="shared" si="3"/>
        <v>19.520.573-6</v>
      </c>
      <c r="C105" s="22" t="str">
        <f>IF(IFERROR(VLOOKUP(A105,$A$10:$I104,1,0),0)=0,"",VLOOKUP(A105,$A$10:$I104,3,0))</f>
        <v>UCO</v>
      </c>
      <c r="D105" s="29" t="str">
        <f>IF(IFERROR(VLOOKUP(A105,$A$10:$I104,1,0),0)=0,"",VLOOKUP(A105,$A$10:$I104,4,0))</f>
        <v>OLIVARES</v>
      </c>
      <c r="E105" s="29" t="str">
        <f>IF(IFERROR(VLOOKUP(A105,$A$10:$I104,1,0),0)=0,"",VLOOKUP(A105,$A$10:$I104,5,0))</f>
        <v>ARIAS</v>
      </c>
      <c r="F105" s="29" t="str">
        <f>IF(IFERROR(VLOOKUP(A105,$A$10:$I104,1,0),0)=0,"",VLOOKUP(A105,$A$10:$I104,6,0))</f>
        <v>HAYRA</v>
      </c>
      <c r="G105" s="49">
        <f>IF(IFERROR(VLOOKUP(A105,$A$10:$I104,1,0),0)=0,"",VLOOKUP(A105,$A$10:$I104,7,0))</f>
        <v>45477</v>
      </c>
      <c r="H105" s="29"/>
      <c r="I105" s="29"/>
      <c r="J105" s="29"/>
      <c r="K105" s="24" t="s">
        <v>55</v>
      </c>
      <c r="L105" s="49">
        <v>45477</v>
      </c>
      <c r="M105" s="49">
        <v>45483</v>
      </c>
      <c r="N105" s="29">
        <f t="shared" si="4"/>
        <v>6</v>
      </c>
      <c r="O105" s="29"/>
      <c r="P105" t="s">
        <v>88</v>
      </c>
      <c r="Q105" t="s">
        <v>88</v>
      </c>
      <c r="R105" t="s">
        <v>88</v>
      </c>
      <c r="S105" t="s">
        <v>88</v>
      </c>
      <c r="T105" t="s">
        <v>88</v>
      </c>
      <c r="U105" t="s">
        <v>20</v>
      </c>
    </row>
    <row r="106" spans="1:21" x14ac:dyDescent="0.45">
      <c r="A106" s="29">
        <v>46143906</v>
      </c>
      <c r="B106" s="29" t="str">
        <f t="shared" si="3"/>
        <v>4.614.390-6</v>
      </c>
      <c r="C106" s="22" t="s">
        <v>38</v>
      </c>
      <c r="D106" s="29" t="s">
        <v>241</v>
      </c>
      <c r="E106" s="29" t="s">
        <v>498</v>
      </c>
      <c r="F106" s="29" t="s">
        <v>348</v>
      </c>
      <c r="G106" s="49">
        <v>45481</v>
      </c>
      <c r="H106" s="49">
        <v>45484</v>
      </c>
      <c r="I106" s="29"/>
      <c r="J106" s="29" t="s">
        <v>24</v>
      </c>
      <c r="K106" s="24" t="s">
        <v>47</v>
      </c>
      <c r="L106" s="49">
        <v>45481</v>
      </c>
      <c r="M106" s="49">
        <v>45484</v>
      </c>
      <c r="N106" s="29">
        <f t="shared" si="4"/>
        <v>3</v>
      </c>
      <c r="O106" s="29"/>
      <c r="P106" t="s">
        <v>88</v>
      </c>
      <c r="Q106" t="s">
        <v>88</v>
      </c>
      <c r="R106" t="s">
        <v>88</v>
      </c>
      <c r="S106" t="s">
        <v>88</v>
      </c>
      <c r="T106" t="s">
        <v>88</v>
      </c>
      <c r="U106" t="s">
        <v>20</v>
      </c>
    </row>
    <row r="107" spans="1:21" x14ac:dyDescent="0.45">
      <c r="A107" s="29" t="s">
        <v>1247</v>
      </c>
      <c r="B107" s="29" t="str">
        <f t="shared" si="3"/>
        <v>14.403.659-K</v>
      </c>
      <c r="C107" s="22" t="s">
        <v>38</v>
      </c>
      <c r="D107" s="29" t="s">
        <v>439</v>
      </c>
      <c r="E107" s="29" t="s">
        <v>422</v>
      </c>
      <c r="F107" s="29" t="s">
        <v>1248</v>
      </c>
      <c r="G107" s="49">
        <v>45483</v>
      </c>
      <c r="H107" s="49">
        <v>45485</v>
      </c>
      <c r="I107" s="29"/>
      <c r="J107" s="29"/>
      <c r="K107" s="24" t="s">
        <v>43</v>
      </c>
      <c r="L107" s="49">
        <v>45483</v>
      </c>
      <c r="M107" s="49">
        <v>45485</v>
      </c>
      <c r="N107" s="29">
        <f t="shared" si="4"/>
        <v>2</v>
      </c>
      <c r="O107" s="29"/>
      <c r="P107" t="s">
        <v>88</v>
      </c>
      <c r="Q107" t="s">
        <v>88</v>
      </c>
      <c r="R107" t="s">
        <v>88</v>
      </c>
      <c r="S107" t="s">
        <v>88</v>
      </c>
      <c r="T107" t="s">
        <v>88</v>
      </c>
      <c r="U107" t="s">
        <v>20</v>
      </c>
    </row>
    <row r="108" spans="1:21" x14ac:dyDescent="0.45">
      <c r="A108" s="29" t="s">
        <v>1247</v>
      </c>
      <c r="B108" s="29" t="str">
        <f t="shared" ref="B108:B171" si="5">IF(LEN(A108)=8,MID(A108,1,1)&amp;"."&amp;MID(A108,2,3)&amp;"."&amp;MID(A108,5,3)&amp;"-"&amp;RIGHT(A108,1),IF(LEFT(RIGHT(A108,2),1)="-",MID(A108,1,1)&amp;"."&amp;MID(A108,2,3)&amp;"."&amp;MID(A108,5,3)&amp;"-"&amp;RIGHT(A108,1),MID(A108,1,2)&amp;"."&amp;MID(A108,3,3)&amp;"."&amp;MID(A108,6,3)&amp;"-"&amp;MID(A108,9,1)))</f>
        <v>14.403.659-K</v>
      </c>
      <c r="C108" s="22" t="str">
        <f>IF(IFERROR(VLOOKUP(A108,$A$10:$I107,1,0),0)=0,"",VLOOKUP(A108,$A$10:$I107,3,0))</f>
        <v xml:space="preserve">Sala de cuidados intermedios </v>
      </c>
      <c r="D108" s="29" t="str">
        <f>IF(IFERROR(VLOOKUP(A108,$A$10:$I107,1,0),0)=0,"",VLOOKUP(A108,$A$10:$I107,4,0))</f>
        <v>GONZALEZ</v>
      </c>
      <c r="E108" s="29" t="str">
        <f>IF(IFERROR(VLOOKUP(A108,$A$10:$I107,1,0),0)=0,"",VLOOKUP(A108,$A$10:$I107,5,0))</f>
        <v>TORRES</v>
      </c>
      <c r="F108" s="29" t="str">
        <f>IF(IFERROR(VLOOKUP(A108,$A$10:$I107,1,0),0)=0,"",VLOOKUP(A108,$A$10:$I107,6,0))</f>
        <v>SHARON</v>
      </c>
      <c r="G108" s="49">
        <f>IF(IFERROR(VLOOKUP(A108,$A$10:$I107,1,0),0)=0,"",VLOOKUP(A108,$A$10:$I107,7,0))</f>
        <v>45483</v>
      </c>
      <c r="H108" s="49">
        <v>45485</v>
      </c>
      <c r="I108" s="29"/>
      <c r="J108" s="29"/>
      <c r="K108" s="24" t="s">
        <v>47</v>
      </c>
      <c r="L108" s="49">
        <v>45483</v>
      </c>
      <c r="M108" s="49">
        <v>45485</v>
      </c>
      <c r="N108" s="29">
        <f t="shared" si="4"/>
        <v>2</v>
      </c>
      <c r="O108" s="29"/>
      <c r="P108" t="s">
        <v>88</v>
      </c>
      <c r="Q108" t="s">
        <v>88</v>
      </c>
      <c r="R108" t="s">
        <v>88</v>
      </c>
      <c r="S108" t="s">
        <v>88</v>
      </c>
      <c r="T108" t="s">
        <v>88</v>
      </c>
      <c r="U108" t="s">
        <v>20</v>
      </c>
    </row>
    <row r="109" spans="1:21" x14ac:dyDescent="0.45">
      <c r="A109" s="29">
        <v>44112140</v>
      </c>
      <c r="B109" s="29" t="str">
        <f t="shared" si="5"/>
        <v>4.411.214-0</v>
      </c>
      <c r="C109" s="22" t="s">
        <v>38</v>
      </c>
      <c r="D109" s="29" t="s">
        <v>890</v>
      </c>
      <c r="E109" s="29" t="s">
        <v>990</v>
      </c>
      <c r="F109" s="29" t="s">
        <v>475</v>
      </c>
      <c r="G109" s="49">
        <v>45483</v>
      </c>
      <c r="H109" s="49">
        <v>45488</v>
      </c>
      <c r="I109" s="29"/>
      <c r="J109" s="29"/>
      <c r="K109" s="24" t="s">
        <v>43</v>
      </c>
      <c r="L109" s="49">
        <v>45483</v>
      </c>
      <c r="M109" s="49">
        <v>45488</v>
      </c>
      <c r="N109" s="29">
        <f t="shared" si="4"/>
        <v>5</v>
      </c>
      <c r="O109" s="29"/>
      <c r="P109" t="s">
        <v>88</v>
      </c>
      <c r="Q109" t="s">
        <v>88</v>
      </c>
      <c r="R109" t="s">
        <v>88</v>
      </c>
      <c r="S109" t="s">
        <v>88</v>
      </c>
      <c r="T109" t="s">
        <v>88</v>
      </c>
      <c r="U109" t="s">
        <v>20</v>
      </c>
    </row>
    <row r="110" spans="1:21" x14ac:dyDescent="0.45">
      <c r="A110" s="29">
        <v>44112140</v>
      </c>
      <c r="B110" s="29" t="str">
        <f t="shared" si="5"/>
        <v>4.411.214-0</v>
      </c>
      <c r="C110" s="22" t="str">
        <f>IF(IFERROR(VLOOKUP(A110,$A$10:$I109,1,0),0)=0,"",VLOOKUP(A110,$A$10:$I109,3,0))</f>
        <v xml:space="preserve">Sala de cuidados intermedios </v>
      </c>
      <c r="D110" s="29" t="str">
        <f>IF(IFERROR(VLOOKUP(A110,$A$10:$I109,1,0),0)=0,"",VLOOKUP(A110,$A$10:$I109,4,0))</f>
        <v>BADILLA</v>
      </c>
      <c r="E110" s="29" t="str">
        <f>IF(IFERROR(VLOOKUP(A110,$A$10:$I109,1,0),0)=0,"",VLOOKUP(A110,$A$10:$I109,5,0))</f>
        <v>FERREIRA</v>
      </c>
      <c r="F110" s="29" t="str">
        <f>IF(IFERROR(VLOOKUP(A110,$A$10:$I109,1,0),0)=0,"",VLOOKUP(A110,$A$10:$I109,6,0))</f>
        <v>ROSA</v>
      </c>
      <c r="G110" s="49">
        <f>IF(IFERROR(VLOOKUP(A110,$A$10:$I109,1,0),0)=0,"",VLOOKUP(A110,$A$10:$I109,7,0))</f>
        <v>45483</v>
      </c>
      <c r="H110" s="49">
        <v>45488</v>
      </c>
      <c r="I110" s="29"/>
      <c r="J110" s="29"/>
      <c r="K110" s="24" t="s">
        <v>47</v>
      </c>
      <c r="L110" s="49">
        <v>45483</v>
      </c>
      <c r="M110" s="49">
        <v>45488</v>
      </c>
      <c r="N110" s="29">
        <f t="shared" si="4"/>
        <v>5</v>
      </c>
      <c r="O110" s="29"/>
      <c r="P110" t="s">
        <v>88</v>
      </c>
      <c r="Q110" t="s">
        <v>88</v>
      </c>
      <c r="R110" t="s">
        <v>88</v>
      </c>
      <c r="S110" t="s">
        <v>88</v>
      </c>
      <c r="T110" t="s">
        <v>88</v>
      </c>
      <c r="U110" t="s">
        <v>20</v>
      </c>
    </row>
    <row r="111" spans="1:21" x14ac:dyDescent="0.45">
      <c r="A111" s="29">
        <v>55814783</v>
      </c>
      <c r="B111" s="29" t="str">
        <f t="shared" si="5"/>
        <v>5.581.478-3</v>
      </c>
      <c r="C111" s="22" t="s">
        <v>38</v>
      </c>
      <c r="D111" s="29" t="s">
        <v>1249</v>
      </c>
      <c r="E111" s="29" t="s">
        <v>1081</v>
      </c>
      <c r="F111" s="29" t="s">
        <v>1250</v>
      </c>
      <c r="G111" s="49">
        <v>45483</v>
      </c>
      <c r="H111" s="49">
        <v>45484</v>
      </c>
      <c r="I111" s="29"/>
      <c r="J111" s="29" t="s">
        <v>66</v>
      </c>
      <c r="K111" s="24" t="s">
        <v>47</v>
      </c>
      <c r="L111" s="49">
        <v>45483</v>
      </c>
      <c r="M111" s="49">
        <v>45484</v>
      </c>
      <c r="N111" s="29">
        <f t="shared" si="4"/>
        <v>1</v>
      </c>
      <c r="O111" s="29"/>
      <c r="P111" t="s">
        <v>88</v>
      </c>
      <c r="Q111" t="s">
        <v>88</v>
      </c>
      <c r="R111" t="s">
        <v>88</v>
      </c>
      <c r="S111" t="s">
        <v>88</v>
      </c>
      <c r="T111" t="s">
        <v>88</v>
      </c>
      <c r="U111" t="s">
        <v>20</v>
      </c>
    </row>
    <row r="112" spans="1:21" x14ac:dyDescent="0.45">
      <c r="A112" s="29">
        <v>110614071</v>
      </c>
      <c r="B112" s="29" t="str">
        <f t="shared" si="5"/>
        <v>11.061.407-1</v>
      </c>
      <c r="C112" s="22" t="s">
        <v>38</v>
      </c>
      <c r="D112" s="29" t="s">
        <v>1251</v>
      </c>
      <c r="E112" s="29" t="s">
        <v>1252</v>
      </c>
      <c r="F112" s="29" t="s">
        <v>1253</v>
      </c>
      <c r="G112" s="49">
        <v>45481</v>
      </c>
      <c r="H112" s="49">
        <v>45496</v>
      </c>
      <c r="I112" s="29"/>
      <c r="J112" s="29"/>
      <c r="K112" s="24" t="s">
        <v>43</v>
      </c>
      <c r="L112" s="49">
        <v>45481</v>
      </c>
      <c r="M112" s="49">
        <v>45496</v>
      </c>
      <c r="N112" s="29">
        <f t="shared" si="4"/>
        <v>15</v>
      </c>
      <c r="O112" s="29"/>
      <c r="P112" t="s">
        <v>88</v>
      </c>
      <c r="Q112" t="s">
        <v>88</v>
      </c>
      <c r="R112" t="s">
        <v>88</v>
      </c>
      <c r="S112" t="s">
        <v>88</v>
      </c>
      <c r="T112" t="s">
        <v>88</v>
      </c>
      <c r="U112" t="s">
        <v>20</v>
      </c>
    </row>
    <row r="113" spans="1:21" x14ac:dyDescent="0.45">
      <c r="A113" s="29">
        <v>110614071</v>
      </c>
      <c r="B113" s="29" t="str">
        <f t="shared" si="5"/>
        <v>11.061.407-1</v>
      </c>
      <c r="C113" s="22" t="str">
        <f>IF(IFERROR(VLOOKUP(A113,$A$10:$I112,1,0),0)=0,"",VLOOKUP(A113,$A$10:$I112,3,0))</f>
        <v xml:space="preserve">Sala de cuidados intermedios </v>
      </c>
      <c r="D113" s="29" t="str">
        <f>IF(IFERROR(VLOOKUP(A113,$A$10:$I112,1,0),0)=0,"",VLOOKUP(A113,$A$10:$I112,4,0))</f>
        <v>BERNAL</v>
      </c>
      <c r="E113" s="29" t="str">
        <f>IF(IFERROR(VLOOKUP(A113,$A$10:$I112,1,0),0)=0,"",VLOOKUP(A113,$A$10:$I112,5,0))</f>
        <v>GALVEZ</v>
      </c>
      <c r="F113" s="29" t="str">
        <f>IF(IFERROR(VLOOKUP(A113,$A$10:$I112,1,0),0)=0,"",VLOOKUP(A113,$A$10:$I112,6,0))</f>
        <v>TATIANA</v>
      </c>
      <c r="G113" s="49">
        <f>IF(IFERROR(VLOOKUP(A113,$A$10:$I112,1,0),0)=0,"",VLOOKUP(A113,$A$10:$I112,7,0))</f>
        <v>45481</v>
      </c>
      <c r="H113" s="49">
        <v>45496</v>
      </c>
      <c r="I113" s="29"/>
      <c r="J113" s="29"/>
      <c r="K113" s="24" t="s">
        <v>47</v>
      </c>
      <c r="L113" s="49">
        <v>45481</v>
      </c>
      <c r="M113" s="49">
        <v>45496</v>
      </c>
      <c r="N113" s="29">
        <f t="shared" si="4"/>
        <v>15</v>
      </c>
      <c r="O113" s="29"/>
      <c r="P113" t="s">
        <v>88</v>
      </c>
      <c r="Q113" t="s">
        <v>88</v>
      </c>
      <c r="R113" t="s">
        <v>88</v>
      </c>
      <c r="S113" t="s">
        <v>88</v>
      </c>
      <c r="T113" t="s">
        <v>88</v>
      </c>
      <c r="U113" t="s">
        <v>20</v>
      </c>
    </row>
    <row r="114" spans="1:21" x14ac:dyDescent="0.45">
      <c r="A114" s="29">
        <v>80855656</v>
      </c>
      <c r="B114" s="29" t="str">
        <f t="shared" si="5"/>
        <v>8.085.565-6</v>
      </c>
      <c r="C114" s="22" t="s">
        <v>22</v>
      </c>
      <c r="D114" s="29" t="str">
        <f>IF(IFERROR(VLOOKUP(A114,$A$10:$I113,1,0),0)=0,"",VLOOKUP(A114,$A$10:$I113,4,0))</f>
        <v>MATAMOROS</v>
      </c>
      <c r="E114" s="29" t="str">
        <f>IF(IFERROR(VLOOKUP(A114,$A$10:$I113,1,0),0)=0,"",VLOOKUP(A114,$A$10:$I113,5,0))</f>
        <v>RETAMAL</v>
      </c>
      <c r="F114" s="29" t="str">
        <f>IF(IFERROR(VLOOKUP(A114,$A$10:$I113,1,0),0)=0,"",VLOOKUP(A114,$A$10:$I113,6,0))</f>
        <v>SEBASTIAN</v>
      </c>
      <c r="G114" s="49">
        <v>45483</v>
      </c>
      <c r="H114" s="49">
        <v>45486</v>
      </c>
      <c r="I114" s="29" t="s">
        <v>22</v>
      </c>
      <c r="J114" s="29"/>
      <c r="K114" s="24" t="s">
        <v>43</v>
      </c>
      <c r="L114" s="49">
        <v>45483</v>
      </c>
      <c r="M114" s="49">
        <v>45485</v>
      </c>
      <c r="N114" s="29">
        <f t="shared" si="4"/>
        <v>2</v>
      </c>
      <c r="O114" s="29"/>
      <c r="P114" t="s">
        <v>88</v>
      </c>
      <c r="Q114" t="s">
        <v>88</v>
      </c>
      <c r="R114" t="s">
        <v>88</v>
      </c>
      <c r="S114" t="s">
        <v>88</v>
      </c>
      <c r="T114" t="s">
        <v>88</v>
      </c>
      <c r="U114" t="s">
        <v>20</v>
      </c>
    </row>
    <row r="115" spans="1:21" x14ac:dyDescent="0.45">
      <c r="A115" s="29">
        <v>80855656</v>
      </c>
      <c r="B115" s="29" t="str">
        <f t="shared" si="5"/>
        <v>8.085.565-6</v>
      </c>
      <c r="C115" s="22" t="s">
        <v>22</v>
      </c>
      <c r="D115" s="29" t="str">
        <f>IF(IFERROR(VLOOKUP(A115,$A$10:$I114,1,0),0)=0,"",VLOOKUP(A115,$A$10:$I114,4,0))</f>
        <v>MATAMOROS</v>
      </c>
      <c r="E115" s="29" t="str">
        <f>IF(IFERROR(VLOOKUP(A115,$A$10:$I114,1,0),0)=0,"",VLOOKUP(A115,$A$10:$I114,5,0))</f>
        <v>RETAMAL</v>
      </c>
      <c r="F115" s="29" t="str">
        <f>IF(IFERROR(VLOOKUP(A115,$A$10:$I114,1,0),0)=0,"",VLOOKUP(A115,$A$10:$I114,6,0))</f>
        <v>SEBASTIAN</v>
      </c>
      <c r="G115" s="49">
        <v>45483</v>
      </c>
      <c r="H115" s="49">
        <v>45486</v>
      </c>
      <c r="I115" s="29" t="s">
        <v>22</v>
      </c>
      <c r="J115" s="29"/>
      <c r="K115" s="24" t="s">
        <v>47</v>
      </c>
      <c r="L115" s="49">
        <v>45483</v>
      </c>
      <c r="M115" s="49">
        <v>45485</v>
      </c>
      <c r="N115" s="29">
        <f t="shared" si="4"/>
        <v>2</v>
      </c>
      <c r="O115" s="29"/>
      <c r="P115" t="s">
        <v>88</v>
      </c>
      <c r="Q115" t="s">
        <v>88</v>
      </c>
      <c r="R115" t="s">
        <v>88</v>
      </c>
      <c r="S115" t="s">
        <v>88</v>
      </c>
      <c r="T115" t="s">
        <v>88</v>
      </c>
      <c r="U115" t="s">
        <v>20</v>
      </c>
    </row>
    <row r="116" spans="1:21" x14ac:dyDescent="0.45">
      <c r="A116" s="29">
        <v>46492935</v>
      </c>
      <c r="B116" s="29" t="str">
        <f t="shared" si="5"/>
        <v>4.649.293-5</v>
      </c>
      <c r="C116" s="22" t="s">
        <v>30</v>
      </c>
      <c r="D116" s="29" t="s">
        <v>374</v>
      </c>
      <c r="E116" s="29" t="s">
        <v>439</v>
      </c>
      <c r="F116" s="29" t="s">
        <v>485</v>
      </c>
      <c r="G116" s="49">
        <v>45485</v>
      </c>
      <c r="H116" s="49">
        <v>45490</v>
      </c>
      <c r="I116" s="29"/>
      <c r="J116" s="29" t="s">
        <v>46</v>
      </c>
      <c r="K116" s="24" t="s">
        <v>43</v>
      </c>
      <c r="L116" s="49">
        <v>45485</v>
      </c>
      <c r="M116" s="49">
        <v>45490</v>
      </c>
      <c r="N116" s="29">
        <f t="shared" si="4"/>
        <v>5</v>
      </c>
      <c r="O116" s="29"/>
      <c r="P116" t="s">
        <v>88</v>
      </c>
      <c r="Q116" t="s">
        <v>88</v>
      </c>
      <c r="R116" t="s">
        <v>88</v>
      </c>
      <c r="S116" t="s">
        <v>88</v>
      </c>
      <c r="T116" t="s">
        <v>88</v>
      </c>
      <c r="U116" t="s">
        <v>20</v>
      </c>
    </row>
    <row r="117" spans="1:21" x14ac:dyDescent="0.45">
      <c r="A117" s="29">
        <v>46492935</v>
      </c>
      <c r="B117" s="29" t="str">
        <f t="shared" si="5"/>
        <v>4.649.293-5</v>
      </c>
      <c r="C117" s="22" t="str">
        <f>IF(IFERROR(VLOOKUP(A117,$A$10:$I116,1,0),0)=0,"",VLOOKUP(A117,$A$10:$I116,3,0))</f>
        <v>UCO</v>
      </c>
      <c r="D117" s="29" t="str">
        <f>IF(IFERROR(VLOOKUP(A117,$A$10:$I116,1,0),0)=0,"",VLOOKUP(A117,$A$10:$I116,4,0))</f>
        <v>MONSALVE</v>
      </c>
      <c r="E117" s="29" t="str">
        <f>IF(IFERROR(VLOOKUP(A117,$A$10:$I116,1,0),0)=0,"",VLOOKUP(A117,$A$10:$I116,5,0))</f>
        <v>GONZALEZ</v>
      </c>
      <c r="F117" s="29" t="str">
        <f>IF(IFERROR(VLOOKUP(A117,$A$10:$I116,1,0),0)=0,"",VLOOKUP(A117,$A$10:$I116,6,0))</f>
        <v>PEDRO</v>
      </c>
      <c r="G117" s="49">
        <f>IF(IFERROR(VLOOKUP(A117,$A$10:$I116,1,0),0)=0,"",VLOOKUP(A117,$A$10:$I116,7,0))</f>
        <v>45485</v>
      </c>
      <c r="H117" s="49">
        <v>45490</v>
      </c>
      <c r="I117" s="29"/>
      <c r="J117" s="29" t="s">
        <v>46</v>
      </c>
      <c r="K117" s="24" t="s">
        <v>47</v>
      </c>
      <c r="L117" s="49">
        <v>45485</v>
      </c>
      <c r="M117" s="49">
        <v>45488</v>
      </c>
      <c r="N117" s="29">
        <f t="shared" si="4"/>
        <v>3</v>
      </c>
      <c r="O117" s="29"/>
      <c r="P117" t="s">
        <v>88</v>
      </c>
      <c r="Q117" t="s">
        <v>88</v>
      </c>
      <c r="R117" t="s">
        <v>88</v>
      </c>
      <c r="S117" t="s">
        <v>88</v>
      </c>
      <c r="T117" t="s">
        <v>88</v>
      </c>
      <c r="U117" t="s">
        <v>20</v>
      </c>
    </row>
    <row r="118" spans="1:21" x14ac:dyDescent="0.45">
      <c r="A118" s="29">
        <v>77650482</v>
      </c>
      <c r="B118" s="29" t="str">
        <f t="shared" si="5"/>
        <v>7.765.048-2</v>
      </c>
      <c r="C118" s="22" t="s">
        <v>30</v>
      </c>
      <c r="D118" s="29" t="s">
        <v>1010</v>
      </c>
      <c r="E118" s="29" t="s">
        <v>578</v>
      </c>
      <c r="F118" s="29" t="s">
        <v>489</v>
      </c>
      <c r="G118" s="49">
        <v>45486</v>
      </c>
      <c r="H118" s="49">
        <v>45489</v>
      </c>
      <c r="I118" s="29"/>
      <c r="J118" s="29" t="s">
        <v>46</v>
      </c>
      <c r="K118" s="24" t="s">
        <v>43</v>
      </c>
      <c r="L118" s="49">
        <v>45486</v>
      </c>
      <c r="M118" s="49">
        <v>45489</v>
      </c>
      <c r="N118" s="29">
        <f t="shared" si="4"/>
        <v>3</v>
      </c>
      <c r="O118" s="29" t="s">
        <v>531</v>
      </c>
      <c r="P118" t="s">
        <v>88</v>
      </c>
      <c r="Q118" t="s">
        <v>88</v>
      </c>
      <c r="R118" t="s">
        <v>88</v>
      </c>
      <c r="S118" t="s">
        <v>88</v>
      </c>
      <c r="T118" t="s">
        <v>88</v>
      </c>
      <c r="U118" t="s">
        <v>20</v>
      </c>
    </row>
    <row r="119" spans="1:21" x14ac:dyDescent="0.45">
      <c r="A119" s="29">
        <v>78889241</v>
      </c>
      <c r="B119" s="29" t="str">
        <f t="shared" si="5"/>
        <v>7.888.924-1</v>
      </c>
      <c r="C119" s="22" t="s">
        <v>30</v>
      </c>
      <c r="D119" s="29" t="s">
        <v>375</v>
      </c>
      <c r="E119" s="29" t="s">
        <v>1118</v>
      </c>
      <c r="F119" s="29" t="s">
        <v>348</v>
      </c>
      <c r="G119" s="49">
        <v>45484</v>
      </c>
      <c r="H119" s="49">
        <v>45491</v>
      </c>
      <c r="I119" s="29"/>
      <c r="J119" s="29"/>
      <c r="K119" s="24" t="s">
        <v>43</v>
      </c>
      <c r="L119" s="49">
        <v>45484</v>
      </c>
      <c r="M119" s="49">
        <v>45496</v>
      </c>
      <c r="N119" s="29">
        <f t="shared" si="4"/>
        <v>12</v>
      </c>
      <c r="O119" s="29"/>
      <c r="P119" t="s">
        <v>88</v>
      </c>
      <c r="Q119" t="s">
        <v>88</v>
      </c>
      <c r="R119" t="s">
        <v>88</v>
      </c>
      <c r="S119" t="s">
        <v>88</v>
      </c>
      <c r="T119" t="s">
        <v>88</v>
      </c>
      <c r="U119" t="s">
        <v>20</v>
      </c>
    </row>
    <row r="120" spans="1:21" x14ac:dyDescent="0.45">
      <c r="A120" s="29">
        <v>78889241</v>
      </c>
      <c r="B120" s="29" t="str">
        <f t="shared" si="5"/>
        <v>7.888.924-1</v>
      </c>
      <c r="C120" s="22" t="str">
        <f>IF(IFERROR(VLOOKUP(A120,$A$10:$I119,1,0),0)=0,"",VLOOKUP(A120,$A$10:$I119,3,0))</f>
        <v>UCO</v>
      </c>
      <c r="D120" s="29" t="str">
        <f>IF(IFERROR(VLOOKUP(A120,$A$10:$I119,1,0),0)=0,"",VLOOKUP(A120,$A$10:$I119,4,0))</f>
        <v>CASTILLO</v>
      </c>
      <c r="E120" s="29" t="str">
        <f>IF(IFERROR(VLOOKUP(A120,$A$10:$I119,1,0),0)=0,"",VLOOKUP(A120,$A$10:$I119,5,0))</f>
        <v>MELGAREJO</v>
      </c>
      <c r="F120" s="29" t="str">
        <f>IF(IFERROR(VLOOKUP(A120,$A$10:$I119,1,0),0)=0,"",VLOOKUP(A120,$A$10:$I119,6,0))</f>
        <v>MARIA</v>
      </c>
      <c r="G120" s="49">
        <f>IF(IFERROR(VLOOKUP(A120,$A$10:$I119,1,0),0)=0,"",VLOOKUP(A120,$A$10:$I119,7,0))</f>
        <v>45484</v>
      </c>
      <c r="H120" s="49">
        <v>45491</v>
      </c>
      <c r="I120" s="29"/>
      <c r="J120" s="29"/>
      <c r="K120" s="24" t="s">
        <v>47</v>
      </c>
      <c r="L120" s="49">
        <v>45484</v>
      </c>
      <c r="M120" s="49">
        <v>45491</v>
      </c>
      <c r="N120" s="29">
        <f t="shared" si="4"/>
        <v>7</v>
      </c>
      <c r="O120" s="29"/>
      <c r="P120" t="s">
        <v>88</v>
      </c>
      <c r="Q120" t="s">
        <v>88</v>
      </c>
      <c r="R120" t="s">
        <v>88</v>
      </c>
      <c r="S120" t="s">
        <v>88</v>
      </c>
      <c r="T120" t="s">
        <v>88</v>
      </c>
      <c r="U120" t="s">
        <v>20</v>
      </c>
    </row>
    <row r="121" spans="1:21" x14ac:dyDescent="0.45">
      <c r="A121" s="29">
        <v>125527353</v>
      </c>
      <c r="B121" s="29" t="str">
        <f t="shared" si="5"/>
        <v>12.552.735-3</v>
      </c>
      <c r="C121" s="22" t="s">
        <v>22</v>
      </c>
      <c r="D121" s="29" t="s">
        <v>482</v>
      </c>
      <c r="E121" s="29" t="s">
        <v>339</v>
      </c>
      <c r="F121" s="29" t="s">
        <v>1254</v>
      </c>
      <c r="G121" s="49">
        <v>45484</v>
      </c>
      <c r="H121" s="49">
        <v>45489</v>
      </c>
      <c r="I121" s="29"/>
      <c r="J121" s="29"/>
      <c r="K121" s="24" t="s">
        <v>43</v>
      </c>
      <c r="L121" s="49">
        <v>45484</v>
      </c>
      <c r="M121" s="49">
        <v>45488</v>
      </c>
      <c r="N121" s="29">
        <f t="shared" si="4"/>
        <v>4</v>
      </c>
      <c r="O121" s="29"/>
      <c r="P121" t="s">
        <v>88</v>
      </c>
      <c r="Q121" t="s">
        <v>88</v>
      </c>
      <c r="R121" t="s">
        <v>88</v>
      </c>
      <c r="S121" t="s">
        <v>88</v>
      </c>
      <c r="T121" t="s">
        <v>88</v>
      </c>
      <c r="U121" t="s">
        <v>20</v>
      </c>
    </row>
    <row r="122" spans="1:21" x14ac:dyDescent="0.45">
      <c r="A122" s="29">
        <v>125527353</v>
      </c>
      <c r="B122" s="29" t="str">
        <f t="shared" si="5"/>
        <v>12.552.735-3</v>
      </c>
      <c r="C122" s="22" t="str">
        <f>IF(IFERROR(VLOOKUP(A122,$A$10:$I121,1,0),0)=0,"",VLOOKUP(A122,$A$10:$I121,3,0))</f>
        <v>UCI</v>
      </c>
      <c r="D122" s="29" t="str">
        <f>IF(IFERROR(VLOOKUP(A122,$A$10:$I121,1,0),0)=0,"",VLOOKUP(A122,$A$10:$I121,4,0))</f>
        <v>PEREZ</v>
      </c>
      <c r="E122" s="29" t="str">
        <f>IF(IFERROR(VLOOKUP(A122,$A$10:$I121,1,0),0)=0,"",VLOOKUP(A122,$A$10:$I121,5,0))</f>
        <v>ESPINOZA</v>
      </c>
      <c r="F122" s="29" t="str">
        <f>IF(IFERROR(VLOOKUP(A122,$A$10:$I121,1,0),0)=0,"",VLOOKUP(A122,$A$10:$I121,6,0))</f>
        <v>VALERIA</v>
      </c>
      <c r="G122" s="49">
        <f>IF(IFERROR(VLOOKUP(A122,$A$10:$I121,1,0),0)=0,"",VLOOKUP(A122,$A$10:$I121,7,0))</f>
        <v>45484</v>
      </c>
      <c r="H122" s="49">
        <v>45489</v>
      </c>
      <c r="I122" s="29"/>
      <c r="J122" s="29"/>
      <c r="K122" s="24" t="s">
        <v>47</v>
      </c>
      <c r="L122" s="49">
        <v>45484</v>
      </c>
      <c r="M122" s="49">
        <v>45488</v>
      </c>
      <c r="N122" s="29">
        <f t="shared" si="4"/>
        <v>4</v>
      </c>
      <c r="O122" s="29"/>
      <c r="P122" t="s">
        <v>88</v>
      </c>
      <c r="Q122" t="s">
        <v>88</v>
      </c>
      <c r="R122" t="s">
        <v>88</v>
      </c>
      <c r="S122" t="s">
        <v>88</v>
      </c>
      <c r="T122" t="s">
        <v>88</v>
      </c>
      <c r="U122" t="s">
        <v>20</v>
      </c>
    </row>
    <row r="123" spans="1:21" x14ac:dyDescent="0.45">
      <c r="A123" s="29">
        <v>19095754</v>
      </c>
      <c r="B123" s="29" t="str">
        <f t="shared" si="5"/>
        <v>1.909.575-4</v>
      </c>
      <c r="C123" s="22" t="s">
        <v>22</v>
      </c>
      <c r="D123" s="29" t="s">
        <v>1255</v>
      </c>
      <c r="E123" s="29" t="s">
        <v>1175</v>
      </c>
      <c r="F123" s="29" t="s">
        <v>351</v>
      </c>
      <c r="G123" s="49">
        <v>45485</v>
      </c>
      <c r="H123" s="49">
        <v>45491</v>
      </c>
      <c r="I123" s="29"/>
      <c r="J123" s="29"/>
      <c r="K123" s="24" t="s">
        <v>43</v>
      </c>
      <c r="L123" s="49">
        <v>45485</v>
      </c>
      <c r="M123" s="49">
        <v>45491</v>
      </c>
      <c r="N123" s="29">
        <f t="shared" si="4"/>
        <v>6</v>
      </c>
      <c r="O123" s="29"/>
      <c r="P123" t="s">
        <v>88</v>
      </c>
      <c r="Q123" t="s">
        <v>88</v>
      </c>
      <c r="R123" t="s">
        <v>88</v>
      </c>
      <c r="S123" t="s">
        <v>88</v>
      </c>
      <c r="T123" t="s">
        <v>88</v>
      </c>
      <c r="U123" t="s">
        <v>20</v>
      </c>
    </row>
    <row r="124" spans="1:21" x14ac:dyDescent="0.45">
      <c r="A124" s="29">
        <v>19095754</v>
      </c>
      <c r="B124" s="29" t="str">
        <f t="shared" si="5"/>
        <v>1.909.575-4</v>
      </c>
      <c r="C124" s="22" t="str">
        <f>IF(IFERROR(VLOOKUP(A124,$A$10:$I123,1,0),0)=0,"",VLOOKUP(A124,$A$10:$I123,3,0))</f>
        <v>UCI</v>
      </c>
      <c r="D124" s="29" t="str">
        <f>IF(IFERROR(VLOOKUP(A124,$A$10:$I123,1,0),0)=0,"",VLOOKUP(A124,$A$10:$I123,4,0))</f>
        <v>CAPURRO</v>
      </c>
      <c r="E124" s="29" t="str">
        <f>IF(IFERROR(VLOOKUP(A124,$A$10:$I123,1,0),0)=0,"",VLOOKUP(A124,$A$10:$I123,5,0))</f>
        <v>ASTUDILLO</v>
      </c>
      <c r="F124" s="29" t="str">
        <f>IF(IFERROR(VLOOKUP(A124,$A$10:$I123,1,0),0)=0,"",VLOOKUP(A124,$A$10:$I123,6,0))</f>
        <v>OSCAR</v>
      </c>
      <c r="G124" s="49">
        <f>IF(IFERROR(VLOOKUP(A124,$A$10:$I123,1,0),0)=0,"",VLOOKUP(A124,$A$10:$I123,7,0))</f>
        <v>45485</v>
      </c>
      <c r="H124" s="49">
        <v>45491</v>
      </c>
      <c r="I124" s="29"/>
      <c r="J124" s="29"/>
      <c r="K124" s="24" t="s">
        <v>47</v>
      </c>
      <c r="L124" s="49">
        <v>45485</v>
      </c>
      <c r="M124" s="49">
        <v>45491</v>
      </c>
      <c r="N124" s="29">
        <f t="shared" si="4"/>
        <v>6</v>
      </c>
      <c r="O124" s="29"/>
      <c r="P124" t="s">
        <v>88</v>
      </c>
      <c r="Q124" t="s">
        <v>88</v>
      </c>
      <c r="R124" t="s">
        <v>88</v>
      </c>
      <c r="S124" t="s">
        <v>88</v>
      </c>
      <c r="T124" t="s">
        <v>88</v>
      </c>
      <c r="U124" t="s">
        <v>20</v>
      </c>
    </row>
    <row r="125" spans="1:21" x14ac:dyDescent="0.45">
      <c r="A125" s="29">
        <v>59070762</v>
      </c>
      <c r="B125" s="29" t="str">
        <f t="shared" si="5"/>
        <v>5.907.076-2</v>
      </c>
      <c r="C125" s="22" t="s">
        <v>22</v>
      </c>
      <c r="D125" s="29" t="s">
        <v>1016</v>
      </c>
      <c r="E125" s="29" t="s">
        <v>723</v>
      </c>
      <c r="F125" s="29" t="s">
        <v>238</v>
      </c>
      <c r="G125" s="49">
        <v>45485</v>
      </c>
      <c r="H125" s="49">
        <v>45488</v>
      </c>
      <c r="I125" s="29"/>
      <c r="J125" s="29"/>
      <c r="K125" s="24" t="s">
        <v>47</v>
      </c>
      <c r="L125" s="49">
        <v>45485</v>
      </c>
      <c r="M125" s="49">
        <v>45488</v>
      </c>
      <c r="N125" s="29">
        <f t="shared" si="4"/>
        <v>3</v>
      </c>
      <c r="O125" s="29"/>
      <c r="P125" t="s">
        <v>88</v>
      </c>
      <c r="Q125" t="s">
        <v>88</v>
      </c>
      <c r="R125" t="s">
        <v>88</v>
      </c>
      <c r="S125" t="s">
        <v>88</v>
      </c>
      <c r="T125" t="s">
        <v>88</v>
      </c>
      <c r="U125" t="s">
        <v>20</v>
      </c>
    </row>
    <row r="126" spans="1:21" x14ac:dyDescent="0.45">
      <c r="A126" s="29">
        <v>55566178</v>
      </c>
      <c r="B126" s="29" t="str">
        <f t="shared" si="5"/>
        <v>5.556.617-8</v>
      </c>
      <c r="C126" s="22" t="s">
        <v>22</v>
      </c>
      <c r="D126" s="29" t="s">
        <v>417</v>
      </c>
      <c r="E126" s="29" t="s">
        <v>393</v>
      </c>
      <c r="F126" s="29" t="s">
        <v>1256</v>
      </c>
      <c r="G126" s="49">
        <v>45487</v>
      </c>
      <c r="H126" s="49">
        <v>45492</v>
      </c>
      <c r="I126" s="29"/>
      <c r="J126" s="29" t="s">
        <v>82</v>
      </c>
      <c r="K126" s="24" t="s">
        <v>43</v>
      </c>
      <c r="L126" s="49">
        <v>45487</v>
      </c>
      <c r="M126" s="49">
        <v>45492</v>
      </c>
      <c r="N126" s="29">
        <f t="shared" si="4"/>
        <v>5</v>
      </c>
      <c r="O126" s="29"/>
      <c r="P126" t="s">
        <v>88</v>
      </c>
      <c r="Q126" t="s">
        <v>88</v>
      </c>
      <c r="R126" t="s">
        <v>88</v>
      </c>
      <c r="S126" t="s">
        <v>88</v>
      </c>
      <c r="T126" t="s">
        <v>88</v>
      </c>
      <c r="U126" t="s">
        <v>20</v>
      </c>
    </row>
    <row r="127" spans="1:21" x14ac:dyDescent="0.45">
      <c r="A127" s="29">
        <v>55566178</v>
      </c>
      <c r="B127" s="29" t="str">
        <f t="shared" si="5"/>
        <v>5.556.617-8</v>
      </c>
      <c r="C127" s="22" t="str">
        <f>IF(IFERROR(VLOOKUP(A127,$A$10:$I126,1,0),0)=0,"",VLOOKUP(A127,$A$10:$I126,3,0))</f>
        <v>UCI</v>
      </c>
      <c r="D127" s="29" t="str">
        <f>IF(IFERROR(VLOOKUP(A127,$A$10:$I126,1,0),0)=0,"",VLOOKUP(A127,$A$10:$I126,4,0))</f>
        <v>LOPEZ</v>
      </c>
      <c r="E127" s="29" t="str">
        <f>IF(IFERROR(VLOOKUP(A127,$A$10:$I126,1,0),0)=0,"",VLOOKUP(A127,$A$10:$I126,5,0))</f>
        <v>FERNANDEZ</v>
      </c>
      <c r="F127" s="29" t="str">
        <f>IF(IFERROR(VLOOKUP(A127,$A$10:$I126,1,0),0)=0,"",VLOOKUP(A127,$A$10:$I126,6,0))</f>
        <v>DORALIZA</v>
      </c>
      <c r="G127" s="49">
        <f>IF(IFERROR(VLOOKUP(A127,$A$10:$I126,1,0),0)=0,"",VLOOKUP(A127,$A$10:$I126,7,0))</f>
        <v>45487</v>
      </c>
      <c r="H127" s="49">
        <v>45492</v>
      </c>
      <c r="I127" s="29"/>
      <c r="J127" s="29"/>
      <c r="K127" s="24" t="s">
        <v>47</v>
      </c>
      <c r="L127" s="49">
        <v>45487</v>
      </c>
      <c r="M127" s="49">
        <v>45492</v>
      </c>
      <c r="N127" s="29">
        <f t="shared" si="4"/>
        <v>5</v>
      </c>
      <c r="O127" s="29"/>
      <c r="P127" t="s">
        <v>88</v>
      </c>
      <c r="Q127" t="s">
        <v>88</v>
      </c>
      <c r="R127" t="s">
        <v>88</v>
      </c>
      <c r="S127" t="s">
        <v>88</v>
      </c>
      <c r="T127" t="s">
        <v>88</v>
      </c>
      <c r="U127" t="s">
        <v>20</v>
      </c>
    </row>
    <row r="128" spans="1:21" x14ac:dyDescent="0.45">
      <c r="A128" s="29">
        <v>88912925</v>
      </c>
      <c r="B128" s="29" t="str">
        <f t="shared" si="5"/>
        <v>8.891.292-5</v>
      </c>
      <c r="C128" s="22" t="s">
        <v>22</v>
      </c>
      <c r="D128" s="29" t="s">
        <v>249</v>
      </c>
      <c r="E128" s="29" t="s">
        <v>856</v>
      </c>
      <c r="F128" s="29" t="s">
        <v>1023</v>
      </c>
      <c r="G128" s="49">
        <v>45487</v>
      </c>
      <c r="H128" s="49">
        <v>45491</v>
      </c>
      <c r="I128" s="29"/>
      <c r="J128" s="29" t="s">
        <v>24</v>
      </c>
      <c r="K128" s="24" t="s">
        <v>43</v>
      </c>
      <c r="L128" s="49">
        <v>45487</v>
      </c>
      <c r="M128" s="49">
        <v>45491</v>
      </c>
      <c r="N128" s="29">
        <f t="shared" si="4"/>
        <v>4</v>
      </c>
      <c r="O128" s="29"/>
      <c r="P128" t="s">
        <v>88</v>
      </c>
      <c r="Q128" t="s">
        <v>88</v>
      </c>
      <c r="R128" t="s">
        <v>88</v>
      </c>
      <c r="S128" t="s">
        <v>88</v>
      </c>
      <c r="T128" t="s">
        <v>88</v>
      </c>
      <c r="U128" t="s">
        <v>20</v>
      </c>
    </row>
    <row r="129" spans="1:21" x14ac:dyDescent="0.45">
      <c r="A129" s="29">
        <v>88912925</v>
      </c>
      <c r="B129" s="29" t="str">
        <f t="shared" si="5"/>
        <v>8.891.292-5</v>
      </c>
      <c r="C129" s="22" t="str">
        <f>IF(IFERROR(VLOOKUP(A129,$A$10:$I128,1,0),0)=0,"",VLOOKUP(A129,$A$10:$I128,3,0))</f>
        <v>UCI</v>
      </c>
      <c r="D129" s="29" t="str">
        <f>IF(IFERROR(VLOOKUP(A129,$A$10:$I128,1,0),0)=0,"",VLOOKUP(A129,$A$10:$I128,4,0))</f>
        <v>RODRIGUEZ</v>
      </c>
      <c r="E129" s="29" t="str">
        <f>IF(IFERROR(VLOOKUP(A129,$A$10:$I128,1,0),0)=0,"",VLOOKUP(A129,$A$10:$I128,5,0))</f>
        <v>VILLABLANCA</v>
      </c>
      <c r="F129" s="29" t="str">
        <f>IF(IFERROR(VLOOKUP(A129,$A$10:$I128,1,0),0)=0,"",VLOOKUP(A129,$A$10:$I128,6,0))</f>
        <v>IRIS</v>
      </c>
      <c r="G129" s="49">
        <f>IF(IFERROR(VLOOKUP(A129,$A$10:$I128,1,0),0)=0,"",VLOOKUP(A129,$A$10:$I128,7,0))</f>
        <v>45487</v>
      </c>
      <c r="H129" s="49">
        <v>45491</v>
      </c>
      <c r="I129" s="29"/>
      <c r="J129" s="29"/>
      <c r="K129" s="24" t="s">
        <v>47</v>
      </c>
      <c r="L129" s="49">
        <v>45487</v>
      </c>
      <c r="M129" s="49">
        <v>45491</v>
      </c>
      <c r="N129" s="29">
        <f t="shared" si="4"/>
        <v>4</v>
      </c>
      <c r="O129" s="29"/>
      <c r="P129" t="s">
        <v>88</v>
      </c>
      <c r="Q129" t="s">
        <v>88</v>
      </c>
      <c r="R129" t="s">
        <v>88</v>
      </c>
      <c r="S129" t="s">
        <v>88</v>
      </c>
      <c r="T129" t="s">
        <v>88</v>
      </c>
      <c r="U129" t="s">
        <v>20</v>
      </c>
    </row>
    <row r="130" spans="1:21" x14ac:dyDescent="0.45">
      <c r="A130" s="29">
        <v>68396638</v>
      </c>
      <c r="B130" s="29" t="str">
        <f t="shared" si="5"/>
        <v>6.839.663-8</v>
      </c>
      <c r="C130" s="22" t="s">
        <v>22</v>
      </c>
      <c r="D130" s="29" t="s">
        <v>1257</v>
      </c>
      <c r="E130" s="29" t="s">
        <v>1078</v>
      </c>
      <c r="F130" s="29" t="s">
        <v>882</v>
      </c>
      <c r="G130" s="49">
        <v>45486</v>
      </c>
      <c r="H130" s="49">
        <v>45492</v>
      </c>
      <c r="I130" s="29"/>
      <c r="J130" s="29" t="s">
        <v>24</v>
      </c>
      <c r="K130" s="24" t="s">
        <v>43</v>
      </c>
      <c r="L130" s="49">
        <v>45486</v>
      </c>
      <c r="M130" s="49">
        <v>45492</v>
      </c>
      <c r="N130" s="29">
        <f t="shared" si="4"/>
        <v>6</v>
      </c>
      <c r="O130" s="29"/>
      <c r="P130" t="s">
        <v>88</v>
      </c>
      <c r="Q130" t="s">
        <v>88</v>
      </c>
      <c r="R130" t="s">
        <v>88</v>
      </c>
      <c r="S130" t="s">
        <v>88</v>
      </c>
      <c r="T130" t="s">
        <v>88</v>
      </c>
      <c r="U130" t="s">
        <v>20</v>
      </c>
    </row>
    <row r="131" spans="1:21" x14ac:dyDescent="0.45">
      <c r="A131" s="79">
        <v>178423231</v>
      </c>
      <c r="B131" s="29" t="str">
        <f t="shared" si="5"/>
        <v>17.842.323-1</v>
      </c>
      <c r="C131" s="22" t="s">
        <v>22</v>
      </c>
      <c r="D131" s="29" t="str">
        <f>IF(IFERROR(VLOOKUP(A131,$A$10:$I130,1,0),0)=0,"",VLOOKUP(A131,$A$10:$I130,4,0))</f>
        <v>MONTANARES</v>
      </c>
      <c r="E131" s="29" t="str">
        <f>IF(IFERROR(VLOOKUP(A131,$A$10:$I130,1,0),0)=0,"",VLOOKUP(A131,$A$10:$I130,5,0))</f>
        <v>GODOY</v>
      </c>
      <c r="F131" s="29" t="str">
        <f>IF(IFERROR(VLOOKUP(A131,$A$10:$I130,1,0),0)=0,"",VLOOKUP(A131,$A$10:$I130,6,0))</f>
        <v>DAVID</v>
      </c>
      <c r="G131" s="49">
        <v>45483</v>
      </c>
      <c r="H131" s="49">
        <v>45504</v>
      </c>
      <c r="I131" s="29"/>
      <c r="J131" s="29"/>
      <c r="K131" s="24" t="s">
        <v>43</v>
      </c>
      <c r="L131" s="49">
        <v>45483</v>
      </c>
      <c r="M131" s="49">
        <v>45490</v>
      </c>
      <c r="N131" s="29">
        <f t="shared" si="4"/>
        <v>7</v>
      </c>
      <c r="O131" s="29"/>
      <c r="P131" t="s">
        <v>88</v>
      </c>
      <c r="Q131" t="s">
        <v>88</v>
      </c>
      <c r="R131" t="s">
        <v>88</v>
      </c>
      <c r="S131" t="s">
        <v>88</v>
      </c>
      <c r="T131" t="s">
        <v>88</v>
      </c>
      <c r="U131" t="s">
        <v>20</v>
      </c>
    </row>
    <row r="132" spans="1:21" x14ac:dyDescent="0.45">
      <c r="A132" s="79">
        <v>178423231</v>
      </c>
      <c r="B132" s="29" t="str">
        <f t="shared" si="5"/>
        <v>17.842.323-1</v>
      </c>
      <c r="C132" s="22" t="s">
        <v>22</v>
      </c>
      <c r="D132" s="29" t="str">
        <f>IF(IFERROR(VLOOKUP(A132,$A$10:$I131,1,0),0)=0,"",VLOOKUP(A132,$A$10:$I131,4,0))</f>
        <v>MONTANARES</v>
      </c>
      <c r="E132" s="29" t="str">
        <f>IF(IFERROR(VLOOKUP(A132,$A$10:$I131,1,0),0)=0,"",VLOOKUP(A132,$A$10:$I131,5,0))</f>
        <v>GODOY</v>
      </c>
      <c r="F132" s="29" t="str">
        <f>IF(IFERROR(VLOOKUP(A132,$A$10:$I131,1,0),0)=0,"",VLOOKUP(A132,$A$10:$I131,6,0))</f>
        <v>DAVID</v>
      </c>
      <c r="G132" s="49">
        <v>45483</v>
      </c>
      <c r="H132" s="49">
        <v>45504</v>
      </c>
      <c r="I132" s="29"/>
      <c r="J132" s="29" t="s">
        <v>24</v>
      </c>
      <c r="K132" s="24" t="s">
        <v>47</v>
      </c>
      <c r="L132" s="49">
        <v>45483</v>
      </c>
      <c r="M132" s="49">
        <v>45487</v>
      </c>
      <c r="N132" s="29">
        <f t="shared" si="4"/>
        <v>4</v>
      </c>
      <c r="O132" s="29"/>
      <c r="P132" t="s">
        <v>88</v>
      </c>
      <c r="Q132" t="s">
        <v>88</v>
      </c>
      <c r="R132" t="s">
        <v>88</v>
      </c>
      <c r="S132" t="s">
        <v>88</v>
      </c>
      <c r="T132" t="s">
        <v>88</v>
      </c>
      <c r="U132" t="s">
        <v>20</v>
      </c>
    </row>
    <row r="133" spans="1:21" x14ac:dyDescent="0.45">
      <c r="A133" s="29">
        <v>74091032</v>
      </c>
      <c r="B133" s="29" t="str">
        <f t="shared" si="5"/>
        <v>7.409.103-2</v>
      </c>
      <c r="C133" s="22" t="str">
        <f>IF(IFERROR(VLOOKUP(A133,$A$10:$I132,1,0),0)=0,"",VLOOKUP(A133,$A$10:$I132,3,0))</f>
        <v>UCI</v>
      </c>
      <c r="D133" s="29" t="str">
        <f>IF(IFERROR(VLOOKUP(A133,$A$10:$I132,1,0),0)=0,"",VLOOKUP(A133,$A$10:$I132,4,0))</f>
        <v>HERRERA</v>
      </c>
      <c r="E133" s="29" t="str">
        <f>IF(IFERROR(VLOOKUP(A133,$A$10:$I132,1,0),0)=0,"",VLOOKUP(A133,$A$10:$I132,5,0))</f>
        <v>LOPEZ</v>
      </c>
      <c r="F133" s="29" t="str">
        <f>IF(IFERROR(VLOOKUP(A133,$A$10:$I132,1,0),0)=0,"",VLOOKUP(A133,$A$10:$I132,6,0))</f>
        <v>NELSO</v>
      </c>
      <c r="G133" s="49">
        <f>IF(IFERROR(VLOOKUP(A133,$A$10:$I132,1,0),0)=0,"",VLOOKUP(A133,$A$10:$I132,7,0))</f>
        <v>45477</v>
      </c>
      <c r="H133" s="29"/>
      <c r="I133" s="29"/>
      <c r="J133" s="29"/>
      <c r="K133" s="24" t="s">
        <v>18</v>
      </c>
      <c r="L133" s="49">
        <v>45487</v>
      </c>
      <c r="M133" s="49">
        <v>45496</v>
      </c>
      <c r="N133" s="29">
        <f t="shared" si="4"/>
        <v>9</v>
      </c>
      <c r="O133" s="29"/>
      <c r="P133" t="s">
        <v>88</v>
      </c>
      <c r="Q133" t="s">
        <v>88</v>
      </c>
      <c r="R133" t="s">
        <v>88</v>
      </c>
      <c r="S133" t="s">
        <v>88</v>
      </c>
      <c r="T133" t="s">
        <v>88</v>
      </c>
      <c r="U133" t="s">
        <v>20</v>
      </c>
    </row>
    <row r="134" spans="1:21" x14ac:dyDescent="0.45">
      <c r="A134" s="29">
        <v>67741161</v>
      </c>
      <c r="B134" s="29" t="str">
        <f t="shared" si="5"/>
        <v>6.774.116-1</v>
      </c>
      <c r="C134" s="22" t="s">
        <v>22</v>
      </c>
      <c r="D134" s="29" t="s">
        <v>461</v>
      </c>
      <c r="E134" s="29" t="s">
        <v>1078</v>
      </c>
      <c r="F134" s="29" t="s">
        <v>279</v>
      </c>
      <c r="G134" s="49">
        <v>45486</v>
      </c>
      <c r="H134" s="49">
        <v>45489</v>
      </c>
      <c r="I134" s="29" t="s">
        <v>22</v>
      </c>
      <c r="J134" s="29" t="s">
        <v>46</v>
      </c>
      <c r="K134" s="24" t="s">
        <v>43</v>
      </c>
      <c r="L134" s="49">
        <v>45486</v>
      </c>
      <c r="M134" s="49">
        <v>45489</v>
      </c>
      <c r="N134" s="29">
        <f t="shared" si="4"/>
        <v>3</v>
      </c>
      <c r="O134" s="29"/>
      <c r="P134" t="s">
        <v>88</v>
      </c>
      <c r="Q134" t="s">
        <v>88</v>
      </c>
      <c r="R134" t="s">
        <v>88</v>
      </c>
      <c r="S134" t="s">
        <v>88</v>
      </c>
      <c r="T134" t="s">
        <v>88</v>
      </c>
      <c r="U134" t="s">
        <v>20</v>
      </c>
    </row>
    <row r="135" spans="1:21" x14ac:dyDescent="0.45">
      <c r="A135" s="29">
        <v>67741161</v>
      </c>
      <c r="B135" s="29" t="str">
        <f t="shared" si="5"/>
        <v>6.774.116-1</v>
      </c>
      <c r="C135" s="22" t="str">
        <f>IF(IFERROR(VLOOKUP(A135,$A$10:$I134,1,0),0)=0,"",VLOOKUP(A135,$A$10:$I134,3,0))</f>
        <v>UCI</v>
      </c>
      <c r="D135" s="29" t="str">
        <f>IF(IFERROR(VLOOKUP(A135,$A$10:$I134,1,0),0)=0,"",VLOOKUP(A135,$A$10:$I134,4,0))</f>
        <v>MEDINA</v>
      </c>
      <c r="E135" s="29" t="str">
        <f>IF(IFERROR(VLOOKUP(A135,$A$10:$I134,1,0),0)=0,"",VLOOKUP(A135,$A$10:$I134,5,0))</f>
        <v>IRRIBARRA</v>
      </c>
      <c r="F135" s="29" t="str">
        <f>IF(IFERROR(VLOOKUP(A135,$A$10:$I134,1,0),0)=0,"",VLOOKUP(A135,$A$10:$I134,6,0))</f>
        <v>SILVIA</v>
      </c>
      <c r="G135" s="49">
        <f>IF(IFERROR(VLOOKUP(A135,$A$10:$I134,1,0),0)=0,"",VLOOKUP(A135,$A$10:$I134,7,0))</f>
        <v>45486</v>
      </c>
      <c r="H135" s="49">
        <v>45489</v>
      </c>
      <c r="I135" s="29" t="s">
        <v>22</v>
      </c>
      <c r="J135" s="29" t="s">
        <v>46</v>
      </c>
      <c r="K135" s="24" t="s">
        <v>47</v>
      </c>
      <c r="L135" s="49">
        <v>45486</v>
      </c>
      <c r="M135" s="49">
        <v>45489</v>
      </c>
      <c r="N135" s="29">
        <f t="shared" si="4"/>
        <v>3</v>
      </c>
      <c r="O135" s="29"/>
      <c r="P135" t="s">
        <v>88</v>
      </c>
      <c r="Q135" t="s">
        <v>88</v>
      </c>
      <c r="R135" t="s">
        <v>88</v>
      </c>
      <c r="S135" t="s">
        <v>88</v>
      </c>
      <c r="T135" t="s">
        <v>88</v>
      </c>
      <c r="U135" t="s">
        <v>20</v>
      </c>
    </row>
    <row r="136" spans="1:21" x14ac:dyDescent="0.45">
      <c r="A136" s="29">
        <v>284550374</v>
      </c>
      <c r="B136" s="29" t="str">
        <f t="shared" si="5"/>
        <v>28.455.037-4</v>
      </c>
      <c r="C136" s="22" t="str">
        <f>IF(IFERROR(VLOOKUP(A136,$A$10:$I135,1,0),0)=0,"",VLOOKUP(A136,$A$10:$I135,3,0))</f>
        <v>UCI neonatal</v>
      </c>
      <c r="D136" s="29" t="str">
        <f>IF(IFERROR(VLOOKUP(A136,$A$10:$I135,1,0),0)=0,"",VLOOKUP(A136,$A$10:$I135,4,0))</f>
        <v>CEBALLOS</v>
      </c>
      <c r="E136" s="29" t="str">
        <f>IF(IFERROR(VLOOKUP(A136,$A$10:$I135,1,0),0)=0,"",VLOOKUP(A136,$A$10:$I135,5,0))</f>
        <v>SEPULVEDA</v>
      </c>
      <c r="F136" s="29" t="str">
        <f>IF(IFERROR(VLOOKUP(A136,$A$10:$I135,1,0),0)=0,"",VLOOKUP(A136,$A$10:$I135,6,0))</f>
        <v xml:space="preserve">NOAH </v>
      </c>
      <c r="G136" s="49">
        <f>IF(IFERROR(VLOOKUP(A136,$A$10:$I135,1,0),0)=0,"",VLOOKUP(A136,$A$10:$I135,7,0))</f>
        <v>45450</v>
      </c>
      <c r="H136" s="29"/>
      <c r="I136" s="29"/>
      <c r="J136" s="29"/>
      <c r="K136" s="24" t="s">
        <v>18</v>
      </c>
      <c r="L136" s="49">
        <v>45488</v>
      </c>
      <c r="M136" s="49">
        <v>45504</v>
      </c>
      <c r="N136" s="29">
        <f t="shared" ref="N136:N199" si="6">+M136-L136</f>
        <v>16</v>
      </c>
      <c r="O136" s="29"/>
      <c r="P136" t="s">
        <v>88</v>
      </c>
      <c r="Q136" t="s">
        <v>88</v>
      </c>
      <c r="R136" t="s">
        <v>88</v>
      </c>
      <c r="S136" t="s">
        <v>88</v>
      </c>
      <c r="T136" t="s">
        <v>88</v>
      </c>
      <c r="U136" t="s">
        <v>20</v>
      </c>
    </row>
    <row r="137" spans="1:21" x14ac:dyDescent="0.45">
      <c r="A137" s="29">
        <v>57597933</v>
      </c>
      <c r="B137" s="29" t="str">
        <f t="shared" si="5"/>
        <v>5.759.793-3</v>
      </c>
      <c r="C137" s="22" t="s">
        <v>22</v>
      </c>
      <c r="D137" s="29" t="s">
        <v>339</v>
      </c>
      <c r="E137" s="29" t="s">
        <v>501</v>
      </c>
      <c r="F137" s="29" t="s">
        <v>250</v>
      </c>
      <c r="G137" s="49">
        <v>45486</v>
      </c>
      <c r="H137" s="49">
        <v>45489</v>
      </c>
      <c r="I137" s="29"/>
      <c r="J137" s="29"/>
      <c r="K137" s="24" t="s">
        <v>43</v>
      </c>
      <c r="L137" s="49">
        <v>45486</v>
      </c>
      <c r="M137" s="49">
        <v>45489</v>
      </c>
      <c r="N137" s="29">
        <f t="shared" si="6"/>
        <v>3</v>
      </c>
      <c r="O137" s="29"/>
      <c r="P137" t="s">
        <v>88</v>
      </c>
      <c r="Q137" t="s">
        <v>88</v>
      </c>
      <c r="R137" t="s">
        <v>88</v>
      </c>
      <c r="S137" t="s">
        <v>88</v>
      </c>
      <c r="T137" t="s">
        <v>88</v>
      </c>
      <c r="U137" t="s">
        <v>20</v>
      </c>
    </row>
    <row r="138" spans="1:21" x14ac:dyDescent="0.45">
      <c r="A138" s="29">
        <v>57597933</v>
      </c>
      <c r="B138" s="29" t="str">
        <f t="shared" si="5"/>
        <v>5.759.793-3</v>
      </c>
      <c r="C138" s="22" t="str">
        <f>IF(IFERROR(VLOOKUP(A138,$A$10:$I137,1,0),0)=0,"",VLOOKUP(A138,$A$10:$I137,3,0))</f>
        <v>UCI</v>
      </c>
      <c r="D138" s="29" t="str">
        <f>IF(IFERROR(VLOOKUP(A138,$A$10:$I137,1,0),0)=0,"",VLOOKUP(A138,$A$10:$I137,4,0))</f>
        <v>ESPINOZA</v>
      </c>
      <c r="E138" s="29" t="str">
        <f>IF(IFERROR(VLOOKUP(A138,$A$10:$I137,1,0),0)=0,"",VLOOKUP(A138,$A$10:$I137,5,0))</f>
        <v>REYES</v>
      </c>
      <c r="F138" s="29" t="str">
        <f>IF(IFERROR(VLOOKUP(A138,$A$10:$I137,1,0),0)=0,"",VLOOKUP(A138,$A$10:$I137,6,0))</f>
        <v>JOSE</v>
      </c>
      <c r="G138" s="49">
        <f>IF(IFERROR(VLOOKUP(A138,$A$10:$I137,1,0),0)=0,"",VLOOKUP(A138,$A$10:$I137,7,0))</f>
        <v>45486</v>
      </c>
      <c r="H138" s="49">
        <v>45489</v>
      </c>
      <c r="I138" s="29"/>
      <c r="J138" s="29"/>
      <c r="K138" s="24" t="s">
        <v>47</v>
      </c>
      <c r="L138" s="49">
        <v>45486</v>
      </c>
      <c r="M138" s="49">
        <v>45489</v>
      </c>
      <c r="N138" s="29">
        <f t="shared" si="6"/>
        <v>3</v>
      </c>
      <c r="O138" s="29"/>
      <c r="P138" t="s">
        <v>88</v>
      </c>
      <c r="Q138" t="s">
        <v>88</v>
      </c>
      <c r="R138" t="s">
        <v>88</v>
      </c>
      <c r="S138" t="s">
        <v>88</v>
      </c>
      <c r="T138" t="s">
        <v>88</v>
      </c>
      <c r="U138" t="s">
        <v>20</v>
      </c>
    </row>
    <row r="139" spans="1:21" x14ac:dyDescent="0.45">
      <c r="A139" s="29">
        <v>57597933</v>
      </c>
      <c r="B139" s="29" t="str">
        <f t="shared" si="5"/>
        <v>5.759.793-3</v>
      </c>
      <c r="C139" s="22" t="s">
        <v>22</v>
      </c>
      <c r="D139" s="29" t="str">
        <f>IF(IFERROR(VLOOKUP(A139,$A$10:$I138,1,0),0)=0,"",VLOOKUP(A139,$A$10:$I138,4,0))</f>
        <v>ESPINOZA</v>
      </c>
      <c r="E139" s="29" t="str">
        <f>IF(IFERROR(VLOOKUP(A139,$A$10:$I138,1,0),0)=0,"",VLOOKUP(A139,$A$10:$I138,5,0))</f>
        <v>REYES</v>
      </c>
      <c r="F139" s="29" t="str">
        <f>IF(IFERROR(VLOOKUP(A139,$A$10:$I138,1,0),0)=0,"",VLOOKUP(A139,$A$10:$I138,6,0))</f>
        <v>JOSE</v>
      </c>
      <c r="G139" s="49">
        <v>45489</v>
      </c>
      <c r="H139" s="49">
        <v>45502</v>
      </c>
      <c r="I139" s="29"/>
      <c r="J139" s="29"/>
      <c r="K139" s="24" t="s">
        <v>43</v>
      </c>
      <c r="L139" s="49">
        <v>45489</v>
      </c>
      <c r="M139" s="49">
        <v>45502</v>
      </c>
      <c r="N139" s="29">
        <f t="shared" si="6"/>
        <v>13</v>
      </c>
      <c r="O139" s="29"/>
      <c r="P139" t="s">
        <v>88</v>
      </c>
      <c r="Q139" t="s">
        <v>88</v>
      </c>
      <c r="R139" t="s">
        <v>88</v>
      </c>
      <c r="S139" t="s">
        <v>88</v>
      </c>
      <c r="T139" t="s">
        <v>88</v>
      </c>
      <c r="U139" t="s">
        <v>20</v>
      </c>
    </row>
    <row r="140" spans="1:21" x14ac:dyDescent="0.45">
      <c r="A140" s="29">
        <v>57597933</v>
      </c>
      <c r="B140" s="29" t="str">
        <f t="shared" si="5"/>
        <v>5.759.793-3</v>
      </c>
      <c r="C140" s="22" t="s">
        <v>22</v>
      </c>
      <c r="D140" s="29" t="str">
        <f>IF(IFERROR(VLOOKUP(A140,$A$10:$I139,1,0),0)=0,"",VLOOKUP(A140,$A$10:$I139,4,0))</f>
        <v>ESPINOZA</v>
      </c>
      <c r="E140" s="29" t="str">
        <f>IF(IFERROR(VLOOKUP(A140,$A$10:$I139,1,0),0)=0,"",VLOOKUP(A140,$A$10:$I139,5,0))</f>
        <v>REYES</v>
      </c>
      <c r="F140" s="29" t="str">
        <f>IF(IFERROR(VLOOKUP(A140,$A$10:$I139,1,0),0)=0,"",VLOOKUP(A140,$A$10:$I139,6,0))</f>
        <v>JOSE</v>
      </c>
      <c r="G140" s="49">
        <v>45489</v>
      </c>
      <c r="H140" s="49">
        <v>45502</v>
      </c>
      <c r="I140" s="29"/>
      <c r="J140" s="29"/>
      <c r="K140" s="24" t="s">
        <v>47</v>
      </c>
      <c r="L140" s="49">
        <v>45489</v>
      </c>
      <c r="M140" s="49">
        <v>45502</v>
      </c>
      <c r="N140" s="29">
        <f t="shared" si="6"/>
        <v>13</v>
      </c>
      <c r="O140" s="29"/>
      <c r="P140" t="s">
        <v>88</v>
      </c>
      <c r="Q140" t="s">
        <v>88</v>
      </c>
      <c r="R140" t="s">
        <v>88</v>
      </c>
      <c r="S140" t="s">
        <v>88</v>
      </c>
      <c r="T140" t="s">
        <v>88</v>
      </c>
      <c r="U140" t="s">
        <v>20</v>
      </c>
    </row>
    <row r="141" spans="1:21" x14ac:dyDescent="0.45">
      <c r="A141" s="29">
        <v>60460949</v>
      </c>
      <c r="B141" s="29" t="str">
        <f t="shared" si="5"/>
        <v>6.046.094-9</v>
      </c>
      <c r="C141" s="22" t="s">
        <v>22</v>
      </c>
      <c r="D141" s="29" t="s">
        <v>240</v>
      </c>
      <c r="E141" s="29" t="s">
        <v>1258</v>
      </c>
      <c r="F141" s="29" t="s">
        <v>638</v>
      </c>
      <c r="G141" s="49">
        <v>45483</v>
      </c>
      <c r="H141" s="49">
        <v>45493</v>
      </c>
      <c r="I141" s="29"/>
      <c r="J141" s="29" t="s">
        <v>82</v>
      </c>
      <c r="K141" s="24" t="s">
        <v>43</v>
      </c>
      <c r="L141" s="49">
        <v>45483</v>
      </c>
      <c r="M141" s="49">
        <v>45493</v>
      </c>
      <c r="N141" s="29">
        <f t="shared" si="6"/>
        <v>10</v>
      </c>
      <c r="O141" s="29"/>
      <c r="P141" t="s">
        <v>88</v>
      </c>
      <c r="Q141" t="s">
        <v>88</v>
      </c>
      <c r="R141" t="s">
        <v>88</v>
      </c>
      <c r="S141" t="s">
        <v>88</v>
      </c>
      <c r="T141" t="s">
        <v>88</v>
      </c>
      <c r="U141" t="s">
        <v>20</v>
      </c>
    </row>
    <row r="142" spans="1:21" x14ac:dyDescent="0.45">
      <c r="A142" s="29">
        <v>60460949</v>
      </c>
      <c r="B142" s="29" t="str">
        <f t="shared" si="5"/>
        <v>6.046.094-9</v>
      </c>
      <c r="C142" s="22" t="str">
        <f>IF(IFERROR(VLOOKUP(A142,$A$10:$I141,1,0),0)=0,"",VLOOKUP(A142,$A$10:$I141,3,0))</f>
        <v>UCI</v>
      </c>
      <c r="D142" s="29" t="str">
        <f>IF(IFERROR(VLOOKUP(A142,$A$10:$I141,1,0),0)=0,"",VLOOKUP(A142,$A$10:$I141,4,0))</f>
        <v>MARTINEZ</v>
      </c>
      <c r="E142" s="29" t="str">
        <f>IF(IFERROR(VLOOKUP(A142,$A$10:$I141,1,0),0)=0,"",VLOOKUP(A142,$A$10:$I141,5,0))</f>
        <v>TARDON</v>
      </c>
      <c r="F142" s="29" t="str">
        <f>IF(IFERROR(VLOOKUP(A142,$A$10:$I141,1,0),0)=0,"",VLOOKUP(A142,$A$10:$I141,6,0))</f>
        <v>CARLOS</v>
      </c>
      <c r="G142" s="49">
        <f>IF(IFERROR(VLOOKUP(A142,$A$10:$I141,1,0),0)=0,"",VLOOKUP(A142,$A$10:$I141,7,0))</f>
        <v>45483</v>
      </c>
      <c r="H142" s="49">
        <v>45493</v>
      </c>
      <c r="I142" s="29"/>
      <c r="J142" s="29" t="s">
        <v>82</v>
      </c>
      <c r="K142" s="24" t="s">
        <v>47</v>
      </c>
      <c r="L142" s="49">
        <v>45483</v>
      </c>
      <c r="M142" s="49">
        <v>45493</v>
      </c>
      <c r="N142" s="29">
        <f t="shared" si="6"/>
        <v>10</v>
      </c>
      <c r="O142" s="29"/>
      <c r="P142" t="s">
        <v>88</v>
      </c>
      <c r="Q142" t="s">
        <v>88</v>
      </c>
      <c r="R142" t="s">
        <v>88</v>
      </c>
      <c r="S142" t="s">
        <v>88</v>
      </c>
      <c r="T142" t="s">
        <v>88</v>
      </c>
      <c r="U142" t="s">
        <v>20</v>
      </c>
    </row>
    <row r="143" spans="1:21" x14ac:dyDescent="0.45">
      <c r="A143" s="29">
        <v>60460949</v>
      </c>
      <c r="B143" s="29" t="str">
        <f t="shared" si="5"/>
        <v>6.046.094-9</v>
      </c>
      <c r="C143" s="22" t="str">
        <f>IF(IFERROR(VLOOKUP(A143,$A$10:$I142,1,0),0)=0,"",VLOOKUP(A143,$A$10:$I142,3,0))</f>
        <v>UCI</v>
      </c>
      <c r="D143" s="29" t="str">
        <f>IF(IFERROR(VLOOKUP(A143,$A$10:$I142,1,0),0)=0,"",VLOOKUP(A143,$A$10:$I142,4,0))</f>
        <v>MARTINEZ</v>
      </c>
      <c r="E143" s="29" t="str">
        <f>IF(IFERROR(VLOOKUP(A143,$A$10:$I142,1,0),0)=0,"",VLOOKUP(A143,$A$10:$I142,5,0))</f>
        <v>TARDON</v>
      </c>
      <c r="F143" s="29" t="str">
        <f>IF(IFERROR(VLOOKUP(A143,$A$10:$I142,1,0),0)=0,"",VLOOKUP(A143,$A$10:$I142,6,0))</f>
        <v>CARLOS</v>
      </c>
      <c r="G143" s="49">
        <f>IF(IFERROR(VLOOKUP(A143,$A$10:$I142,1,0),0)=0,"",VLOOKUP(A143,$A$10:$I142,7,0))</f>
        <v>45483</v>
      </c>
      <c r="H143" s="49">
        <v>45493</v>
      </c>
      <c r="I143" s="29"/>
      <c r="J143" s="29" t="s">
        <v>82</v>
      </c>
      <c r="K143" s="24" t="s">
        <v>55</v>
      </c>
      <c r="L143" s="49">
        <v>45483</v>
      </c>
      <c r="M143" s="49">
        <v>45493</v>
      </c>
      <c r="N143" s="29">
        <f t="shared" si="6"/>
        <v>10</v>
      </c>
      <c r="O143" s="29"/>
      <c r="P143" t="s">
        <v>88</v>
      </c>
      <c r="Q143" t="s">
        <v>88</v>
      </c>
      <c r="R143" t="s">
        <v>88</v>
      </c>
      <c r="S143" t="s">
        <v>88</v>
      </c>
      <c r="T143" t="s">
        <v>88</v>
      </c>
      <c r="U143" t="s">
        <v>20</v>
      </c>
    </row>
    <row r="144" spans="1:21" x14ac:dyDescent="0.45">
      <c r="A144" s="29">
        <v>107751629</v>
      </c>
      <c r="B144" s="29" t="str">
        <f t="shared" si="5"/>
        <v>10.775.162-9</v>
      </c>
      <c r="C144" s="22" t="s">
        <v>22</v>
      </c>
      <c r="D144" s="29" t="s">
        <v>670</v>
      </c>
      <c r="E144" s="29" t="s">
        <v>1259</v>
      </c>
      <c r="F144" s="29" t="s">
        <v>452</v>
      </c>
      <c r="G144" s="49">
        <v>45487</v>
      </c>
      <c r="H144" s="29"/>
      <c r="I144" s="29"/>
      <c r="J144" s="29"/>
      <c r="K144" s="24" t="s">
        <v>43</v>
      </c>
      <c r="L144" s="49">
        <v>45487</v>
      </c>
      <c r="M144" s="49">
        <v>45504</v>
      </c>
      <c r="N144" s="29">
        <f t="shared" si="6"/>
        <v>17</v>
      </c>
      <c r="O144" s="29"/>
      <c r="P144" t="s">
        <v>98</v>
      </c>
      <c r="Q144" t="s">
        <v>88</v>
      </c>
      <c r="R144" t="s">
        <v>88</v>
      </c>
      <c r="S144" t="s">
        <v>88</v>
      </c>
      <c r="T144" t="s">
        <v>88</v>
      </c>
      <c r="U144" t="s">
        <v>14</v>
      </c>
    </row>
    <row r="145" spans="1:21" x14ac:dyDescent="0.45">
      <c r="A145" s="29">
        <v>107751629</v>
      </c>
      <c r="B145" s="29" t="str">
        <f t="shared" si="5"/>
        <v>10.775.162-9</v>
      </c>
      <c r="C145" s="22" t="str">
        <f>IF(IFERROR(VLOOKUP(A145,$A$10:$I144,1,0),0)=0,"",VLOOKUP(A145,$A$10:$I144,3,0))</f>
        <v>UCI</v>
      </c>
      <c r="D145" s="29" t="str">
        <f>IF(IFERROR(VLOOKUP(A145,$A$10:$I144,1,0),0)=0,"",VLOOKUP(A145,$A$10:$I144,4,0))</f>
        <v>VALENZUELA</v>
      </c>
      <c r="E145" s="29" t="str">
        <f>IF(IFERROR(VLOOKUP(A145,$A$10:$I144,1,0),0)=0,"",VLOOKUP(A145,$A$10:$I144,5,0))</f>
        <v>PUENTES</v>
      </c>
      <c r="F145" s="29" t="str">
        <f>IF(IFERROR(VLOOKUP(A145,$A$10:$I144,1,0),0)=0,"",VLOOKUP(A145,$A$10:$I144,6,0))</f>
        <v>XIMENA</v>
      </c>
      <c r="G145" s="49">
        <f>IF(IFERROR(VLOOKUP(A145,$A$10:$I144,1,0),0)=0,"",VLOOKUP(A145,$A$10:$I144,7,0))</f>
        <v>45487</v>
      </c>
      <c r="H145" s="29"/>
      <c r="I145" s="29"/>
      <c r="J145" s="29"/>
      <c r="K145" s="24" t="s">
        <v>55</v>
      </c>
      <c r="L145" s="49">
        <v>45487</v>
      </c>
      <c r="M145" s="49">
        <v>45504</v>
      </c>
      <c r="N145" s="29">
        <f t="shared" si="6"/>
        <v>17</v>
      </c>
      <c r="O145" s="29"/>
      <c r="P145" t="s">
        <v>88</v>
      </c>
      <c r="Q145" t="s">
        <v>88</v>
      </c>
      <c r="R145" t="s">
        <v>88</v>
      </c>
      <c r="S145" t="s">
        <v>88</v>
      </c>
      <c r="T145" t="s">
        <v>88</v>
      </c>
      <c r="U145" t="s">
        <v>20</v>
      </c>
    </row>
    <row r="146" spans="1:21" x14ac:dyDescent="0.45">
      <c r="A146" s="29">
        <v>106069492</v>
      </c>
      <c r="B146" s="29" t="str">
        <f t="shared" si="5"/>
        <v>10.606.949-2</v>
      </c>
      <c r="C146" s="22" t="s">
        <v>22</v>
      </c>
      <c r="D146" s="29" t="s">
        <v>550</v>
      </c>
      <c r="E146" s="29" t="s">
        <v>252</v>
      </c>
      <c r="F146" s="29" t="s">
        <v>1260</v>
      </c>
      <c r="G146" s="49">
        <v>45494</v>
      </c>
      <c r="H146" s="49">
        <v>45498</v>
      </c>
      <c r="I146" s="29"/>
      <c r="J146" s="29" t="s">
        <v>56</v>
      </c>
      <c r="K146" s="24" t="s">
        <v>43</v>
      </c>
      <c r="L146" s="49">
        <v>45494</v>
      </c>
      <c r="M146" s="49">
        <v>45498</v>
      </c>
      <c r="N146" s="29">
        <f t="shared" si="6"/>
        <v>4</v>
      </c>
      <c r="O146" s="29"/>
      <c r="P146" t="s">
        <v>88</v>
      </c>
      <c r="Q146" t="s">
        <v>88</v>
      </c>
      <c r="R146" t="s">
        <v>88</v>
      </c>
      <c r="S146" t="s">
        <v>88</v>
      </c>
      <c r="T146" t="s">
        <v>88</v>
      </c>
      <c r="U146" t="s">
        <v>20</v>
      </c>
    </row>
    <row r="147" spans="1:21" x14ac:dyDescent="0.45">
      <c r="A147" s="29">
        <v>183888048</v>
      </c>
      <c r="B147" s="29" t="str">
        <f t="shared" si="5"/>
        <v>18.388.804-8</v>
      </c>
      <c r="C147" s="22" t="s">
        <v>22</v>
      </c>
      <c r="D147" s="29" t="s">
        <v>1261</v>
      </c>
      <c r="E147" s="29" t="s">
        <v>1262</v>
      </c>
      <c r="F147" s="29" t="s">
        <v>1263</v>
      </c>
      <c r="G147" s="49">
        <v>45493</v>
      </c>
      <c r="H147" s="49">
        <v>45495</v>
      </c>
      <c r="I147" s="29"/>
      <c r="J147" s="29" t="s">
        <v>36</v>
      </c>
      <c r="K147" s="24" t="s">
        <v>43</v>
      </c>
      <c r="L147" s="49">
        <v>45493</v>
      </c>
      <c r="M147" s="49">
        <v>45495</v>
      </c>
      <c r="N147" s="29">
        <f t="shared" si="6"/>
        <v>2</v>
      </c>
      <c r="O147" s="29"/>
      <c r="P147" t="s">
        <v>88</v>
      </c>
      <c r="Q147" t="s">
        <v>88</v>
      </c>
      <c r="R147" t="s">
        <v>88</v>
      </c>
      <c r="S147" t="s">
        <v>88</v>
      </c>
      <c r="T147" t="s">
        <v>88</v>
      </c>
      <c r="U147" t="s">
        <v>20</v>
      </c>
    </row>
    <row r="148" spans="1:21" x14ac:dyDescent="0.45">
      <c r="A148" s="29">
        <v>183888048</v>
      </c>
      <c r="B148" s="29" t="str">
        <f t="shared" si="5"/>
        <v>18.388.804-8</v>
      </c>
      <c r="C148" s="22" t="str">
        <f>IF(IFERROR(VLOOKUP(A148,$A$10:$I147,1,0),0)=0,"",VLOOKUP(A148,$A$10:$I147,3,0))</f>
        <v>UCI</v>
      </c>
      <c r="D148" s="29" t="str">
        <f>IF(IFERROR(VLOOKUP(A148,$A$10:$I147,1,0),0)=0,"",VLOOKUP(A148,$A$10:$I147,4,0))</f>
        <v>RIOSECO</v>
      </c>
      <c r="E148" s="29" t="str">
        <f>IF(IFERROR(VLOOKUP(A148,$A$10:$I147,1,0),0)=0,"",VLOOKUP(A148,$A$10:$I147,5,0))</f>
        <v>BRITO</v>
      </c>
      <c r="F148" s="29" t="str">
        <f>IF(IFERROR(VLOOKUP(A148,$A$10:$I147,1,0),0)=0,"",VLOOKUP(A148,$A$10:$I147,6,0))</f>
        <v>AMBAR</v>
      </c>
      <c r="G148" s="49">
        <f>IF(IFERROR(VLOOKUP(A148,$A$10:$I147,1,0),0)=0,"",VLOOKUP(A148,$A$10:$I147,7,0))</f>
        <v>45493</v>
      </c>
      <c r="H148" s="49">
        <v>45495</v>
      </c>
      <c r="I148" s="29"/>
      <c r="J148" s="29" t="s">
        <v>36</v>
      </c>
      <c r="K148" s="24" t="s">
        <v>47</v>
      </c>
      <c r="L148" s="49">
        <v>45493</v>
      </c>
      <c r="M148" s="49">
        <v>45495</v>
      </c>
      <c r="N148" s="29">
        <f t="shared" si="6"/>
        <v>2</v>
      </c>
      <c r="O148" s="29"/>
      <c r="P148" t="s">
        <v>88</v>
      </c>
      <c r="Q148" t="s">
        <v>88</v>
      </c>
      <c r="R148" t="s">
        <v>88</v>
      </c>
      <c r="S148" t="s">
        <v>88</v>
      </c>
      <c r="T148" t="s">
        <v>88</v>
      </c>
      <c r="U148" t="s">
        <v>20</v>
      </c>
    </row>
    <row r="149" spans="1:21" x14ac:dyDescent="0.45">
      <c r="A149" s="29">
        <v>217836336</v>
      </c>
      <c r="B149" s="29" t="str">
        <f t="shared" si="5"/>
        <v>21.783.633-6</v>
      </c>
      <c r="C149" s="22" t="s">
        <v>22</v>
      </c>
      <c r="D149" s="29" t="s">
        <v>501</v>
      </c>
      <c r="E149" s="29" t="s">
        <v>1264</v>
      </c>
      <c r="F149" s="29" t="s">
        <v>524</v>
      </c>
      <c r="G149" s="49">
        <v>45491</v>
      </c>
      <c r="H149" s="29"/>
      <c r="I149" s="29"/>
      <c r="J149" s="29"/>
      <c r="K149" s="24" t="s">
        <v>43</v>
      </c>
      <c r="L149" s="49">
        <v>45491</v>
      </c>
      <c r="M149" s="49">
        <v>45504</v>
      </c>
      <c r="N149" s="29">
        <f t="shared" si="6"/>
        <v>13</v>
      </c>
      <c r="O149" s="29"/>
      <c r="P149" t="s">
        <v>88</v>
      </c>
      <c r="Q149" t="s">
        <v>88</v>
      </c>
      <c r="R149" t="s">
        <v>88</v>
      </c>
      <c r="S149" t="s">
        <v>88</v>
      </c>
      <c r="T149" t="s">
        <v>88</v>
      </c>
      <c r="U149" t="s">
        <v>20</v>
      </c>
    </row>
    <row r="150" spans="1:21" x14ac:dyDescent="0.45">
      <c r="A150" s="29">
        <v>217836336</v>
      </c>
      <c r="B150" s="29" t="str">
        <f t="shared" si="5"/>
        <v>21.783.633-6</v>
      </c>
      <c r="C150" s="22" t="str">
        <f>IF(IFERROR(VLOOKUP(A150,$A$10:$I149,1,0),0)=0,"",VLOOKUP(A150,$A$10:$I149,3,0))</f>
        <v>UCI</v>
      </c>
      <c r="D150" s="29" t="str">
        <f>IF(IFERROR(VLOOKUP(A150,$A$10:$I149,1,0),0)=0,"",VLOOKUP(A150,$A$10:$I149,4,0))</f>
        <v>REYES</v>
      </c>
      <c r="E150" s="29" t="str">
        <f>IF(IFERROR(VLOOKUP(A150,$A$10:$I149,1,0),0)=0,"",VLOOKUP(A150,$A$10:$I149,5,0))</f>
        <v>JABRE</v>
      </c>
      <c r="F150" s="29" t="str">
        <f>IF(IFERROR(VLOOKUP(A150,$A$10:$I149,1,0),0)=0,"",VLOOKUP(A150,$A$10:$I149,6,0))</f>
        <v>NICOLAS</v>
      </c>
      <c r="G150" s="49">
        <f>IF(IFERROR(VLOOKUP(A150,$A$10:$I149,1,0),0)=0,"",VLOOKUP(A150,$A$10:$I149,7,0))</f>
        <v>45491</v>
      </c>
      <c r="H150" s="29"/>
      <c r="I150" s="29"/>
      <c r="J150" s="29"/>
      <c r="K150" s="24" t="s">
        <v>47</v>
      </c>
      <c r="L150" s="49">
        <v>45491</v>
      </c>
      <c r="M150" s="49">
        <v>45504</v>
      </c>
      <c r="N150" s="29">
        <f t="shared" si="6"/>
        <v>13</v>
      </c>
      <c r="O150" s="29"/>
      <c r="P150" t="s">
        <v>88</v>
      </c>
      <c r="Q150" t="s">
        <v>88</v>
      </c>
      <c r="R150" t="s">
        <v>88</v>
      </c>
      <c r="S150" t="s">
        <v>88</v>
      </c>
      <c r="T150" t="s">
        <v>88</v>
      </c>
      <c r="U150" t="s">
        <v>20</v>
      </c>
    </row>
    <row r="151" spans="1:21" x14ac:dyDescent="0.45">
      <c r="A151" s="29">
        <v>217836336</v>
      </c>
      <c r="B151" s="29" t="str">
        <f t="shared" si="5"/>
        <v>21.783.633-6</v>
      </c>
      <c r="C151" s="22" t="str">
        <f>IF(IFERROR(VLOOKUP(A151,$A$10:$I150,1,0),0)=0,"",VLOOKUP(A151,$A$10:$I150,3,0))</f>
        <v>UCI</v>
      </c>
      <c r="D151" s="29" t="str">
        <f>IF(IFERROR(VLOOKUP(A151,$A$10:$I150,1,0),0)=0,"",VLOOKUP(A151,$A$10:$I150,4,0))</f>
        <v>REYES</v>
      </c>
      <c r="E151" s="29" t="str">
        <f>IF(IFERROR(VLOOKUP(A151,$A$10:$I150,1,0),0)=0,"",VLOOKUP(A151,$A$10:$I150,5,0))</f>
        <v>JABRE</v>
      </c>
      <c r="F151" s="29" t="str">
        <f>IF(IFERROR(VLOOKUP(A151,$A$10:$I150,1,0),0)=0,"",VLOOKUP(A151,$A$10:$I150,6,0))</f>
        <v>NICOLAS</v>
      </c>
      <c r="G151" s="49">
        <f>IF(IFERROR(VLOOKUP(A151,$A$10:$I150,1,0),0)=0,"",VLOOKUP(A151,$A$10:$I150,7,0))</f>
        <v>45491</v>
      </c>
      <c r="H151" s="29"/>
      <c r="I151" s="29"/>
      <c r="J151" s="29"/>
      <c r="K151" s="24" t="s">
        <v>55</v>
      </c>
      <c r="L151" s="49">
        <v>45491</v>
      </c>
      <c r="M151" s="49">
        <v>45502</v>
      </c>
      <c r="N151" s="29">
        <f t="shared" si="6"/>
        <v>11</v>
      </c>
      <c r="O151" s="29"/>
      <c r="P151" t="s">
        <v>88</v>
      </c>
      <c r="Q151" t="s">
        <v>88</v>
      </c>
      <c r="R151" t="s">
        <v>88</v>
      </c>
      <c r="S151" t="s">
        <v>88</v>
      </c>
      <c r="T151" t="s">
        <v>88</v>
      </c>
      <c r="U151" t="s">
        <v>20</v>
      </c>
    </row>
    <row r="152" spans="1:21" x14ac:dyDescent="0.45">
      <c r="A152" s="29">
        <v>67038061</v>
      </c>
      <c r="B152" s="29" t="str">
        <f t="shared" si="5"/>
        <v>6.703.806-1</v>
      </c>
      <c r="C152" s="22" t="s">
        <v>22</v>
      </c>
      <c r="D152" s="29" t="s">
        <v>249</v>
      </c>
      <c r="E152" s="29" t="s">
        <v>946</v>
      </c>
      <c r="F152" s="29" t="s">
        <v>597</v>
      </c>
      <c r="G152" s="49">
        <v>45485</v>
      </c>
      <c r="H152" s="49">
        <v>45493</v>
      </c>
      <c r="I152" s="29"/>
      <c r="J152" s="29" t="s">
        <v>22</v>
      </c>
      <c r="K152" s="24" t="s">
        <v>43</v>
      </c>
      <c r="L152" s="49">
        <v>45485</v>
      </c>
      <c r="M152" s="49">
        <v>45493</v>
      </c>
      <c r="N152" s="29">
        <f t="shared" si="6"/>
        <v>8</v>
      </c>
      <c r="O152" s="29"/>
      <c r="P152" t="s">
        <v>88</v>
      </c>
      <c r="Q152" t="s">
        <v>88</v>
      </c>
      <c r="R152" t="s">
        <v>88</v>
      </c>
      <c r="S152" t="s">
        <v>88</v>
      </c>
      <c r="T152" t="s">
        <v>88</v>
      </c>
      <c r="U152" t="s">
        <v>20</v>
      </c>
    </row>
    <row r="153" spans="1:21" x14ac:dyDescent="0.45">
      <c r="A153" s="29">
        <v>67038061</v>
      </c>
      <c r="B153" s="29" t="str">
        <f t="shared" si="5"/>
        <v>6.703.806-1</v>
      </c>
      <c r="C153" s="22" t="str">
        <f>IF(IFERROR(VLOOKUP(A153,$A$10:$I152,1,0),0)=0,"",VLOOKUP(A153,$A$10:$I152,3,0))</f>
        <v>UCI</v>
      </c>
      <c r="D153" s="29" t="str">
        <f>IF(IFERROR(VLOOKUP(A153,$A$10:$I152,1,0),0)=0,"",VLOOKUP(A153,$A$10:$I152,4,0))</f>
        <v>RODRIGUEZ</v>
      </c>
      <c r="E153" s="29" t="str">
        <f>IF(IFERROR(VLOOKUP(A153,$A$10:$I152,1,0),0)=0,"",VLOOKUP(A153,$A$10:$I152,5,0))</f>
        <v>GOMEZ</v>
      </c>
      <c r="F153" s="29" t="str">
        <f>IF(IFERROR(VLOOKUP(A153,$A$10:$I152,1,0),0)=0,"",VLOOKUP(A153,$A$10:$I152,6,0))</f>
        <v>LAURA</v>
      </c>
      <c r="G153" s="49">
        <f>IF(IFERROR(VLOOKUP(A153,$A$10:$I152,1,0),0)=0,"",VLOOKUP(A153,$A$10:$I152,7,0))</f>
        <v>45485</v>
      </c>
      <c r="H153" s="49">
        <v>45493</v>
      </c>
      <c r="I153" s="29"/>
      <c r="J153" s="29" t="s">
        <v>22</v>
      </c>
      <c r="K153" s="24" t="s">
        <v>47</v>
      </c>
      <c r="L153" s="49">
        <v>45485</v>
      </c>
      <c r="M153" s="49">
        <v>45493</v>
      </c>
      <c r="N153" s="29">
        <f t="shared" si="6"/>
        <v>8</v>
      </c>
      <c r="O153" s="29"/>
      <c r="P153" t="s">
        <v>88</v>
      </c>
      <c r="Q153" t="s">
        <v>88</v>
      </c>
      <c r="R153" t="s">
        <v>88</v>
      </c>
      <c r="S153" t="s">
        <v>88</v>
      </c>
      <c r="T153" t="s">
        <v>88</v>
      </c>
      <c r="U153" t="s">
        <v>20</v>
      </c>
    </row>
    <row r="154" spans="1:21" x14ac:dyDescent="0.45">
      <c r="A154" s="29">
        <v>67038061</v>
      </c>
      <c r="B154" s="29" t="str">
        <f t="shared" si="5"/>
        <v>6.703.806-1</v>
      </c>
      <c r="C154" s="22" t="str">
        <f>IF(IFERROR(VLOOKUP(A154,$A$10:$I153,1,0),0)=0,"",VLOOKUP(A154,$A$10:$I153,3,0))</f>
        <v>UCI</v>
      </c>
      <c r="D154" s="29" t="str">
        <f>IF(IFERROR(VLOOKUP(A154,$A$10:$I153,1,0),0)=0,"",VLOOKUP(A154,$A$10:$I153,4,0))</f>
        <v>RODRIGUEZ</v>
      </c>
      <c r="E154" s="29" t="str">
        <f>IF(IFERROR(VLOOKUP(A154,$A$10:$I153,1,0),0)=0,"",VLOOKUP(A154,$A$10:$I153,5,0))</f>
        <v>GOMEZ</v>
      </c>
      <c r="F154" s="29" t="str">
        <f>IF(IFERROR(VLOOKUP(A154,$A$10:$I153,1,0),0)=0,"",VLOOKUP(A154,$A$10:$I153,6,0))</f>
        <v>LAURA</v>
      </c>
      <c r="G154" s="49">
        <f>IF(IFERROR(VLOOKUP(A154,$A$10:$I153,1,0),0)=0,"",VLOOKUP(A154,$A$10:$I153,7,0))</f>
        <v>45485</v>
      </c>
      <c r="H154" s="49">
        <v>45493</v>
      </c>
      <c r="I154" s="29"/>
      <c r="J154" s="29" t="s">
        <v>22</v>
      </c>
      <c r="K154" s="24" t="s">
        <v>55</v>
      </c>
      <c r="L154" s="49">
        <v>45485</v>
      </c>
      <c r="M154" s="49">
        <v>45492</v>
      </c>
      <c r="N154" s="29">
        <f t="shared" si="6"/>
        <v>7</v>
      </c>
      <c r="O154" s="29"/>
      <c r="P154" t="s">
        <v>143</v>
      </c>
      <c r="Q154" t="s">
        <v>88</v>
      </c>
      <c r="R154" t="s">
        <v>88</v>
      </c>
      <c r="S154" t="s">
        <v>88</v>
      </c>
      <c r="T154" t="s">
        <v>88</v>
      </c>
      <c r="U154" t="s">
        <v>20</v>
      </c>
    </row>
    <row r="155" spans="1:21" x14ac:dyDescent="0.45">
      <c r="A155" s="29">
        <v>100823314</v>
      </c>
      <c r="B155" s="29" t="str">
        <f t="shared" si="5"/>
        <v>10.082.331-4</v>
      </c>
      <c r="C155" s="22" t="s">
        <v>22</v>
      </c>
      <c r="D155" s="29" t="s">
        <v>310</v>
      </c>
      <c r="E155" s="29" t="s">
        <v>1265</v>
      </c>
      <c r="F155" s="29" t="s">
        <v>1266</v>
      </c>
      <c r="G155" s="49">
        <v>45487</v>
      </c>
      <c r="H155" s="49">
        <v>45492</v>
      </c>
      <c r="I155" s="29"/>
      <c r="J155" s="29" t="s">
        <v>56</v>
      </c>
      <c r="K155" s="24" t="s">
        <v>43</v>
      </c>
      <c r="L155" s="49">
        <v>45487</v>
      </c>
      <c r="M155" s="49">
        <v>45490</v>
      </c>
      <c r="N155" s="29">
        <f t="shared" si="6"/>
        <v>3</v>
      </c>
      <c r="O155" s="29"/>
      <c r="P155" t="s">
        <v>88</v>
      </c>
      <c r="Q155" t="s">
        <v>88</v>
      </c>
      <c r="R155" t="s">
        <v>88</v>
      </c>
      <c r="S155" t="s">
        <v>88</v>
      </c>
      <c r="T155" t="s">
        <v>88</v>
      </c>
      <c r="U155" t="s">
        <v>20</v>
      </c>
    </row>
    <row r="156" spans="1:21" x14ac:dyDescent="0.45">
      <c r="A156" s="29">
        <v>100823314</v>
      </c>
      <c r="B156" s="29" t="str">
        <f t="shared" si="5"/>
        <v>10.082.331-4</v>
      </c>
      <c r="C156" s="22" t="str">
        <f>IF(IFERROR(VLOOKUP(A156,$A$10:$I155,1,0),0)=0,"",VLOOKUP(A156,$A$10:$I155,3,0))</f>
        <v>UCI</v>
      </c>
      <c r="D156" s="29" t="str">
        <f>IF(IFERROR(VLOOKUP(A156,$A$10:$I155,1,0),0)=0,"",VLOOKUP(A156,$A$10:$I155,4,0))</f>
        <v>MORALES</v>
      </c>
      <c r="E156" s="29" t="str">
        <f>IF(IFERROR(VLOOKUP(A156,$A$10:$I155,1,0),0)=0,"",VLOOKUP(A156,$A$10:$I155,5,0))</f>
        <v>LLANCAFIL</v>
      </c>
      <c r="F156" s="29" t="str">
        <f>IF(IFERROR(VLOOKUP(A156,$A$10:$I155,1,0),0)=0,"",VLOOKUP(A156,$A$10:$I155,6,0))</f>
        <v>BRIGIDA</v>
      </c>
      <c r="G156" s="49">
        <f>IF(IFERROR(VLOOKUP(A156,$A$10:$I155,1,0),0)=0,"",VLOOKUP(A156,$A$10:$I155,7,0))</f>
        <v>45487</v>
      </c>
      <c r="H156" s="49">
        <v>45492</v>
      </c>
      <c r="I156" s="29"/>
      <c r="J156" s="29" t="s">
        <v>56</v>
      </c>
      <c r="K156" s="24" t="s">
        <v>47</v>
      </c>
      <c r="L156" s="49">
        <v>45487</v>
      </c>
      <c r="M156" s="49">
        <v>45492</v>
      </c>
      <c r="N156" s="29">
        <f t="shared" si="6"/>
        <v>5</v>
      </c>
      <c r="O156" s="29"/>
      <c r="P156" t="s">
        <v>88</v>
      </c>
      <c r="Q156" t="s">
        <v>88</v>
      </c>
      <c r="R156" t="s">
        <v>88</v>
      </c>
      <c r="S156" t="s">
        <v>88</v>
      </c>
      <c r="T156" t="s">
        <v>88</v>
      </c>
      <c r="U156" t="s">
        <v>20</v>
      </c>
    </row>
    <row r="157" spans="1:21" x14ac:dyDescent="0.45">
      <c r="A157" s="29">
        <v>82297820</v>
      </c>
      <c r="B157" s="29" t="str">
        <f t="shared" si="5"/>
        <v>8.229.782-0</v>
      </c>
      <c r="C157" s="22" t="s">
        <v>22</v>
      </c>
      <c r="D157" s="29" t="s">
        <v>1267</v>
      </c>
      <c r="E157" s="29" t="s">
        <v>320</v>
      </c>
      <c r="F157" s="29" t="s">
        <v>1268</v>
      </c>
      <c r="G157" s="49">
        <v>45487</v>
      </c>
      <c r="H157" s="49">
        <v>45495</v>
      </c>
      <c r="I157" s="29"/>
      <c r="J157" s="29" t="s">
        <v>22</v>
      </c>
      <c r="K157" s="24" t="s">
        <v>43</v>
      </c>
      <c r="L157" s="49">
        <v>45487</v>
      </c>
      <c r="M157" s="49">
        <v>45495</v>
      </c>
      <c r="N157" s="29">
        <f t="shared" si="6"/>
        <v>8</v>
      </c>
      <c r="O157" s="29" t="s">
        <v>14</v>
      </c>
      <c r="P157" t="s">
        <v>88</v>
      </c>
      <c r="Q157" t="s">
        <v>88</v>
      </c>
      <c r="R157" t="s">
        <v>88</v>
      </c>
      <c r="S157" t="s">
        <v>88</v>
      </c>
      <c r="T157" t="s">
        <v>88</v>
      </c>
      <c r="U157" t="s">
        <v>20</v>
      </c>
    </row>
    <row r="158" spans="1:21" x14ac:dyDescent="0.45">
      <c r="A158" s="29">
        <v>82297820</v>
      </c>
      <c r="B158" s="29" t="str">
        <f t="shared" si="5"/>
        <v>8.229.782-0</v>
      </c>
      <c r="C158" s="22" t="str">
        <f>IF(IFERROR(VLOOKUP(A158,$A$10:$I157,1,0),0)=0,"",VLOOKUP(A158,$A$10:$I157,3,0))</f>
        <v>UCI</v>
      </c>
      <c r="D158" s="29" t="str">
        <f>IF(IFERROR(VLOOKUP(A158,$A$10:$I157,1,0),0)=0,"",VLOOKUP(A158,$A$10:$I157,4,0))</f>
        <v xml:space="preserve">GORE </v>
      </c>
      <c r="E158" s="29" t="str">
        <f>IF(IFERROR(VLOOKUP(A158,$A$10:$I157,1,0),0)=0,"",VLOOKUP(A158,$A$10:$I157,5,0))</f>
        <v>BECERRA</v>
      </c>
      <c r="F158" s="29" t="str">
        <f>IF(IFERROR(VLOOKUP(A158,$A$10:$I157,1,0),0)=0,"",VLOOKUP(A158,$A$10:$I157,6,0))</f>
        <v>CHRISTIAN</v>
      </c>
      <c r="G158" s="49">
        <f>IF(IFERROR(VLOOKUP(A158,$A$10:$I157,1,0),0)=0,"",VLOOKUP(A158,$A$10:$I157,7,0))</f>
        <v>45487</v>
      </c>
      <c r="H158" s="49">
        <v>45495</v>
      </c>
      <c r="I158" s="29"/>
      <c r="J158" s="29" t="s">
        <v>22</v>
      </c>
      <c r="K158" s="24" t="s">
        <v>47</v>
      </c>
      <c r="L158" s="49">
        <v>45487</v>
      </c>
      <c r="M158" s="49">
        <v>45495</v>
      </c>
      <c r="N158" s="29">
        <f t="shared" si="6"/>
        <v>8</v>
      </c>
      <c r="O158" s="29"/>
      <c r="P158" t="s">
        <v>106</v>
      </c>
      <c r="Q158" t="s">
        <v>88</v>
      </c>
      <c r="R158" t="s">
        <v>88</v>
      </c>
      <c r="S158" t="s">
        <v>88</v>
      </c>
      <c r="T158" t="s">
        <v>88</v>
      </c>
      <c r="U158" t="s">
        <v>20</v>
      </c>
    </row>
    <row r="159" spans="1:21" x14ac:dyDescent="0.45">
      <c r="A159" s="29">
        <v>82297820</v>
      </c>
      <c r="B159" s="29" t="str">
        <f t="shared" si="5"/>
        <v>8.229.782-0</v>
      </c>
      <c r="C159" s="22" t="str">
        <f>IF(IFERROR(VLOOKUP(A159,$A$10:$I158,1,0),0)=0,"",VLOOKUP(A159,$A$10:$I158,3,0))</f>
        <v>UCI</v>
      </c>
      <c r="D159" s="29" t="str">
        <f>IF(IFERROR(VLOOKUP(A159,$A$10:$I158,1,0),0)=0,"",VLOOKUP(A159,$A$10:$I158,4,0))</f>
        <v xml:space="preserve">GORE </v>
      </c>
      <c r="E159" s="29" t="str">
        <f>IF(IFERROR(VLOOKUP(A159,$A$10:$I158,1,0),0)=0,"",VLOOKUP(A159,$A$10:$I158,5,0))</f>
        <v>BECERRA</v>
      </c>
      <c r="F159" s="29" t="str">
        <f>IF(IFERROR(VLOOKUP(A159,$A$10:$I158,1,0),0)=0,"",VLOOKUP(A159,$A$10:$I158,6,0))</f>
        <v>CHRISTIAN</v>
      </c>
      <c r="G159" s="49">
        <f>IF(IFERROR(VLOOKUP(A159,$A$10:$I158,1,0),0)=0,"",VLOOKUP(A159,$A$10:$I158,7,0))</f>
        <v>45487</v>
      </c>
      <c r="H159" s="49">
        <v>45495</v>
      </c>
      <c r="I159" s="29"/>
      <c r="J159" s="29" t="s">
        <v>22</v>
      </c>
      <c r="K159" s="24" t="s">
        <v>55</v>
      </c>
      <c r="L159" s="49">
        <v>45487</v>
      </c>
      <c r="M159" s="49">
        <v>45489</v>
      </c>
      <c r="N159" s="29">
        <f t="shared" si="6"/>
        <v>2</v>
      </c>
      <c r="O159" s="29"/>
      <c r="P159" t="s">
        <v>88</v>
      </c>
      <c r="Q159" t="s">
        <v>88</v>
      </c>
      <c r="R159" t="s">
        <v>88</v>
      </c>
      <c r="S159" t="s">
        <v>88</v>
      </c>
      <c r="T159" t="s">
        <v>88</v>
      </c>
      <c r="U159" t="s">
        <v>20</v>
      </c>
    </row>
    <row r="160" spans="1:21" x14ac:dyDescent="0.45">
      <c r="A160" s="29">
        <v>79662321</v>
      </c>
      <c r="B160" s="29" t="str">
        <f t="shared" si="5"/>
        <v>7.966.232-1</v>
      </c>
      <c r="C160" s="22" t="s">
        <v>46</v>
      </c>
      <c r="D160" s="29" t="s">
        <v>261</v>
      </c>
      <c r="E160" s="29" t="s">
        <v>1269</v>
      </c>
      <c r="F160" s="29" t="s">
        <v>475</v>
      </c>
      <c r="G160" s="49">
        <v>45485</v>
      </c>
      <c r="H160" s="29"/>
      <c r="I160" s="29" t="s">
        <v>54</v>
      </c>
      <c r="J160" s="29"/>
      <c r="K160" s="24" t="s">
        <v>47</v>
      </c>
      <c r="L160" s="49">
        <v>45485</v>
      </c>
      <c r="M160" s="49">
        <v>45498</v>
      </c>
      <c r="N160" s="29">
        <f t="shared" si="6"/>
        <v>13</v>
      </c>
      <c r="O160" s="29"/>
      <c r="P160" t="s">
        <v>88</v>
      </c>
      <c r="Q160" t="s">
        <v>88</v>
      </c>
      <c r="R160" t="s">
        <v>88</v>
      </c>
      <c r="S160" t="s">
        <v>88</v>
      </c>
      <c r="T160" t="s">
        <v>88</v>
      </c>
      <c r="U160" t="s">
        <v>20</v>
      </c>
    </row>
    <row r="161" spans="1:21" x14ac:dyDescent="0.45">
      <c r="A161" s="29">
        <v>144042697</v>
      </c>
      <c r="B161" s="29" t="str">
        <f t="shared" si="5"/>
        <v>14.404.269-7</v>
      </c>
      <c r="C161" s="22" t="s">
        <v>46</v>
      </c>
      <c r="D161" s="29" t="s">
        <v>537</v>
      </c>
      <c r="E161" s="29" t="s">
        <v>241</v>
      </c>
      <c r="F161" s="29" t="s">
        <v>485</v>
      </c>
      <c r="G161" s="49">
        <v>45485</v>
      </c>
      <c r="H161" s="49">
        <v>45494</v>
      </c>
      <c r="I161" s="29"/>
      <c r="J161" s="29" t="s">
        <v>13</v>
      </c>
      <c r="K161" s="24" t="s">
        <v>43</v>
      </c>
      <c r="L161" s="49">
        <v>45485</v>
      </c>
      <c r="M161" s="49">
        <v>45492</v>
      </c>
      <c r="N161" s="29">
        <f t="shared" si="6"/>
        <v>7</v>
      </c>
      <c r="O161" s="29"/>
      <c r="P161" t="s">
        <v>88</v>
      </c>
      <c r="Q161" t="s">
        <v>88</v>
      </c>
      <c r="R161" t="s">
        <v>88</v>
      </c>
      <c r="S161" t="s">
        <v>88</v>
      </c>
      <c r="T161" t="s">
        <v>88</v>
      </c>
      <c r="U161" t="s">
        <v>20</v>
      </c>
    </row>
    <row r="162" spans="1:21" x14ac:dyDescent="0.45">
      <c r="A162" s="29">
        <v>172220762</v>
      </c>
      <c r="B162" s="29" t="str">
        <f t="shared" si="5"/>
        <v>17.222.076-2</v>
      </c>
      <c r="C162" s="22" t="s">
        <v>46</v>
      </c>
      <c r="D162" s="29" t="s">
        <v>1073</v>
      </c>
      <c r="E162" s="29" t="s">
        <v>1175</v>
      </c>
      <c r="F162" s="29" t="s">
        <v>250</v>
      </c>
      <c r="G162" s="49">
        <v>45482</v>
      </c>
      <c r="H162" s="29"/>
      <c r="I162" s="29"/>
      <c r="J162" s="29"/>
      <c r="K162" s="24" t="s">
        <v>43</v>
      </c>
      <c r="L162" s="49">
        <v>45485</v>
      </c>
      <c r="M162" s="49">
        <v>45497</v>
      </c>
      <c r="N162" s="29">
        <f t="shared" si="6"/>
        <v>12</v>
      </c>
      <c r="O162" s="29"/>
      <c r="P162" t="s">
        <v>88</v>
      </c>
      <c r="Q162" t="s">
        <v>88</v>
      </c>
      <c r="R162" t="s">
        <v>88</v>
      </c>
      <c r="S162" t="s">
        <v>88</v>
      </c>
      <c r="T162" t="s">
        <v>88</v>
      </c>
      <c r="U162" t="s">
        <v>20</v>
      </c>
    </row>
    <row r="163" spans="1:21" x14ac:dyDescent="0.45">
      <c r="A163" s="29">
        <v>123880587</v>
      </c>
      <c r="B163" s="29" t="str">
        <f t="shared" si="5"/>
        <v>12.388.058-7</v>
      </c>
      <c r="C163" s="22" t="s">
        <v>30</v>
      </c>
      <c r="D163" s="29" t="s">
        <v>675</v>
      </c>
      <c r="E163" s="29" t="s">
        <v>675</v>
      </c>
      <c r="F163" s="29" t="s">
        <v>798</v>
      </c>
      <c r="G163" s="49">
        <v>45492</v>
      </c>
      <c r="H163" s="49">
        <v>45495</v>
      </c>
      <c r="I163" s="29"/>
      <c r="J163" s="29"/>
      <c r="K163" s="24" t="s">
        <v>43</v>
      </c>
      <c r="L163" s="49">
        <v>45492</v>
      </c>
      <c r="M163" s="49">
        <v>45495</v>
      </c>
      <c r="N163" s="29">
        <f t="shared" si="6"/>
        <v>3</v>
      </c>
      <c r="O163" s="29"/>
      <c r="P163" t="s">
        <v>88</v>
      </c>
      <c r="Q163" t="s">
        <v>88</v>
      </c>
      <c r="R163" t="s">
        <v>88</v>
      </c>
      <c r="S163" t="s">
        <v>88</v>
      </c>
      <c r="T163" t="s">
        <v>88</v>
      </c>
      <c r="U163" t="s">
        <v>20</v>
      </c>
    </row>
    <row r="164" spans="1:21" x14ac:dyDescent="0.45">
      <c r="A164" s="29">
        <v>123880587</v>
      </c>
      <c r="B164" s="29" t="str">
        <f t="shared" si="5"/>
        <v>12.388.058-7</v>
      </c>
      <c r="C164" s="22" t="str">
        <f>IF(IFERROR(VLOOKUP(A164,$A$10:$I163,1,0),0)=0,"",VLOOKUP(A164,$A$10:$I163,3,0))</f>
        <v>UCO</v>
      </c>
      <c r="D164" s="29" t="str">
        <f>IF(IFERROR(VLOOKUP(A164,$A$10:$I163,1,0),0)=0,"",VLOOKUP(A164,$A$10:$I163,4,0))</f>
        <v>SANDOVAL</v>
      </c>
      <c r="E164" s="29" t="str">
        <f>IF(IFERROR(VLOOKUP(A164,$A$10:$I163,1,0),0)=0,"",VLOOKUP(A164,$A$10:$I163,5,0))</f>
        <v>SANDOVAL</v>
      </c>
      <c r="F164" s="29" t="str">
        <f>IF(IFERROR(VLOOKUP(A164,$A$10:$I163,1,0),0)=0,"",VLOOKUP(A164,$A$10:$I163,6,0))</f>
        <v>CLAUDIO</v>
      </c>
      <c r="G164" s="49">
        <f>IF(IFERROR(VLOOKUP(A164,$A$10:$I163,1,0),0)=0,"",VLOOKUP(A164,$A$10:$I163,7,0))</f>
        <v>45492</v>
      </c>
      <c r="H164" s="49">
        <v>45495</v>
      </c>
      <c r="I164" s="29"/>
      <c r="J164" s="29"/>
      <c r="K164" s="24" t="s">
        <v>47</v>
      </c>
      <c r="L164" s="49">
        <v>45492</v>
      </c>
      <c r="M164" s="49">
        <v>45495</v>
      </c>
      <c r="N164" s="29">
        <f t="shared" si="6"/>
        <v>3</v>
      </c>
      <c r="O164" s="29"/>
      <c r="P164" t="s">
        <v>88</v>
      </c>
      <c r="Q164" t="s">
        <v>88</v>
      </c>
      <c r="R164" t="s">
        <v>88</v>
      </c>
      <c r="S164" t="s">
        <v>88</v>
      </c>
      <c r="T164" t="s">
        <v>88</v>
      </c>
      <c r="U164" t="s">
        <v>20</v>
      </c>
    </row>
    <row r="165" spans="1:21" x14ac:dyDescent="0.45">
      <c r="A165" s="29" t="s">
        <v>1270</v>
      </c>
      <c r="B165" s="29" t="str">
        <f t="shared" si="5"/>
        <v>9.922.469-K</v>
      </c>
      <c r="C165" s="22" t="s">
        <v>30</v>
      </c>
      <c r="D165" s="29" t="s">
        <v>1271</v>
      </c>
      <c r="E165" s="29" t="s">
        <v>631</v>
      </c>
      <c r="F165" s="29" t="s">
        <v>654</v>
      </c>
      <c r="G165" s="49">
        <v>45492</v>
      </c>
      <c r="H165" s="49">
        <v>45497</v>
      </c>
      <c r="I165" s="29"/>
      <c r="J165" s="29" t="s">
        <v>52</v>
      </c>
      <c r="K165" s="24" t="s">
        <v>43</v>
      </c>
      <c r="L165" s="49">
        <v>45492</v>
      </c>
      <c r="M165" s="49">
        <v>45497</v>
      </c>
      <c r="N165" s="29">
        <f t="shared" si="6"/>
        <v>5</v>
      </c>
      <c r="O165" s="29"/>
      <c r="P165" t="s">
        <v>88</v>
      </c>
      <c r="Q165" t="s">
        <v>88</v>
      </c>
      <c r="R165" t="s">
        <v>88</v>
      </c>
      <c r="S165" t="s">
        <v>88</v>
      </c>
      <c r="T165" t="s">
        <v>88</v>
      </c>
      <c r="U165" t="s">
        <v>20</v>
      </c>
    </row>
    <row r="166" spans="1:21" x14ac:dyDescent="0.45">
      <c r="A166" s="29">
        <v>58805432</v>
      </c>
      <c r="B166" s="29" t="str">
        <f t="shared" si="5"/>
        <v>5.880.543-2</v>
      </c>
      <c r="C166" s="22" t="s">
        <v>30</v>
      </c>
      <c r="D166" s="29" t="s">
        <v>1272</v>
      </c>
      <c r="E166" s="29" t="s">
        <v>465</v>
      </c>
      <c r="F166" s="29" t="s">
        <v>419</v>
      </c>
      <c r="G166" s="49">
        <v>45492</v>
      </c>
      <c r="H166" s="49">
        <v>45496</v>
      </c>
      <c r="I166" s="29"/>
      <c r="J166" s="29"/>
      <c r="K166" s="24" t="s">
        <v>43</v>
      </c>
      <c r="L166" s="49">
        <v>45492</v>
      </c>
      <c r="M166" s="49">
        <v>45496</v>
      </c>
      <c r="N166" s="29">
        <f t="shared" si="6"/>
        <v>4</v>
      </c>
      <c r="O166" s="29"/>
      <c r="P166" t="s">
        <v>88</v>
      </c>
      <c r="Q166" t="s">
        <v>88</v>
      </c>
      <c r="R166" t="s">
        <v>88</v>
      </c>
      <c r="S166" t="s">
        <v>88</v>
      </c>
      <c r="T166" t="s">
        <v>88</v>
      </c>
      <c r="U166" t="s">
        <v>20</v>
      </c>
    </row>
    <row r="167" spans="1:21" x14ac:dyDescent="0.45">
      <c r="A167" s="29">
        <v>79432342</v>
      </c>
      <c r="B167" s="29" t="str">
        <f t="shared" si="5"/>
        <v>7.943.234-2</v>
      </c>
      <c r="C167" s="22" t="s">
        <v>22</v>
      </c>
      <c r="D167" s="29" t="s">
        <v>989</v>
      </c>
      <c r="E167" s="29" t="s">
        <v>990</v>
      </c>
      <c r="F167" s="29" t="s">
        <v>238</v>
      </c>
      <c r="G167" s="49">
        <v>45492</v>
      </c>
      <c r="H167" s="49">
        <v>45499</v>
      </c>
      <c r="I167" s="29"/>
      <c r="J167" s="29" t="s">
        <v>24</v>
      </c>
      <c r="K167" s="24" t="s">
        <v>43</v>
      </c>
      <c r="L167" s="49">
        <v>45493</v>
      </c>
      <c r="M167" s="49">
        <v>45499</v>
      </c>
      <c r="N167" s="29">
        <f t="shared" si="6"/>
        <v>6</v>
      </c>
      <c r="O167" s="29"/>
      <c r="P167" t="s">
        <v>88</v>
      </c>
      <c r="Q167" t="s">
        <v>88</v>
      </c>
      <c r="R167" t="s">
        <v>88</v>
      </c>
      <c r="S167" t="s">
        <v>88</v>
      </c>
      <c r="T167" t="s">
        <v>88</v>
      </c>
      <c r="U167" t="s">
        <v>20</v>
      </c>
    </row>
    <row r="168" spans="1:21" x14ac:dyDescent="0.45">
      <c r="A168" s="29">
        <v>79432342</v>
      </c>
      <c r="B168" s="29" t="str">
        <f t="shared" si="5"/>
        <v>7.943.234-2</v>
      </c>
      <c r="C168" s="22" t="str">
        <f>IF(IFERROR(VLOOKUP(A168,$A$10:$I167,1,0),0)=0,"",VLOOKUP(A168,$A$10:$I167,3,0))</f>
        <v>UCI</v>
      </c>
      <c r="D168" s="29" t="str">
        <f>IF(IFERROR(VLOOKUP(A168,$A$10:$I167,1,0),0)=0,"",VLOOKUP(A168,$A$10:$I167,4,0))</f>
        <v>VALDERRAMA</v>
      </c>
      <c r="E168" s="29" t="str">
        <f>IF(IFERROR(VLOOKUP(A168,$A$10:$I167,1,0),0)=0,"",VLOOKUP(A168,$A$10:$I167,5,0))</f>
        <v>FERREIRA</v>
      </c>
      <c r="F168" s="29" t="str">
        <f>IF(IFERROR(VLOOKUP(A168,$A$10:$I167,1,0),0)=0,"",VLOOKUP(A168,$A$10:$I167,6,0))</f>
        <v>LUIS</v>
      </c>
      <c r="G168" s="49">
        <f>IF(IFERROR(VLOOKUP(A168,$A$10:$I167,1,0),0)=0,"",VLOOKUP(A168,$A$10:$I167,7,0))</f>
        <v>45492</v>
      </c>
      <c r="H168" s="49">
        <v>45499</v>
      </c>
      <c r="I168" s="29"/>
      <c r="J168" s="29" t="s">
        <v>24</v>
      </c>
      <c r="K168" s="24" t="s">
        <v>47</v>
      </c>
      <c r="L168" s="49">
        <v>45492</v>
      </c>
      <c r="M168" s="49">
        <v>45499</v>
      </c>
      <c r="N168" s="29">
        <f t="shared" si="6"/>
        <v>7</v>
      </c>
      <c r="O168" s="29"/>
      <c r="P168" t="s">
        <v>88</v>
      </c>
      <c r="Q168" t="s">
        <v>88</v>
      </c>
      <c r="R168" t="s">
        <v>88</v>
      </c>
      <c r="S168" t="s">
        <v>88</v>
      </c>
      <c r="T168" t="s">
        <v>88</v>
      </c>
      <c r="U168" t="s">
        <v>20</v>
      </c>
    </row>
    <row r="169" spans="1:21" x14ac:dyDescent="0.45">
      <c r="A169" s="29">
        <v>79432342</v>
      </c>
      <c r="B169" s="29" t="str">
        <f t="shared" si="5"/>
        <v>7.943.234-2</v>
      </c>
      <c r="C169" s="22" t="str">
        <f>IF(IFERROR(VLOOKUP(A169,$A$10:$I168,1,0),0)=0,"",VLOOKUP(A169,$A$10:$I168,3,0))</f>
        <v>UCI</v>
      </c>
      <c r="D169" s="29" t="str">
        <f>IF(IFERROR(VLOOKUP(A169,$A$10:$I168,1,0),0)=0,"",VLOOKUP(A169,$A$10:$I168,4,0))</f>
        <v>VALDERRAMA</v>
      </c>
      <c r="E169" s="29" t="str">
        <f>IF(IFERROR(VLOOKUP(A169,$A$10:$I168,1,0),0)=0,"",VLOOKUP(A169,$A$10:$I168,5,0))</f>
        <v>FERREIRA</v>
      </c>
      <c r="F169" s="29" t="str">
        <f>IF(IFERROR(VLOOKUP(A169,$A$10:$I168,1,0),0)=0,"",VLOOKUP(A169,$A$10:$I168,6,0))</f>
        <v>LUIS</v>
      </c>
      <c r="G169" s="49">
        <f>IF(IFERROR(VLOOKUP(A169,$A$10:$I168,1,0),0)=0,"",VLOOKUP(A169,$A$10:$I168,7,0))</f>
        <v>45492</v>
      </c>
      <c r="H169" s="49">
        <v>45499</v>
      </c>
      <c r="I169" s="29"/>
      <c r="J169" s="29" t="s">
        <v>24</v>
      </c>
      <c r="K169" s="24" t="s">
        <v>55</v>
      </c>
      <c r="L169" s="49">
        <v>45492</v>
      </c>
      <c r="M169" s="49">
        <v>45496</v>
      </c>
      <c r="N169" s="29">
        <f t="shared" si="6"/>
        <v>4</v>
      </c>
      <c r="O169" s="29"/>
      <c r="P169" t="s">
        <v>88</v>
      </c>
      <c r="Q169" t="s">
        <v>88</v>
      </c>
      <c r="R169" t="s">
        <v>88</v>
      </c>
      <c r="S169" t="s">
        <v>88</v>
      </c>
      <c r="T169" t="s">
        <v>88</v>
      </c>
      <c r="U169" t="s">
        <v>20</v>
      </c>
    </row>
    <row r="170" spans="1:21" x14ac:dyDescent="0.45">
      <c r="A170" s="29">
        <v>76420742</v>
      </c>
      <c r="B170" s="29" t="str">
        <f t="shared" si="5"/>
        <v>7.642.074-2</v>
      </c>
      <c r="C170" s="22" t="s">
        <v>22</v>
      </c>
      <c r="D170" s="29" t="s">
        <v>240</v>
      </c>
      <c r="E170" s="29" t="s">
        <v>887</v>
      </c>
      <c r="F170" s="29" t="s">
        <v>629</v>
      </c>
      <c r="G170" s="49">
        <v>45492</v>
      </c>
      <c r="H170" s="49">
        <v>45496</v>
      </c>
      <c r="I170" s="29"/>
      <c r="J170" s="29" t="s">
        <v>22</v>
      </c>
      <c r="K170" s="24" t="s">
        <v>43</v>
      </c>
      <c r="L170" s="49">
        <v>45492</v>
      </c>
      <c r="M170" s="49">
        <v>45496</v>
      </c>
      <c r="N170" s="29">
        <f t="shared" si="6"/>
        <v>4</v>
      </c>
      <c r="O170" s="29"/>
      <c r="P170" t="s">
        <v>88</v>
      </c>
      <c r="Q170" t="s">
        <v>88</v>
      </c>
      <c r="R170" t="s">
        <v>88</v>
      </c>
      <c r="S170" t="s">
        <v>88</v>
      </c>
      <c r="T170" t="s">
        <v>88</v>
      </c>
      <c r="U170" t="s">
        <v>20</v>
      </c>
    </row>
    <row r="171" spans="1:21" x14ac:dyDescent="0.45">
      <c r="A171" s="29">
        <v>76420742</v>
      </c>
      <c r="B171" s="29" t="str">
        <f t="shared" si="5"/>
        <v>7.642.074-2</v>
      </c>
      <c r="C171" s="22" t="str">
        <f>IF(IFERROR(VLOOKUP(A171,$A$10:$I170,1,0),0)=0,"",VLOOKUP(A171,$A$10:$I170,3,0))</f>
        <v>UCI</v>
      </c>
      <c r="D171" s="29" t="str">
        <f>IF(IFERROR(VLOOKUP(A171,$A$10:$I170,1,0),0)=0,"",VLOOKUP(A171,$A$10:$I170,4,0))</f>
        <v>MARTINEZ</v>
      </c>
      <c r="E171" s="29" t="str">
        <f>IF(IFERROR(VLOOKUP(A171,$A$10:$I170,1,0),0)=0,"",VLOOKUP(A171,$A$10:$I170,5,0))</f>
        <v>RETAMAL</v>
      </c>
      <c r="F171" s="29" t="str">
        <f>IF(IFERROR(VLOOKUP(A171,$A$10:$I170,1,0),0)=0,"",VLOOKUP(A171,$A$10:$I170,6,0))</f>
        <v>MARIO</v>
      </c>
      <c r="G171" s="49">
        <v>45492</v>
      </c>
      <c r="H171" s="49">
        <v>45496</v>
      </c>
      <c r="I171" s="29"/>
      <c r="J171" s="29" t="s">
        <v>22</v>
      </c>
      <c r="K171" s="24" t="s">
        <v>47</v>
      </c>
      <c r="L171" s="49">
        <v>45492</v>
      </c>
      <c r="M171" s="49">
        <v>45496</v>
      </c>
      <c r="N171" s="29">
        <f t="shared" si="6"/>
        <v>4</v>
      </c>
      <c r="O171" s="29"/>
      <c r="P171" t="s">
        <v>88</v>
      </c>
      <c r="Q171" t="s">
        <v>88</v>
      </c>
      <c r="R171" t="s">
        <v>88</v>
      </c>
      <c r="S171" t="s">
        <v>88</v>
      </c>
      <c r="T171" t="s">
        <v>88</v>
      </c>
      <c r="U171" t="s">
        <v>20</v>
      </c>
    </row>
    <row r="172" spans="1:21" x14ac:dyDescent="0.45">
      <c r="A172" s="29">
        <v>76420742</v>
      </c>
      <c r="B172" s="29" t="str">
        <f t="shared" ref="B172:B235" si="7">IF(LEN(A172)=8,MID(A172,1,1)&amp;"."&amp;MID(A172,2,3)&amp;"."&amp;MID(A172,5,3)&amp;"-"&amp;RIGHT(A172,1),IF(LEFT(RIGHT(A172,2),1)="-",MID(A172,1,1)&amp;"."&amp;MID(A172,2,3)&amp;"."&amp;MID(A172,5,3)&amp;"-"&amp;RIGHT(A172,1),MID(A172,1,2)&amp;"."&amp;MID(A172,3,3)&amp;"."&amp;MID(A172,6,3)&amp;"-"&amp;MID(A172,9,1)))</f>
        <v>7.642.074-2</v>
      </c>
      <c r="C172" s="22" t="str">
        <f>IF(IFERROR(VLOOKUP(A172,$A$10:$I171,1,0),0)=0,"",VLOOKUP(A172,$A$10:$I171,3,0))</f>
        <v>UCI</v>
      </c>
      <c r="D172" s="29" t="str">
        <f>IF(IFERROR(VLOOKUP(A172,$A$10:$I171,1,0),0)=0,"",VLOOKUP(A172,$A$10:$I171,4,0))</f>
        <v>MARTINEZ</v>
      </c>
      <c r="E172" s="29" t="str">
        <f>IF(IFERROR(VLOOKUP(A172,$A$10:$I171,1,0),0)=0,"",VLOOKUP(A172,$A$10:$I171,5,0))</f>
        <v>RETAMAL</v>
      </c>
      <c r="F172" s="29" t="str">
        <f>IF(IFERROR(VLOOKUP(A172,$A$10:$I171,1,0),0)=0,"",VLOOKUP(A172,$A$10:$I171,6,0))</f>
        <v>MARIO</v>
      </c>
      <c r="G172" s="49">
        <v>45492</v>
      </c>
      <c r="H172" s="49">
        <v>45496</v>
      </c>
      <c r="I172" s="29"/>
      <c r="J172" s="29" t="s">
        <v>22</v>
      </c>
      <c r="K172" s="24" t="s">
        <v>55</v>
      </c>
      <c r="L172" s="49">
        <v>45492</v>
      </c>
      <c r="M172" s="49">
        <v>45496</v>
      </c>
      <c r="N172" s="29">
        <f t="shared" si="6"/>
        <v>4</v>
      </c>
      <c r="O172" s="29"/>
      <c r="P172" t="s">
        <v>88</v>
      </c>
      <c r="Q172" t="s">
        <v>88</v>
      </c>
      <c r="R172" t="s">
        <v>88</v>
      </c>
      <c r="S172" t="s">
        <v>88</v>
      </c>
      <c r="T172" t="s">
        <v>88</v>
      </c>
      <c r="U172" t="s">
        <v>20</v>
      </c>
    </row>
    <row r="173" spans="1:21" x14ac:dyDescent="0.45">
      <c r="A173" s="29">
        <v>75340753</v>
      </c>
      <c r="B173" s="29" t="str">
        <f t="shared" si="7"/>
        <v>7.534.075-3</v>
      </c>
      <c r="C173" s="22" t="str">
        <f>IF(IFERROR(VLOOKUP(A173,$A$10:$I172,1,0),0)=0,"",VLOOKUP(A173,$A$10:$I172,3,0))</f>
        <v>UCI</v>
      </c>
      <c r="D173" s="29" t="str">
        <f>IF(IFERROR(VLOOKUP(A173,$A$10:$I172,1,0),0)=0,"",VLOOKUP(A173,$A$10:$I172,4,0))</f>
        <v xml:space="preserve">MUÑOZ </v>
      </c>
      <c r="E173" s="29" t="str">
        <f>IF(IFERROR(VLOOKUP(A173,$A$10:$I172,1,0),0)=0,"",VLOOKUP(A173,$A$10:$I172,5,0))</f>
        <v>SALINAS</v>
      </c>
      <c r="F173" s="29" t="str">
        <f>IF(IFERROR(VLOOKUP(A173,$A$10:$I172,1,0),0)=0,"",VLOOKUP(A173,$A$10:$I172,6,0))</f>
        <v>JOSE</v>
      </c>
      <c r="G173" s="49">
        <v>45488</v>
      </c>
      <c r="H173" s="49">
        <v>45496</v>
      </c>
      <c r="I173" s="29"/>
      <c r="J173" s="66" t="s">
        <v>19</v>
      </c>
      <c r="K173" s="24" t="s">
        <v>43</v>
      </c>
      <c r="L173" s="49">
        <v>45488</v>
      </c>
      <c r="M173" s="49">
        <v>45496</v>
      </c>
      <c r="N173" s="29">
        <f t="shared" si="6"/>
        <v>8</v>
      </c>
      <c r="O173" s="29" t="s">
        <v>531</v>
      </c>
      <c r="P173" t="s">
        <v>88</v>
      </c>
      <c r="Q173" t="s">
        <v>88</v>
      </c>
      <c r="R173" t="s">
        <v>88</v>
      </c>
      <c r="S173" t="s">
        <v>88</v>
      </c>
      <c r="T173" t="s">
        <v>88</v>
      </c>
      <c r="U173" t="s">
        <v>20</v>
      </c>
    </row>
    <row r="174" spans="1:21" x14ac:dyDescent="0.45">
      <c r="A174" s="29">
        <v>75340753</v>
      </c>
      <c r="B174" s="29" t="str">
        <f t="shared" si="7"/>
        <v>7.534.075-3</v>
      </c>
      <c r="C174" s="22" t="str">
        <f>IF(IFERROR(VLOOKUP(A174,$A$10:$I173,1,0),0)=0,"",VLOOKUP(A174,$A$10:$I173,3,0))</f>
        <v>UCI</v>
      </c>
      <c r="D174" s="29" t="str">
        <f>IF(IFERROR(VLOOKUP(A174,$A$10:$I173,1,0),0)=0,"",VLOOKUP(A174,$A$10:$I173,4,0))</f>
        <v xml:space="preserve">MUÑOZ </v>
      </c>
      <c r="E174" s="29" t="str">
        <f>IF(IFERROR(VLOOKUP(A174,$A$10:$I173,1,0),0)=0,"",VLOOKUP(A174,$A$10:$I173,5,0))</f>
        <v>SALINAS</v>
      </c>
      <c r="F174" s="29" t="str">
        <f>IF(IFERROR(VLOOKUP(A174,$A$10:$I173,1,0),0)=0,"",VLOOKUP(A174,$A$10:$I173,6,0))</f>
        <v>JOSE</v>
      </c>
      <c r="G174" s="49">
        <v>45488</v>
      </c>
      <c r="H174" s="49">
        <v>45496</v>
      </c>
      <c r="I174" s="29"/>
      <c r="J174" s="66" t="s">
        <v>19</v>
      </c>
      <c r="K174" s="24" t="s">
        <v>47</v>
      </c>
      <c r="L174" s="49">
        <v>45491</v>
      </c>
      <c r="M174" s="49">
        <v>45496</v>
      </c>
      <c r="N174" s="29">
        <f t="shared" si="6"/>
        <v>5</v>
      </c>
      <c r="O174" s="29" t="s">
        <v>531</v>
      </c>
      <c r="P174" t="s">
        <v>88</v>
      </c>
      <c r="Q174" t="s">
        <v>88</v>
      </c>
      <c r="R174" t="s">
        <v>88</v>
      </c>
      <c r="S174" t="s">
        <v>88</v>
      </c>
      <c r="T174" t="s">
        <v>88</v>
      </c>
      <c r="U174" t="s">
        <v>20</v>
      </c>
    </row>
    <row r="175" spans="1:21" x14ac:dyDescent="0.45">
      <c r="A175" s="29">
        <v>75340753</v>
      </c>
      <c r="B175" s="29" t="str">
        <f t="shared" si="7"/>
        <v>7.534.075-3</v>
      </c>
      <c r="C175" s="22" t="str">
        <f>IF(IFERROR(VLOOKUP(A175,$A$10:$I174,1,0),0)=0,"",VLOOKUP(A175,$A$10:$I174,3,0))</f>
        <v>UCI</v>
      </c>
      <c r="D175" s="29" t="str">
        <f>IF(IFERROR(VLOOKUP(A175,$A$10:$I174,1,0),0)=0,"",VLOOKUP(A175,$A$10:$I174,4,0))</f>
        <v xml:space="preserve">MUÑOZ </v>
      </c>
      <c r="E175" s="29" t="str">
        <f>IF(IFERROR(VLOOKUP(A175,$A$10:$I174,1,0),0)=0,"",VLOOKUP(A175,$A$10:$I174,5,0))</f>
        <v>SALINAS</v>
      </c>
      <c r="F175" s="29" t="str">
        <f>IF(IFERROR(VLOOKUP(A175,$A$10:$I174,1,0),0)=0,"",VLOOKUP(A175,$A$10:$I174,6,0))</f>
        <v>JOSE</v>
      </c>
      <c r="G175" s="49">
        <v>45488</v>
      </c>
      <c r="H175" s="49">
        <v>45496</v>
      </c>
      <c r="I175" s="29"/>
      <c r="J175" s="66" t="s">
        <v>19</v>
      </c>
      <c r="K175" s="24" t="s">
        <v>55</v>
      </c>
      <c r="L175" s="49">
        <v>45491</v>
      </c>
      <c r="M175" s="49">
        <v>45496</v>
      </c>
      <c r="N175" s="29">
        <f t="shared" si="6"/>
        <v>5</v>
      </c>
      <c r="O175" s="29" t="s">
        <v>531</v>
      </c>
      <c r="P175" t="s">
        <v>88</v>
      </c>
      <c r="Q175" t="s">
        <v>88</v>
      </c>
      <c r="R175" t="s">
        <v>88</v>
      </c>
      <c r="S175" t="s">
        <v>88</v>
      </c>
      <c r="T175" t="s">
        <v>88</v>
      </c>
      <c r="U175" t="s">
        <v>20</v>
      </c>
    </row>
    <row r="176" spans="1:21" x14ac:dyDescent="0.45">
      <c r="A176" s="29" t="s">
        <v>1273</v>
      </c>
      <c r="B176" s="29" t="str">
        <f t="shared" si="7"/>
        <v>15.227.680-K</v>
      </c>
      <c r="C176" s="22" t="s">
        <v>22</v>
      </c>
      <c r="D176" s="29" t="s">
        <v>1064</v>
      </c>
      <c r="E176" s="29" t="s">
        <v>307</v>
      </c>
      <c r="F176" s="29" t="s">
        <v>1274</v>
      </c>
      <c r="G176" s="49">
        <v>45498</v>
      </c>
      <c r="H176" s="49">
        <v>45502</v>
      </c>
      <c r="I176" s="29"/>
      <c r="J176" s="29" t="s">
        <v>66</v>
      </c>
      <c r="K176" s="24" t="s">
        <v>43</v>
      </c>
      <c r="L176" s="49">
        <v>45498</v>
      </c>
      <c r="M176" s="49">
        <v>45502</v>
      </c>
      <c r="N176" s="29">
        <f t="shared" si="6"/>
        <v>4</v>
      </c>
      <c r="O176" s="29"/>
      <c r="P176" t="s">
        <v>88</v>
      </c>
      <c r="Q176" t="s">
        <v>88</v>
      </c>
      <c r="R176" t="s">
        <v>88</v>
      </c>
      <c r="S176" t="s">
        <v>88</v>
      </c>
      <c r="T176" t="s">
        <v>88</v>
      </c>
      <c r="U176" t="s">
        <v>20</v>
      </c>
    </row>
    <row r="177" spans="1:21" x14ac:dyDescent="0.45">
      <c r="A177" s="29" t="s">
        <v>1273</v>
      </c>
      <c r="B177" s="29" t="str">
        <f t="shared" si="7"/>
        <v>15.227.680-K</v>
      </c>
      <c r="C177" s="22" t="str">
        <f>IF(IFERROR(VLOOKUP(A177,$A$10:$I176,1,0),0)=0,"",VLOOKUP(A177,$A$10:$I176,3,0))</f>
        <v>UCI</v>
      </c>
      <c r="D177" s="29" t="str">
        <f>IF(IFERROR(VLOOKUP(A177,$A$10:$I176,1,0),0)=0,"",VLOOKUP(A177,$A$10:$I176,4,0))</f>
        <v>MACAYA</v>
      </c>
      <c r="E177" s="29" t="str">
        <f>IF(IFERROR(VLOOKUP(A177,$A$10:$I176,1,0),0)=0,"",VLOOKUP(A177,$A$10:$I176,5,0))</f>
        <v>ESCOBAR</v>
      </c>
      <c r="F177" s="29" t="str">
        <f>IF(IFERROR(VLOOKUP(A177,$A$10:$I176,1,0),0)=0,"",VLOOKUP(A177,$A$10:$I176,6,0))</f>
        <v>MITZI</v>
      </c>
      <c r="G177" s="49">
        <f>IF(IFERROR(VLOOKUP(A177,$A$10:$I176,1,0),0)=0,"",VLOOKUP(A177,$A$10:$I176,7,0))</f>
        <v>45498</v>
      </c>
      <c r="H177" s="49">
        <v>45502</v>
      </c>
      <c r="I177" s="29"/>
      <c r="J177" s="29" t="s">
        <v>66</v>
      </c>
      <c r="K177" s="24" t="s">
        <v>47</v>
      </c>
      <c r="L177" s="49">
        <v>45498</v>
      </c>
      <c r="M177" s="49">
        <v>45502</v>
      </c>
      <c r="N177" s="29">
        <f t="shared" si="6"/>
        <v>4</v>
      </c>
      <c r="O177" s="29"/>
      <c r="P177" t="s">
        <v>88</v>
      </c>
      <c r="Q177" t="s">
        <v>88</v>
      </c>
      <c r="R177" t="s">
        <v>88</v>
      </c>
      <c r="S177" t="s">
        <v>88</v>
      </c>
      <c r="T177" t="s">
        <v>88</v>
      </c>
      <c r="U177" t="s">
        <v>20</v>
      </c>
    </row>
    <row r="178" spans="1:21" x14ac:dyDescent="0.45">
      <c r="A178" s="29">
        <v>183887076</v>
      </c>
      <c r="B178" s="29" t="str">
        <f t="shared" si="7"/>
        <v>18.388.707-6</v>
      </c>
      <c r="C178" s="22" t="s">
        <v>22</v>
      </c>
      <c r="D178" s="29" t="s">
        <v>736</v>
      </c>
      <c r="E178" s="29" t="s">
        <v>422</v>
      </c>
      <c r="F178" s="29" t="s">
        <v>487</v>
      </c>
      <c r="G178" s="49">
        <v>45497</v>
      </c>
      <c r="H178" s="29"/>
      <c r="I178" s="29"/>
      <c r="J178" s="29"/>
      <c r="K178" s="24" t="s">
        <v>43</v>
      </c>
      <c r="L178" s="49">
        <v>45497</v>
      </c>
      <c r="M178" s="49">
        <v>45504</v>
      </c>
      <c r="N178" s="29">
        <f t="shared" si="6"/>
        <v>7</v>
      </c>
      <c r="O178" s="29"/>
      <c r="P178" t="s">
        <v>88</v>
      </c>
      <c r="Q178" t="s">
        <v>88</v>
      </c>
      <c r="R178" t="s">
        <v>88</v>
      </c>
      <c r="S178" t="s">
        <v>88</v>
      </c>
      <c r="T178" t="s">
        <v>88</v>
      </c>
      <c r="U178" t="s">
        <v>20</v>
      </c>
    </row>
    <row r="179" spans="1:21" x14ac:dyDescent="0.45">
      <c r="A179" s="29">
        <v>183887076</v>
      </c>
      <c r="B179" s="29" t="str">
        <f t="shared" si="7"/>
        <v>18.388.707-6</v>
      </c>
      <c r="C179" s="22" t="str">
        <f>IF(IFERROR(VLOOKUP(A179,$A$10:$I178,1,0),0)=0,"",VLOOKUP(A179,$A$10:$I178,3,0))</f>
        <v>UCI</v>
      </c>
      <c r="D179" s="29" t="str">
        <f>IF(IFERROR(VLOOKUP(A179,$A$10:$I178,1,0),0)=0,"",VLOOKUP(A179,$A$10:$I178,4,0))</f>
        <v>BURGOS</v>
      </c>
      <c r="E179" s="29" t="str">
        <f>IF(IFERROR(VLOOKUP(A179,$A$10:$I178,1,0),0)=0,"",VLOOKUP(A179,$A$10:$I178,5,0))</f>
        <v>TORRES</v>
      </c>
      <c r="F179" s="29" t="str">
        <f>IF(IFERROR(VLOOKUP(A179,$A$10:$I178,1,0),0)=0,"",VLOOKUP(A179,$A$10:$I178,6,0))</f>
        <v>CRISTIAN</v>
      </c>
      <c r="G179" s="49">
        <f>IF(IFERROR(VLOOKUP(A179,$A$10:$I178,1,0),0)=0,"",VLOOKUP(A179,$A$10:$I178,7,0))</f>
        <v>45497</v>
      </c>
      <c r="H179" s="29"/>
      <c r="I179" s="29"/>
      <c r="J179" s="29"/>
      <c r="K179" s="24" t="s">
        <v>47</v>
      </c>
      <c r="L179" s="49">
        <v>45497</v>
      </c>
      <c r="M179" s="49">
        <v>45504</v>
      </c>
      <c r="N179" s="29">
        <f t="shared" si="6"/>
        <v>7</v>
      </c>
      <c r="O179" s="29"/>
      <c r="P179" t="s">
        <v>88</v>
      </c>
      <c r="Q179" t="s">
        <v>88</v>
      </c>
      <c r="R179" t="s">
        <v>88</v>
      </c>
      <c r="S179" t="s">
        <v>88</v>
      </c>
      <c r="T179" t="s">
        <v>88</v>
      </c>
      <c r="U179" t="s">
        <v>20</v>
      </c>
    </row>
    <row r="180" spans="1:21" x14ac:dyDescent="0.45">
      <c r="A180" s="29">
        <v>183887076</v>
      </c>
      <c r="B180" s="29" t="str">
        <f t="shared" si="7"/>
        <v>18.388.707-6</v>
      </c>
      <c r="C180" s="22" t="str">
        <f>IF(IFERROR(VLOOKUP(A180,$A$10:$I179,1,0),0)=0,"",VLOOKUP(A180,$A$10:$I179,3,0))</f>
        <v>UCI</v>
      </c>
      <c r="D180" s="29" t="str">
        <f>IF(IFERROR(VLOOKUP(A180,$A$10:$I179,1,0),0)=0,"",VLOOKUP(A180,$A$10:$I179,4,0))</f>
        <v>BURGOS</v>
      </c>
      <c r="E180" s="29" t="str">
        <f>IF(IFERROR(VLOOKUP(A180,$A$10:$I179,1,0),0)=0,"",VLOOKUP(A180,$A$10:$I179,5,0))</f>
        <v>TORRES</v>
      </c>
      <c r="F180" s="29" t="str">
        <f>IF(IFERROR(VLOOKUP(A180,$A$10:$I179,1,0),0)=0,"",VLOOKUP(A180,$A$10:$I179,6,0))</f>
        <v>CRISTIAN</v>
      </c>
      <c r="G180" s="49">
        <f>IF(IFERROR(VLOOKUP(A180,$A$10:$I179,1,0),0)=0,"",VLOOKUP(A180,$A$10:$I179,7,0))</f>
        <v>45497</v>
      </c>
      <c r="H180" s="29"/>
      <c r="I180" s="29"/>
      <c r="J180" s="29"/>
      <c r="K180" s="24" t="s">
        <v>55</v>
      </c>
      <c r="L180" s="49">
        <v>45497</v>
      </c>
      <c r="M180" s="49">
        <v>45504</v>
      </c>
      <c r="N180" s="29">
        <f t="shared" si="6"/>
        <v>7</v>
      </c>
      <c r="O180" s="29"/>
      <c r="P180" t="s">
        <v>132</v>
      </c>
      <c r="Q180" t="s">
        <v>88</v>
      </c>
      <c r="R180" t="s">
        <v>88</v>
      </c>
      <c r="S180" t="s">
        <v>88</v>
      </c>
      <c r="T180" t="s">
        <v>88</v>
      </c>
      <c r="U180" t="s">
        <v>14</v>
      </c>
    </row>
    <row r="181" spans="1:21" x14ac:dyDescent="0.45">
      <c r="A181" s="29">
        <v>77268529</v>
      </c>
      <c r="B181" s="29" t="str">
        <f t="shared" si="7"/>
        <v>7.726.852-9</v>
      </c>
      <c r="C181" s="22" t="s">
        <v>22</v>
      </c>
      <c r="D181" s="29" t="s">
        <v>285</v>
      </c>
      <c r="E181" s="29" t="s">
        <v>670</v>
      </c>
      <c r="F181" s="29" t="s">
        <v>485</v>
      </c>
      <c r="G181" s="49">
        <v>45497</v>
      </c>
      <c r="H181" s="49">
        <v>45502</v>
      </c>
      <c r="I181" s="29"/>
      <c r="J181" s="29" t="s">
        <v>56</v>
      </c>
      <c r="K181" s="24" t="s">
        <v>43</v>
      </c>
      <c r="L181" s="49">
        <v>45497</v>
      </c>
      <c r="M181" s="49">
        <v>45502</v>
      </c>
      <c r="N181" s="29">
        <f t="shared" si="6"/>
        <v>5</v>
      </c>
      <c r="O181" s="29"/>
      <c r="P181" t="s">
        <v>88</v>
      </c>
      <c r="Q181" t="s">
        <v>88</v>
      </c>
      <c r="R181" t="s">
        <v>88</v>
      </c>
      <c r="S181" t="s">
        <v>88</v>
      </c>
      <c r="T181" t="s">
        <v>88</v>
      </c>
      <c r="U181" t="s">
        <v>20</v>
      </c>
    </row>
    <row r="182" spans="1:21" x14ac:dyDescent="0.45">
      <c r="A182" s="29">
        <v>163294869</v>
      </c>
      <c r="B182" s="29" t="str">
        <f t="shared" si="7"/>
        <v>16.329.486-9</v>
      </c>
      <c r="C182" s="22" t="s">
        <v>22</v>
      </c>
      <c r="D182" s="29" t="s">
        <v>537</v>
      </c>
      <c r="E182" s="29" t="s">
        <v>389</v>
      </c>
      <c r="F182" s="29" t="s">
        <v>1275</v>
      </c>
      <c r="G182" s="49">
        <v>45497</v>
      </c>
      <c r="H182" s="49">
        <v>45507</v>
      </c>
      <c r="I182" s="29"/>
      <c r="J182" s="29" t="s">
        <v>22</v>
      </c>
      <c r="K182" s="24" t="s">
        <v>43</v>
      </c>
      <c r="L182" s="49">
        <v>45497</v>
      </c>
      <c r="M182" s="49">
        <v>45504</v>
      </c>
      <c r="N182" s="29">
        <f t="shared" si="6"/>
        <v>7</v>
      </c>
      <c r="O182" s="29"/>
      <c r="P182" t="s">
        <v>88</v>
      </c>
      <c r="Q182" t="s">
        <v>88</v>
      </c>
      <c r="R182" t="s">
        <v>88</v>
      </c>
      <c r="S182" t="s">
        <v>88</v>
      </c>
      <c r="T182" t="s">
        <v>88</v>
      </c>
      <c r="U182" t="s">
        <v>20</v>
      </c>
    </row>
    <row r="183" spans="1:21" x14ac:dyDescent="0.45">
      <c r="A183" s="29">
        <v>163294869</v>
      </c>
      <c r="B183" s="29" t="str">
        <f t="shared" si="7"/>
        <v>16.329.486-9</v>
      </c>
      <c r="C183" s="22" t="str">
        <f>IF(IFERROR(VLOOKUP(A183,$A$10:$I182,1,0),0)=0,"",VLOOKUP(A183,$A$10:$I182,3,0))</f>
        <v>UCI</v>
      </c>
      <c r="D183" s="29" t="str">
        <f>IF(IFERROR(VLOOKUP(A183,$A$10:$I182,1,0),0)=0,"",VLOOKUP(A183,$A$10:$I182,4,0))</f>
        <v>FLORES</v>
      </c>
      <c r="E183" s="29" t="str">
        <f>IF(IFERROR(VLOOKUP(A183,$A$10:$I182,1,0),0)=0,"",VLOOKUP(A183,$A$10:$I182,5,0))</f>
        <v>SALINAS</v>
      </c>
      <c r="F183" s="29" t="str">
        <f>IF(IFERROR(VLOOKUP(A183,$A$10:$I182,1,0),0)=0,"",VLOOKUP(A183,$A$10:$I182,6,0))</f>
        <v>ESTEBAN</v>
      </c>
      <c r="G183" s="49">
        <f>IF(IFERROR(VLOOKUP(A183,$A$10:$I182,1,0),0)=0,"",VLOOKUP(A183,$A$10:$I182,7,0))</f>
        <v>45497</v>
      </c>
      <c r="H183" s="49">
        <v>45507</v>
      </c>
      <c r="I183" s="29"/>
      <c r="J183" s="29" t="s">
        <v>22</v>
      </c>
      <c r="K183" s="24" t="s">
        <v>47</v>
      </c>
      <c r="L183" s="49">
        <v>45497</v>
      </c>
      <c r="M183" s="49">
        <v>45504</v>
      </c>
      <c r="N183" s="29">
        <f t="shared" si="6"/>
        <v>7</v>
      </c>
      <c r="O183" s="29"/>
      <c r="P183" t="s">
        <v>88</v>
      </c>
      <c r="Q183" t="s">
        <v>88</v>
      </c>
      <c r="R183" t="s">
        <v>88</v>
      </c>
      <c r="S183" t="s">
        <v>88</v>
      </c>
      <c r="T183" t="s">
        <v>88</v>
      </c>
      <c r="U183" t="s">
        <v>20</v>
      </c>
    </row>
    <row r="184" spans="1:21" x14ac:dyDescent="0.45">
      <c r="A184" s="29">
        <v>163294869</v>
      </c>
      <c r="B184" s="29" t="str">
        <f t="shared" si="7"/>
        <v>16.329.486-9</v>
      </c>
      <c r="C184" s="22" t="str">
        <f>IF(IFERROR(VLOOKUP(A184,$A$10:$I183,1,0),0)=0,"",VLOOKUP(A184,$A$10:$I183,3,0))</f>
        <v>UCI</v>
      </c>
      <c r="D184" s="29" t="str">
        <f>IF(IFERROR(VLOOKUP(A184,$A$10:$I183,1,0),0)=0,"",VLOOKUP(A184,$A$10:$I183,4,0))</f>
        <v>FLORES</v>
      </c>
      <c r="E184" s="29" t="str">
        <f>IF(IFERROR(VLOOKUP(A184,$A$10:$I183,1,0),0)=0,"",VLOOKUP(A184,$A$10:$I183,5,0))</f>
        <v>SALINAS</v>
      </c>
      <c r="F184" s="29" t="str">
        <f>IF(IFERROR(VLOOKUP(A184,$A$10:$I183,1,0),0)=0,"",VLOOKUP(A184,$A$10:$I183,6,0))</f>
        <v>ESTEBAN</v>
      </c>
      <c r="G184" s="49">
        <f>IF(IFERROR(VLOOKUP(A184,$A$10:$I183,1,0),0)=0,"",VLOOKUP(A184,$A$10:$I183,7,0))</f>
        <v>45497</v>
      </c>
      <c r="H184" s="49">
        <v>45507</v>
      </c>
      <c r="I184" s="29"/>
      <c r="J184" s="29" t="s">
        <v>22</v>
      </c>
      <c r="K184" s="24" t="s">
        <v>55</v>
      </c>
      <c r="L184" s="49">
        <v>45497</v>
      </c>
      <c r="M184" s="49">
        <v>45504</v>
      </c>
      <c r="N184" s="29">
        <f t="shared" si="6"/>
        <v>7</v>
      </c>
      <c r="O184" s="29"/>
      <c r="P184" t="s">
        <v>123</v>
      </c>
      <c r="Q184" t="s">
        <v>132</v>
      </c>
      <c r="R184" t="s">
        <v>88</v>
      </c>
      <c r="S184" t="s">
        <v>88</v>
      </c>
      <c r="T184" t="s">
        <v>88</v>
      </c>
      <c r="U184" t="s">
        <v>14</v>
      </c>
    </row>
    <row r="185" spans="1:21" x14ac:dyDescent="0.45">
      <c r="A185" s="29">
        <v>131324200</v>
      </c>
      <c r="B185" s="29" t="str">
        <f t="shared" si="7"/>
        <v>13.132.420-0</v>
      </c>
      <c r="C185" s="22" t="s">
        <v>22</v>
      </c>
      <c r="D185" s="29" t="s">
        <v>946</v>
      </c>
      <c r="E185" s="29" t="s">
        <v>580</v>
      </c>
      <c r="F185" s="29" t="s">
        <v>468</v>
      </c>
      <c r="G185" s="49">
        <v>45496</v>
      </c>
      <c r="H185" s="49">
        <v>45500</v>
      </c>
      <c r="I185" s="29"/>
      <c r="J185" s="29" t="s">
        <v>22</v>
      </c>
      <c r="K185" s="24" t="s">
        <v>43</v>
      </c>
      <c r="L185" s="49">
        <v>45496</v>
      </c>
      <c r="M185" s="49">
        <v>45500</v>
      </c>
      <c r="N185" s="29">
        <f t="shared" si="6"/>
        <v>4</v>
      </c>
      <c r="O185" s="29"/>
      <c r="P185" t="s">
        <v>88</v>
      </c>
      <c r="Q185" t="s">
        <v>88</v>
      </c>
      <c r="R185" t="s">
        <v>88</v>
      </c>
      <c r="S185" t="s">
        <v>88</v>
      </c>
      <c r="T185" t="s">
        <v>88</v>
      </c>
      <c r="U185" t="s">
        <v>20</v>
      </c>
    </row>
    <row r="186" spans="1:21" x14ac:dyDescent="0.45">
      <c r="A186" s="29">
        <v>131324200</v>
      </c>
      <c r="B186" s="29" t="str">
        <f t="shared" si="7"/>
        <v>13.132.420-0</v>
      </c>
      <c r="C186" s="22" t="str">
        <f>IF(IFERROR(VLOOKUP(A186,$A$10:$I185,1,0),0)=0,"",VLOOKUP(A186,$A$10:$I185,3,0))</f>
        <v>UCI</v>
      </c>
      <c r="D186" s="29" t="str">
        <f>IF(IFERROR(VLOOKUP(A186,$A$10:$I185,1,0),0)=0,"",VLOOKUP(A186,$A$10:$I185,4,0))</f>
        <v>GOMEZ</v>
      </c>
      <c r="E186" s="29" t="str">
        <f>IF(IFERROR(VLOOKUP(A186,$A$10:$I185,1,0),0)=0,"",VLOOKUP(A186,$A$10:$I185,5,0))</f>
        <v>CASTRO</v>
      </c>
      <c r="F186" s="29" t="str">
        <f>IF(IFERROR(VLOOKUP(A186,$A$10:$I185,1,0),0)=0,"",VLOOKUP(A186,$A$10:$I185,6,0))</f>
        <v>ALEJANDRO</v>
      </c>
      <c r="G186" s="49">
        <f>IF(IFERROR(VLOOKUP(A186,$A$10:$I185,1,0),0)=0,"",VLOOKUP(A186,$A$10:$I185,7,0))</f>
        <v>45496</v>
      </c>
      <c r="H186" s="49">
        <v>45500</v>
      </c>
      <c r="I186" s="29"/>
      <c r="J186" s="29" t="s">
        <v>22</v>
      </c>
      <c r="K186" s="110" t="s">
        <v>47</v>
      </c>
      <c r="L186" s="111">
        <v>45496</v>
      </c>
      <c r="M186" s="111">
        <v>45500</v>
      </c>
      <c r="N186" s="29">
        <f t="shared" si="6"/>
        <v>4</v>
      </c>
      <c r="O186" s="29"/>
      <c r="P186" t="s">
        <v>88</v>
      </c>
      <c r="Q186" t="s">
        <v>88</v>
      </c>
      <c r="R186" t="s">
        <v>88</v>
      </c>
      <c r="S186" t="s">
        <v>88</v>
      </c>
      <c r="T186" t="s">
        <v>88</v>
      </c>
      <c r="U186" t="s">
        <v>20</v>
      </c>
    </row>
    <row r="187" spans="1:21" x14ac:dyDescent="0.45">
      <c r="A187" s="29">
        <v>131324200</v>
      </c>
      <c r="B187" s="29" t="str">
        <f t="shared" si="7"/>
        <v>13.132.420-0</v>
      </c>
      <c r="C187" s="22" t="str">
        <f>IF(IFERROR(VLOOKUP(A187,$A$10:$I186,1,0),0)=0,"",VLOOKUP(A187,$A$10:$I186,3,0))</f>
        <v>UCI</v>
      </c>
      <c r="D187" s="29" t="str">
        <f>IF(IFERROR(VLOOKUP(A187,$A$10:$I186,1,0),0)=0,"",VLOOKUP(A187,$A$10:$I186,4,0))</f>
        <v>GOMEZ</v>
      </c>
      <c r="E187" s="29" t="str">
        <f>IF(IFERROR(VLOOKUP(A187,$A$10:$I186,1,0),0)=0,"",VLOOKUP(A187,$A$10:$I186,5,0))</f>
        <v>CASTRO</v>
      </c>
      <c r="F187" s="29" t="str">
        <f>IF(IFERROR(VLOOKUP(A187,$A$10:$I186,1,0),0)=0,"",VLOOKUP(A187,$A$10:$I186,6,0))</f>
        <v>ALEJANDRO</v>
      </c>
      <c r="G187" s="49">
        <f>IF(IFERROR(VLOOKUP(A187,$A$10:$I186,1,0),0)=0,"",VLOOKUP(A187,$A$10:$I186,7,0))</f>
        <v>45496</v>
      </c>
      <c r="H187" s="49">
        <v>45500</v>
      </c>
      <c r="I187" s="29"/>
      <c r="J187" s="29" t="s">
        <v>22</v>
      </c>
      <c r="K187" s="24" t="s">
        <v>55</v>
      </c>
      <c r="L187" s="49">
        <v>45496</v>
      </c>
      <c r="M187" s="49">
        <v>45499</v>
      </c>
      <c r="N187" s="29">
        <f t="shared" si="6"/>
        <v>3</v>
      </c>
      <c r="O187" s="29"/>
      <c r="P187" t="s">
        <v>88</v>
      </c>
      <c r="Q187" t="s">
        <v>88</v>
      </c>
      <c r="R187" t="s">
        <v>88</v>
      </c>
      <c r="S187" t="s">
        <v>88</v>
      </c>
      <c r="T187" t="s">
        <v>88</v>
      </c>
      <c r="U187" t="s">
        <v>20</v>
      </c>
    </row>
    <row r="188" spans="1:21" x14ac:dyDescent="0.45">
      <c r="A188" s="29">
        <v>131324200</v>
      </c>
      <c r="B188" s="29" t="str">
        <f t="shared" si="7"/>
        <v>13.132.420-0</v>
      </c>
      <c r="C188" s="22" t="s">
        <v>22</v>
      </c>
      <c r="D188" s="29" t="str">
        <f>IF(IFERROR(VLOOKUP(A188,$A$10:$I187,1,0),0)=0,"",VLOOKUP(A188,$A$10:$I187,4,0))</f>
        <v>GOMEZ</v>
      </c>
      <c r="E188" s="29" t="str">
        <f>IF(IFERROR(VLOOKUP(A188,$A$10:$I187,1,0),0)=0,"",VLOOKUP(A188,$A$10:$I187,5,0))</f>
        <v>CASTRO</v>
      </c>
      <c r="F188" s="29" t="str">
        <f>IF(IFERROR(VLOOKUP(A188,$A$10:$I187,1,0),0)=0,"",VLOOKUP(A188,$A$10:$I187,6,0))</f>
        <v>ALEJANDRO</v>
      </c>
      <c r="G188" s="49">
        <v>45500</v>
      </c>
      <c r="H188" s="29"/>
      <c r="I188" s="29" t="s">
        <v>22</v>
      </c>
      <c r="J188" s="29"/>
      <c r="K188" s="24" t="s">
        <v>43</v>
      </c>
      <c r="L188" s="49">
        <v>45500</v>
      </c>
      <c r="M188" s="49">
        <v>45504</v>
      </c>
      <c r="N188" s="29">
        <f t="shared" si="6"/>
        <v>4</v>
      </c>
      <c r="O188" s="29"/>
      <c r="P188" t="s">
        <v>88</v>
      </c>
      <c r="Q188" t="s">
        <v>88</v>
      </c>
      <c r="R188" t="s">
        <v>88</v>
      </c>
      <c r="S188" t="s">
        <v>88</v>
      </c>
      <c r="T188" t="s">
        <v>88</v>
      </c>
      <c r="U188" t="s">
        <v>20</v>
      </c>
    </row>
    <row r="189" spans="1:21" x14ac:dyDescent="0.45">
      <c r="A189" s="29">
        <v>131324200</v>
      </c>
      <c r="B189" s="29" t="str">
        <f t="shared" si="7"/>
        <v>13.132.420-0</v>
      </c>
      <c r="C189" s="22" t="s">
        <v>22</v>
      </c>
      <c r="D189" s="29" t="str">
        <f>IF(IFERROR(VLOOKUP(A189,$A$10:$I188,1,0),0)=0,"",VLOOKUP(A189,$A$10:$I188,4,0))</f>
        <v>GOMEZ</v>
      </c>
      <c r="E189" s="29" t="str">
        <f>IF(IFERROR(VLOOKUP(A189,$A$10:$I188,1,0),0)=0,"",VLOOKUP(A189,$A$10:$I188,5,0))</f>
        <v>CASTRO</v>
      </c>
      <c r="F189" s="29" t="str">
        <f>IF(IFERROR(VLOOKUP(A189,$A$10:$I188,1,0),0)=0,"",VLOOKUP(A189,$A$10:$I188,6,0))</f>
        <v>ALEJANDRO</v>
      </c>
      <c r="G189" s="49">
        <v>45500</v>
      </c>
      <c r="H189" s="29"/>
      <c r="I189" s="29" t="s">
        <v>22</v>
      </c>
      <c r="J189" s="29"/>
      <c r="K189" s="24" t="s">
        <v>47</v>
      </c>
      <c r="L189" s="49">
        <v>45500</v>
      </c>
      <c r="M189" s="49">
        <v>45504</v>
      </c>
      <c r="N189" s="29">
        <f t="shared" si="6"/>
        <v>4</v>
      </c>
      <c r="O189" s="29"/>
      <c r="P189" t="s">
        <v>88</v>
      </c>
      <c r="Q189" t="s">
        <v>88</v>
      </c>
      <c r="R189" t="s">
        <v>88</v>
      </c>
      <c r="S189" t="s">
        <v>88</v>
      </c>
      <c r="T189" t="s">
        <v>88</v>
      </c>
      <c r="U189" t="s">
        <v>20</v>
      </c>
    </row>
    <row r="190" spans="1:21" x14ac:dyDescent="0.45">
      <c r="A190" s="29">
        <v>114969648</v>
      </c>
      <c r="B190" s="29" t="str">
        <f t="shared" si="7"/>
        <v>11.496.964-8</v>
      </c>
      <c r="C190" s="22" t="s">
        <v>22</v>
      </c>
      <c r="D190" s="29" t="s">
        <v>1172</v>
      </c>
      <c r="E190" s="29" t="s">
        <v>810</v>
      </c>
      <c r="F190" s="29" t="s">
        <v>238</v>
      </c>
      <c r="G190" s="49">
        <v>45496</v>
      </c>
      <c r="H190" s="49">
        <v>45498</v>
      </c>
      <c r="I190" s="29"/>
      <c r="J190" s="29" t="s">
        <v>22</v>
      </c>
      <c r="K190" s="24" t="s">
        <v>43</v>
      </c>
      <c r="L190" s="49">
        <v>45496</v>
      </c>
      <c r="M190" s="49">
        <v>45498</v>
      </c>
      <c r="N190" s="29">
        <f t="shared" si="6"/>
        <v>2</v>
      </c>
      <c r="O190" s="29"/>
      <c r="P190" t="s">
        <v>88</v>
      </c>
      <c r="Q190" t="s">
        <v>88</v>
      </c>
      <c r="R190" t="s">
        <v>88</v>
      </c>
      <c r="S190" t="s">
        <v>88</v>
      </c>
      <c r="T190" t="s">
        <v>88</v>
      </c>
      <c r="U190" t="s">
        <v>20</v>
      </c>
    </row>
    <row r="191" spans="1:21" x14ac:dyDescent="0.45">
      <c r="A191" s="29">
        <v>114969648</v>
      </c>
      <c r="B191" s="29" t="str">
        <f t="shared" si="7"/>
        <v>11.496.964-8</v>
      </c>
      <c r="C191" s="22" t="str">
        <f>IF(IFERROR(VLOOKUP(A191,$A$10:$I190,1,0),0)=0,"",VLOOKUP(A191,$A$10:$I190,3,0))</f>
        <v>UCI</v>
      </c>
      <c r="D191" s="29" t="str">
        <f>IF(IFERROR(VLOOKUP(A191,$A$10:$I190,1,0),0)=0,"",VLOOKUP(A191,$A$10:$I190,4,0))</f>
        <v>ZAMBRANO</v>
      </c>
      <c r="E191" s="29" t="str">
        <f>IF(IFERROR(VLOOKUP(A191,$A$10:$I190,1,0),0)=0,"",VLOOKUP(A191,$A$10:$I190,5,0))</f>
        <v>CARTES</v>
      </c>
      <c r="F191" s="29" t="str">
        <f>IF(IFERROR(VLOOKUP(A191,$A$10:$I190,1,0),0)=0,"",VLOOKUP(A191,$A$10:$I190,6,0))</f>
        <v>LUIS</v>
      </c>
      <c r="G191" s="49">
        <f>IF(IFERROR(VLOOKUP(A191,$A$10:$I190,1,0),0)=0,"",VLOOKUP(A191,$A$10:$I190,7,0))</f>
        <v>45496</v>
      </c>
      <c r="H191" s="49">
        <v>45498</v>
      </c>
      <c r="I191" s="29"/>
      <c r="J191" s="29" t="s">
        <v>22</v>
      </c>
      <c r="K191" s="24" t="s">
        <v>47</v>
      </c>
      <c r="L191" s="49">
        <v>45496</v>
      </c>
      <c r="M191" s="49">
        <v>45498</v>
      </c>
      <c r="N191" s="29">
        <f t="shared" si="6"/>
        <v>2</v>
      </c>
      <c r="O191" s="29"/>
      <c r="P191" t="s">
        <v>88</v>
      </c>
      <c r="Q191" t="s">
        <v>88</v>
      </c>
      <c r="R191" t="s">
        <v>88</v>
      </c>
      <c r="S191" t="s">
        <v>88</v>
      </c>
      <c r="T191" t="s">
        <v>88</v>
      </c>
      <c r="U191" t="s">
        <v>20</v>
      </c>
    </row>
    <row r="192" spans="1:21" x14ac:dyDescent="0.45">
      <c r="A192" s="29">
        <v>78614935</v>
      </c>
      <c r="B192" s="29" t="str">
        <f t="shared" si="7"/>
        <v>7.861.493-5</v>
      </c>
      <c r="C192" s="22" t="s">
        <v>22</v>
      </c>
      <c r="D192" s="29" t="s">
        <v>1276</v>
      </c>
      <c r="E192" s="29" t="s">
        <v>439</v>
      </c>
      <c r="F192" s="29" t="s">
        <v>489</v>
      </c>
      <c r="G192" s="49">
        <v>45495</v>
      </c>
      <c r="H192" s="49">
        <v>45503</v>
      </c>
      <c r="I192" s="29"/>
      <c r="J192" s="29" t="s">
        <v>22</v>
      </c>
      <c r="K192" s="24" t="s">
        <v>43</v>
      </c>
      <c r="L192" s="49">
        <v>45495</v>
      </c>
      <c r="M192" s="49">
        <v>45503</v>
      </c>
      <c r="N192" s="29">
        <f t="shared" si="6"/>
        <v>8</v>
      </c>
      <c r="O192" s="29"/>
      <c r="P192" t="s">
        <v>88</v>
      </c>
      <c r="Q192" t="s">
        <v>88</v>
      </c>
      <c r="R192" t="s">
        <v>88</v>
      </c>
      <c r="S192" t="s">
        <v>88</v>
      </c>
      <c r="T192" t="s">
        <v>88</v>
      </c>
      <c r="U192" t="s">
        <v>20</v>
      </c>
    </row>
    <row r="193" spans="1:21" x14ac:dyDescent="0.45">
      <c r="A193" s="29">
        <v>78614935</v>
      </c>
      <c r="B193" s="29" t="str">
        <f t="shared" si="7"/>
        <v>7.861.493-5</v>
      </c>
      <c r="C193" s="22" t="str">
        <f>IF(IFERROR(VLOOKUP(A193,$A$10:$I192,1,0),0)=0,"",VLOOKUP(A193,$A$10:$I192,3,0))</f>
        <v>UCI</v>
      </c>
      <c r="D193" s="29" t="str">
        <f>IF(IFERROR(VLOOKUP(A193,$A$10:$I192,1,0),0)=0,"",VLOOKUP(A193,$A$10:$I192,4,0))</f>
        <v>VEGA</v>
      </c>
      <c r="E193" s="29" t="str">
        <f>IF(IFERROR(VLOOKUP(A193,$A$10:$I192,1,0),0)=0,"",VLOOKUP(A193,$A$10:$I192,5,0))</f>
        <v>GONZALEZ</v>
      </c>
      <c r="F193" s="29" t="str">
        <f>IF(IFERROR(VLOOKUP(A193,$A$10:$I192,1,0),0)=0,"",VLOOKUP(A193,$A$10:$I192,6,0))</f>
        <v>HECTOR</v>
      </c>
      <c r="G193" s="49">
        <f>IF(IFERROR(VLOOKUP(A193,$A$10:$I192,1,0),0)=0,"",VLOOKUP(A193,$A$10:$I192,7,0))</f>
        <v>45495</v>
      </c>
      <c r="H193" s="49">
        <v>45503</v>
      </c>
      <c r="I193" s="29"/>
      <c r="J193" s="29" t="s">
        <v>22</v>
      </c>
      <c r="K193" s="24" t="s">
        <v>47</v>
      </c>
      <c r="L193" s="49">
        <v>45495</v>
      </c>
      <c r="M193" s="49">
        <v>45503</v>
      </c>
      <c r="N193" s="29">
        <f t="shared" si="6"/>
        <v>8</v>
      </c>
      <c r="O193" s="29"/>
      <c r="P193" t="s">
        <v>88</v>
      </c>
      <c r="Q193" t="s">
        <v>88</v>
      </c>
      <c r="R193" t="s">
        <v>88</v>
      </c>
      <c r="S193" t="s">
        <v>88</v>
      </c>
      <c r="T193" t="s">
        <v>88</v>
      </c>
      <c r="U193" t="s">
        <v>20</v>
      </c>
    </row>
    <row r="194" spans="1:21" x14ac:dyDescent="0.45">
      <c r="A194" s="29">
        <v>78614935</v>
      </c>
      <c r="B194" s="29" t="str">
        <f t="shared" si="7"/>
        <v>7.861.493-5</v>
      </c>
      <c r="C194" s="22" t="str">
        <f>IF(IFERROR(VLOOKUP(A194,$A$10:$I193,1,0),0)=0,"",VLOOKUP(A194,$A$10:$I193,3,0))</f>
        <v>UCI</v>
      </c>
      <c r="D194" s="29" t="str">
        <f>IF(IFERROR(VLOOKUP(A194,$A$10:$I193,1,0),0)=0,"",VLOOKUP(A194,$A$10:$I193,4,0))</f>
        <v>VEGA</v>
      </c>
      <c r="E194" s="29" t="str">
        <f>IF(IFERROR(VLOOKUP(A194,$A$10:$I193,1,0),0)=0,"",VLOOKUP(A194,$A$10:$I193,5,0))</f>
        <v>GONZALEZ</v>
      </c>
      <c r="F194" s="29" t="str">
        <f>IF(IFERROR(VLOOKUP(A194,$A$10:$I193,1,0),0)=0,"",VLOOKUP(A194,$A$10:$I193,6,0))</f>
        <v>HECTOR</v>
      </c>
      <c r="G194" s="49">
        <f>IF(IFERROR(VLOOKUP(A194,$A$10:$I193,1,0),0)=0,"",VLOOKUP(A194,$A$10:$I193,7,0))</f>
        <v>45495</v>
      </c>
      <c r="H194" s="49">
        <v>45503</v>
      </c>
      <c r="I194" s="29"/>
      <c r="J194" s="29" t="s">
        <v>22</v>
      </c>
      <c r="K194" s="24" t="s">
        <v>55</v>
      </c>
      <c r="L194" s="49">
        <v>45495</v>
      </c>
      <c r="M194" s="49">
        <v>45502</v>
      </c>
      <c r="N194" s="29">
        <f t="shared" si="6"/>
        <v>7</v>
      </c>
      <c r="O194" s="29"/>
      <c r="P194" t="s">
        <v>88</v>
      </c>
      <c r="Q194" t="s">
        <v>88</v>
      </c>
      <c r="R194" t="s">
        <v>88</v>
      </c>
      <c r="S194" t="s">
        <v>88</v>
      </c>
      <c r="T194" t="s">
        <v>88</v>
      </c>
      <c r="U194" t="s">
        <v>20</v>
      </c>
    </row>
    <row r="195" spans="1:21" x14ac:dyDescent="0.45">
      <c r="A195" s="29">
        <v>188457347</v>
      </c>
      <c r="B195" s="29" t="str">
        <f t="shared" si="7"/>
        <v>18.845.734-7</v>
      </c>
      <c r="C195" s="22" t="s">
        <v>22</v>
      </c>
      <c r="D195" s="29" t="s">
        <v>391</v>
      </c>
      <c r="E195" s="29" t="s">
        <v>448</v>
      </c>
      <c r="F195" s="29" t="s">
        <v>1124</v>
      </c>
      <c r="G195" s="49">
        <v>45499</v>
      </c>
      <c r="H195" s="49">
        <v>45502</v>
      </c>
      <c r="I195" s="29"/>
      <c r="J195" s="29" t="s">
        <v>22</v>
      </c>
      <c r="K195" s="24" t="s">
        <v>43</v>
      </c>
      <c r="L195" s="49">
        <v>45499</v>
      </c>
      <c r="M195" s="49">
        <v>45502</v>
      </c>
      <c r="N195" s="29">
        <f t="shared" si="6"/>
        <v>3</v>
      </c>
      <c r="O195" s="29"/>
      <c r="P195" t="s">
        <v>88</v>
      </c>
      <c r="Q195" t="s">
        <v>88</v>
      </c>
      <c r="R195" t="s">
        <v>88</v>
      </c>
      <c r="S195" t="s">
        <v>88</v>
      </c>
      <c r="T195" t="s">
        <v>88</v>
      </c>
      <c r="U195" t="s">
        <v>20</v>
      </c>
    </row>
    <row r="196" spans="1:21" x14ac:dyDescent="0.45">
      <c r="A196" s="29">
        <v>188457347</v>
      </c>
      <c r="B196" s="29" t="str">
        <f t="shared" si="7"/>
        <v>18.845.734-7</v>
      </c>
      <c r="C196" s="22" t="str">
        <f>IF(IFERROR(VLOOKUP(A196,$A$10:$I195,1,0),0)=0,"",VLOOKUP(A196,$A$10:$I195,3,0))</f>
        <v>UCI</v>
      </c>
      <c r="D196" s="29" t="str">
        <f>IF(IFERROR(VLOOKUP(A196,$A$10:$I195,1,0),0)=0,"",VLOOKUP(A196,$A$10:$I195,4,0))</f>
        <v>CONCHA</v>
      </c>
      <c r="E196" s="29" t="str">
        <f>IF(IFERROR(VLOOKUP(A196,$A$10:$I195,1,0),0)=0,"",VLOOKUP(A196,$A$10:$I195,5,0))</f>
        <v>ROMERO</v>
      </c>
      <c r="F196" s="29" t="str">
        <f>IF(IFERROR(VLOOKUP(A196,$A$10:$I195,1,0),0)=0,"",VLOOKUP(A196,$A$10:$I195,6,0))</f>
        <v>CAMILA</v>
      </c>
      <c r="G196" s="49">
        <f>IF(IFERROR(VLOOKUP(A196,$A$10:$I195,1,0),0)=0,"",VLOOKUP(A196,$A$10:$I195,7,0))</f>
        <v>45499</v>
      </c>
      <c r="H196" s="49">
        <v>45502</v>
      </c>
      <c r="I196" s="29"/>
      <c r="J196" s="29" t="s">
        <v>22</v>
      </c>
      <c r="K196" s="24" t="s">
        <v>47</v>
      </c>
      <c r="L196" s="49">
        <v>45499</v>
      </c>
      <c r="M196" s="49">
        <v>45502</v>
      </c>
      <c r="N196" s="29">
        <f t="shared" si="6"/>
        <v>3</v>
      </c>
      <c r="O196" s="29"/>
      <c r="P196" t="s">
        <v>88</v>
      </c>
      <c r="Q196" t="s">
        <v>88</v>
      </c>
      <c r="R196" t="s">
        <v>88</v>
      </c>
      <c r="S196" t="s">
        <v>88</v>
      </c>
      <c r="T196" t="s">
        <v>88</v>
      </c>
      <c r="U196" t="s">
        <v>20</v>
      </c>
    </row>
    <row r="197" spans="1:21" x14ac:dyDescent="0.45">
      <c r="A197" s="29">
        <v>109313300</v>
      </c>
      <c r="B197" s="29" t="str">
        <f t="shared" si="7"/>
        <v>10.931.330-0</v>
      </c>
      <c r="C197" s="22" t="s">
        <v>22</v>
      </c>
      <c r="D197" s="29" t="s">
        <v>859</v>
      </c>
      <c r="E197" s="29" t="s">
        <v>349</v>
      </c>
      <c r="F197" s="29" t="s">
        <v>748</v>
      </c>
      <c r="G197" s="49">
        <v>45500</v>
      </c>
      <c r="H197" s="29"/>
      <c r="I197" s="29"/>
      <c r="J197" s="29"/>
      <c r="K197" s="24" t="s">
        <v>43</v>
      </c>
      <c r="L197" s="49">
        <v>45500</v>
      </c>
      <c r="M197" s="49">
        <v>45504</v>
      </c>
      <c r="N197" s="29">
        <f t="shared" si="6"/>
        <v>4</v>
      </c>
      <c r="O197" s="29"/>
      <c r="P197" t="s">
        <v>88</v>
      </c>
      <c r="Q197" t="s">
        <v>88</v>
      </c>
      <c r="R197" t="s">
        <v>88</v>
      </c>
      <c r="S197" t="s">
        <v>88</v>
      </c>
      <c r="T197" t="s">
        <v>88</v>
      </c>
      <c r="U197" t="s">
        <v>20</v>
      </c>
    </row>
    <row r="198" spans="1:21" x14ac:dyDescent="0.45">
      <c r="A198" s="29">
        <v>109313300</v>
      </c>
      <c r="B198" s="29" t="str">
        <f t="shared" si="7"/>
        <v>10.931.330-0</v>
      </c>
      <c r="C198" s="22" t="str">
        <f>IF(IFERROR(VLOOKUP(A198,$A$10:$I197,1,0),0)=0,"",VLOOKUP(A198,$A$10:$I197,3,0))</f>
        <v>UCI</v>
      </c>
      <c r="D198" s="29" t="str">
        <f>IF(IFERROR(VLOOKUP(A198,$A$10:$I197,1,0),0)=0,"",VLOOKUP(A198,$A$10:$I197,4,0))</f>
        <v>CORREA</v>
      </c>
      <c r="E198" s="29" t="str">
        <f>IF(IFERROR(VLOOKUP(A198,$A$10:$I197,1,0),0)=0,"",VLOOKUP(A198,$A$10:$I197,5,0))</f>
        <v>ZUÑIGA</v>
      </c>
      <c r="F198" s="29" t="str">
        <f>IF(IFERROR(VLOOKUP(A198,$A$10:$I197,1,0),0)=0,"",VLOOKUP(A198,$A$10:$I197,6,0))</f>
        <v>PABLO</v>
      </c>
      <c r="G198" s="49">
        <f>IF(IFERROR(VLOOKUP(A198,$A$10:$I197,1,0),0)=0,"",VLOOKUP(A198,$A$10:$I197,7,0))</f>
        <v>45500</v>
      </c>
      <c r="H198" s="29"/>
      <c r="I198" s="29"/>
      <c r="J198" s="29"/>
      <c r="K198" s="24" t="s">
        <v>47</v>
      </c>
      <c r="L198" s="49">
        <v>45500</v>
      </c>
      <c r="M198" s="49">
        <v>45504</v>
      </c>
      <c r="N198" s="29">
        <f t="shared" si="6"/>
        <v>4</v>
      </c>
      <c r="O198" s="29"/>
      <c r="P198" t="s">
        <v>88</v>
      </c>
      <c r="Q198" t="s">
        <v>88</v>
      </c>
      <c r="R198" t="s">
        <v>88</v>
      </c>
      <c r="S198" t="s">
        <v>88</v>
      </c>
      <c r="T198" t="s">
        <v>88</v>
      </c>
      <c r="U198" t="s">
        <v>20</v>
      </c>
    </row>
    <row r="199" spans="1:21" x14ac:dyDescent="0.45">
      <c r="A199" s="29" t="s">
        <v>1277</v>
      </c>
      <c r="B199" s="29" t="str">
        <f t="shared" si="7"/>
        <v>10.726.406-K</v>
      </c>
      <c r="C199" s="22" t="s">
        <v>22</v>
      </c>
      <c r="D199" s="29" t="s">
        <v>345</v>
      </c>
      <c r="E199" s="29" t="s">
        <v>422</v>
      </c>
      <c r="F199" s="29" t="s">
        <v>419</v>
      </c>
      <c r="G199" s="49">
        <v>45501</v>
      </c>
      <c r="H199" s="29"/>
      <c r="I199" s="29"/>
      <c r="J199" s="29"/>
      <c r="K199" s="24" t="s">
        <v>47</v>
      </c>
      <c r="L199" s="49">
        <v>45501</v>
      </c>
      <c r="M199" s="49">
        <v>45503</v>
      </c>
      <c r="N199" s="29">
        <f t="shared" si="6"/>
        <v>2</v>
      </c>
      <c r="O199" s="29"/>
      <c r="P199" t="s">
        <v>88</v>
      </c>
      <c r="Q199" t="s">
        <v>88</v>
      </c>
      <c r="R199" t="s">
        <v>88</v>
      </c>
      <c r="S199" t="s">
        <v>88</v>
      </c>
      <c r="T199" t="s">
        <v>88</v>
      </c>
      <c r="U199" t="s">
        <v>20</v>
      </c>
    </row>
    <row r="200" spans="1:21" x14ac:dyDescent="0.45">
      <c r="A200" s="29">
        <v>120881833</v>
      </c>
      <c r="B200" s="29" t="str">
        <f t="shared" si="7"/>
        <v>12.088.183-3</v>
      </c>
      <c r="C200" s="22" t="str">
        <f>IF(IFERROR(VLOOKUP(A200,$A$10:$I199,1,0),0)=0,"",VLOOKUP(A200,$A$10:$I199,3,0))</f>
        <v>UCI</v>
      </c>
      <c r="D200" s="29" t="str">
        <f>IF(IFERROR(VLOOKUP(A200,$A$10:$I199,1,0),0)=0,"",VLOOKUP(A200,$A$10:$I199,4,0))</f>
        <v>BAEZA</v>
      </c>
      <c r="E200" s="29" t="str">
        <f>IF(IFERROR(VLOOKUP(A200,$A$10:$I199,1,0),0)=0,"",VLOOKUP(A200,$A$10:$I199,5,0))</f>
        <v>BUSTOS</v>
      </c>
      <c r="F200" s="29" t="str">
        <f>IF(IFERROR(VLOOKUP(A200,$A$10:$I199,1,0),0)=0,"",VLOOKUP(A200,$A$10:$I199,6,0))</f>
        <v>YASNA</v>
      </c>
      <c r="G200" s="49">
        <f>IF(IFERROR(VLOOKUP(A200,$A$10:$I199,1,0),0)=0,"",VLOOKUP(A200,$A$10:$I199,7,0))</f>
        <v>45476</v>
      </c>
      <c r="H200" s="49">
        <v>45479</v>
      </c>
      <c r="I200" s="29"/>
      <c r="J200" s="29"/>
      <c r="K200" s="24" t="s">
        <v>43</v>
      </c>
      <c r="L200" s="49">
        <v>45476</v>
      </c>
      <c r="M200" s="49">
        <v>45479</v>
      </c>
      <c r="N200" s="29">
        <f t="shared" ref="N200:N253" si="8">+M200-L200</f>
        <v>3</v>
      </c>
      <c r="O200" s="29"/>
      <c r="P200" t="s">
        <v>88</v>
      </c>
      <c r="Q200" t="s">
        <v>88</v>
      </c>
      <c r="R200" t="s">
        <v>88</v>
      </c>
      <c r="S200" t="s">
        <v>88</v>
      </c>
      <c r="T200" t="s">
        <v>88</v>
      </c>
      <c r="U200" t="s">
        <v>20</v>
      </c>
    </row>
    <row r="201" spans="1:21" x14ac:dyDescent="0.45">
      <c r="A201" s="29">
        <v>35036628</v>
      </c>
      <c r="B201" s="29" t="str">
        <f t="shared" si="7"/>
        <v>3.503.662-8</v>
      </c>
      <c r="C201" s="22" t="s">
        <v>22</v>
      </c>
      <c r="D201" s="29" t="s">
        <v>1278</v>
      </c>
      <c r="E201" s="29" t="s">
        <v>1279</v>
      </c>
      <c r="F201" s="29" t="s">
        <v>1174</v>
      </c>
      <c r="G201" s="49">
        <v>45502</v>
      </c>
      <c r="H201" s="49">
        <v>45505</v>
      </c>
      <c r="I201" s="29"/>
      <c r="J201" s="29"/>
      <c r="K201" s="24" t="s">
        <v>43</v>
      </c>
      <c r="L201" s="49">
        <v>45502</v>
      </c>
      <c r="M201" s="49">
        <v>45504</v>
      </c>
      <c r="N201" s="29">
        <f t="shared" si="8"/>
        <v>2</v>
      </c>
      <c r="O201" s="29"/>
      <c r="P201" t="s">
        <v>88</v>
      </c>
      <c r="Q201" t="s">
        <v>88</v>
      </c>
      <c r="R201" t="s">
        <v>88</v>
      </c>
      <c r="S201" t="s">
        <v>88</v>
      </c>
      <c r="T201" t="s">
        <v>88</v>
      </c>
      <c r="U201" t="s">
        <v>20</v>
      </c>
    </row>
    <row r="202" spans="1:21" x14ac:dyDescent="0.45">
      <c r="A202" s="29">
        <v>35036628</v>
      </c>
      <c r="B202" s="29" t="str">
        <f t="shared" si="7"/>
        <v>3.503.662-8</v>
      </c>
      <c r="C202" s="22" t="str">
        <f>IF(IFERROR(VLOOKUP(A202,$A$10:$I201,1,0),0)=0,"",VLOOKUP(A202,$A$10:$I201,3,0))</f>
        <v>UCI</v>
      </c>
      <c r="D202" s="29" t="str">
        <f>IF(IFERROR(VLOOKUP(A202,$A$10:$I201,1,0),0)=0,"",VLOOKUP(A202,$A$10:$I201,4,0))</f>
        <v>URIBE</v>
      </c>
      <c r="E202" s="29" t="str">
        <f>IF(IFERROR(VLOOKUP(A202,$A$10:$I201,1,0),0)=0,"",VLOOKUP(A202,$A$10:$I201,5,0))</f>
        <v>RECABARREN</v>
      </c>
      <c r="F202" s="29" t="str">
        <f>IF(IFERROR(VLOOKUP(A202,$A$10:$I201,1,0),0)=0,"",VLOOKUP(A202,$A$10:$I201,6,0))</f>
        <v>EUGENIO</v>
      </c>
      <c r="G202" s="49">
        <f>IF(IFERROR(VLOOKUP(A202,$A$10:$I201,1,0),0)=0,"",VLOOKUP(A202,$A$10:$I201,7,0))</f>
        <v>45502</v>
      </c>
      <c r="H202" s="29"/>
      <c r="I202" s="29"/>
      <c r="J202" s="29"/>
      <c r="K202" s="24" t="s">
        <v>47</v>
      </c>
      <c r="L202" s="49">
        <v>45502</v>
      </c>
      <c r="M202" s="49">
        <v>45504</v>
      </c>
      <c r="N202" s="29">
        <f t="shared" si="8"/>
        <v>2</v>
      </c>
      <c r="O202" s="29"/>
      <c r="P202" t="s">
        <v>88</v>
      </c>
      <c r="Q202" t="s">
        <v>88</v>
      </c>
      <c r="R202" t="s">
        <v>88</v>
      </c>
      <c r="S202" t="s">
        <v>88</v>
      </c>
      <c r="T202" t="s">
        <v>88</v>
      </c>
      <c r="U202" t="s">
        <v>20</v>
      </c>
    </row>
    <row r="203" spans="1:21" x14ac:dyDescent="0.45">
      <c r="A203" s="29">
        <v>120881833</v>
      </c>
      <c r="B203" s="29" t="str">
        <f t="shared" si="7"/>
        <v>12.088.183-3</v>
      </c>
      <c r="C203" s="22" t="str">
        <f>IF(IFERROR(VLOOKUP(A203,$A$10:$I202,1,0),0)=0,"",VLOOKUP(A203,$A$10:$I202,3,0))</f>
        <v>UCI</v>
      </c>
      <c r="D203" s="29" t="str">
        <f>IF(IFERROR(VLOOKUP(A203,$A$10:$I202,1,0),0)=0,"",VLOOKUP(A203,$A$10:$I202,4,0))</f>
        <v>BAEZA</v>
      </c>
      <c r="E203" s="29" t="str">
        <f>IF(IFERROR(VLOOKUP(A203,$A$10:$I202,1,0),0)=0,"",VLOOKUP(A203,$A$10:$I202,5,0))</f>
        <v>BUSTOS</v>
      </c>
      <c r="F203" s="29" t="str">
        <f>IF(IFERROR(VLOOKUP(A203,$A$10:$I202,1,0),0)=0,"",VLOOKUP(A203,$A$10:$I202,6,0))</f>
        <v>YASNA</v>
      </c>
      <c r="G203" s="49">
        <f>IF(IFERROR(VLOOKUP(A203,$A$10:$I202,1,0),0)=0,"",VLOOKUP(A203,$A$10:$I202,7,0))</f>
        <v>45476</v>
      </c>
      <c r="H203" s="49">
        <v>45479</v>
      </c>
      <c r="I203" s="29"/>
      <c r="J203" s="29"/>
      <c r="K203" s="24" t="s">
        <v>47</v>
      </c>
      <c r="L203" s="49">
        <v>45476</v>
      </c>
      <c r="M203" s="49">
        <v>45479</v>
      </c>
      <c r="N203" s="29">
        <f t="shared" si="8"/>
        <v>3</v>
      </c>
      <c r="O203" s="29"/>
      <c r="P203" t="s">
        <v>88</v>
      </c>
      <c r="Q203" t="s">
        <v>88</v>
      </c>
      <c r="R203" t="s">
        <v>88</v>
      </c>
      <c r="S203" t="s">
        <v>88</v>
      </c>
      <c r="T203" t="s">
        <v>88</v>
      </c>
      <c r="U203" t="s">
        <v>20</v>
      </c>
    </row>
    <row r="204" spans="1:21" x14ac:dyDescent="0.45">
      <c r="A204" s="29">
        <v>120881833</v>
      </c>
      <c r="B204" s="29" t="str">
        <f t="shared" si="7"/>
        <v>12.088.183-3</v>
      </c>
      <c r="C204" s="22" t="s">
        <v>22</v>
      </c>
      <c r="D204" s="29" t="str">
        <f>IF(IFERROR(VLOOKUP(A204,$A$10:$I203,1,0),0)=0,"",VLOOKUP(A204,$A$10:$I203,4,0))</f>
        <v>BAEZA</v>
      </c>
      <c r="E204" s="29" t="str">
        <f>IF(IFERROR(VLOOKUP(A204,$A$10:$I203,1,0),0)=0,"",VLOOKUP(A204,$A$10:$I203,5,0))</f>
        <v>BUSTOS</v>
      </c>
      <c r="F204" s="29" t="str">
        <f>IF(IFERROR(VLOOKUP(A204,$A$10:$I203,1,0),0)=0,"",VLOOKUP(A204,$A$10:$I203,6,0))</f>
        <v>YASNA</v>
      </c>
      <c r="G204" s="49">
        <v>45499</v>
      </c>
      <c r="H204" s="49">
        <v>45503</v>
      </c>
      <c r="I204" s="29"/>
      <c r="J204" s="29"/>
      <c r="K204" s="24" t="s">
        <v>43</v>
      </c>
      <c r="L204" s="49">
        <v>45499</v>
      </c>
      <c r="M204" s="49">
        <v>45503</v>
      </c>
      <c r="N204" s="29">
        <f t="shared" si="8"/>
        <v>4</v>
      </c>
      <c r="O204" s="29"/>
      <c r="P204" t="s">
        <v>88</v>
      </c>
      <c r="Q204" t="s">
        <v>88</v>
      </c>
      <c r="R204" t="s">
        <v>88</v>
      </c>
      <c r="S204" t="s">
        <v>88</v>
      </c>
      <c r="T204" t="s">
        <v>88</v>
      </c>
      <c r="U204" t="s">
        <v>20</v>
      </c>
    </row>
    <row r="205" spans="1:21" x14ac:dyDescent="0.45">
      <c r="A205" s="29">
        <v>120881833</v>
      </c>
      <c r="B205" s="29" t="str">
        <f t="shared" si="7"/>
        <v>12.088.183-3</v>
      </c>
      <c r="C205" s="22" t="s">
        <v>22</v>
      </c>
      <c r="D205" s="29" t="str">
        <f>IF(IFERROR(VLOOKUP(A205,$A$10:$I204,1,0),0)=0,"",VLOOKUP(A205,$A$10:$I204,4,0))</f>
        <v>BAEZA</v>
      </c>
      <c r="E205" s="29" t="str">
        <f>IF(IFERROR(VLOOKUP(A205,$A$10:$I204,1,0),0)=0,"",VLOOKUP(A205,$A$10:$I204,5,0))</f>
        <v>BUSTOS</v>
      </c>
      <c r="F205" s="29" t="str">
        <f>IF(IFERROR(VLOOKUP(A205,$A$10:$I204,1,0),0)=0,"",VLOOKUP(A205,$A$10:$I204,6,0))</f>
        <v>YASNA</v>
      </c>
      <c r="G205" s="49">
        <v>45499</v>
      </c>
      <c r="H205" s="49">
        <v>45503</v>
      </c>
      <c r="I205" s="29"/>
      <c r="J205" s="29"/>
      <c r="K205" s="24" t="s">
        <v>47</v>
      </c>
      <c r="L205" s="49">
        <v>45499</v>
      </c>
      <c r="M205" s="49">
        <v>45503</v>
      </c>
      <c r="N205" s="29">
        <f t="shared" si="8"/>
        <v>4</v>
      </c>
      <c r="O205" s="29"/>
      <c r="P205" t="s">
        <v>88</v>
      </c>
      <c r="Q205" t="s">
        <v>88</v>
      </c>
      <c r="R205" t="s">
        <v>88</v>
      </c>
      <c r="S205" t="s">
        <v>88</v>
      </c>
      <c r="T205" t="s">
        <v>88</v>
      </c>
      <c r="U205" t="s">
        <v>20</v>
      </c>
    </row>
    <row r="206" spans="1:21" x14ac:dyDescent="0.45">
      <c r="A206" s="29">
        <v>98343474</v>
      </c>
      <c r="B206" s="29" t="str">
        <f t="shared" si="7"/>
        <v>9.834.347-4</v>
      </c>
      <c r="C206" s="22" t="s">
        <v>22</v>
      </c>
      <c r="D206" s="29" t="s">
        <v>1010</v>
      </c>
      <c r="E206" s="29" t="s">
        <v>767</v>
      </c>
      <c r="F206" s="29" t="s">
        <v>1280</v>
      </c>
      <c r="G206" s="49">
        <v>45501</v>
      </c>
      <c r="H206" s="29"/>
      <c r="I206" s="29" t="s">
        <v>22</v>
      </c>
      <c r="J206" s="29"/>
      <c r="K206" s="24" t="s">
        <v>18</v>
      </c>
      <c r="L206" s="49">
        <v>45501</v>
      </c>
      <c r="M206" s="49">
        <v>45504</v>
      </c>
      <c r="N206" s="29">
        <f t="shared" si="8"/>
        <v>3</v>
      </c>
      <c r="O206" s="29"/>
      <c r="P206" t="s">
        <v>88</v>
      </c>
      <c r="Q206" t="s">
        <v>88</v>
      </c>
      <c r="R206" t="s">
        <v>88</v>
      </c>
      <c r="S206" t="s">
        <v>88</v>
      </c>
      <c r="T206" t="s">
        <v>88</v>
      </c>
      <c r="U206" t="s">
        <v>20</v>
      </c>
    </row>
    <row r="207" spans="1:21" x14ac:dyDescent="0.45">
      <c r="A207" s="29">
        <v>98343474</v>
      </c>
      <c r="B207" s="29" t="str">
        <f t="shared" si="7"/>
        <v>9.834.347-4</v>
      </c>
      <c r="C207" s="22" t="str">
        <f>IF(IFERROR(VLOOKUP(A207,$A$10:$I206,1,0),0)=0,"",VLOOKUP(A207,$A$10:$I206,3,0))</f>
        <v>UCI</v>
      </c>
      <c r="D207" s="29" t="str">
        <f>IF(IFERROR(VLOOKUP(A207,$A$10:$I206,1,0),0)=0,"",VLOOKUP(A207,$A$10:$I206,4,0))</f>
        <v xml:space="preserve">MUÑOZ </v>
      </c>
      <c r="E207" s="29" t="str">
        <f>IF(IFERROR(VLOOKUP(A207,$A$10:$I206,1,0),0)=0,"",VLOOKUP(A207,$A$10:$I206,5,0))</f>
        <v>NEIRA</v>
      </c>
      <c r="F207" s="29" t="str">
        <f>IF(IFERROR(VLOOKUP(A207,$A$10:$I206,1,0),0)=0,"",VLOOKUP(A207,$A$10:$I206,6,0))</f>
        <v>MIRKO</v>
      </c>
      <c r="G207" s="49">
        <f>IF(IFERROR(VLOOKUP(A207,$A$10:$I206,1,0),0)=0,"",VLOOKUP(A207,$A$10:$I206,7,0))</f>
        <v>45501</v>
      </c>
      <c r="H207" s="29"/>
      <c r="I207" s="29"/>
      <c r="J207" s="29"/>
      <c r="K207" s="24" t="s">
        <v>47</v>
      </c>
      <c r="L207" s="49">
        <v>45501</v>
      </c>
      <c r="M207" s="49">
        <v>45504</v>
      </c>
      <c r="N207" s="29">
        <f t="shared" si="8"/>
        <v>3</v>
      </c>
      <c r="O207" s="29"/>
      <c r="P207" t="s">
        <v>88</v>
      </c>
      <c r="Q207" t="s">
        <v>88</v>
      </c>
      <c r="R207" t="s">
        <v>88</v>
      </c>
      <c r="S207" t="s">
        <v>88</v>
      </c>
      <c r="T207" t="s">
        <v>88</v>
      </c>
      <c r="U207" t="s">
        <v>20</v>
      </c>
    </row>
    <row r="208" spans="1:21" x14ac:dyDescent="0.45">
      <c r="A208" s="29">
        <v>92479897</v>
      </c>
      <c r="B208" s="29" t="str">
        <f t="shared" si="7"/>
        <v>9.247.989-7</v>
      </c>
      <c r="C208" s="22" t="s">
        <v>22</v>
      </c>
      <c r="D208" s="29" t="s">
        <v>422</v>
      </c>
      <c r="E208" s="29" t="s">
        <v>1143</v>
      </c>
      <c r="F208" s="29" t="s">
        <v>638</v>
      </c>
      <c r="G208" s="49">
        <v>45499</v>
      </c>
      <c r="H208" s="29"/>
      <c r="I208" s="29"/>
      <c r="J208" s="29"/>
      <c r="K208" s="24" t="s">
        <v>43</v>
      </c>
      <c r="L208" s="49">
        <v>45499</v>
      </c>
      <c r="M208" s="49">
        <v>45503</v>
      </c>
      <c r="N208" s="29">
        <f t="shared" si="8"/>
        <v>4</v>
      </c>
      <c r="O208" s="29"/>
      <c r="P208" t="s">
        <v>88</v>
      </c>
      <c r="Q208" t="s">
        <v>88</v>
      </c>
      <c r="R208" t="s">
        <v>88</v>
      </c>
      <c r="S208" t="s">
        <v>88</v>
      </c>
      <c r="T208" t="s">
        <v>88</v>
      </c>
      <c r="U208" t="s">
        <v>20</v>
      </c>
    </row>
    <row r="209" spans="1:21" x14ac:dyDescent="0.45">
      <c r="A209" s="29">
        <v>92479897</v>
      </c>
      <c r="B209" s="29" t="str">
        <f t="shared" si="7"/>
        <v>9.247.989-7</v>
      </c>
      <c r="C209" s="22" t="str">
        <f>IF(IFERROR(VLOOKUP(A209,$A$10:$I208,1,0),0)=0,"",VLOOKUP(A209,$A$10:$I208,3,0))</f>
        <v>UCI</v>
      </c>
      <c r="D209" s="29" t="str">
        <f>IF(IFERROR(VLOOKUP(A209,$A$10:$I208,1,0),0)=0,"",VLOOKUP(A209,$A$10:$I208,4,0))</f>
        <v>TORRES</v>
      </c>
      <c r="E209" s="29" t="str">
        <f>IF(IFERROR(VLOOKUP(A209,$A$10:$I208,1,0),0)=0,"",VLOOKUP(A209,$A$10:$I208,5,0))</f>
        <v>GACITUA</v>
      </c>
      <c r="F209" s="29" t="str">
        <f>IF(IFERROR(VLOOKUP(A209,$A$10:$I208,1,0),0)=0,"",VLOOKUP(A209,$A$10:$I208,6,0))</f>
        <v>CARLOS</v>
      </c>
      <c r="G209" s="49">
        <f>IF(IFERROR(VLOOKUP(A209,$A$10:$I208,1,0),0)=0,"",VLOOKUP(A209,$A$10:$I208,7,0))</f>
        <v>45499</v>
      </c>
      <c r="H209" s="29"/>
      <c r="I209" s="29"/>
      <c r="J209" s="29"/>
      <c r="K209" s="24" t="s">
        <v>47</v>
      </c>
      <c r="L209" s="49">
        <v>45499</v>
      </c>
      <c r="M209" s="49">
        <v>45503</v>
      </c>
      <c r="N209" s="29">
        <f t="shared" si="8"/>
        <v>4</v>
      </c>
      <c r="O209" s="29"/>
      <c r="P209" t="s">
        <v>88</v>
      </c>
      <c r="Q209" t="s">
        <v>88</v>
      </c>
      <c r="R209" t="s">
        <v>88</v>
      </c>
      <c r="S209" t="s">
        <v>88</v>
      </c>
      <c r="T209" t="s">
        <v>88</v>
      </c>
      <c r="U209" t="s">
        <v>20</v>
      </c>
    </row>
    <row r="210" spans="1:21" x14ac:dyDescent="0.45">
      <c r="A210" s="29">
        <v>98575146</v>
      </c>
      <c r="B210" s="29" t="str">
        <f t="shared" si="7"/>
        <v>9.857.514-6</v>
      </c>
      <c r="C210" s="22" t="s">
        <v>22</v>
      </c>
      <c r="D210" s="29" t="s">
        <v>1010</v>
      </c>
      <c r="E210" s="29" t="s">
        <v>471</v>
      </c>
      <c r="F210" s="29" t="s">
        <v>1281</v>
      </c>
      <c r="G210" s="49">
        <v>45501</v>
      </c>
      <c r="H210" s="49">
        <v>45504</v>
      </c>
      <c r="I210" s="29"/>
      <c r="J210" s="29" t="s">
        <v>46</v>
      </c>
      <c r="K210" s="24" t="s">
        <v>18</v>
      </c>
      <c r="L210" s="49">
        <v>45501</v>
      </c>
      <c r="M210" s="49">
        <v>45504</v>
      </c>
      <c r="N210" s="29">
        <f t="shared" si="8"/>
        <v>3</v>
      </c>
      <c r="O210" s="29"/>
      <c r="P210" t="s">
        <v>88</v>
      </c>
      <c r="Q210" t="s">
        <v>88</v>
      </c>
      <c r="R210" t="s">
        <v>88</v>
      </c>
      <c r="S210" t="s">
        <v>88</v>
      </c>
      <c r="T210" t="s">
        <v>88</v>
      </c>
      <c r="U210" t="s">
        <v>20</v>
      </c>
    </row>
    <row r="211" spans="1:21" x14ac:dyDescent="0.45">
      <c r="A211" s="29">
        <v>98575146</v>
      </c>
      <c r="B211" s="29" t="str">
        <f t="shared" si="7"/>
        <v>9.857.514-6</v>
      </c>
      <c r="C211" s="22" t="str">
        <f>IF(IFERROR(VLOOKUP(A211,$A$10:$I210,1,0),0)=0,"",VLOOKUP(A211,$A$10:$I210,3,0))</f>
        <v>UCI</v>
      </c>
      <c r="D211" s="29" t="str">
        <f>IF(IFERROR(VLOOKUP(A211,$A$10:$I210,1,0),0)=0,"",VLOOKUP(A211,$A$10:$I210,4,0))</f>
        <v xml:space="preserve">MUÑOZ </v>
      </c>
      <c r="E211" s="29" t="str">
        <f>IF(IFERROR(VLOOKUP(A211,$A$10:$I210,1,0),0)=0,"",VLOOKUP(A211,$A$10:$I210,5,0))</f>
        <v>VASQUEZ</v>
      </c>
      <c r="F211" s="29" t="str">
        <f>IF(IFERROR(VLOOKUP(A211,$A$10:$I210,1,0),0)=0,"",VLOOKUP(A211,$A$10:$I210,6,0))</f>
        <v>JULIO</v>
      </c>
      <c r="G211" s="49">
        <f>IF(IFERROR(VLOOKUP(A211,$A$10:$I210,1,0),0)=0,"",VLOOKUP(A211,$A$10:$I210,7,0))</f>
        <v>45501</v>
      </c>
      <c r="H211" s="49">
        <v>45504</v>
      </c>
      <c r="I211" s="29"/>
      <c r="J211" s="29" t="s">
        <v>46</v>
      </c>
      <c r="K211" s="24" t="s">
        <v>47</v>
      </c>
      <c r="L211" s="49">
        <v>45501</v>
      </c>
      <c r="M211" s="49">
        <v>45504</v>
      </c>
      <c r="N211" s="29">
        <f t="shared" si="8"/>
        <v>3</v>
      </c>
      <c r="O211" s="29"/>
      <c r="P211" t="s">
        <v>88</v>
      </c>
      <c r="Q211" t="s">
        <v>88</v>
      </c>
      <c r="R211" t="s">
        <v>88</v>
      </c>
      <c r="S211" t="s">
        <v>88</v>
      </c>
      <c r="T211" t="s">
        <v>88</v>
      </c>
      <c r="U211" t="s">
        <v>20</v>
      </c>
    </row>
    <row r="212" spans="1:21" x14ac:dyDescent="0.45">
      <c r="A212" s="29">
        <v>56745483</v>
      </c>
      <c r="B212" s="29" t="str">
        <f t="shared" si="7"/>
        <v>5.674.548-3</v>
      </c>
      <c r="C212" s="22" t="s">
        <v>22</v>
      </c>
      <c r="D212" s="29" t="s">
        <v>696</v>
      </c>
      <c r="E212" s="29" t="s">
        <v>1282</v>
      </c>
      <c r="F212" s="29" t="s">
        <v>1120</v>
      </c>
      <c r="G212" s="49">
        <v>45502</v>
      </c>
      <c r="H212" s="49">
        <v>45504</v>
      </c>
      <c r="I212" s="29"/>
      <c r="J212" s="29"/>
      <c r="K212" s="24" t="s">
        <v>43</v>
      </c>
      <c r="L212" s="49">
        <v>45502</v>
      </c>
      <c r="M212" s="49">
        <v>45504</v>
      </c>
      <c r="N212" s="29">
        <f t="shared" si="8"/>
        <v>2</v>
      </c>
      <c r="O212" s="29"/>
      <c r="P212" t="s">
        <v>88</v>
      </c>
      <c r="Q212" t="s">
        <v>88</v>
      </c>
      <c r="R212" t="s">
        <v>88</v>
      </c>
      <c r="S212" t="s">
        <v>88</v>
      </c>
      <c r="T212" t="s">
        <v>88</v>
      </c>
      <c r="U212" t="s">
        <v>20</v>
      </c>
    </row>
    <row r="213" spans="1:21" x14ac:dyDescent="0.45">
      <c r="A213" s="29">
        <v>56745483</v>
      </c>
      <c r="B213" s="29" t="str">
        <f t="shared" si="7"/>
        <v>5.674.548-3</v>
      </c>
      <c r="C213" s="22" t="str">
        <f>IF(IFERROR(VLOOKUP(A213,$A$10:$I212,1,0),0)=0,"",VLOOKUP(A213,$A$10:$I212,3,0))</f>
        <v>UCI</v>
      </c>
      <c r="D213" s="29" t="str">
        <f>IF(IFERROR(VLOOKUP(A213,$A$10:$I212,1,0),0)=0,"",VLOOKUP(A213,$A$10:$I212,4,0))</f>
        <v>CARDENAS</v>
      </c>
      <c r="E213" s="29" t="str">
        <f>IF(IFERROR(VLOOKUP(A213,$A$10:$I212,1,0),0)=0,"",VLOOKUP(A213,$A$10:$I212,5,0))</f>
        <v>MACHUCA</v>
      </c>
      <c r="F213" s="29" t="str">
        <f>IF(IFERROR(VLOOKUP(A213,$A$10:$I212,1,0),0)=0,"",VLOOKUP(A213,$A$10:$I212,6,0))</f>
        <v>IRMA</v>
      </c>
      <c r="G213" s="49">
        <f>IF(IFERROR(VLOOKUP(A213,$A$10:$I212,1,0),0)=0,"",VLOOKUP(A213,$A$10:$I212,7,0))</f>
        <v>45502</v>
      </c>
      <c r="H213" s="29"/>
      <c r="I213" s="29"/>
      <c r="J213" s="29"/>
      <c r="K213" s="24" t="s">
        <v>47</v>
      </c>
      <c r="L213" s="49">
        <v>45502</v>
      </c>
      <c r="M213" s="49">
        <v>45504</v>
      </c>
      <c r="N213" s="29">
        <f t="shared" si="8"/>
        <v>2</v>
      </c>
      <c r="O213" s="29"/>
      <c r="P213" t="s">
        <v>88</v>
      </c>
      <c r="Q213" t="s">
        <v>88</v>
      </c>
      <c r="R213" t="s">
        <v>88</v>
      </c>
      <c r="S213" t="s">
        <v>88</v>
      </c>
      <c r="T213" t="s">
        <v>88</v>
      </c>
      <c r="U213" t="s">
        <v>20</v>
      </c>
    </row>
    <row r="214" spans="1:21" x14ac:dyDescent="0.45">
      <c r="A214" s="29" t="s">
        <v>1283</v>
      </c>
      <c r="B214" s="29" t="str">
        <f t="shared" si="7"/>
        <v>6.416.418-K</v>
      </c>
      <c r="C214" s="22" t="s">
        <v>22</v>
      </c>
      <c r="D214" s="29" t="s">
        <v>842</v>
      </c>
      <c r="E214" s="29" t="s">
        <v>285</v>
      </c>
      <c r="F214" s="29" t="s">
        <v>348</v>
      </c>
      <c r="G214" s="49">
        <v>45497</v>
      </c>
      <c r="H214" s="49">
        <v>45502</v>
      </c>
      <c r="I214" s="29"/>
      <c r="J214" s="29" t="s">
        <v>22</v>
      </c>
      <c r="K214" s="24" t="s">
        <v>43</v>
      </c>
      <c r="L214" s="49">
        <v>45497</v>
      </c>
      <c r="M214" s="49">
        <v>45502</v>
      </c>
      <c r="N214" s="29">
        <f t="shared" si="8"/>
        <v>5</v>
      </c>
      <c r="O214" s="29"/>
      <c r="P214" t="s">
        <v>88</v>
      </c>
      <c r="Q214" t="s">
        <v>88</v>
      </c>
      <c r="R214" t="s">
        <v>88</v>
      </c>
      <c r="S214" t="s">
        <v>88</v>
      </c>
      <c r="T214" t="s">
        <v>88</v>
      </c>
      <c r="U214" t="s">
        <v>20</v>
      </c>
    </row>
    <row r="215" spans="1:21" x14ac:dyDescent="0.45">
      <c r="A215" s="29" t="s">
        <v>1283</v>
      </c>
      <c r="B215" s="29" t="str">
        <f t="shared" si="7"/>
        <v>6.416.418-K</v>
      </c>
      <c r="C215" s="22" t="str">
        <f>IF(IFERROR(VLOOKUP(A215,$A$10:$I214,1,0),0)=0,"",VLOOKUP(A215,$A$10:$I214,3,0))</f>
        <v>UCI</v>
      </c>
      <c r="D215" s="29" t="str">
        <f>IF(IFERROR(VLOOKUP(A215,$A$10:$I214,1,0),0)=0,"",VLOOKUP(A215,$A$10:$I214,4,0))</f>
        <v>RIFFO</v>
      </c>
      <c r="E215" s="29" t="str">
        <f>IF(IFERROR(VLOOKUP(A215,$A$10:$I214,1,0),0)=0,"",VLOOKUP(A215,$A$10:$I214,5,0))</f>
        <v>JARA</v>
      </c>
      <c r="F215" s="29" t="str">
        <f>IF(IFERROR(VLOOKUP(A215,$A$10:$I214,1,0),0)=0,"",VLOOKUP(A215,$A$10:$I214,6,0))</f>
        <v>MARIA</v>
      </c>
      <c r="G215" s="49">
        <f>IF(IFERROR(VLOOKUP(A215,$A$10:$I214,1,0),0)=0,"",VLOOKUP(A215,$A$10:$I214,7,0))</f>
        <v>45497</v>
      </c>
      <c r="H215" s="49">
        <v>45503</v>
      </c>
      <c r="I215" s="29"/>
      <c r="J215" s="29" t="s">
        <v>22</v>
      </c>
      <c r="K215" s="24" t="s">
        <v>47</v>
      </c>
      <c r="L215" s="49">
        <v>45497</v>
      </c>
      <c r="M215" s="49">
        <v>45502</v>
      </c>
      <c r="N215" s="29">
        <f t="shared" si="8"/>
        <v>5</v>
      </c>
      <c r="O215" s="29"/>
      <c r="P215" t="s">
        <v>88</v>
      </c>
      <c r="Q215" t="s">
        <v>88</v>
      </c>
      <c r="R215" t="s">
        <v>88</v>
      </c>
      <c r="S215" t="s">
        <v>88</v>
      </c>
      <c r="T215" t="s">
        <v>88</v>
      </c>
      <c r="U215" t="s">
        <v>20</v>
      </c>
    </row>
    <row r="216" spans="1:21" x14ac:dyDescent="0.45">
      <c r="A216" s="29">
        <v>37540943</v>
      </c>
      <c r="B216" s="29" t="str">
        <f t="shared" si="7"/>
        <v>3.754.094-3</v>
      </c>
      <c r="C216" s="22" t="s">
        <v>22</v>
      </c>
      <c r="D216" s="29" t="s">
        <v>1284</v>
      </c>
      <c r="E216" s="29" t="s">
        <v>433</v>
      </c>
      <c r="F216" s="29" t="s">
        <v>250</v>
      </c>
      <c r="G216" s="49">
        <v>45494</v>
      </c>
      <c r="H216" s="49">
        <v>45502</v>
      </c>
      <c r="I216" s="29"/>
      <c r="J216" s="29" t="s">
        <v>19</v>
      </c>
      <c r="K216" s="24" t="s">
        <v>43</v>
      </c>
      <c r="L216" s="49">
        <v>45494</v>
      </c>
      <c r="M216" s="49">
        <v>45502</v>
      </c>
      <c r="N216" s="29">
        <f t="shared" si="8"/>
        <v>8</v>
      </c>
      <c r="O216" s="29"/>
      <c r="P216" t="s">
        <v>88</v>
      </c>
      <c r="Q216" t="s">
        <v>88</v>
      </c>
      <c r="R216" t="s">
        <v>88</v>
      </c>
      <c r="S216" t="s">
        <v>88</v>
      </c>
      <c r="T216" t="s">
        <v>88</v>
      </c>
      <c r="U216" t="s">
        <v>20</v>
      </c>
    </row>
    <row r="217" spans="1:21" x14ac:dyDescent="0.45">
      <c r="A217" s="29">
        <v>37540943</v>
      </c>
      <c r="B217" s="29" t="str">
        <f t="shared" si="7"/>
        <v>3.754.094-3</v>
      </c>
      <c r="C217" s="22" t="str">
        <f>IF(IFERROR(VLOOKUP(A217,$A$10:$I216,1,0),0)=0,"",VLOOKUP(A217,$A$10:$I216,3,0))</f>
        <v>UCI</v>
      </c>
      <c r="D217" s="29" t="str">
        <f>IF(IFERROR(VLOOKUP(A217,$A$10:$I216,1,0),0)=0,"",VLOOKUP(A217,$A$10:$I216,4,0))</f>
        <v>AREVALO</v>
      </c>
      <c r="E217" s="29" t="str">
        <f>IF(IFERROR(VLOOKUP(A217,$A$10:$I216,1,0),0)=0,"",VLOOKUP(A217,$A$10:$I216,5,0))</f>
        <v>BASUALTO</v>
      </c>
      <c r="F217" s="29" t="str">
        <f>IF(IFERROR(VLOOKUP(A217,$A$10:$I216,1,0),0)=0,"",VLOOKUP(A217,$A$10:$I216,6,0))</f>
        <v>JOSE</v>
      </c>
      <c r="G217" s="49">
        <f>IF(IFERROR(VLOOKUP(A217,$A$10:$I216,1,0),0)=0,"",VLOOKUP(A217,$A$10:$I216,7,0))</f>
        <v>45494</v>
      </c>
      <c r="H217" s="49">
        <v>45502</v>
      </c>
      <c r="I217" s="29"/>
      <c r="J217" s="29" t="s">
        <v>19</v>
      </c>
      <c r="K217" s="24" t="s">
        <v>47</v>
      </c>
      <c r="L217" s="49">
        <v>45494</v>
      </c>
      <c r="M217" s="49">
        <v>45502</v>
      </c>
      <c r="N217" s="29">
        <f t="shared" si="8"/>
        <v>8</v>
      </c>
      <c r="O217" s="29"/>
      <c r="P217" t="s">
        <v>88</v>
      </c>
      <c r="Q217" t="s">
        <v>88</v>
      </c>
      <c r="R217" t="s">
        <v>88</v>
      </c>
      <c r="S217" t="s">
        <v>88</v>
      </c>
      <c r="T217" t="s">
        <v>88</v>
      </c>
      <c r="U217" t="s">
        <v>20</v>
      </c>
    </row>
    <row r="218" spans="1:21" x14ac:dyDescent="0.45">
      <c r="A218" s="29">
        <v>103753201</v>
      </c>
      <c r="B218" s="29" t="str">
        <f t="shared" si="7"/>
        <v>10.375.320-1</v>
      </c>
      <c r="C218" s="22" t="s">
        <v>30</v>
      </c>
      <c r="D218" s="29" t="s">
        <v>547</v>
      </c>
      <c r="E218" s="29" t="s">
        <v>422</v>
      </c>
      <c r="F218" s="29" t="s">
        <v>502</v>
      </c>
      <c r="G218" s="49">
        <v>45497</v>
      </c>
      <c r="H218" s="49">
        <v>45505</v>
      </c>
      <c r="I218" s="29"/>
      <c r="J218" s="29"/>
      <c r="K218" s="24" t="s">
        <v>43</v>
      </c>
      <c r="L218" s="49">
        <v>45498</v>
      </c>
      <c r="M218" s="49">
        <v>45504</v>
      </c>
      <c r="N218" s="29">
        <f t="shared" si="8"/>
        <v>6</v>
      </c>
      <c r="O218" s="29"/>
      <c r="P218" t="s">
        <v>88</v>
      </c>
      <c r="Q218" t="s">
        <v>88</v>
      </c>
      <c r="R218" t="s">
        <v>88</v>
      </c>
      <c r="S218" t="s">
        <v>88</v>
      </c>
      <c r="T218" t="s">
        <v>88</v>
      </c>
      <c r="U218" t="s">
        <v>20</v>
      </c>
    </row>
    <row r="219" spans="1:21" x14ac:dyDescent="0.45">
      <c r="A219" s="29">
        <v>103753201</v>
      </c>
      <c r="B219" s="29" t="str">
        <f t="shared" si="7"/>
        <v>10.375.320-1</v>
      </c>
      <c r="C219" s="22" t="str">
        <f>IF(IFERROR(VLOOKUP(A219,$A$10:$I218,1,0),0)=0,"",VLOOKUP(A219,$A$10:$I218,3,0))</f>
        <v>UCO</v>
      </c>
      <c r="D219" s="29" t="str">
        <f>IF(IFERROR(VLOOKUP(A219,$A$10:$I218,1,0),0)=0,"",VLOOKUP(A219,$A$10:$I218,4,0))</f>
        <v>AVILA</v>
      </c>
      <c r="E219" s="29" t="str">
        <f>IF(IFERROR(VLOOKUP(A219,$A$10:$I218,1,0),0)=0,"",VLOOKUP(A219,$A$10:$I218,5,0))</f>
        <v>TORRES</v>
      </c>
      <c r="F219" s="29" t="str">
        <f>IF(IFERROR(VLOOKUP(A219,$A$10:$I218,1,0),0)=0,"",VLOOKUP(A219,$A$10:$I218,6,0))</f>
        <v>RUBEN</v>
      </c>
      <c r="G219" s="49">
        <f>IF(IFERROR(VLOOKUP(A219,$A$10:$I218,1,0),0)=0,"",VLOOKUP(A219,$A$10:$I218,7,0))</f>
        <v>45497</v>
      </c>
      <c r="H219" s="49">
        <v>45505</v>
      </c>
      <c r="I219" s="29"/>
      <c r="J219" s="29"/>
      <c r="K219" s="24" t="s">
        <v>47</v>
      </c>
      <c r="L219" s="49">
        <v>45498</v>
      </c>
      <c r="M219" s="49">
        <v>45504</v>
      </c>
      <c r="N219" s="29">
        <f t="shared" si="8"/>
        <v>6</v>
      </c>
      <c r="O219" s="29"/>
      <c r="P219" t="s">
        <v>88</v>
      </c>
      <c r="Q219" t="s">
        <v>88</v>
      </c>
      <c r="R219" t="s">
        <v>88</v>
      </c>
      <c r="S219" t="s">
        <v>88</v>
      </c>
      <c r="T219" t="s">
        <v>88</v>
      </c>
      <c r="U219" t="s">
        <v>20</v>
      </c>
    </row>
    <row r="220" spans="1:21" x14ac:dyDescent="0.45">
      <c r="A220" s="29">
        <v>107605681</v>
      </c>
      <c r="B220" s="29" t="str">
        <f t="shared" si="7"/>
        <v>10.760.568-1</v>
      </c>
      <c r="C220" s="22" t="s">
        <v>30</v>
      </c>
      <c r="D220" s="29" t="s">
        <v>417</v>
      </c>
      <c r="E220" s="29" t="s">
        <v>364</v>
      </c>
      <c r="F220" s="29" t="s">
        <v>1285</v>
      </c>
      <c r="G220" s="49">
        <v>45500</v>
      </c>
      <c r="H220" s="49">
        <v>45504</v>
      </c>
      <c r="I220" s="29"/>
      <c r="J220" s="29"/>
      <c r="K220" s="24" t="s">
        <v>43</v>
      </c>
      <c r="L220" s="49">
        <v>45500</v>
      </c>
      <c r="M220" s="49">
        <v>45504</v>
      </c>
      <c r="N220" s="29">
        <f t="shared" si="8"/>
        <v>4</v>
      </c>
      <c r="O220" s="29"/>
      <c r="P220" t="s">
        <v>88</v>
      </c>
      <c r="Q220" t="s">
        <v>88</v>
      </c>
      <c r="R220" t="s">
        <v>88</v>
      </c>
      <c r="S220" t="s">
        <v>88</v>
      </c>
      <c r="T220" t="s">
        <v>88</v>
      </c>
      <c r="U220" t="s">
        <v>20</v>
      </c>
    </row>
    <row r="221" spans="1:21" x14ac:dyDescent="0.45">
      <c r="A221" s="29" t="s">
        <v>1286</v>
      </c>
      <c r="B221" s="29" t="str">
        <f t="shared" si="7"/>
        <v>9.455.084-K</v>
      </c>
      <c r="C221" s="22" t="s">
        <v>30</v>
      </c>
      <c r="D221" s="29" t="s">
        <v>788</v>
      </c>
      <c r="E221" s="29" t="s">
        <v>736</v>
      </c>
      <c r="F221" s="29" t="s">
        <v>548</v>
      </c>
      <c r="G221" s="49">
        <v>45500</v>
      </c>
      <c r="H221" s="49">
        <v>45502</v>
      </c>
      <c r="I221" s="29"/>
      <c r="J221" s="29" t="s">
        <v>19</v>
      </c>
      <c r="K221" s="24" t="s">
        <v>43</v>
      </c>
      <c r="L221" s="49">
        <v>45500</v>
      </c>
      <c r="M221" s="49">
        <v>45502</v>
      </c>
      <c r="N221" s="29">
        <f t="shared" si="8"/>
        <v>2</v>
      </c>
      <c r="O221" s="29"/>
      <c r="P221" t="s">
        <v>88</v>
      </c>
      <c r="Q221" t="s">
        <v>88</v>
      </c>
      <c r="R221" t="s">
        <v>88</v>
      </c>
      <c r="S221" t="s">
        <v>88</v>
      </c>
      <c r="T221" t="s">
        <v>88</v>
      </c>
      <c r="U221" t="s">
        <v>20</v>
      </c>
    </row>
    <row r="222" spans="1:21" x14ac:dyDescent="0.45">
      <c r="A222" s="29" t="s">
        <v>1286</v>
      </c>
      <c r="B222" s="29" t="str">
        <f t="shared" si="7"/>
        <v>9.455.084-K</v>
      </c>
      <c r="C222" s="22" t="str">
        <f>IF(IFERROR(VLOOKUP(A222,$A$10:$I221,1,0),0)=0,"",VLOOKUP(A222,$A$10:$I221,3,0))</f>
        <v>UCO</v>
      </c>
      <c r="D222" s="29" t="str">
        <f>IF(IFERROR(VLOOKUP(A222,$A$10:$I221,1,0),0)=0,"",VLOOKUP(A222,$A$10:$I221,4,0))</f>
        <v>SANCHEZ</v>
      </c>
      <c r="E222" s="29" t="str">
        <f>IF(IFERROR(VLOOKUP(A222,$A$10:$I221,1,0),0)=0,"",VLOOKUP(A222,$A$10:$I221,5,0))</f>
        <v>BURGOS</v>
      </c>
      <c r="F222" s="29" t="str">
        <f>IF(IFERROR(VLOOKUP(A222,$A$10:$I221,1,0),0)=0,"",VLOOKUP(A222,$A$10:$I221,6,0))</f>
        <v>EDUARDO</v>
      </c>
      <c r="G222" s="49">
        <f>IF(IFERROR(VLOOKUP(A222,$A$10:$I221,1,0),0)=0,"",VLOOKUP(A222,$A$10:$I221,7,0))</f>
        <v>45500</v>
      </c>
      <c r="H222" s="49">
        <v>45502</v>
      </c>
      <c r="I222" s="29"/>
      <c r="J222" s="29" t="s">
        <v>19</v>
      </c>
      <c r="K222" s="24" t="s">
        <v>47</v>
      </c>
      <c r="L222" s="49">
        <v>45500</v>
      </c>
      <c r="M222" s="49">
        <v>45502</v>
      </c>
      <c r="N222" s="29">
        <f t="shared" si="8"/>
        <v>2</v>
      </c>
      <c r="O222" s="29"/>
      <c r="P222" t="s">
        <v>88</v>
      </c>
      <c r="Q222" t="s">
        <v>88</v>
      </c>
      <c r="R222" t="s">
        <v>88</v>
      </c>
      <c r="S222" t="s">
        <v>88</v>
      </c>
      <c r="T222" t="s">
        <v>88</v>
      </c>
      <c r="U222" t="s">
        <v>20</v>
      </c>
    </row>
    <row r="223" spans="1:21" x14ac:dyDescent="0.45">
      <c r="A223" s="29" t="s">
        <v>1286</v>
      </c>
      <c r="B223" s="29" t="str">
        <f t="shared" si="7"/>
        <v>9.455.084-K</v>
      </c>
      <c r="C223" s="22" t="str">
        <f>IF(IFERROR(VLOOKUP(A223,$A$10:$I222,1,0),0)=0,"",VLOOKUP(A223,$A$10:$I222,3,0))</f>
        <v>UCO</v>
      </c>
      <c r="D223" s="29" t="str">
        <f>IF(IFERROR(VLOOKUP(A223,$A$10:$I222,1,0),0)=0,"",VLOOKUP(A223,$A$10:$I222,4,0))</f>
        <v>SANCHEZ</v>
      </c>
      <c r="E223" s="29" t="str">
        <f>IF(IFERROR(VLOOKUP(A223,$A$10:$I222,1,0),0)=0,"",VLOOKUP(A223,$A$10:$I222,5,0))</f>
        <v>BURGOS</v>
      </c>
      <c r="F223" s="29" t="str">
        <f>IF(IFERROR(VLOOKUP(A223,$A$10:$I222,1,0),0)=0,"",VLOOKUP(A223,$A$10:$I222,6,0))</f>
        <v>EDUARDO</v>
      </c>
      <c r="G223" s="49">
        <f>IF(IFERROR(VLOOKUP(A223,$A$10:$I222,1,0),0)=0,"",VLOOKUP(A223,$A$10:$I222,7,0))</f>
        <v>45500</v>
      </c>
      <c r="H223" s="49">
        <v>45502</v>
      </c>
      <c r="I223" s="29"/>
      <c r="J223" s="29" t="s">
        <v>19</v>
      </c>
      <c r="K223" s="24" t="s">
        <v>55</v>
      </c>
      <c r="L223" s="49">
        <v>45500</v>
      </c>
      <c r="M223" s="49">
        <v>45502</v>
      </c>
      <c r="N223" s="29">
        <f t="shared" si="8"/>
        <v>2</v>
      </c>
      <c r="O223" s="29"/>
      <c r="P223" t="s">
        <v>88</v>
      </c>
      <c r="Q223" t="s">
        <v>88</v>
      </c>
      <c r="R223" t="s">
        <v>88</v>
      </c>
      <c r="S223" t="s">
        <v>88</v>
      </c>
      <c r="T223" t="s">
        <v>88</v>
      </c>
      <c r="U223" t="s">
        <v>20</v>
      </c>
    </row>
    <row r="224" spans="1:21" x14ac:dyDescent="0.45">
      <c r="A224" s="29">
        <v>116630788</v>
      </c>
      <c r="B224" s="29" t="str">
        <f t="shared" si="7"/>
        <v>11.663.078-8</v>
      </c>
      <c r="C224" s="22" t="s">
        <v>30</v>
      </c>
      <c r="D224" s="29" t="s">
        <v>315</v>
      </c>
      <c r="E224" s="29" t="s">
        <v>1287</v>
      </c>
      <c r="F224" s="29" t="s">
        <v>336</v>
      </c>
      <c r="G224" s="49">
        <v>45495</v>
      </c>
      <c r="H224" s="49">
        <v>45504</v>
      </c>
      <c r="I224" s="29"/>
      <c r="J224" s="29" t="s">
        <v>22</v>
      </c>
      <c r="K224" s="24" t="s">
        <v>43</v>
      </c>
      <c r="L224" s="49">
        <v>45495</v>
      </c>
      <c r="M224" s="49">
        <v>45504</v>
      </c>
      <c r="N224" s="29">
        <f t="shared" si="8"/>
        <v>9</v>
      </c>
      <c r="O224" s="29"/>
      <c r="P224" t="s">
        <v>88</v>
      </c>
      <c r="Q224" t="s">
        <v>88</v>
      </c>
      <c r="R224" t="s">
        <v>88</v>
      </c>
      <c r="S224" t="s">
        <v>88</v>
      </c>
      <c r="T224" t="s">
        <v>88</v>
      </c>
      <c r="U224" t="s">
        <v>20</v>
      </c>
    </row>
    <row r="225" spans="1:21" x14ac:dyDescent="0.45">
      <c r="A225" s="29">
        <v>116630788</v>
      </c>
      <c r="B225" s="29" t="str">
        <f t="shared" si="7"/>
        <v>11.663.078-8</v>
      </c>
      <c r="C225" s="22" t="str">
        <f>IF(IFERROR(VLOOKUP(A225,$A$10:$I224,1,0),0)=0,"",VLOOKUP(A225,$A$10:$I224,3,0))</f>
        <v>UCO</v>
      </c>
      <c r="D225" s="29" t="str">
        <f>IF(IFERROR(VLOOKUP(A225,$A$10:$I224,1,0),0)=0,"",VLOOKUP(A225,$A$10:$I224,4,0))</f>
        <v>ARIAS</v>
      </c>
      <c r="E225" s="29" t="str">
        <f>IF(IFERROR(VLOOKUP(A225,$A$10:$I224,1,0),0)=0,"",VLOOKUP(A225,$A$10:$I224,5,0))</f>
        <v>ARANCIBIA</v>
      </c>
      <c r="F225" s="29" t="str">
        <f>IF(IFERROR(VLOOKUP(A225,$A$10:$I224,1,0),0)=0,"",VLOOKUP(A225,$A$10:$I224,6,0))</f>
        <v>ANA</v>
      </c>
      <c r="G225" s="49">
        <f>IF(IFERROR(VLOOKUP(A225,$A$10:$I224,1,0),0)=0,"",VLOOKUP(A225,$A$10:$I224,7,0))</f>
        <v>45495</v>
      </c>
      <c r="H225" s="49">
        <v>45504</v>
      </c>
      <c r="I225" s="29"/>
      <c r="J225" s="29"/>
      <c r="K225" s="24" t="s">
        <v>47</v>
      </c>
      <c r="L225" s="49">
        <v>45495</v>
      </c>
      <c r="M225" s="49">
        <v>45504</v>
      </c>
      <c r="N225" s="29">
        <f t="shared" si="8"/>
        <v>9</v>
      </c>
      <c r="O225" s="29"/>
      <c r="P225" t="s">
        <v>88</v>
      </c>
      <c r="Q225" t="s">
        <v>88</v>
      </c>
      <c r="R225" t="s">
        <v>88</v>
      </c>
      <c r="S225" t="s">
        <v>88</v>
      </c>
      <c r="T225" t="s">
        <v>88</v>
      </c>
      <c r="U225" t="s">
        <v>20</v>
      </c>
    </row>
    <row r="226" spans="1:21" x14ac:dyDescent="0.45">
      <c r="A226" s="29">
        <v>116630788</v>
      </c>
      <c r="B226" s="29" t="str">
        <f t="shared" si="7"/>
        <v>11.663.078-8</v>
      </c>
      <c r="C226" s="22" t="str">
        <f>IF(IFERROR(VLOOKUP(A226,$A$10:$I225,1,0),0)=0,"",VLOOKUP(A226,$A$10:$I225,3,0))</f>
        <v>UCO</v>
      </c>
      <c r="D226" s="29" t="str">
        <f>IF(IFERROR(VLOOKUP(A226,$A$10:$I225,1,0),0)=0,"",VLOOKUP(A226,$A$10:$I225,4,0))</f>
        <v>ARIAS</v>
      </c>
      <c r="E226" s="29" t="str">
        <f>IF(IFERROR(VLOOKUP(A226,$A$10:$I225,1,0),0)=0,"",VLOOKUP(A226,$A$10:$I225,5,0))</f>
        <v>ARANCIBIA</v>
      </c>
      <c r="F226" s="29" t="str">
        <f>IF(IFERROR(VLOOKUP(A226,$A$10:$I225,1,0),0)=0,"",VLOOKUP(A226,$A$10:$I225,6,0))</f>
        <v>ANA</v>
      </c>
      <c r="G226" s="49">
        <f>IF(IFERROR(VLOOKUP(A226,$A$10:$I225,1,0),0)=0,"",VLOOKUP(A226,$A$10:$I225,7,0))</f>
        <v>45495</v>
      </c>
      <c r="H226" s="49">
        <v>45504</v>
      </c>
      <c r="I226" s="29"/>
      <c r="J226" s="29"/>
      <c r="K226" s="24" t="s">
        <v>55</v>
      </c>
      <c r="L226" s="49">
        <v>45495</v>
      </c>
      <c r="M226" s="49">
        <v>45504</v>
      </c>
      <c r="N226" s="29">
        <f t="shared" si="8"/>
        <v>9</v>
      </c>
      <c r="O226" s="29"/>
      <c r="P226" t="s">
        <v>132</v>
      </c>
      <c r="Q226" t="s">
        <v>123</v>
      </c>
      <c r="R226" t="s">
        <v>88</v>
      </c>
      <c r="S226" t="s">
        <v>88</v>
      </c>
      <c r="T226" t="s">
        <v>88</v>
      </c>
      <c r="U226" t="s">
        <v>14</v>
      </c>
    </row>
    <row r="227" spans="1:21" x14ac:dyDescent="0.45">
      <c r="A227" s="29">
        <v>68874823</v>
      </c>
      <c r="B227" s="29" t="str">
        <f t="shared" si="7"/>
        <v>6.887.482-3</v>
      </c>
      <c r="C227" s="22" t="s">
        <v>22</v>
      </c>
      <c r="D227" s="29" t="s">
        <v>1144</v>
      </c>
      <c r="E227" s="29" t="s">
        <v>1288</v>
      </c>
      <c r="F227" s="29" t="s">
        <v>1289</v>
      </c>
      <c r="G227" s="49">
        <v>45496</v>
      </c>
      <c r="H227" s="49">
        <v>45498</v>
      </c>
      <c r="I227" s="29"/>
      <c r="J227" s="29"/>
      <c r="K227" s="24" t="s">
        <v>43</v>
      </c>
      <c r="L227" s="49">
        <v>45496</v>
      </c>
      <c r="M227" s="49">
        <v>45498</v>
      </c>
      <c r="N227" s="29">
        <f t="shared" si="8"/>
        <v>2</v>
      </c>
      <c r="O227" s="29"/>
      <c r="P227" t="s">
        <v>88</v>
      </c>
      <c r="Q227" t="s">
        <v>88</v>
      </c>
      <c r="R227" t="s">
        <v>88</v>
      </c>
      <c r="S227" t="s">
        <v>88</v>
      </c>
      <c r="T227" t="s">
        <v>88</v>
      </c>
      <c r="U227" t="s">
        <v>20</v>
      </c>
    </row>
    <row r="228" spans="1:21" x14ac:dyDescent="0.45">
      <c r="A228" s="29">
        <v>68874823</v>
      </c>
      <c r="B228" s="29" t="str">
        <f t="shared" si="7"/>
        <v>6.887.482-3</v>
      </c>
      <c r="C228" s="22" t="str">
        <f>IF(IFERROR(VLOOKUP(A228,$A$10:$I227,1,0),0)=0,"",VLOOKUP(A228,$A$10:$I227,3,0))</f>
        <v>UCI</v>
      </c>
      <c r="D228" s="29" t="str">
        <f>IF(IFERROR(VLOOKUP(A228,$A$10:$I227,1,0),0)=0,"",VLOOKUP(A228,$A$10:$I227,4,0))</f>
        <v>DONOSO</v>
      </c>
      <c r="E228" s="29" t="str">
        <f>IF(IFERROR(VLOOKUP(A228,$A$10:$I227,1,0),0)=0,"",VLOOKUP(A228,$A$10:$I227,5,0))</f>
        <v>ZENEN</v>
      </c>
      <c r="F228" s="29" t="str">
        <f>IF(IFERROR(VLOOKUP(A228,$A$10:$I227,1,0),0)=0,"",VLOOKUP(A228,$A$10:$I227,6,0))</f>
        <v>NURIA</v>
      </c>
      <c r="G228" s="49">
        <f>IF(IFERROR(VLOOKUP(A228,$A$10:$I227,1,0),0)=0,"",VLOOKUP(A228,$A$10:$I227,7,0))</f>
        <v>45496</v>
      </c>
      <c r="H228" s="49">
        <v>45498</v>
      </c>
      <c r="I228" s="29"/>
      <c r="J228" s="29"/>
      <c r="K228" s="24" t="s">
        <v>47</v>
      </c>
      <c r="L228" s="49">
        <v>45496</v>
      </c>
      <c r="M228" s="49">
        <v>45498</v>
      </c>
      <c r="N228" s="29">
        <f t="shared" si="8"/>
        <v>2</v>
      </c>
      <c r="O228" s="29"/>
      <c r="P228" t="s">
        <v>88</v>
      </c>
      <c r="Q228" t="s">
        <v>88</v>
      </c>
      <c r="R228" t="s">
        <v>88</v>
      </c>
      <c r="S228" t="s">
        <v>88</v>
      </c>
      <c r="T228" t="s">
        <v>88</v>
      </c>
      <c r="U228" t="s">
        <v>20</v>
      </c>
    </row>
    <row r="229" spans="1:21" x14ac:dyDescent="0.45">
      <c r="A229" s="29">
        <v>123792580</v>
      </c>
      <c r="B229" s="29" t="str">
        <f t="shared" si="7"/>
        <v>12.379.258-0</v>
      </c>
      <c r="C229" s="22" t="s">
        <v>22</v>
      </c>
      <c r="D229" s="29" t="s">
        <v>860</v>
      </c>
      <c r="E229" s="29" t="s">
        <v>980</v>
      </c>
      <c r="F229" s="29" t="s">
        <v>981</v>
      </c>
      <c r="G229" s="49">
        <v>45497</v>
      </c>
      <c r="H229" s="49">
        <v>45499</v>
      </c>
      <c r="I229" s="29"/>
      <c r="J229" s="29"/>
      <c r="K229" s="24" t="s">
        <v>43</v>
      </c>
      <c r="L229" s="49">
        <v>45497</v>
      </c>
      <c r="M229" s="49">
        <v>45499</v>
      </c>
      <c r="N229" s="29">
        <f t="shared" si="8"/>
        <v>2</v>
      </c>
      <c r="O229" s="29"/>
      <c r="P229" t="s">
        <v>88</v>
      </c>
      <c r="Q229" t="s">
        <v>88</v>
      </c>
      <c r="R229" t="s">
        <v>88</v>
      </c>
      <c r="S229" t="s">
        <v>88</v>
      </c>
      <c r="T229" t="s">
        <v>88</v>
      </c>
      <c r="U229" t="s">
        <v>20</v>
      </c>
    </row>
    <row r="230" spans="1:21" x14ac:dyDescent="0.45">
      <c r="A230" s="29">
        <v>123792580</v>
      </c>
      <c r="B230" s="29" t="str">
        <f t="shared" si="7"/>
        <v>12.379.258-0</v>
      </c>
      <c r="C230" s="22" t="str">
        <f>IF(IFERROR(VLOOKUP(A230,$A$10:$I229,1,0),0)=0,"",VLOOKUP(A230,$A$10:$I229,3,0))</f>
        <v>UCI</v>
      </c>
      <c r="D230" s="29" t="str">
        <f>IF(IFERROR(VLOOKUP(A230,$A$10:$I229,1,0),0)=0,"",VLOOKUP(A230,$A$10:$I229,4,0))</f>
        <v>CISTERNAS</v>
      </c>
      <c r="E230" s="29" t="str">
        <f>IF(IFERROR(VLOOKUP(A230,$A$10:$I229,1,0),0)=0,"",VLOOKUP(A230,$A$10:$I229,5,0))</f>
        <v>LUNA</v>
      </c>
      <c r="F230" s="29" t="str">
        <f>IF(IFERROR(VLOOKUP(A230,$A$10:$I229,1,0),0)=0,"",VLOOKUP(A230,$A$10:$I229,6,0))</f>
        <v>ISIDRO</v>
      </c>
      <c r="G230" s="49">
        <f>IF(IFERROR(VLOOKUP(A230,$A$10:$I229,1,0),0)=0,"",VLOOKUP(A230,$A$10:$I229,7,0))</f>
        <v>45497</v>
      </c>
      <c r="H230" s="49">
        <v>45500</v>
      </c>
      <c r="I230" s="29"/>
      <c r="J230" s="29"/>
      <c r="K230" s="24" t="s">
        <v>47</v>
      </c>
      <c r="L230" s="49">
        <v>45497</v>
      </c>
      <c r="M230" s="49">
        <v>45499</v>
      </c>
      <c r="N230" s="29">
        <f t="shared" si="8"/>
        <v>2</v>
      </c>
      <c r="O230" s="29"/>
      <c r="P230" t="s">
        <v>88</v>
      </c>
      <c r="Q230" t="s">
        <v>88</v>
      </c>
      <c r="R230" t="s">
        <v>88</v>
      </c>
      <c r="S230" t="s">
        <v>88</v>
      </c>
      <c r="T230" t="s">
        <v>88</v>
      </c>
      <c r="U230" t="s">
        <v>20</v>
      </c>
    </row>
    <row r="231" spans="1:21" x14ac:dyDescent="0.45">
      <c r="A231" s="29">
        <v>76420742</v>
      </c>
      <c r="B231" s="29" t="str">
        <f t="shared" si="7"/>
        <v>7.642.074-2</v>
      </c>
      <c r="C231" s="22" t="s">
        <v>22</v>
      </c>
      <c r="D231" s="29" t="str">
        <f>IF(IFERROR(VLOOKUP(A231,$A$10:$I230,1,0),0)=0,"",VLOOKUP(A231,$A$10:$I230,4,0))</f>
        <v>MARTINEZ</v>
      </c>
      <c r="E231" s="29" t="str">
        <f>IF(IFERROR(VLOOKUP(A231,$A$10:$I230,1,0),0)=0,"",VLOOKUP(A231,$A$10:$I230,5,0))</f>
        <v>RETAMAL</v>
      </c>
      <c r="F231" s="29" t="str">
        <f>IF(IFERROR(VLOOKUP(A231,$A$10:$I230,1,0),0)=0,"",VLOOKUP(A231,$A$10:$I230,6,0))</f>
        <v>MARIO</v>
      </c>
      <c r="G231" s="49">
        <v>45496</v>
      </c>
      <c r="H231" s="49">
        <v>45498</v>
      </c>
      <c r="I231" s="29" t="s">
        <v>22</v>
      </c>
      <c r="J231" s="29"/>
      <c r="K231" s="24" t="s">
        <v>43</v>
      </c>
      <c r="L231" s="49">
        <v>45496</v>
      </c>
      <c r="M231" s="49">
        <v>45498</v>
      </c>
      <c r="N231" s="29">
        <f t="shared" si="8"/>
        <v>2</v>
      </c>
      <c r="O231" s="29"/>
      <c r="P231" t="s">
        <v>88</v>
      </c>
      <c r="Q231" t="s">
        <v>88</v>
      </c>
      <c r="R231" t="s">
        <v>88</v>
      </c>
      <c r="S231" t="s">
        <v>88</v>
      </c>
      <c r="T231" t="s">
        <v>88</v>
      </c>
      <c r="U231" t="s">
        <v>20</v>
      </c>
    </row>
    <row r="232" spans="1:21" x14ac:dyDescent="0.45">
      <c r="A232" s="29">
        <v>76420742</v>
      </c>
      <c r="B232" s="29" t="str">
        <f t="shared" si="7"/>
        <v>7.642.074-2</v>
      </c>
      <c r="C232" s="22" t="s">
        <v>22</v>
      </c>
      <c r="D232" s="29" t="str">
        <f>IF(IFERROR(VLOOKUP(A232,$A$10:$I231,1,0),0)=0,"",VLOOKUP(A232,$A$10:$I231,4,0))</f>
        <v>MARTINEZ</v>
      </c>
      <c r="E232" s="29" t="str">
        <f>IF(IFERROR(VLOOKUP(A232,$A$10:$I231,1,0),0)=0,"",VLOOKUP(A232,$A$10:$I231,5,0))</f>
        <v>RETAMAL</v>
      </c>
      <c r="F232" s="29" t="str">
        <f>IF(IFERROR(VLOOKUP(A232,$A$10:$I231,1,0),0)=0,"",VLOOKUP(A232,$A$10:$I231,6,0))</f>
        <v>MARIO</v>
      </c>
      <c r="G232" s="49">
        <v>45496</v>
      </c>
      <c r="H232" s="49">
        <v>45498</v>
      </c>
      <c r="I232" s="29" t="s">
        <v>22</v>
      </c>
      <c r="J232" s="29"/>
      <c r="K232" s="24" t="s">
        <v>47</v>
      </c>
      <c r="L232" s="49">
        <v>45496</v>
      </c>
      <c r="M232" s="49">
        <v>45498</v>
      </c>
      <c r="N232" s="29">
        <f t="shared" si="8"/>
        <v>2</v>
      </c>
      <c r="O232" s="29"/>
      <c r="P232" t="s">
        <v>88</v>
      </c>
      <c r="Q232" t="s">
        <v>88</v>
      </c>
      <c r="R232" t="s">
        <v>88</v>
      </c>
      <c r="S232" t="s">
        <v>88</v>
      </c>
      <c r="T232" t="s">
        <v>88</v>
      </c>
      <c r="U232" t="s">
        <v>20</v>
      </c>
    </row>
    <row r="233" spans="1:21" x14ac:dyDescent="0.45">
      <c r="A233" s="29">
        <v>89212103</v>
      </c>
      <c r="B233" s="29" t="str">
        <f t="shared" si="7"/>
        <v>8.921.210-3</v>
      </c>
      <c r="C233" s="22" t="s">
        <v>22</v>
      </c>
      <c r="D233" s="29" t="s">
        <v>339</v>
      </c>
      <c r="E233" s="29" t="s">
        <v>851</v>
      </c>
      <c r="F233" s="29" t="s">
        <v>1290</v>
      </c>
      <c r="G233" s="49">
        <v>45497</v>
      </c>
      <c r="H233" s="49">
        <v>45499</v>
      </c>
      <c r="I233" s="29"/>
      <c r="J233" s="29"/>
      <c r="K233" s="24" t="s">
        <v>43</v>
      </c>
      <c r="L233" s="49">
        <v>45497</v>
      </c>
      <c r="M233" s="49">
        <v>45499</v>
      </c>
      <c r="N233" s="29">
        <f t="shared" si="8"/>
        <v>2</v>
      </c>
      <c r="O233" s="29"/>
      <c r="P233" t="s">
        <v>88</v>
      </c>
      <c r="Q233" t="s">
        <v>88</v>
      </c>
      <c r="R233" t="s">
        <v>88</v>
      </c>
      <c r="S233" t="s">
        <v>88</v>
      </c>
      <c r="T233" t="s">
        <v>88</v>
      </c>
      <c r="U233" t="s">
        <v>20</v>
      </c>
    </row>
    <row r="234" spans="1:21" x14ac:dyDescent="0.45">
      <c r="A234" s="29">
        <v>89212103</v>
      </c>
      <c r="B234" s="29" t="str">
        <f t="shared" si="7"/>
        <v>8.921.210-3</v>
      </c>
      <c r="C234" s="22" t="str">
        <f>IF(IFERROR(VLOOKUP(A234,$A$10:$I233,1,0),0)=0,"",VLOOKUP(A234,$A$10:$I233,3,0))</f>
        <v>UCI</v>
      </c>
      <c r="D234" s="29" t="str">
        <f>IF(IFERROR(VLOOKUP(A234,$A$10:$I233,1,0),0)=0,"",VLOOKUP(A234,$A$10:$I233,4,0))</f>
        <v>ESPINOZA</v>
      </c>
      <c r="E234" s="29" t="str">
        <f>IF(IFERROR(VLOOKUP(A234,$A$10:$I233,1,0),0)=0,"",VLOOKUP(A234,$A$10:$I233,5,0))</f>
        <v>PEÑAILILLO</v>
      </c>
      <c r="F234" s="29" t="str">
        <f>IF(IFERROR(VLOOKUP(A234,$A$10:$I233,1,0),0)=0,"",VLOOKUP(A234,$A$10:$I233,6,0))</f>
        <v>EUGENIA</v>
      </c>
      <c r="G234" s="49">
        <v>45497</v>
      </c>
      <c r="H234" s="49">
        <v>45499</v>
      </c>
      <c r="I234" s="29"/>
      <c r="J234" s="29"/>
      <c r="K234" s="24" t="s">
        <v>47</v>
      </c>
      <c r="L234" s="49">
        <v>45497</v>
      </c>
      <c r="M234" s="49">
        <v>45499</v>
      </c>
      <c r="N234" s="29">
        <f t="shared" si="8"/>
        <v>2</v>
      </c>
      <c r="O234" s="29"/>
      <c r="P234" t="s">
        <v>88</v>
      </c>
      <c r="Q234" t="s">
        <v>88</v>
      </c>
      <c r="R234" t="s">
        <v>88</v>
      </c>
      <c r="S234" t="s">
        <v>88</v>
      </c>
      <c r="T234" t="s">
        <v>88</v>
      </c>
      <c r="U234" t="s">
        <v>20</v>
      </c>
    </row>
    <row r="235" spans="1:21" x14ac:dyDescent="0.45">
      <c r="A235" s="79">
        <v>178423231</v>
      </c>
      <c r="B235" s="29" t="str">
        <f t="shared" si="7"/>
        <v>17.842.323-1</v>
      </c>
      <c r="C235" s="22" t="s">
        <v>22</v>
      </c>
      <c r="D235" s="29" t="str">
        <f>IF(IFERROR(VLOOKUP(A235,$A$10:$I234,1,0),0)=0,"",VLOOKUP(A235,$A$10:$I234,4,0))</f>
        <v>MONTANARES</v>
      </c>
      <c r="E235" s="29" t="str">
        <f>IF(IFERROR(VLOOKUP(A235,$A$10:$I234,1,0),0)=0,"",VLOOKUP(A235,$A$10:$I234,5,0))</f>
        <v>GODOY</v>
      </c>
      <c r="F235" s="29" t="str">
        <f>IF(IFERROR(VLOOKUP(A235,$A$10:$I234,1,0),0)=0,"",VLOOKUP(A235,$A$10:$I234,6,0))</f>
        <v>DAVID</v>
      </c>
      <c r="G235" s="49">
        <v>45483</v>
      </c>
      <c r="H235" s="49">
        <v>45504</v>
      </c>
      <c r="I235" s="29"/>
      <c r="J235" s="29" t="s">
        <v>24</v>
      </c>
      <c r="K235" s="24" t="s">
        <v>18</v>
      </c>
      <c r="L235" s="49">
        <v>45490</v>
      </c>
      <c r="M235" s="49">
        <v>45500</v>
      </c>
      <c r="N235" s="29">
        <f t="shared" si="8"/>
        <v>10</v>
      </c>
      <c r="O235" s="29"/>
      <c r="P235" t="s">
        <v>88</v>
      </c>
      <c r="Q235" t="s">
        <v>88</v>
      </c>
      <c r="R235" t="s">
        <v>88</v>
      </c>
      <c r="S235" t="s">
        <v>88</v>
      </c>
      <c r="T235" t="s">
        <v>88</v>
      </c>
      <c r="U235" t="s">
        <v>20</v>
      </c>
    </row>
    <row r="236" spans="1:21" x14ac:dyDescent="0.45">
      <c r="A236" s="29">
        <v>119035589</v>
      </c>
      <c r="B236" s="29" t="str">
        <f t="shared" ref="B236:B253" si="9">IF(LEN(A236)=8,MID(A236,1,1)&amp;"."&amp;MID(A236,2,3)&amp;"."&amp;MID(A236,5,3)&amp;"-"&amp;RIGHT(A236,1),IF(LEFT(RIGHT(A236,2),1)="-",MID(A236,1,1)&amp;"."&amp;MID(A236,2,3)&amp;"."&amp;MID(A236,5,3)&amp;"-"&amp;RIGHT(A236,1),MID(A236,1,2)&amp;"."&amp;MID(A236,3,3)&amp;"."&amp;MID(A236,6,3)&amp;"-"&amp;MID(A236,9,1)))</f>
        <v>11.903.558-9</v>
      </c>
      <c r="C236" s="22" t="s">
        <v>22</v>
      </c>
      <c r="D236" s="29" t="s">
        <v>278</v>
      </c>
      <c r="E236" s="29" t="s">
        <v>887</v>
      </c>
      <c r="F236" s="29" t="s">
        <v>250</v>
      </c>
      <c r="G236" s="49">
        <v>45493</v>
      </c>
      <c r="H236" s="49">
        <v>45496</v>
      </c>
      <c r="I236" s="29"/>
      <c r="J236" s="29" t="s">
        <v>22</v>
      </c>
      <c r="K236" s="24" t="s">
        <v>43</v>
      </c>
      <c r="L236" s="49">
        <v>45493</v>
      </c>
      <c r="M236" s="49">
        <v>45496</v>
      </c>
      <c r="N236" s="29">
        <f t="shared" si="8"/>
        <v>3</v>
      </c>
      <c r="O236" s="29"/>
      <c r="P236" t="s">
        <v>88</v>
      </c>
      <c r="Q236" t="s">
        <v>88</v>
      </c>
      <c r="R236" t="s">
        <v>88</v>
      </c>
      <c r="S236" t="s">
        <v>88</v>
      </c>
      <c r="T236" t="s">
        <v>88</v>
      </c>
      <c r="U236" t="s">
        <v>20</v>
      </c>
    </row>
    <row r="237" spans="1:21" x14ac:dyDescent="0.45">
      <c r="A237" s="29">
        <v>98343474</v>
      </c>
      <c r="B237" s="29" t="str">
        <f t="shared" si="9"/>
        <v>9.834.347-4</v>
      </c>
      <c r="C237" s="22" t="str">
        <f>IF(IFERROR(VLOOKUP(A237,$A$10:$I236,1,0),0)=0,"",VLOOKUP(A237,$A$10:$I236,3,0))</f>
        <v>UCI</v>
      </c>
      <c r="D237" s="29" t="str">
        <f>IF(IFERROR(VLOOKUP(A237,$A$10:$I236,1,0),0)=0,"",VLOOKUP(A237,$A$10:$I236,4,0))</f>
        <v xml:space="preserve">MUÑOZ </v>
      </c>
      <c r="E237" s="29" t="str">
        <f>IF(IFERROR(VLOOKUP(A237,$A$10:$I236,1,0),0)=0,"",VLOOKUP(A237,$A$10:$I236,5,0))</f>
        <v>NEIRA</v>
      </c>
      <c r="F237" s="29" t="str">
        <f>IF(IFERROR(VLOOKUP(A237,$A$10:$I236,1,0),0)=0,"",VLOOKUP(A237,$A$10:$I236,6,0))</f>
        <v>MIRKO</v>
      </c>
      <c r="G237" s="49">
        <v>45492</v>
      </c>
      <c r="H237" s="49">
        <v>45497</v>
      </c>
      <c r="I237" s="29"/>
      <c r="J237" s="29"/>
      <c r="K237" s="24" t="s">
        <v>43</v>
      </c>
      <c r="L237" s="49">
        <v>45492</v>
      </c>
      <c r="M237" s="49">
        <v>45497</v>
      </c>
      <c r="N237" s="29">
        <f t="shared" si="8"/>
        <v>5</v>
      </c>
      <c r="O237" s="29"/>
      <c r="P237" t="s">
        <v>88</v>
      </c>
      <c r="Q237" t="s">
        <v>88</v>
      </c>
      <c r="R237" t="s">
        <v>88</v>
      </c>
      <c r="S237" t="s">
        <v>88</v>
      </c>
      <c r="T237" t="s">
        <v>88</v>
      </c>
      <c r="U237" t="s">
        <v>20</v>
      </c>
    </row>
    <row r="238" spans="1:21" x14ac:dyDescent="0.45">
      <c r="A238" s="29">
        <v>98343474</v>
      </c>
      <c r="B238" s="29" t="str">
        <f t="shared" si="9"/>
        <v>9.834.347-4</v>
      </c>
      <c r="C238" s="22" t="str">
        <f>IF(IFERROR(VLOOKUP(A238,$A$10:$I237,1,0),0)=0,"",VLOOKUP(A238,$A$10:$I237,3,0))</f>
        <v>UCI</v>
      </c>
      <c r="D238" s="29" t="str">
        <f>IF(IFERROR(VLOOKUP(A238,$A$10:$I237,1,0),0)=0,"",VLOOKUP(A238,$A$10:$I237,4,0))</f>
        <v xml:space="preserve">MUÑOZ </v>
      </c>
      <c r="E238" s="29" t="str">
        <f>IF(IFERROR(VLOOKUP(A238,$A$10:$I237,1,0),0)=0,"",VLOOKUP(A238,$A$10:$I237,5,0))</f>
        <v>NEIRA</v>
      </c>
      <c r="F238" s="29" t="str">
        <f>IF(IFERROR(VLOOKUP(A238,$A$10:$I237,1,0),0)=0,"",VLOOKUP(A238,$A$10:$I237,6,0))</f>
        <v>MIRKO</v>
      </c>
      <c r="G238" s="49">
        <v>45492</v>
      </c>
      <c r="H238" s="49">
        <v>45497</v>
      </c>
      <c r="I238" s="29"/>
      <c r="J238" s="29"/>
      <c r="K238" s="24" t="s">
        <v>47</v>
      </c>
      <c r="L238" s="49">
        <v>45492</v>
      </c>
      <c r="M238" s="49">
        <v>45497</v>
      </c>
      <c r="N238" s="29">
        <f t="shared" si="8"/>
        <v>5</v>
      </c>
      <c r="O238" s="29"/>
      <c r="P238" t="s">
        <v>88</v>
      </c>
      <c r="Q238" t="s">
        <v>88</v>
      </c>
      <c r="R238" t="s">
        <v>88</v>
      </c>
      <c r="S238" t="s">
        <v>88</v>
      </c>
      <c r="T238" t="s">
        <v>88</v>
      </c>
      <c r="U238" t="s">
        <v>20</v>
      </c>
    </row>
    <row r="239" spans="1:21" x14ac:dyDescent="0.45">
      <c r="A239" s="29">
        <v>59460056</v>
      </c>
      <c r="B239" s="29" t="str">
        <f t="shared" si="9"/>
        <v>5.946.005-6</v>
      </c>
      <c r="C239" s="22" t="s">
        <v>22</v>
      </c>
      <c r="D239" s="29" t="s">
        <v>375</v>
      </c>
      <c r="E239" s="29" t="s">
        <v>277</v>
      </c>
      <c r="F239" s="29" t="s">
        <v>373</v>
      </c>
      <c r="G239" s="49">
        <v>45491</v>
      </c>
      <c r="H239" s="49">
        <v>45495</v>
      </c>
      <c r="I239" s="29"/>
      <c r="J239" s="29"/>
      <c r="K239" s="24" t="s">
        <v>47</v>
      </c>
      <c r="L239" s="49">
        <v>45491</v>
      </c>
      <c r="M239" s="49">
        <v>45495</v>
      </c>
      <c r="N239" s="29">
        <f t="shared" si="8"/>
        <v>4</v>
      </c>
      <c r="O239" s="29"/>
      <c r="P239" t="s">
        <v>88</v>
      </c>
      <c r="Q239" t="s">
        <v>88</v>
      </c>
      <c r="R239" t="s">
        <v>88</v>
      </c>
      <c r="S239" t="s">
        <v>88</v>
      </c>
      <c r="T239" t="s">
        <v>88</v>
      </c>
      <c r="U239" t="s">
        <v>20</v>
      </c>
    </row>
    <row r="240" spans="1:21" x14ac:dyDescent="0.45">
      <c r="A240" s="29">
        <v>129728299</v>
      </c>
      <c r="B240" s="29" t="str">
        <f t="shared" si="9"/>
        <v>12.972.829-9</v>
      </c>
      <c r="C240" s="22" t="s">
        <v>22</v>
      </c>
      <c r="D240" s="29" t="s">
        <v>1276</v>
      </c>
      <c r="E240" s="29" t="s">
        <v>384</v>
      </c>
      <c r="F240" s="29" t="s">
        <v>1291</v>
      </c>
      <c r="G240" s="49">
        <v>45492</v>
      </c>
      <c r="H240" s="49">
        <v>45495</v>
      </c>
      <c r="I240" s="29"/>
      <c r="J240" s="29" t="s">
        <v>56</v>
      </c>
      <c r="K240" s="24" t="s">
        <v>43</v>
      </c>
      <c r="L240" s="49">
        <v>45492</v>
      </c>
      <c r="M240" s="49">
        <v>45495</v>
      </c>
      <c r="N240" s="29">
        <f t="shared" si="8"/>
        <v>3</v>
      </c>
      <c r="O240" s="29"/>
      <c r="P240" t="s">
        <v>88</v>
      </c>
      <c r="Q240" t="s">
        <v>88</v>
      </c>
      <c r="R240" t="s">
        <v>88</v>
      </c>
      <c r="S240" t="s">
        <v>88</v>
      </c>
      <c r="T240" t="s">
        <v>88</v>
      </c>
      <c r="U240" t="s">
        <v>20</v>
      </c>
    </row>
    <row r="241" spans="1:21" x14ac:dyDescent="0.45">
      <c r="A241" s="29">
        <v>119035589</v>
      </c>
      <c r="B241" s="29" t="str">
        <f t="shared" si="9"/>
        <v>11.903.558-9</v>
      </c>
      <c r="C241" s="22" t="str">
        <f>IF(IFERROR(VLOOKUP(A241,$A$10:$I240,1,0),0)=0,"",VLOOKUP(A241,$A$10:$I240,3,0))</f>
        <v>UCI</v>
      </c>
      <c r="D241" s="29" t="str">
        <f>IF(IFERROR(VLOOKUP(A241,$A$10:$I240,1,0),0)=0,"",VLOOKUP(A241,$A$10:$I240,4,0))</f>
        <v>RIVAS</v>
      </c>
      <c r="E241" s="29" t="str">
        <f>IF(IFERROR(VLOOKUP(A241,$A$10:$I240,1,0),0)=0,"",VLOOKUP(A241,$A$10:$I240,5,0))</f>
        <v>RETAMAL</v>
      </c>
      <c r="F241" s="29" t="str">
        <f>IF(IFERROR(VLOOKUP(A241,$A$10:$I240,1,0),0)=0,"",VLOOKUP(A241,$A$10:$I240,6,0))</f>
        <v>JOSE</v>
      </c>
      <c r="G241" s="49">
        <f>IF(IFERROR(VLOOKUP(A241,$A$10:$I240,1,0),0)=0,"",VLOOKUP(A241,$A$10:$I240,7,0))</f>
        <v>45493</v>
      </c>
      <c r="H241" s="49">
        <v>45496</v>
      </c>
      <c r="I241" s="29"/>
      <c r="J241" s="29" t="s">
        <v>22</v>
      </c>
      <c r="K241" s="24" t="s">
        <v>47</v>
      </c>
      <c r="L241" s="49">
        <v>45493</v>
      </c>
      <c r="M241" s="49">
        <v>45496</v>
      </c>
      <c r="N241" s="29">
        <f t="shared" si="8"/>
        <v>3</v>
      </c>
      <c r="O241" s="29"/>
      <c r="P241" t="s">
        <v>88</v>
      </c>
      <c r="Q241" t="s">
        <v>88</v>
      </c>
      <c r="R241" t="s">
        <v>88</v>
      </c>
      <c r="S241" t="s">
        <v>88</v>
      </c>
      <c r="T241" t="s">
        <v>88</v>
      </c>
      <c r="U241" t="s">
        <v>20</v>
      </c>
    </row>
    <row r="242" spans="1:21" x14ac:dyDescent="0.45">
      <c r="A242" s="29">
        <v>123226593</v>
      </c>
      <c r="B242" s="29" t="str">
        <f t="shared" si="9"/>
        <v>12.322.659-3</v>
      </c>
      <c r="C242" s="22" t="s">
        <v>22</v>
      </c>
      <c r="D242" s="29" t="s">
        <v>536</v>
      </c>
      <c r="E242" s="29" t="s">
        <v>488</v>
      </c>
      <c r="F242" s="29" t="s">
        <v>487</v>
      </c>
      <c r="G242" s="49">
        <v>45492</v>
      </c>
      <c r="H242" s="49">
        <v>45495</v>
      </c>
      <c r="I242" s="29"/>
      <c r="J242" s="29"/>
      <c r="K242" s="24" t="s">
        <v>43</v>
      </c>
      <c r="L242" s="49">
        <v>45492</v>
      </c>
      <c r="M242" s="49">
        <v>45495</v>
      </c>
      <c r="N242" s="29">
        <f t="shared" si="8"/>
        <v>3</v>
      </c>
      <c r="O242" s="29"/>
      <c r="P242" t="s">
        <v>88</v>
      </c>
      <c r="Q242" t="s">
        <v>88</v>
      </c>
      <c r="R242" t="s">
        <v>88</v>
      </c>
      <c r="S242" t="s">
        <v>88</v>
      </c>
      <c r="T242" t="s">
        <v>88</v>
      </c>
      <c r="U242" t="s">
        <v>20</v>
      </c>
    </row>
    <row r="243" spans="1:21" x14ac:dyDescent="0.45">
      <c r="A243" s="29">
        <v>42728608</v>
      </c>
      <c r="B243" s="29" t="str">
        <f t="shared" si="9"/>
        <v>4.272.860-8</v>
      </c>
      <c r="C243" s="22" t="s">
        <v>38</v>
      </c>
      <c r="D243" s="29" t="s">
        <v>1269</v>
      </c>
      <c r="E243" s="29" t="s">
        <v>1269</v>
      </c>
      <c r="F243" s="29" t="s">
        <v>557</v>
      </c>
      <c r="G243" s="49">
        <v>45129</v>
      </c>
      <c r="H243" s="49">
        <v>45502</v>
      </c>
      <c r="I243" s="29"/>
      <c r="J243" s="29" t="s">
        <v>13</v>
      </c>
      <c r="K243" s="24" t="s">
        <v>43</v>
      </c>
      <c r="L243" s="49">
        <v>45495</v>
      </c>
      <c r="M243" s="49">
        <v>45502</v>
      </c>
      <c r="N243" s="29">
        <f t="shared" si="8"/>
        <v>7</v>
      </c>
      <c r="O243" s="29"/>
      <c r="P243" t="s">
        <v>88</v>
      </c>
      <c r="Q243" t="s">
        <v>88</v>
      </c>
      <c r="R243" t="s">
        <v>88</v>
      </c>
      <c r="S243" t="s">
        <v>88</v>
      </c>
      <c r="T243" t="s">
        <v>88</v>
      </c>
      <c r="U243" t="s">
        <v>20</v>
      </c>
    </row>
    <row r="244" spans="1:21" x14ac:dyDescent="0.45">
      <c r="A244" s="29">
        <v>42728608</v>
      </c>
      <c r="B244" s="29" t="str">
        <f t="shared" si="9"/>
        <v>4.272.860-8</v>
      </c>
      <c r="C244" s="22" t="str">
        <f>IF(IFERROR(VLOOKUP(A244,$A$10:$I243,1,0),0)=0,"",VLOOKUP(A244,$A$10:$I243,3,0))</f>
        <v xml:space="preserve">Sala de cuidados intermedios </v>
      </c>
      <c r="D244" s="29" t="str">
        <f>IF(IFERROR(VLOOKUP(A244,$A$10:$I243,1,0),0)=0,"",VLOOKUP(A244,$A$10:$I243,4,0))</f>
        <v>SANZANA</v>
      </c>
      <c r="E244" s="29" t="str">
        <f>IF(IFERROR(VLOOKUP(A244,$A$10:$I243,1,0),0)=0,"",VLOOKUP(A244,$A$10:$I243,5,0))</f>
        <v>SANZANA</v>
      </c>
      <c r="F244" s="29" t="str">
        <f>IF(IFERROR(VLOOKUP(A244,$A$10:$I243,1,0),0)=0,"",VLOOKUP(A244,$A$10:$I243,6,0))</f>
        <v>SEGUNDO</v>
      </c>
      <c r="G244" s="49">
        <f>IF(IFERROR(VLOOKUP(A244,$A$10:$I243,1,0),0)=0,"",VLOOKUP(A244,$A$10:$I243,7,0))</f>
        <v>45129</v>
      </c>
      <c r="H244" s="49">
        <v>45502</v>
      </c>
      <c r="I244" s="29"/>
      <c r="J244" s="29"/>
      <c r="K244" s="24" t="s">
        <v>47</v>
      </c>
      <c r="L244" s="49">
        <v>45495</v>
      </c>
      <c r="M244" s="49">
        <v>45498</v>
      </c>
      <c r="N244" s="29">
        <f t="shared" si="8"/>
        <v>3</v>
      </c>
      <c r="O244" s="29"/>
      <c r="P244" t="s">
        <v>88</v>
      </c>
      <c r="Q244" t="s">
        <v>88</v>
      </c>
      <c r="R244" t="s">
        <v>88</v>
      </c>
      <c r="S244" t="s">
        <v>88</v>
      </c>
      <c r="T244" t="s">
        <v>88</v>
      </c>
      <c r="U244" t="s">
        <v>20</v>
      </c>
    </row>
    <row r="245" spans="1:21" x14ac:dyDescent="0.45">
      <c r="A245" s="29">
        <v>108333294</v>
      </c>
      <c r="B245" s="29" t="str">
        <f t="shared" si="9"/>
        <v>10.833.329-4</v>
      </c>
      <c r="C245" s="22" t="s">
        <v>38</v>
      </c>
      <c r="D245" s="29" t="s">
        <v>339</v>
      </c>
      <c r="E245" s="29" t="s">
        <v>1292</v>
      </c>
      <c r="F245" s="29" t="s">
        <v>933</v>
      </c>
      <c r="G245" s="49">
        <v>45497</v>
      </c>
      <c r="H245" s="49">
        <v>45501</v>
      </c>
      <c r="I245" s="29"/>
      <c r="J245" s="29"/>
      <c r="K245" s="24" t="s">
        <v>43</v>
      </c>
      <c r="L245" s="49">
        <v>45497</v>
      </c>
      <c r="M245" s="49">
        <v>45501</v>
      </c>
      <c r="N245" s="29">
        <f t="shared" si="8"/>
        <v>4</v>
      </c>
      <c r="O245" s="29"/>
      <c r="P245" t="s">
        <v>88</v>
      </c>
      <c r="Q245" t="s">
        <v>88</v>
      </c>
      <c r="R245" t="s">
        <v>88</v>
      </c>
      <c r="S245" t="s">
        <v>88</v>
      </c>
      <c r="T245" t="s">
        <v>88</v>
      </c>
      <c r="U245" t="s">
        <v>20</v>
      </c>
    </row>
    <row r="246" spans="1:21" x14ac:dyDescent="0.45">
      <c r="A246" s="29">
        <v>108333294</v>
      </c>
      <c r="B246" s="29" t="str">
        <f t="shared" si="9"/>
        <v>10.833.329-4</v>
      </c>
      <c r="C246" s="22" t="str">
        <f>IF(IFERROR(VLOOKUP(A246,$A$10:$I245,1,0),0)=0,"",VLOOKUP(A246,$A$10:$I245,3,0))</f>
        <v xml:space="preserve">Sala de cuidados intermedios </v>
      </c>
      <c r="D246" s="29" t="str">
        <f>IF(IFERROR(VLOOKUP(A246,$A$10:$I245,1,0),0)=0,"",VLOOKUP(A246,$A$10:$I245,4,0))</f>
        <v>ESPINOZA</v>
      </c>
      <c r="E246" s="29" t="str">
        <f>IF(IFERROR(VLOOKUP(A246,$A$10:$I245,1,0),0)=0,"",VLOOKUP(A246,$A$10:$I245,5,0))</f>
        <v>CARRERA</v>
      </c>
      <c r="F246" s="29" t="str">
        <f>IF(IFERROR(VLOOKUP(A246,$A$10:$I245,1,0),0)=0,"",VLOOKUP(A246,$A$10:$I245,6,0))</f>
        <v>JAIME</v>
      </c>
      <c r="G246" s="49">
        <f>IF(IFERROR(VLOOKUP(A246,$A$10:$I245,1,0),0)=0,"",VLOOKUP(A246,$A$10:$I245,7,0))</f>
        <v>45497</v>
      </c>
      <c r="H246" s="49">
        <v>45501</v>
      </c>
      <c r="I246" s="29"/>
      <c r="J246" s="29"/>
      <c r="K246" s="24" t="s">
        <v>47</v>
      </c>
      <c r="L246" s="49">
        <v>45497</v>
      </c>
      <c r="M246" s="49">
        <v>45500</v>
      </c>
      <c r="N246" s="29">
        <f t="shared" si="8"/>
        <v>3</v>
      </c>
      <c r="O246" s="29"/>
      <c r="P246" t="s">
        <v>88</v>
      </c>
      <c r="Q246" t="s">
        <v>88</v>
      </c>
      <c r="R246" t="s">
        <v>88</v>
      </c>
      <c r="S246" t="s">
        <v>88</v>
      </c>
      <c r="T246" t="s">
        <v>88</v>
      </c>
      <c r="U246" t="s">
        <v>20</v>
      </c>
    </row>
    <row r="247" spans="1:21" x14ac:dyDescent="0.45">
      <c r="A247" s="29">
        <v>267929556</v>
      </c>
      <c r="B247" s="29" t="str">
        <f t="shared" si="9"/>
        <v>26.792.955-6</v>
      </c>
      <c r="C247" s="22" t="s">
        <v>38</v>
      </c>
      <c r="D247" s="29" t="s">
        <v>1293</v>
      </c>
      <c r="E247" s="29" t="s">
        <v>1294</v>
      </c>
      <c r="F247" s="29" t="s">
        <v>1295</v>
      </c>
      <c r="G247" s="49">
        <v>45495</v>
      </c>
      <c r="H247" s="49">
        <v>45502</v>
      </c>
      <c r="I247" s="29"/>
      <c r="J247" s="29"/>
      <c r="K247" s="24" t="s">
        <v>43</v>
      </c>
      <c r="L247" s="49">
        <v>45495</v>
      </c>
      <c r="M247" s="49">
        <v>45502</v>
      </c>
      <c r="N247" s="29">
        <f t="shared" si="8"/>
        <v>7</v>
      </c>
      <c r="O247" s="29"/>
      <c r="P247" t="s">
        <v>88</v>
      </c>
      <c r="Q247" t="s">
        <v>88</v>
      </c>
      <c r="R247" t="s">
        <v>88</v>
      </c>
      <c r="S247" t="s">
        <v>88</v>
      </c>
      <c r="T247" t="s">
        <v>88</v>
      </c>
      <c r="U247" t="s">
        <v>20</v>
      </c>
    </row>
    <row r="248" spans="1:21" x14ac:dyDescent="0.45">
      <c r="A248" s="29">
        <v>267929556</v>
      </c>
      <c r="B248" s="29" t="str">
        <f t="shared" si="9"/>
        <v>26.792.955-6</v>
      </c>
      <c r="C248" s="22" t="str">
        <f>IF(IFERROR(VLOOKUP(A248,$A$10:$I247,1,0),0)=0,"",VLOOKUP(A248,$A$10:$I247,3,0))</f>
        <v xml:space="preserve">Sala de cuidados intermedios </v>
      </c>
      <c r="D248" s="29" t="str">
        <f>IF(IFERROR(VLOOKUP(A248,$A$10:$I247,1,0),0)=0,"",VLOOKUP(A248,$A$10:$I247,4,0))</f>
        <v>ORSINI</v>
      </c>
      <c r="E248" s="29" t="str">
        <f>IF(IFERROR(VLOOKUP(A248,$A$10:$I247,1,0),0)=0,"",VLOOKUP(A248,$A$10:$I247,5,0))</f>
        <v>FLAMEZ</v>
      </c>
      <c r="F248" s="29" t="str">
        <f>IF(IFERROR(VLOOKUP(A248,$A$10:$I247,1,0),0)=0,"",VLOOKUP(A248,$A$10:$I247,6,0))</f>
        <v>YENI</v>
      </c>
      <c r="G248" s="49">
        <f>IF(IFERROR(VLOOKUP(A248,$A$10:$I247,1,0),0)=0,"",VLOOKUP(A248,$A$10:$I247,7,0))</f>
        <v>45495</v>
      </c>
      <c r="H248" s="49">
        <v>45502</v>
      </c>
      <c r="I248" s="29"/>
      <c r="J248" s="29"/>
      <c r="K248" s="24" t="s">
        <v>47</v>
      </c>
      <c r="L248" s="49">
        <v>45495</v>
      </c>
      <c r="M248" s="49">
        <v>45499</v>
      </c>
      <c r="N248" s="29">
        <f t="shared" si="8"/>
        <v>4</v>
      </c>
      <c r="O248" s="29"/>
      <c r="P248" t="s">
        <v>88</v>
      </c>
      <c r="Q248" t="s">
        <v>88</v>
      </c>
      <c r="R248" t="s">
        <v>88</v>
      </c>
      <c r="S248" t="s">
        <v>88</v>
      </c>
      <c r="T248" t="s">
        <v>88</v>
      </c>
      <c r="U248" t="s">
        <v>20</v>
      </c>
    </row>
    <row r="249" spans="1:21" x14ac:dyDescent="0.45">
      <c r="A249" s="29">
        <v>284550374</v>
      </c>
      <c r="B249" s="29" t="str">
        <f t="shared" si="9"/>
        <v>28.455.037-4</v>
      </c>
      <c r="C249" s="22" t="str">
        <f>IF(IFERROR(VLOOKUP(A249,$A$10:$I248,1,0),0)=0,"",VLOOKUP(A249,$A$10:$I248,3,0))</f>
        <v>UCI neonatal</v>
      </c>
      <c r="D249" s="29" t="str">
        <f>IF(IFERROR(VLOOKUP(A249,$A$10:$I248,1,0),0)=0,"",VLOOKUP(A249,$A$10:$I248,4,0))</f>
        <v>CEBALLOS</v>
      </c>
      <c r="E249" s="29" t="str">
        <f>IF(IFERROR(VLOOKUP(A249,$A$10:$I248,1,0),0)=0,"",VLOOKUP(A249,$A$10:$I248,5,0))</f>
        <v>SEPULVEDA</v>
      </c>
      <c r="F249" s="29" t="str">
        <f>IF(IFERROR(VLOOKUP(A249,$A$10:$I248,1,0),0)=0,"",VLOOKUP(A249,$A$10:$I248,6,0))</f>
        <v xml:space="preserve">NOAH </v>
      </c>
      <c r="G249" s="49">
        <f>IF(IFERROR(VLOOKUP(A249,$A$10:$I248,1,0),0)=0,"",VLOOKUP(A249,$A$10:$I248,7,0))</f>
        <v>45450</v>
      </c>
      <c r="H249" s="29"/>
      <c r="I249" s="29"/>
      <c r="J249" s="29"/>
      <c r="K249" s="24" t="s">
        <v>51</v>
      </c>
      <c r="L249" s="49">
        <v>45488</v>
      </c>
      <c r="M249" s="49">
        <v>45504</v>
      </c>
      <c r="N249" s="29">
        <f t="shared" si="8"/>
        <v>16</v>
      </c>
      <c r="O249" s="29"/>
      <c r="P249" t="s">
        <v>88</v>
      </c>
      <c r="Q249" t="s">
        <v>88</v>
      </c>
      <c r="R249" t="s">
        <v>88</v>
      </c>
      <c r="S249" t="s">
        <v>88</v>
      </c>
      <c r="T249" t="s">
        <v>88</v>
      </c>
      <c r="U249" t="s">
        <v>20</v>
      </c>
    </row>
    <row r="250" spans="1:21" x14ac:dyDescent="0.45">
      <c r="A250" s="29">
        <v>284768574</v>
      </c>
      <c r="B250" s="29" t="str">
        <f t="shared" si="9"/>
        <v>28.476.857-4</v>
      </c>
      <c r="C250" s="22" t="str">
        <f>IF(IFERROR(VLOOKUP(A250,$A$10:$I249,1,0),0)=0,"",VLOOKUP(A250,$A$10:$I249,3,0))</f>
        <v>UCI neonatal</v>
      </c>
      <c r="D250" s="29" t="str">
        <f>IF(IFERROR(VLOOKUP(A250,$A$10:$I249,1,0),0)=0,"",VLOOKUP(A250,$A$10:$I249,4,0))</f>
        <v>LUENGO</v>
      </c>
      <c r="E250" s="29" t="str">
        <f>IF(IFERROR(VLOOKUP(A250,$A$10:$I249,1,0),0)=0,"",VLOOKUP(A250,$A$10:$I249,5,0))</f>
        <v>GUTIERREZ</v>
      </c>
      <c r="F250" s="29" t="str">
        <f>IF(IFERROR(VLOOKUP(A250,$A$10:$I249,1,0),0)=0,"",VLOOKUP(A250,$A$10:$I249,6,0))</f>
        <v>JULIETA</v>
      </c>
      <c r="G250" s="49">
        <f>IF(IFERROR(VLOOKUP(A250,$A$10:$I249,1,0),0)=0,"",VLOOKUP(A250,$A$10:$I249,7,0))</f>
        <v>45476</v>
      </c>
      <c r="H250" s="29"/>
      <c r="I250" s="29"/>
      <c r="J250" s="29"/>
      <c r="K250" s="24" t="s">
        <v>18</v>
      </c>
      <c r="L250" s="49">
        <v>45501</v>
      </c>
      <c r="M250" s="49">
        <v>45504</v>
      </c>
      <c r="N250" s="29">
        <f t="shared" si="8"/>
        <v>3</v>
      </c>
      <c r="O250" s="29"/>
      <c r="P250" t="s">
        <v>88</v>
      </c>
      <c r="Q250" t="s">
        <v>88</v>
      </c>
      <c r="R250" t="s">
        <v>88</v>
      </c>
      <c r="S250" t="s">
        <v>88</v>
      </c>
      <c r="T250" t="s">
        <v>88</v>
      </c>
      <c r="U250" t="s">
        <v>20</v>
      </c>
    </row>
    <row r="251" spans="1:21" x14ac:dyDescent="0.45">
      <c r="A251" s="29">
        <v>284458796</v>
      </c>
      <c r="B251" s="29" t="str">
        <f t="shared" si="9"/>
        <v>28.445.879-6</v>
      </c>
      <c r="C251" s="22" t="str">
        <f>IF(IFERROR(VLOOKUP(A251,$A$10:$I250,1,0),0)=0,"",VLOOKUP(A251,$A$10:$I250,3,0))</f>
        <v>UCI neonatal</v>
      </c>
      <c r="D251" s="29" t="str">
        <f>IF(IFERROR(VLOOKUP(A251,$A$10:$I250,1,0),0)=0,"",VLOOKUP(A251,$A$10:$I250,4,0))</f>
        <v>MEDINA</v>
      </c>
      <c r="E251" s="29" t="str">
        <f>IF(IFERROR(VLOOKUP(A251,$A$10:$I250,1,0),0)=0,"",VLOOKUP(A251,$A$10:$I250,5,0))</f>
        <v>LEPEZ</v>
      </c>
      <c r="F251" s="29" t="str">
        <f>IF(IFERROR(VLOOKUP(A251,$A$10:$I250,1,0),0)=0,"",VLOOKUP(A251,$A$10:$I250,6,0))</f>
        <v>NICOLAS</v>
      </c>
      <c r="G251" s="49">
        <f>IF(IFERROR(VLOOKUP(A251,$A$10:$I250,1,0),0)=0,"",VLOOKUP(A251,$A$10:$I250,7,0))</f>
        <v>45442</v>
      </c>
      <c r="H251" s="29"/>
      <c r="I251" s="29"/>
      <c r="J251" s="29"/>
      <c r="K251" s="24" t="s">
        <v>18</v>
      </c>
      <c r="L251" s="49">
        <v>45485</v>
      </c>
      <c r="M251" s="49">
        <v>45504</v>
      </c>
      <c r="N251" s="29">
        <f t="shared" si="8"/>
        <v>19</v>
      </c>
      <c r="O251" s="29"/>
      <c r="P251" t="s">
        <v>88</v>
      </c>
      <c r="Q251" t="s">
        <v>88</v>
      </c>
      <c r="R251" t="s">
        <v>88</v>
      </c>
      <c r="S251" t="s">
        <v>88</v>
      </c>
      <c r="T251" t="s">
        <v>88</v>
      </c>
      <c r="U251" t="s">
        <v>20</v>
      </c>
    </row>
    <row r="252" spans="1:21" x14ac:dyDescent="0.45">
      <c r="A252" s="29" t="s">
        <v>1296</v>
      </c>
      <c r="B252" s="29" t="str">
        <f t="shared" si="9"/>
        <v>9.821.088-1</v>
      </c>
      <c r="C252" s="22" t="s">
        <v>46</v>
      </c>
      <c r="D252" s="29" t="s">
        <v>435</v>
      </c>
      <c r="E252" s="29" t="s">
        <v>345</v>
      </c>
      <c r="F252" s="29" t="s">
        <v>452</v>
      </c>
      <c r="G252" s="49">
        <v>45496</v>
      </c>
      <c r="H252" s="29"/>
      <c r="I252" s="29" t="s">
        <v>56</v>
      </c>
      <c r="J252" s="29"/>
      <c r="K252" s="24" t="s">
        <v>18</v>
      </c>
      <c r="L252" s="49">
        <v>45496</v>
      </c>
      <c r="M252" s="49">
        <v>45504</v>
      </c>
      <c r="N252" s="29">
        <f t="shared" si="8"/>
        <v>8</v>
      </c>
      <c r="O252" s="29"/>
      <c r="P252" t="s">
        <v>88</v>
      </c>
      <c r="Q252" t="s">
        <v>88</v>
      </c>
      <c r="R252" t="s">
        <v>88</v>
      </c>
      <c r="S252" t="s">
        <v>88</v>
      </c>
      <c r="T252" t="s">
        <v>88</v>
      </c>
      <c r="U252" t="s">
        <v>20</v>
      </c>
    </row>
    <row r="253" spans="1:21" x14ac:dyDescent="0.45">
      <c r="A253" s="29" t="s">
        <v>1234</v>
      </c>
      <c r="B253" s="29" t="str">
        <f t="shared" si="9"/>
        <v>5.485.210-K</v>
      </c>
      <c r="C253" s="22" t="str">
        <f>IF(IFERROR(VLOOKUP(A253,$A$10:$I252,1,0),0)=0,"",VLOOKUP(A253,$A$10:$I252,3,0))</f>
        <v>UCI</v>
      </c>
      <c r="D253" s="29" t="str">
        <f>IF(IFERROR(VLOOKUP(A253,$A$10:$I252,1,0),0)=0,"",VLOOKUP(A253,$A$10:$I252,4,0))</f>
        <v>MEDINA</v>
      </c>
      <c r="E253" s="29" t="str">
        <f>IF(IFERROR(VLOOKUP(A253,$A$10:$I252,1,0),0)=0,"",VLOOKUP(A253,$A$10:$I252,5,0))</f>
        <v>GAETE</v>
      </c>
      <c r="F253" s="29" t="str">
        <f>IF(IFERROR(VLOOKUP(A253,$A$10:$I252,1,0),0)=0,"",VLOOKUP(A253,$A$10:$I252,6,0))</f>
        <v>PEDRO</v>
      </c>
      <c r="G253" s="49">
        <v>45481</v>
      </c>
      <c r="H253" s="29"/>
      <c r="I253" s="29" t="s">
        <v>22</v>
      </c>
      <c r="J253" s="29"/>
      <c r="K253" s="24" t="s">
        <v>43</v>
      </c>
      <c r="L253" s="49">
        <v>45481</v>
      </c>
      <c r="M253" s="49">
        <v>45487</v>
      </c>
      <c r="N253" s="29">
        <f t="shared" si="8"/>
        <v>6</v>
      </c>
      <c r="O253" s="29"/>
      <c r="P253" t="s">
        <v>88</v>
      </c>
      <c r="Q253" t="s">
        <v>88</v>
      </c>
      <c r="R253" t="s">
        <v>88</v>
      </c>
      <c r="S253" t="s">
        <v>88</v>
      </c>
      <c r="T253" t="s">
        <v>88</v>
      </c>
      <c r="U253" t="s">
        <v>20</v>
      </c>
    </row>
    <row r="254" spans="1:21" x14ac:dyDescent="0.45">
      <c r="U254">
        <f>COUNTIF(U8:U253,"si")</f>
        <v>7</v>
      </c>
    </row>
  </sheetData>
  <dataValidations count="2">
    <dataValidation allowBlank="1" showInputMessage="1" sqref="O1:O7" xr:uid="{00000000-0002-0000-0800-000000000000}"/>
    <dataValidation allowBlank="1" sqref="N1:N7" xr:uid="{00000000-0002-0000-0800-000001000000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257"/>
  <sheetViews>
    <sheetView topLeftCell="A211" zoomScale="80" zoomScaleNormal="80" workbookViewId="0">
      <pane xSplit="2" topLeftCell="K1" activePane="topRight" state="frozen"/>
      <selection pane="topRight" activeCell="P184" sqref="P184"/>
    </sheetView>
  </sheetViews>
  <sheetFormatPr baseColWidth="10" defaultRowHeight="14.25" x14ac:dyDescent="0.45"/>
  <cols>
    <col min="7" max="7" width="11.46484375" style="32" customWidth="1"/>
    <col min="9" max="9" width="11.73046875" customWidth="1"/>
    <col min="11" max="11" width="19.73046875" customWidth="1"/>
    <col min="12" max="13" width="11.46484375" style="32" customWidth="1"/>
    <col min="15" max="15" width="13.46484375" customWidth="1"/>
  </cols>
  <sheetData>
    <row r="1" spans="1:21" x14ac:dyDescent="0.45">
      <c r="A1" s="1" t="s">
        <v>215</v>
      </c>
      <c r="B1" s="1"/>
      <c r="C1" s="94"/>
      <c r="D1" s="1"/>
      <c r="E1" s="1"/>
      <c r="F1" s="1"/>
      <c r="G1" s="103"/>
      <c r="H1" s="1"/>
      <c r="I1" s="1"/>
      <c r="J1" s="2"/>
      <c r="K1" s="87"/>
      <c r="L1" s="103"/>
      <c r="M1" s="103"/>
      <c r="N1" s="1"/>
      <c r="O1" s="1"/>
    </row>
    <row r="2" spans="1:21" x14ac:dyDescent="0.45">
      <c r="A2" s="3"/>
      <c r="B2" s="3"/>
      <c r="C2" s="67"/>
      <c r="D2" s="3"/>
      <c r="E2" s="3"/>
      <c r="F2" s="3"/>
      <c r="G2" s="104"/>
      <c r="H2" s="3"/>
      <c r="I2" s="3"/>
      <c r="J2" s="54"/>
      <c r="K2" s="88"/>
      <c r="L2" s="104"/>
      <c r="M2" s="104"/>
      <c r="N2" s="3"/>
      <c r="O2" s="3"/>
    </row>
    <row r="3" spans="1:21" x14ac:dyDescent="0.45">
      <c r="A3" s="5" t="s">
        <v>216</v>
      </c>
      <c r="B3" s="6"/>
      <c r="C3" s="95" t="s">
        <v>22</v>
      </c>
      <c r="D3" s="6" t="s">
        <v>217</v>
      </c>
      <c r="E3" s="7" t="s">
        <v>1091</v>
      </c>
      <c r="F3" s="6" t="s">
        <v>218</v>
      </c>
      <c r="G3" s="105"/>
      <c r="H3" s="6" t="s">
        <v>219</v>
      </c>
      <c r="I3" s="7">
        <v>2024</v>
      </c>
      <c r="J3" s="55"/>
      <c r="K3" s="89"/>
      <c r="L3" s="112"/>
      <c r="M3" s="112"/>
      <c r="N3" s="6"/>
      <c r="O3" s="6"/>
    </row>
    <row r="4" spans="1:21" x14ac:dyDescent="0.45">
      <c r="A4" s="3"/>
      <c r="B4" s="3"/>
      <c r="C4" s="67"/>
      <c r="D4" s="3"/>
      <c r="E4" s="3"/>
      <c r="F4" s="3"/>
      <c r="G4" s="104"/>
      <c r="H4" s="3"/>
      <c r="I4" s="3"/>
      <c r="J4" s="54"/>
      <c r="K4" s="90"/>
      <c r="L4" s="104"/>
      <c r="M4" s="104"/>
      <c r="N4" s="3"/>
      <c r="O4" s="3"/>
    </row>
    <row r="5" spans="1:21" x14ac:dyDescent="0.45">
      <c r="A5" s="3"/>
      <c r="B5" s="3"/>
      <c r="C5" s="67"/>
      <c r="E5" s="3"/>
      <c r="F5" s="3"/>
      <c r="G5" s="104"/>
      <c r="H5" s="3"/>
      <c r="I5" s="3"/>
      <c r="J5" s="54"/>
      <c r="K5" s="90"/>
      <c r="L5" s="104"/>
      <c r="M5" s="104"/>
      <c r="N5" s="3"/>
      <c r="O5" s="3"/>
    </row>
    <row r="6" spans="1:21" ht="14.65" customHeight="1" thickBot="1" x14ac:dyDescent="0.5">
      <c r="A6" s="3"/>
      <c r="B6" s="3"/>
      <c r="C6" s="67"/>
      <c r="E6" s="3"/>
      <c r="F6" s="3"/>
      <c r="G6" s="104"/>
      <c r="H6" s="3"/>
      <c r="I6" s="3"/>
      <c r="J6" s="54"/>
      <c r="K6" s="90"/>
      <c r="L6" s="104"/>
      <c r="M6" s="104"/>
      <c r="N6" s="3"/>
      <c r="O6" s="3"/>
    </row>
    <row r="7" spans="1:21" ht="28.5" customHeight="1" x14ac:dyDescent="0.45">
      <c r="A7" s="10" t="s">
        <v>220</v>
      </c>
      <c r="B7" s="11" t="s">
        <v>221</v>
      </c>
      <c r="C7" s="96" t="s">
        <v>222</v>
      </c>
      <c r="D7" s="12" t="s">
        <v>223</v>
      </c>
      <c r="E7" s="12" t="s">
        <v>224</v>
      </c>
      <c r="F7" s="11" t="s">
        <v>225</v>
      </c>
      <c r="G7" s="106" t="s">
        <v>226</v>
      </c>
      <c r="H7" s="12" t="s">
        <v>227</v>
      </c>
      <c r="I7" s="11" t="s">
        <v>4</v>
      </c>
      <c r="J7" s="86" t="s">
        <v>5</v>
      </c>
      <c r="K7" s="91" t="s">
        <v>3</v>
      </c>
      <c r="L7" s="106" t="s">
        <v>228</v>
      </c>
      <c r="M7" s="106" t="s">
        <v>229</v>
      </c>
      <c r="N7" s="14" t="s">
        <v>230</v>
      </c>
      <c r="O7" s="16" t="s">
        <v>7</v>
      </c>
      <c r="P7" s="127" t="s">
        <v>231</v>
      </c>
      <c r="Q7" s="127" t="s">
        <v>232</v>
      </c>
      <c r="R7" s="127" t="s">
        <v>233</v>
      </c>
      <c r="S7" s="127" t="s">
        <v>234</v>
      </c>
      <c r="T7" s="127" t="s">
        <v>235</v>
      </c>
      <c r="U7" s="127" t="s">
        <v>8</v>
      </c>
    </row>
    <row r="8" spans="1:21" x14ac:dyDescent="0.45">
      <c r="A8" s="29">
        <v>131324200</v>
      </c>
      <c r="B8" s="29" t="s">
        <v>1297</v>
      </c>
      <c r="C8" s="22" t="s">
        <v>22</v>
      </c>
      <c r="D8" s="29" t="s">
        <v>946</v>
      </c>
      <c r="E8" s="29" t="s">
        <v>580</v>
      </c>
      <c r="F8" s="29" t="s">
        <v>468</v>
      </c>
      <c r="G8" s="49">
        <v>45500</v>
      </c>
      <c r="H8" s="29"/>
      <c r="I8" s="29" t="s">
        <v>22</v>
      </c>
      <c r="J8" s="29"/>
      <c r="K8" s="24" t="s">
        <v>43</v>
      </c>
      <c r="L8" s="49">
        <v>45505</v>
      </c>
      <c r="M8" s="49">
        <v>45511</v>
      </c>
      <c r="N8" s="29">
        <f>+M8-L8</f>
        <v>6</v>
      </c>
      <c r="O8" s="29"/>
      <c r="P8" t="s">
        <v>88</v>
      </c>
      <c r="Q8" t="s">
        <v>88</v>
      </c>
      <c r="R8" t="s">
        <v>88</v>
      </c>
      <c r="S8" t="s">
        <v>88</v>
      </c>
      <c r="T8" t="s">
        <v>88</v>
      </c>
      <c r="U8" t="s">
        <v>20</v>
      </c>
    </row>
    <row r="9" spans="1:21" x14ac:dyDescent="0.45">
      <c r="A9" s="29">
        <v>163294869</v>
      </c>
      <c r="B9" s="29" t="str">
        <f>IF(LEN(A9)=8,MID(A9,1,1)&amp;"."&amp;MID(A9,2,3)&amp;"."&amp;MID(A9,5,3)&amp;"-"&amp;RIGHT(A9,1),IF(LEFT(RIGHT(A9,2),1)="-",MID(A9,1,1)&amp;"."&amp;MID(A9,2,3)&amp;"."&amp;MID(A9,5,3)&amp;"-"&amp;RIGHT(A9,1),MID(A9,1,2)&amp;"."&amp;MID(A9,3,3)&amp;"."&amp;MID(A9,6,3)&amp;"-"&amp;MID(A9,9,1)))</f>
        <v>16.329.486-9</v>
      </c>
      <c r="C9" s="22" t="s">
        <v>22</v>
      </c>
      <c r="D9" s="29" t="s">
        <v>537</v>
      </c>
      <c r="E9" s="29" t="s">
        <v>389</v>
      </c>
      <c r="F9" s="29" t="s">
        <v>1275</v>
      </c>
      <c r="G9" s="49">
        <v>45507</v>
      </c>
      <c r="H9" s="49"/>
      <c r="I9" s="29" t="s">
        <v>22</v>
      </c>
      <c r="J9" s="29"/>
      <c r="K9" s="24" t="s">
        <v>43</v>
      </c>
      <c r="L9" s="49">
        <v>45507</v>
      </c>
      <c r="M9" s="49">
        <v>45509</v>
      </c>
      <c r="N9" s="29">
        <f>+M9-L9</f>
        <v>2</v>
      </c>
      <c r="O9" s="29"/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20</v>
      </c>
    </row>
    <row r="10" spans="1:21" x14ac:dyDescent="0.45">
      <c r="A10" s="53">
        <v>284768574</v>
      </c>
      <c r="B10" s="53" t="str">
        <f>IF(LEN(A10)=8,MID(A10,1,1)&amp;"."&amp;MID(A10,2,3)&amp;"."&amp;MID(A10,5,3)&amp;"-"&amp;RIGHT(A10,1),IF(LEFT(RIGHT(A10,2),1)="-",MID(A10,1,1)&amp;"."&amp;MID(A10,2,3)&amp;"."&amp;MID(A10,5,3)&amp;"-"&amp;RIGHT(A10,1),MID(A10,1,2)&amp;"."&amp;MID(A10,3,3)&amp;"."&amp;MID(A10,6,3)&amp;"-"&amp;MID(A10,9,1)))</f>
        <v>28.476.857-4</v>
      </c>
      <c r="C10" s="113" t="str">
        <f ca="1">IF(IFERROR(VLOOKUP(A10,$A9:$I$10,1,0),0)=0,"",VLOOKUP(A10,$A9:$I$10,3,0))</f>
        <v/>
      </c>
      <c r="D10" s="53" t="str">
        <f ca="1">IF(IFERROR(VLOOKUP(A10,$A9:$I$10,1,0),0)=0,"",VLOOKUP(A10,$A9:$I$10,4,0))</f>
        <v/>
      </c>
      <c r="E10" s="53" t="str">
        <f ca="1">IF(IFERROR(VLOOKUP(A10,$A9:$I$10,1,0),0)=0,"",VLOOKUP(A10,$A9:$I$10,5,0))</f>
        <v/>
      </c>
      <c r="F10" s="53" t="str">
        <f ca="1">IF(IFERROR(VLOOKUP(A10,$A9:$I$10,1,0),0)=0,"",VLOOKUP(A10,$A9:$I$10,6,0))</f>
        <v/>
      </c>
      <c r="G10" s="115" t="str">
        <f ca="1">IF(IFERROR(VLOOKUP(A10,$A9:$I$10,1,0),0)=0,"",VLOOKUP(A10,$A9:$I$10,7,0))</f>
        <v/>
      </c>
      <c r="H10" s="53"/>
      <c r="I10" s="53"/>
      <c r="J10" s="53"/>
      <c r="K10" s="114" t="s">
        <v>55</v>
      </c>
      <c r="L10" s="115">
        <v>45505</v>
      </c>
      <c r="M10" s="115">
        <v>45535</v>
      </c>
      <c r="N10" s="53">
        <f>+M10-L10</f>
        <v>30</v>
      </c>
      <c r="O10" s="29"/>
      <c r="P10" t="s">
        <v>143</v>
      </c>
      <c r="Q10" t="s">
        <v>88</v>
      </c>
      <c r="R10" t="s">
        <v>88</v>
      </c>
      <c r="S10" t="s">
        <v>88</v>
      </c>
      <c r="T10" t="s">
        <v>88</v>
      </c>
      <c r="U10" t="s">
        <v>14</v>
      </c>
    </row>
    <row r="11" spans="1:21" x14ac:dyDescent="0.45">
      <c r="A11" s="53">
        <v>284768574</v>
      </c>
      <c r="B11" s="53" t="str">
        <f>IF(LEN(A11)=8,MID(A11,1,1)&amp;"."&amp;MID(A11,2,3)&amp;"."&amp;MID(A11,5,3)&amp;"-"&amp;RIGHT(A11,1),IF(LEFT(RIGHT(A11,2),1)="-",MID(A11,1,1)&amp;"."&amp;MID(A11,2,3)&amp;"."&amp;MID(A11,5,3)&amp;"-"&amp;RIGHT(A11,1),MID(A11,1,2)&amp;"."&amp;MID(A11,3,3)&amp;"."&amp;MID(A11,6,3)&amp;"-"&amp;MID(A11,9,1)))</f>
        <v>28.476.857-4</v>
      </c>
      <c r="C11" s="113" t="s">
        <v>16</v>
      </c>
      <c r="D11" s="53" t="str">
        <f ca="1">IF(IFERROR(VLOOKUP(A11,$A$10:$I10,1,0),0)=0,"",VLOOKUP(A11,$A$10:$I10,4,0))</f>
        <v/>
      </c>
      <c r="E11" s="53" t="str">
        <f ca="1">IF(IFERROR(VLOOKUP(A11,$A$10:$I10,1,0),0)=0,"",VLOOKUP(A11,$A$10:$I10,5,0))</f>
        <v/>
      </c>
      <c r="F11" s="53" t="str">
        <f ca="1">IF(IFERROR(VLOOKUP(A11,$A$10:$I10,1,0),0)=0,"",VLOOKUP(A11,$A$10:$I10,6,0))</f>
        <v/>
      </c>
      <c r="G11" s="115" t="str">
        <f ca="1">IF(IFERROR(VLOOKUP(A11,$A$10:$I10,1,0),0)=0,"",VLOOKUP(A11,$A$10:$I10,7,0))</f>
        <v/>
      </c>
      <c r="H11" s="53"/>
      <c r="I11" s="53"/>
      <c r="J11" s="53"/>
      <c r="K11" s="114" t="s">
        <v>18</v>
      </c>
      <c r="L11" s="115">
        <v>45505</v>
      </c>
      <c r="M11" s="115">
        <v>45529</v>
      </c>
      <c r="N11" s="53">
        <f>+M11-L11</f>
        <v>24</v>
      </c>
      <c r="O11" s="29"/>
      <c r="P11" t="s">
        <v>88</v>
      </c>
      <c r="Q11" t="s">
        <v>88</v>
      </c>
      <c r="R11" t="s">
        <v>88</v>
      </c>
      <c r="S11" t="s">
        <v>88</v>
      </c>
      <c r="T11" t="s">
        <v>88</v>
      </c>
      <c r="U11" t="s">
        <v>20</v>
      </c>
    </row>
    <row r="12" spans="1:21" x14ac:dyDescent="0.45">
      <c r="A12" s="53">
        <v>68463521</v>
      </c>
      <c r="B12" s="53" t="str">
        <f>IF(LEN(A12)=8,MID(A12,1,1)&amp;"."&amp;MID(A12,2,3)&amp;"."&amp;MID(A12,5,3)&amp;"-"&amp;RIGHT(A12,1),IF(LEFT(RIGHT(A12,2),1)="-",MID(A12,1,1)&amp;"."&amp;MID(A12,2,3)&amp;"."&amp;MID(A12,5,3)&amp;"-"&amp;RIGHT(A12,1),MID(A12,1,2)&amp;"."&amp;MID(A12,3,3)&amp;"."&amp;MID(A12,6,3)&amp;"-"&amp;MID(A12,9,1)))</f>
        <v>6.846.352-1</v>
      </c>
      <c r="C12" s="113" t="s">
        <v>46</v>
      </c>
      <c r="D12" s="53" t="s">
        <v>303</v>
      </c>
      <c r="E12" s="53" t="s">
        <v>1221</v>
      </c>
      <c r="F12" s="53" t="s">
        <v>474</v>
      </c>
      <c r="G12" s="115">
        <v>45478</v>
      </c>
      <c r="H12" s="115">
        <v>45513</v>
      </c>
      <c r="I12" s="53" t="s">
        <v>54</v>
      </c>
      <c r="J12" s="53"/>
      <c r="K12" s="114" t="s">
        <v>47</v>
      </c>
      <c r="L12" s="115">
        <v>45505</v>
      </c>
      <c r="M12" s="115">
        <v>45512</v>
      </c>
      <c r="N12" s="53">
        <f>+M12-L12</f>
        <v>7</v>
      </c>
      <c r="O12" s="29"/>
      <c r="P12" t="s">
        <v>88</v>
      </c>
      <c r="Q12" t="s">
        <v>88</v>
      </c>
      <c r="R12" t="s">
        <v>88</v>
      </c>
      <c r="S12" t="s">
        <v>88</v>
      </c>
      <c r="T12" t="s">
        <v>88</v>
      </c>
      <c r="U12" t="s">
        <v>20</v>
      </c>
    </row>
    <row r="13" spans="1:21" x14ac:dyDescent="0.45">
      <c r="N13" s="53">
        <f>+'SEPTIEMBRE 2024'!M96-'SEPTIEMBRE 2024'!L96</f>
        <v>16</v>
      </c>
      <c r="O13" s="29"/>
      <c r="P13" t="s">
        <v>88</v>
      </c>
      <c r="Q13" t="s">
        <v>88</v>
      </c>
      <c r="R13" t="s">
        <v>88</v>
      </c>
      <c r="S13" t="s">
        <v>88</v>
      </c>
      <c r="T13" t="s">
        <v>88</v>
      </c>
      <c r="U13" t="s">
        <v>20</v>
      </c>
    </row>
    <row r="14" spans="1:21" x14ac:dyDescent="0.45">
      <c r="A14" s="53">
        <v>284550374</v>
      </c>
      <c r="B14" s="53" t="str">
        <f t="shared" ref="B14:B45" si="0">IF(LEN(A14)=8,MID(A14,1,1)&amp;"."&amp;MID(A14,2,3)&amp;"."&amp;MID(A14,5,3)&amp;"-"&amp;RIGHT(A14,1),IF(LEFT(RIGHT(A14,2),1)="-",MID(A14,1,1)&amp;"."&amp;MID(A14,2,3)&amp;"."&amp;MID(A14,5,3)&amp;"-"&amp;RIGHT(A14,1),MID(A14,1,2)&amp;"."&amp;MID(A14,3,3)&amp;"."&amp;MID(A14,6,3)&amp;"-"&amp;MID(A14,9,1)))</f>
        <v>28.455.037-4</v>
      </c>
      <c r="C14" s="113" t="s">
        <v>16</v>
      </c>
      <c r="D14" s="53" t="s">
        <v>679</v>
      </c>
      <c r="E14" s="53" t="s">
        <v>559</v>
      </c>
      <c r="F14" s="53" t="s">
        <v>1142</v>
      </c>
      <c r="G14" s="115">
        <v>45450</v>
      </c>
      <c r="H14" s="53"/>
      <c r="I14" s="53"/>
      <c r="J14" s="53"/>
      <c r="K14" s="114" t="s">
        <v>18</v>
      </c>
      <c r="L14" s="115">
        <v>45511</v>
      </c>
      <c r="M14" s="115">
        <v>45524</v>
      </c>
      <c r="N14" s="53">
        <f t="shared" ref="N14:N45" si="1">+M14-L14</f>
        <v>13</v>
      </c>
      <c r="O14" s="29"/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20</v>
      </c>
    </row>
    <row r="15" spans="1:21" x14ac:dyDescent="0.45">
      <c r="A15" s="53">
        <v>107751629</v>
      </c>
      <c r="B15" s="53" t="str">
        <f t="shared" si="0"/>
        <v>10.775.162-9</v>
      </c>
      <c r="C15" s="113" t="s">
        <v>22</v>
      </c>
      <c r="D15" s="53" t="s">
        <v>670</v>
      </c>
      <c r="E15" s="53" t="s">
        <v>1259</v>
      </c>
      <c r="F15" s="53" t="s">
        <v>452</v>
      </c>
      <c r="G15" s="115">
        <v>45487</v>
      </c>
      <c r="H15" s="115">
        <v>45532</v>
      </c>
      <c r="I15" s="53"/>
      <c r="J15" s="53" t="s">
        <v>22</v>
      </c>
      <c r="K15" s="114" t="s">
        <v>43</v>
      </c>
      <c r="L15" s="115">
        <v>45505</v>
      </c>
      <c r="M15" s="115">
        <v>45528</v>
      </c>
      <c r="N15" s="53">
        <f t="shared" si="1"/>
        <v>23</v>
      </c>
      <c r="O15" s="29"/>
      <c r="P15" t="s">
        <v>88</v>
      </c>
      <c r="Q15" t="s">
        <v>88</v>
      </c>
      <c r="R15" t="s">
        <v>88</v>
      </c>
      <c r="S15" t="s">
        <v>88</v>
      </c>
      <c r="T15" t="s">
        <v>88</v>
      </c>
      <c r="U15" t="s">
        <v>20</v>
      </c>
    </row>
    <row r="16" spans="1:21" x14ac:dyDescent="0.45">
      <c r="A16" s="53">
        <v>107751629</v>
      </c>
      <c r="B16" s="53" t="str">
        <f t="shared" si="0"/>
        <v>10.775.162-9</v>
      </c>
      <c r="C16" s="113" t="s">
        <v>22</v>
      </c>
      <c r="D16" s="53" t="s">
        <v>670</v>
      </c>
      <c r="E16" s="53" t="s">
        <v>1259</v>
      </c>
      <c r="F16" s="53" t="s">
        <v>452</v>
      </c>
      <c r="G16" s="115">
        <v>45487</v>
      </c>
      <c r="H16" s="115">
        <v>45532</v>
      </c>
      <c r="I16" s="53"/>
      <c r="J16" s="53" t="s">
        <v>22</v>
      </c>
      <c r="K16" s="114" t="s">
        <v>18</v>
      </c>
      <c r="L16" s="115">
        <v>45529</v>
      </c>
      <c r="M16" s="115">
        <v>45532</v>
      </c>
      <c r="N16" s="53">
        <f t="shared" si="1"/>
        <v>3</v>
      </c>
      <c r="O16" s="29"/>
      <c r="P16" t="s">
        <v>88</v>
      </c>
      <c r="Q16" t="s">
        <v>88</v>
      </c>
      <c r="R16" t="s">
        <v>88</v>
      </c>
      <c r="S16" t="s">
        <v>88</v>
      </c>
      <c r="T16" t="s">
        <v>88</v>
      </c>
      <c r="U16" t="s">
        <v>20</v>
      </c>
    </row>
    <row r="17" spans="1:21" x14ac:dyDescent="0.45">
      <c r="A17" s="53">
        <v>107751629</v>
      </c>
      <c r="B17" s="53" t="str">
        <f t="shared" si="0"/>
        <v>10.775.162-9</v>
      </c>
      <c r="C17" s="113" t="str">
        <f>IF(IFERROR(VLOOKUP(A17,$A$10:$I15,1,0),0)=0,"",VLOOKUP(A17,$A$10:$I15,3,0))</f>
        <v>UCI</v>
      </c>
      <c r="D17" s="53" t="str">
        <f>IF(IFERROR(VLOOKUP(A17,$A$10:$I15,1,0),0)=0,"",VLOOKUP(A17,$A$10:$I15,4,0))</f>
        <v>VALENZUELA</v>
      </c>
      <c r="E17" s="53" t="str">
        <f>IF(IFERROR(VLOOKUP(A17,$A$10:$I15,1,0),0)=0,"",VLOOKUP(A17,$A$10:$I15,5,0))</f>
        <v>PUENTES</v>
      </c>
      <c r="F17" s="53" t="str">
        <f>IF(IFERROR(VLOOKUP(A17,$A$10:$I15,1,0),0)=0,"",VLOOKUP(A17,$A$10:$I15,6,0))</f>
        <v>XIMENA</v>
      </c>
      <c r="G17" s="115">
        <f>IF(IFERROR(VLOOKUP(A17,$A$10:$I15,1,0),0)=0,"",VLOOKUP(A17,$A$10:$I15,7,0))</f>
        <v>45487</v>
      </c>
      <c r="H17" s="115">
        <v>45532</v>
      </c>
      <c r="I17" s="53"/>
      <c r="J17" s="53" t="s">
        <v>22</v>
      </c>
      <c r="K17" s="114" t="s">
        <v>55</v>
      </c>
      <c r="L17" s="115">
        <v>45505</v>
      </c>
      <c r="M17" s="115">
        <v>45507</v>
      </c>
      <c r="N17" s="53">
        <f t="shared" si="1"/>
        <v>2</v>
      </c>
      <c r="O17" s="29"/>
      <c r="P17" t="s">
        <v>88</v>
      </c>
      <c r="Q17" t="s">
        <v>88</v>
      </c>
      <c r="R17" t="s">
        <v>88</v>
      </c>
      <c r="S17" t="s">
        <v>88</v>
      </c>
      <c r="T17" t="s">
        <v>88</v>
      </c>
      <c r="U17" t="s">
        <v>20</v>
      </c>
    </row>
    <row r="18" spans="1:21" s="119" customFormat="1" x14ac:dyDescent="0.45">
      <c r="A18" s="85">
        <v>183887076</v>
      </c>
      <c r="B18" s="85" t="str">
        <f t="shared" si="0"/>
        <v>18.388.707-6</v>
      </c>
      <c r="C18" s="116" t="s">
        <v>22</v>
      </c>
      <c r="D18" s="85" t="s">
        <v>736</v>
      </c>
      <c r="E18" s="85" t="s">
        <v>422</v>
      </c>
      <c r="F18" s="85" t="s">
        <v>487</v>
      </c>
      <c r="G18" s="117">
        <v>45506</v>
      </c>
      <c r="H18" s="117">
        <v>45516</v>
      </c>
      <c r="I18" s="85"/>
      <c r="J18" s="85"/>
      <c r="K18" s="118" t="s">
        <v>43</v>
      </c>
      <c r="L18" s="117">
        <v>45506</v>
      </c>
      <c r="M18" s="117">
        <v>45516</v>
      </c>
      <c r="N18" s="85">
        <f t="shared" si="1"/>
        <v>10</v>
      </c>
      <c r="O18" s="29"/>
      <c r="P18" t="s">
        <v>88</v>
      </c>
      <c r="Q18" t="s">
        <v>88</v>
      </c>
      <c r="R18" t="s">
        <v>88</v>
      </c>
      <c r="S18" t="s">
        <v>88</v>
      </c>
      <c r="T18" t="s">
        <v>88</v>
      </c>
      <c r="U18" t="s">
        <v>20</v>
      </c>
    </row>
    <row r="19" spans="1:21" s="119" customFormat="1" ht="13.5" customHeight="1" x14ac:dyDescent="0.45">
      <c r="A19" s="85">
        <v>183887076</v>
      </c>
      <c r="B19" s="85" t="str">
        <f t="shared" si="0"/>
        <v>18.388.707-6</v>
      </c>
      <c r="C19" s="116" t="str">
        <f>IF(IFERROR(VLOOKUP(A19,$A$10:$I18,1,0),0)=0,"",VLOOKUP(A19,$A$10:$I18,3,0))</f>
        <v>UCI</v>
      </c>
      <c r="D19" s="85" t="str">
        <f>IF(IFERROR(VLOOKUP(A19,$A$10:$I18,1,0),0)=0,"",VLOOKUP(A19,$A$10:$I18,4,0))</f>
        <v>BURGOS</v>
      </c>
      <c r="E19" s="85" t="str">
        <f>IF(IFERROR(VLOOKUP(A19,$A$10:$I18,1,0),0)=0,"",VLOOKUP(A19,$A$10:$I18,5,0))</f>
        <v>TORRES</v>
      </c>
      <c r="F19" s="85" t="str">
        <f>IF(IFERROR(VLOOKUP(A19,$A$10:$I18,1,0),0)=0,"",VLOOKUP(A19,$A$10:$I18,6,0))</f>
        <v>CRISTIAN</v>
      </c>
      <c r="G19" s="117">
        <f>IF(IFERROR(VLOOKUP(A19,$A$10:$I18,1,0),0)=0,"",VLOOKUP(A19,$A$10:$I18,7,0))</f>
        <v>45506</v>
      </c>
      <c r="H19" s="117">
        <v>45516</v>
      </c>
      <c r="I19" s="85"/>
      <c r="J19" s="85"/>
      <c r="K19" s="118" t="s">
        <v>47</v>
      </c>
      <c r="L19" s="117">
        <v>45506</v>
      </c>
      <c r="M19" s="117">
        <v>45513</v>
      </c>
      <c r="N19" s="85">
        <f t="shared" si="1"/>
        <v>7</v>
      </c>
      <c r="O19" s="29"/>
      <c r="P19" t="s">
        <v>88</v>
      </c>
      <c r="Q19" t="s">
        <v>88</v>
      </c>
      <c r="R19" t="s">
        <v>88</v>
      </c>
      <c r="S19" t="s">
        <v>88</v>
      </c>
      <c r="T19" t="s">
        <v>88</v>
      </c>
      <c r="U19" t="s">
        <v>20</v>
      </c>
    </row>
    <row r="20" spans="1:21" s="3" customFormat="1" x14ac:dyDescent="0.45">
      <c r="A20" s="83">
        <v>163294869</v>
      </c>
      <c r="B20" s="83" t="str">
        <f t="shared" si="0"/>
        <v>16.329.486-9</v>
      </c>
      <c r="C20" s="39" t="s">
        <v>22</v>
      </c>
      <c r="D20" s="83" t="s">
        <v>537</v>
      </c>
      <c r="E20" s="83" t="s">
        <v>389</v>
      </c>
      <c r="F20" s="83" t="s">
        <v>1275</v>
      </c>
      <c r="G20" s="120">
        <v>45497</v>
      </c>
      <c r="H20" s="120">
        <v>45507</v>
      </c>
      <c r="I20" s="83"/>
      <c r="J20" s="83" t="s">
        <v>22</v>
      </c>
      <c r="K20" s="40" t="s">
        <v>43</v>
      </c>
      <c r="L20" s="120">
        <v>45505</v>
      </c>
      <c r="M20" s="120">
        <v>45507</v>
      </c>
      <c r="N20" s="83">
        <f t="shared" si="1"/>
        <v>2</v>
      </c>
      <c r="O20" s="83"/>
      <c r="P20" t="s">
        <v>88</v>
      </c>
      <c r="Q20" t="s">
        <v>88</v>
      </c>
      <c r="R20" t="s">
        <v>88</v>
      </c>
      <c r="S20" t="s">
        <v>88</v>
      </c>
      <c r="T20" t="s">
        <v>88</v>
      </c>
      <c r="U20" t="s">
        <v>20</v>
      </c>
    </row>
    <row r="21" spans="1:21" s="3" customFormat="1" x14ac:dyDescent="0.45">
      <c r="A21" s="83">
        <v>163294869</v>
      </c>
      <c r="B21" s="83" t="str">
        <f t="shared" si="0"/>
        <v>16.329.486-9</v>
      </c>
      <c r="C21" s="39" t="str">
        <f>IF(IFERROR(VLOOKUP(A21,$A$10:$I20,1,0),0)=0,"",VLOOKUP(A21,$A$10:$I20,3,0))</f>
        <v>UCI</v>
      </c>
      <c r="D21" s="83" t="str">
        <f>IF(IFERROR(VLOOKUP(A21,$A$10:$I20,1,0),0)=0,"",VLOOKUP(A21,$A$10:$I20,4,0))</f>
        <v>FLORES</v>
      </c>
      <c r="E21" s="83" t="str">
        <f>IF(IFERROR(VLOOKUP(A21,$A$10:$I20,1,0),0)=0,"",VLOOKUP(A21,$A$10:$I20,5,0))</f>
        <v>SALINAS</v>
      </c>
      <c r="F21" s="83" t="str">
        <f>IF(IFERROR(VLOOKUP(A21,$A$10:$I20,1,0),0)=0,"",VLOOKUP(A21,$A$10:$I20,6,0))</f>
        <v>ESTEBAN</v>
      </c>
      <c r="G21" s="120">
        <f>IF(IFERROR(VLOOKUP(A21,$A$10:$I20,1,0),0)=0,"",VLOOKUP(A21,$A$10:$I20,7,0))</f>
        <v>45497</v>
      </c>
      <c r="H21" s="120">
        <v>45507</v>
      </c>
      <c r="I21" s="83"/>
      <c r="J21" s="83" t="s">
        <v>22</v>
      </c>
      <c r="K21" s="40" t="s">
        <v>47</v>
      </c>
      <c r="L21" s="120">
        <v>45505</v>
      </c>
      <c r="M21" s="120">
        <v>45507</v>
      </c>
      <c r="N21" s="83">
        <f t="shared" si="1"/>
        <v>2</v>
      </c>
      <c r="O21" s="83"/>
      <c r="P21" t="s">
        <v>88</v>
      </c>
      <c r="Q21" t="s">
        <v>88</v>
      </c>
      <c r="R21" t="s">
        <v>88</v>
      </c>
      <c r="S21" t="s">
        <v>88</v>
      </c>
      <c r="T21" t="s">
        <v>88</v>
      </c>
      <c r="U21" t="s">
        <v>20</v>
      </c>
    </row>
    <row r="22" spans="1:21" s="3" customFormat="1" x14ac:dyDescent="0.45">
      <c r="A22" s="83">
        <v>163294869</v>
      </c>
      <c r="B22" s="83" t="str">
        <f t="shared" si="0"/>
        <v>16.329.486-9</v>
      </c>
      <c r="C22" s="39" t="str">
        <f>IF(IFERROR(VLOOKUP(A22,$A$10:$I21,1,0),0)=0,"",VLOOKUP(A22,$A$10:$I21,3,0))</f>
        <v>UCI</v>
      </c>
      <c r="D22" s="83" t="str">
        <f>IF(IFERROR(VLOOKUP(A22,$A$10:$I21,1,0),0)=0,"",VLOOKUP(A22,$A$10:$I21,4,0))</f>
        <v>FLORES</v>
      </c>
      <c r="E22" s="83" t="str">
        <f>IF(IFERROR(VLOOKUP(A22,$A$10:$I21,1,0),0)=0,"",VLOOKUP(A22,$A$10:$I21,5,0))</f>
        <v>SALINAS</v>
      </c>
      <c r="F22" s="83" t="str">
        <f>IF(IFERROR(VLOOKUP(A22,$A$10:$I21,1,0),0)=0,"",VLOOKUP(A22,$A$10:$I21,6,0))</f>
        <v>ESTEBAN</v>
      </c>
      <c r="G22" s="120">
        <f>IF(IFERROR(VLOOKUP(A22,$A$10:$I21,1,0),0)=0,"",VLOOKUP(A22,$A$10:$I21,7,0))</f>
        <v>45497</v>
      </c>
      <c r="H22" s="120">
        <v>45507</v>
      </c>
      <c r="I22" s="83"/>
      <c r="J22" s="83" t="s">
        <v>22</v>
      </c>
      <c r="K22" s="40" t="s">
        <v>55</v>
      </c>
      <c r="L22" s="120">
        <v>45505</v>
      </c>
      <c r="M22" s="120">
        <v>45505</v>
      </c>
      <c r="N22" s="83">
        <f t="shared" si="1"/>
        <v>0</v>
      </c>
      <c r="O22" s="83"/>
      <c r="P22" t="s">
        <v>88</v>
      </c>
      <c r="Q22" t="s">
        <v>88</v>
      </c>
      <c r="R22" t="s">
        <v>88</v>
      </c>
      <c r="S22" t="s">
        <v>88</v>
      </c>
      <c r="T22" t="s">
        <v>88</v>
      </c>
      <c r="U22" t="s">
        <v>20</v>
      </c>
    </row>
    <row r="23" spans="1:21" s="3" customFormat="1" x14ac:dyDescent="0.45">
      <c r="A23" s="83">
        <v>109313300</v>
      </c>
      <c r="B23" s="83" t="str">
        <f t="shared" si="0"/>
        <v>10.931.330-0</v>
      </c>
      <c r="C23" s="39" t="s">
        <v>22</v>
      </c>
      <c r="D23" s="83" t="s">
        <v>859</v>
      </c>
      <c r="E23" s="83" t="s">
        <v>349</v>
      </c>
      <c r="F23" s="83" t="s">
        <v>748</v>
      </c>
      <c r="G23" s="120">
        <v>45500</v>
      </c>
      <c r="H23" s="120">
        <v>45508</v>
      </c>
      <c r="I23" s="83"/>
      <c r="J23" s="83"/>
      <c r="K23" s="40" t="s">
        <v>43</v>
      </c>
      <c r="L23" s="120">
        <v>45505</v>
      </c>
      <c r="M23" s="120">
        <v>45508</v>
      </c>
      <c r="N23" s="83">
        <f t="shared" si="1"/>
        <v>3</v>
      </c>
      <c r="O23" s="83"/>
      <c r="P23" t="s">
        <v>88</v>
      </c>
      <c r="Q23" t="s">
        <v>88</v>
      </c>
      <c r="R23" t="s">
        <v>88</v>
      </c>
      <c r="S23" t="s">
        <v>88</v>
      </c>
      <c r="T23" t="s">
        <v>88</v>
      </c>
      <c r="U23" t="s">
        <v>20</v>
      </c>
    </row>
    <row r="24" spans="1:21" s="3" customFormat="1" x14ac:dyDescent="0.45">
      <c r="A24" s="83">
        <v>109313300</v>
      </c>
      <c r="B24" s="83" t="str">
        <f t="shared" si="0"/>
        <v>10.931.330-0</v>
      </c>
      <c r="C24" s="39" t="str">
        <f>IF(IFERROR(VLOOKUP(A24,$A$10:$I23,1,0),0)=0,"",VLOOKUP(A24,$A$10:$I23,3,0))</f>
        <v>UCI</v>
      </c>
      <c r="D24" s="83" t="str">
        <f>IF(IFERROR(VLOOKUP(A24,$A$10:$I23,1,0),0)=0,"",VLOOKUP(A24,$A$10:$I23,4,0))</f>
        <v>CORREA</v>
      </c>
      <c r="E24" s="83" t="str">
        <f>IF(IFERROR(VLOOKUP(A24,$A$10:$I23,1,0),0)=0,"",VLOOKUP(A24,$A$10:$I23,5,0))</f>
        <v>ZUÑIGA</v>
      </c>
      <c r="F24" s="83" t="str">
        <f>IF(IFERROR(VLOOKUP(A24,$A$10:$I23,1,0),0)=0,"",VLOOKUP(A24,$A$10:$I23,6,0))</f>
        <v>PABLO</v>
      </c>
      <c r="G24" s="120">
        <f>IF(IFERROR(VLOOKUP(A24,$A$10:$I23,1,0),0)=0,"",VLOOKUP(A24,$A$10:$I23,7,0))</f>
        <v>45500</v>
      </c>
      <c r="H24" s="120">
        <v>45508</v>
      </c>
      <c r="I24" s="83"/>
      <c r="J24" s="83"/>
      <c r="K24" s="40" t="s">
        <v>47</v>
      </c>
      <c r="L24" s="120">
        <v>45505</v>
      </c>
      <c r="M24" s="120">
        <v>45508</v>
      </c>
      <c r="N24" s="83">
        <f t="shared" si="1"/>
        <v>3</v>
      </c>
      <c r="O24" s="83"/>
      <c r="P24" t="s">
        <v>88</v>
      </c>
      <c r="Q24" t="s">
        <v>88</v>
      </c>
      <c r="R24" t="s">
        <v>88</v>
      </c>
      <c r="S24" t="s">
        <v>88</v>
      </c>
      <c r="T24" t="s">
        <v>88</v>
      </c>
      <c r="U24" t="s">
        <v>20</v>
      </c>
    </row>
    <row r="25" spans="1:21" x14ac:dyDescent="0.45">
      <c r="A25" s="53">
        <v>284550374</v>
      </c>
      <c r="B25" s="53" t="str">
        <f t="shared" si="0"/>
        <v>28.455.037-4</v>
      </c>
      <c r="C25" s="113" t="str">
        <f>IF(IFERROR(VLOOKUP(A25,$A$10:$I24,1,0),0)=0,"",VLOOKUP(A25,$A$10:$I24,3,0))</f>
        <v>UCI neonatal</v>
      </c>
      <c r="D25" s="53" t="str">
        <f>IF(IFERROR(VLOOKUP(A25,$A$10:$I24,1,0),0)=0,"",VLOOKUP(A25,$A$10:$I24,4,0))</f>
        <v>CEBALLOS</v>
      </c>
      <c r="E25" s="53" t="str">
        <f>IF(IFERROR(VLOOKUP(A25,$A$10:$I24,1,0),0)=0,"",VLOOKUP(A25,$A$10:$I24,5,0))</f>
        <v>SEPULVEDA</v>
      </c>
      <c r="F25" s="53" t="str">
        <f>IF(IFERROR(VLOOKUP(A25,$A$10:$I24,1,0),0)=0,"",VLOOKUP(A25,$A$10:$I24,6,0))</f>
        <v xml:space="preserve">NOAH </v>
      </c>
      <c r="G25" s="115">
        <f>IF(IFERROR(VLOOKUP(A25,$A$10:$I24,1,0),0)=0,"",VLOOKUP(A25,$A$10:$I24,7,0))</f>
        <v>45450</v>
      </c>
      <c r="H25" s="53"/>
      <c r="I25" s="53"/>
      <c r="J25" s="53"/>
      <c r="K25" s="24" t="s">
        <v>55</v>
      </c>
      <c r="L25" s="49">
        <v>45508</v>
      </c>
      <c r="M25" s="49">
        <v>45516</v>
      </c>
      <c r="N25" s="53">
        <f t="shared" si="1"/>
        <v>8</v>
      </c>
      <c r="O25" s="29"/>
      <c r="P25" t="s">
        <v>88</v>
      </c>
      <c r="Q25" t="s">
        <v>88</v>
      </c>
      <c r="R25" t="s">
        <v>88</v>
      </c>
      <c r="S25" t="s">
        <v>88</v>
      </c>
      <c r="T25" t="s">
        <v>88</v>
      </c>
      <c r="U25" t="s">
        <v>20</v>
      </c>
    </row>
    <row r="26" spans="1:21" x14ac:dyDescent="0.45">
      <c r="A26" s="53">
        <v>284768574</v>
      </c>
      <c r="B26" s="53" t="str">
        <f t="shared" si="0"/>
        <v>28.476.857-4</v>
      </c>
      <c r="C26" s="113" t="str">
        <f ca="1">IF(IFERROR(VLOOKUP(A26,$A$10:$I25,1,0),0)=0,"",VLOOKUP(A26,$A$10:$I25,3,0))</f>
        <v/>
      </c>
      <c r="D26" s="53" t="str">
        <f ca="1">IF(IFERROR(VLOOKUP(A26,$A$10:$I25,1,0),0)=0,"",VLOOKUP(A26,$A$10:$I25,4,0))</f>
        <v/>
      </c>
      <c r="E26" s="53" t="str">
        <f ca="1">IF(IFERROR(VLOOKUP(A26,$A$10:$I25,1,0),0)=0,"",VLOOKUP(A26,$A$10:$I25,5,0))</f>
        <v/>
      </c>
      <c r="F26" s="53" t="str">
        <f ca="1">IF(IFERROR(VLOOKUP(A26,$A$10:$I25,1,0),0)=0,"",VLOOKUP(A26,$A$10:$I25,6,0))</f>
        <v/>
      </c>
      <c r="G26" s="115" t="str">
        <f ca="1">IF(IFERROR(VLOOKUP(A26,$A$10:$I25,1,0),0)=0,"",VLOOKUP(A26,$A$10:$I25,7,0))</f>
        <v/>
      </c>
      <c r="H26" s="53"/>
      <c r="I26" s="53"/>
      <c r="J26" s="53"/>
      <c r="K26" s="114" t="s">
        <v>18</v>
      </c>
      <c r="L26" s="115">
        <v>45506</v>
      </c>
      <c r="M26" s="115">
        <v>45535</v>
      </c>
      <c r="N26" s="53">
        <f t="shared" si="1"/>
        <v>29</v>
      </c>
      <c r="O26" s="29"/>
      <c r="P26" t="s">
        <v>88</v>
      </c>
      <c r="Q26" t="s">
        <v>88</v>
      </c>
      <c r="R26" t="s">
        <v>88</v>
      </c>
      <c r="S26" t="s">
        <v>88</v>
      </c>
      <c r="T26" t="s">
        <v>88</v>
      </c>
      <c r="U26" t="s">
        <v>20</v>
      </c>
    </row>
    <row r="27" spans="1:21" x14ac:dyDescent="0.45">
      <c r="A27" s="53">
        <v>284458796</v>
      </c>
      <c r="B27" s="53" t="str">
        <f t="shared" si="0"/>
        <v>28.445.879-6</v>
      </c>
      <c r="C27" s="113" t="s">
        <v>16</v>
      </c>
      <c r="D27" s="53" t="s">
        <v>461</v>
      </c>
      <c r="E27" s="53" t="s">
        <v>1115</v>
      </c>
      <c r="F27" s="53" t="s">
        <v>524</v>
      </c>
      <c r="G27" s="115">
        <v>45442</v>
      </c>
      <c r="H27" s="115">
        <v>45531</v>
      </c>
      <c r="I27" s="53"/>
      <c r="J27" s="53" t="s">
        <v>69</v>
      </c>
      <c r="K27" s="114" t="s">
        <v>18</v>
      </c>
      <c r="L27" s="115">
        <v>45505</v>
      </c>
      <c r="M27" s="115">
        <v>45531</v>
      </c>
      <c r="N27" s="53">
        <f t="shared" si="1"/>
        <v>26</v>
      </c>
      <c r="O27" s="29"/>
      <c r="P27" t="s">
        <v>88</v>
      </c>
      <c r="Q27" t="s">
        <v>88</v>
      </c>
      <c r="R27" t="s">
        <v>88</v>
      </c>
      <c r="S27" t="s">
        <v>88</v>
      </c>
      <c r="T27" t="s">
        <v>88</v>
      </c>
      <c r="U27" t="s">
        <v>20</v>
      </c>
    </row>
    <row r="28" spans="1:21" x14ac:dyDescent="0.45">
      <c r="A28" s="53">
        <v>98210881</v>
      </c>
      <c r="B28" s="53" t="str">
        <f t="shared" si="0"/>
        <v>9.821.088-1</v>
      </c>
      <c r="C28" s="113" t="s">
        <v>46</v>
      </c>
      <c r="D28" s="53" t="s">
        <v>435</v>
      </c>
      <c r="E28" s="53" t="s">
        <v>345</v>
      </c>
      <c r="F28" s="53" t="s">
        <v>452</v>
      </c>
      <c r="G28" s="115">
        <v>45496</v>
      </c>
      <c r="H28" s="53"/>
      <c r="I28" s="53" t="s">
        <v>56</v>
      </c>
      <c r="J28" s="53" t="s">
        <v>52</v>
      </c>
      <c r="K28" s="114" t="s">
        <v>18</v>
      </c>
      <c r="L28" s="115">
        <v>45505</v>
      </c>
      <c r="M28" s="115">
        <v>45515</v>
      </c>
      <c r="N28" s="53">
        <f t="shared" si="1"/>
        <v>10</v>
      </c>
      <c r="O28" s="29"/>
      <c r="P28" t="s">
        <v>88</v>
      </c>
      <c r="Q28" t="s">
        <v>88</v>
      </c>
      <c r="R28" t="s">
        <v>88</v>
      </c>
      <c r="S28" t="s">
        <v>88</v>
      </c>
      <c r="T28" t="s">
        <v>88</v>
      </c>
      <c r="U28" t="s">
        <v>20</v>
      </c>
    </row>
    <row r="29" spans="1:21" x14ac:dyDescent="0.45">
      <c r="A29" s="29">
        <v>167359701</v>
      </c>
      <c r="B29" s="29" t="str">
        <f t="shared" si="0"/>
        <v>16.735.970-1</v>
      </c>
      <c r="C29" s="22" t="s">
        <v>22</v>
      </c>
      <c r="D29" s="29" t="s">
        <v>1298</v>
      </c>
      <c r="E29" s="29" t="s">
        <v>403</v>
      </c>
      <c r="F29" s="29" t="s">
        <v>1299</v>
      </c>
      <c r="G29" s="49">
        <v>45521</v>
      </c>
      <c r="H29" s="49">
        <v>46590</v>
      </c>
      <c r="I29" s="29"/>
      <c r="J29" s="29" t="s">
        <v>19</v>
      </c>
      <c r="K29" s="24" t="s">
        <v>43</v>
      </c>
      <c r="L29" s="49">
        <v>45521</v>
      </c>
      <c r="M29" s="49">
        <v>45526</v>
      </c>
      <c r="N29" s="29">
        <f t="shared" si="1"/>
        <v>5</v>
      </c>
      <c r="O29" s="29" t="s">
        <v>14</v>
      </c>
      <c r="P29" t="s">
        <v>88</v>
      </c>
      <c r="Q29" t="s">
        <v>88</v>
      </c>
      <c r="R29" t="s">
        <v>88</v>
      </c>
      <c r="S29" t="s">
        <v>88</v>
      </c>
      <c r="T29" t="s">
        <v>88</v>
      </c>
      <c r="U29" t="s">
        <v>20</v>
      </c>
    </row>
    <row r="30" spans="1:21" x14ac:dyDescent="0.45">
      <c r="A30" s="29">
        <v>167359701</v>
      </c>
      <c r="B30" s="29" t="str">
        <f t="shared" si="0"/>
        <v>16.735.970-1</v>
      </c>
      <c r="C30" s="22" t="str">
        <f>IF(IFERROR(VLOOKUP(A30,$A$10:$I29,1,0),0)=0,"",VLOOKUP(A30,$A$10:$I29,3,0))</f>
        <v>UCI</v>
      </c>
      <c r="D30" s="29" t="str">
        <f>IF(IFERROR(VLOOKUP(A30,$A$10:$I29,1,0),0)=0,"",VLOOKUP(A30,$A$10:$I29,4,0))</f>
        <v>GALDAMES</v>
      </c>
      <c r="E30" s="29" t="str">
        <f>IF(IFERROR(VLOOKUP(A30,$A$10:$I29,1,0),0)=0,"",VLOOKUP(A30,$A$10:$I29,5,0))</f>
        <v>GARRIDO</v>
      </c>
      <c r="F30" s="29" t="str">
        <f>IF(IFERROR(VLOOKUP(A30,$A$10:$I29,1,0),0)=0,"",VLOOKUP(A30,$A$10:$I29,6,0))</f>
        <v>ANDREA</v>
      </c>
      <c r="G30" s="49">
        <f>IF(IFERROR(VLOOKUP(A30,$A$10:$I29,1,0),0)=0,"",VLOOKUP(A30,$A$10:$I29,7,0))</f>
        <v>45521</v>
      </c>
      <c r="H30" s="49">
        <v>46590</v>
      </c>
      <c r="I30" s="29"/>
      <c r="J30" s="29" t="s">
        <v>19</v>
      </c>
      <c r="K30" s="24" t="s">
        <v>47</v>
      </c>
      <c r="L30" s="49">
        <v>45524</v>
      </c>
      <c r="M30" s="49">
        <v>45526</v>
      </c>
      <c r="N30" s="29">
        <f t="shared" si="1"/>
        <v>2</v>
      </c>
      <c r="O30" s="29"/>
      <c r="P30" t="s">
        <v>88</v>
      </c>
      <c r="Q30" t="s">
        <v>88</v>
      </c>
      <c r="R30" t="s">
        <v>88</v>
      </c>
      <c r="S30" t="s">
        <v>88</v>
      </c>
      <c r="T30" t="s">
        <v>88</v>
      </c>
      <c r="U30" t="s">
        <v>20</v>
      </c>
    </row>
    <row r="31" spans="1:21" x14ac:dyDescent="0.45">
      <c r="A31" s="29">
        <v>78719990</v>
      </c>
      <c r="B31" s="29" t="str">
        <f t="shared" si="0"/>
        <v>7.871.999-0</v>
      </c>
      <c r="C31" s="22" t="s">
        <v>22</v>
      </c>
      <c r="D31" s="29" t="s">
        <v>1300</v>
      </c>
      <c r="E31" s="29" t="s">
        <v>375</v>
      </c>
      <c r="F31" s="29" t="s">
        <v>1301</v>
      </c>
      <c r="G31" s="49">
        <v>45504</v>
      </c>
      <c r="H31" s="49">
        <v>45506</v>
      </c>
      <c r="I31" s="29"/>
      <c r="J31" s="29" t="s">
        <v>22</v>
      </c>
      <c r="K31" s="24" t="s">
        <v>43</v>
      </c>
      <c r="L31" s="49">
        <v>45505</v>
      </c>
      <c r="M31" s="49">
        <v>45506</v>
      </c>
      <c r="N31" s="29">
        <f t="shared" si="1"/>
        <v>1</v>
      </c>
      <c r="O31" s="29"/>
      <c r="P31" t="s">
        <v>88</v>
      </c>
      <c r="Q31" t="s">
        <v>88</v>
      </c>
      <c r="R31" t="s">
        <v>88</v>
      </c>
      <c r="S31" t="s">
        <v>88</v>
      </c>
      <c r="T31" t="s">
        <v>88</v>
      </c>
      <c r="U31" t="s">
        <v>20</v>
      </c>
    </row>
    <row r="32" spans="1:21" x14ac:dyDescent="0.45">
      <c r="A32" s="29">
        <v>78719990</v>
      </c>
      <c r="B32" s="29" t="str">
        <f t="shared" si="0"/>
        <v>7.871.999-0</v>
      </c>
      <c r="C32" s="22" t="str">
        <f>IF(IFERROR(VLOOKUP(A32,$A$10:$I31,1,0),0)=0,"",VLOOKUP(A32,$A$10:$I31,3,0))</f>
        <v>UCI</v>
      </c>
      <c r="D32" s="29" t="str">
        <f>IF(IFERROR(VLOOKUP(A32,$A$10:$I31,1,0),0)=0,"",VLOOKUP(A32,$A$10:$I31,4,0))</f>
        <v>CORRAL</v>
      </c>
      <c r="E32" s="29" t="str">
        <f>IF(IFERROR(VLOOKUP(A32,$A$10:$I31,1,0),0)=0,"",VLOOKUP(A32,$A$10:$I31,5,0))</f>
        <v>CASTILLO</v>
      </c>
      <c r="F32" s="29" t="str">
        <f>IF(IFERROR(VLOOKUP(A32,$A$10:$I31,1,0),0)=0,"",VLOOKUP(A32,$A$10:$I31,6,0))</f>
        <v>MATILDE</v>
      </c>
      <c r="G32" s="49">
        <f>IF(IFERROR(VLOOKUP(A32,$A$10:$I31,1,0),0)=0,"",VLOOKUP(A32,$A$10:$I31,7,0))</f>
        <v>45504</v>
      </c>
      <c r="H32" s="49">
        <v>45506</v>
      </c>
      <c r="I32" s="29"/>
      <c r="J32" s="29" t="s">
        <v>22</v>
      </c>
      <c r="K32" s="24" t="s">
        <v>47</v>
      </c>
      <c r="L32" s="49">
        <v>45505</v>
      </c>
      <c r="M32" s="49">
        <v>45506</v>
      </c>
      <c r="N32" s="29">
        <f t="shared" si="1"/>
        <v>1</v>
      </c>
      <c r="O32" s="29"/>
      <c r="P32" t="s">
        <v>88</v>
      </c>
      <c r="Q32" t="s">
        <v>88</v>
      </c>
      <c r="R32" t="s">
        <v>88</v>
      </c>
      <c r="S32" t="s">
        <v>88</v>
      </c>
      <c r="T32" t="s">
        <v>88</v>
      </c>
      <c r="U32" t="s">
        <v>20</v>
      </c>
    </row>
    <row r="33" spans="1:21" x14ac:dyDescent="0.45">
      <c r="A33" s="29">
        <v>78719990</v>
      </c>
      <c r="B33" s="29" t="str">
        <f t="shared" si="0"/>
        <v>7.871.999-0</v>
      </c>
      <c r="C33" s="22" t="s">
        <v>22</v>
      </c>
      <c r="D33" s="29" t="str">
        <f>IF(IFERROR(VLOOKUP(A33,$A$10:$I32,1,0),0)=0,"",VLOOKUP(A33,$A$10:$I32,4,0))</f>
        <v>CORRAL</v>
      </c>
      <c r="E33" s="29" t="str">
        <f>IF(IFERROR(VLOOKUP(A33,$A$10:$I32,1,0),0)=0,"",VLOOKUP(A33,$A$10:$I32,5,0))</f>
        <v>CASTILLO</v>
      </c>
      <c r="F33" s="29" t="str">
        <f>IF(IFERROR(VLOOKUP(A33,$A$10:$I32,1,0),0)=0,"",VLOOKUP(A33,$A$10:$I32,6,0))</f>
        <v>MATILDE</v>
      </c>
      <c r="G33" s="49">
        <v>45506</v>
      </c>
      <c r="H33" s="49">
        <v>45511</v>
      </c>
      <c r="I33" s="29"/>
      <c r="J33" s="29" t="s">
        <v>56</v>
      </c>
      <c r="K33" s="24" t="s">
        <v>43</v>
      </c>
      <c r="L33" s="49">
        <v>45506</v>
      </c>
      <c r="M33" s="49">
        <v>45511</v>
      </c>
      <c r="N33" s="29">
        <f t="shared" si="1"/>
        <v>5</v>
      </c>
      <c r="O33" s="29"/>
      <c r="P33" t="s">
        <v>88</v>
      </c>
      <c r="Q33" t="s">
        <v>88</v>
      </c>
      <c r="R33" t="s">
        <v>88</v>
      </c>
      <c r="S33" t="s">
        <v>88</v>
      </c>
      <c r="T33" t="s">
        <v>88</v>
      </c>
      <c r="U33" t="s">
        <v>20</v>
      </c>
    </row>
    <row r="34" spans="1:21" x14ac:dyDescent="0.45">
      <c r="A34" s="29">
        <v>78719990</v>
      </c>
      <c r="B34" s="29" t="str">
        <f t="shared" si="0"/>
        <v>7.871.999-0</v>
      </c>
      <c r="C34" s="22" t="s">
        <v>22</v>
      </c>
      <c r="D34" s="29" t="str">
        <f>IF(IFERROR(VLOOKUP(A34,$A$10:$I33,1,0),0)=0,"",VLOOKUP(A34,$A$10:$I33,4,0))</f>
        <v>CORRAL</v>
      </c>
      <c r="E34" s="29" t="str">
        <f>IF(IFERROR(VLOOKUP(A34,$A$10:$I33,1,0),0)=0,"",VLOOKUP(A34,$A$10:$I33,5,0))</f>
        <v>CASTILLO</v>
      </c>
      <c r="F34" s="29" t="str">
        <f>IF(IFERROR(VLOOKUP(A34,$A$10:$I33,1,0),0)=0,"",VLOOKUP(A34,$A$10:$I33,6,0))</f>
        <v>MATILDE</v>
      </c>
      <c r="G34" s="49">
        <v>45506</v>
      </c>
      <c r="H34" s="49">
        <v>45511</v>
      </c>
      <c r="I34" s="29"/>
      <c r="J34" s="29"/>
      <c r="K34" s="24" t="s">
        <v>47</v>
      </c>
      <c r="L34" s="49">
        <v>45506</v>
      </c>
      <c r="M34" s="49">
        <v>45511</v>
      </c>
      <c r="N34" s="29">
        <f t="shared" si="1"/>
        <v>5</v>
      </c>
      <c r="O34" s="29"/>
      <c r="P34" t="s">
        <v>88</v>
      </c>
      <c r="Q34" t="s">
        <v>88</v>
      </c>
      <c r="R34" t="s">
        <v>88</v>
      </c>
      <c r="S34" t="s">
        <v>88</v>
      </c>
      <c r="T34" t="s">
        <v>88</v>
      </c>
      <c r="U34" t="s">
        <v>20</v>
      </c>
    </row>
    <row r="35" spans="1:21" x14ac:dyDescent="0.45">
      <c r="A35" s="29" t="s">
        <v>1302</v>
      </c>
      <c r="B35" s="29" t="str">
        <f t="shared" si="0"/>
        <v>10.611.160-k</v>
      </c>
      <c r="C35" s="22" t="s">
        <v>22</v>
      </c>
      <c r="D35" s="29" t="s">
        <v>810</v>
      </c>
      <c r="E35" s="29" t="s">
        <v>1094</v>
      </c>
      <c r="F35" s="29" t="s">
        <v>1303</v>
      </c>
      <c r="G35" s="49">
        <v>45504</v>
      </c>
      <c r="H35" s="49">
        <v>45506</v>
      </c>
      <c r="I35" s="29"/>
      <c r="J35" s="29" t="s">
        <v>19</v>
      </c>
      <c r="K35" s="24" t="s">
        <v>43</v>
      </c>
      <c r="L35" s="49">
        <v>45505</v>
      </c>
      <c r="M35" s="49">
        <v>45506</v>
      </c>
      <c r="N35" s="29">
        <f t="shared" si="1"/>
        <v>1</v>
      </c>
      <c r="O35" s="29"/>
      <c r="P35" t="s">
        <v>88</v>
      </c>
      <c r="Q35" t="s">
        <v>88</v>
      </c>
      <c r="R35" t="s">
        <v>88</v>
      </c>
      <c r="S35" t="s">
        <v>88</v>
      </c>
      <c r="T35" t="s">
        <v>88</v>
      </c>
      <c r="U35" t="s">
        <v>20</v>
      </c>
    </row>
    <row r="36" spans="1:21" x14ac:dyDescent="0.45">
      <c r="A36" s="29" t="s">
        <v>1302</v>
      </c>
      <c r="B36" s="29" t="str">
        <f t="shared" si="0"/>
        <v>10.611.160-k</v>
      </c>
      <c r="C36" s="22" t="str">
        <f>IF(IFERROR(VLOOKUP(A36,$A$10:$I35,1,0),0)=0,"",VLOOKUP(A36,$A$10:$I35,3,0))</f>
        <v>UCI</v>
      </c>
      <c r="D36" s="29" t="str">
        <f>IF(IFERROR(VLOOKUP(A36,$A$10:$I35,1,0),0)=0,"",VLOOKUP(A36,$A$10:$I35,4,0))</f>
        <v>CARTES</v>
      </c>
      <c r="E36" s="29" t="str">
        <f>IF(IFERROR(VLOOKUP(A36,$A$10:$I35,1,0),0)=0,"",VLOOKUP(A36,$A$10:$I35,5,0))</f>
        <v>OLIVARES</v>
      </c>
      <c r="F36" s="29" t="str">
        <f>IF(IFERROR(VLOOKUP(A36,$A$10:$I35,1,0),0)=0,"",VLOOKUP(A36,$A$10:$I35,6,0))</f>
        <v>FLORENTINA</v>
      </c>
      <c r="G36" s="49">
        <f>IF(IFERROR(VLOOKUP(A36,$A$10:$I35,1,0),0)=0,"",VLOOKUP(A36,$A$10:$I35,7,0))</f>
        <v>45504</v>
      </c>
      <c r="H36" s="49">
        <v>45506</v>
      </c>
      <c r="I36" s="29"/>
      <c r="J36" s="29"/>
      <c r="K36" s="24" t="s">
        <v>47</v>
      </c>
      <c r="L36" s="49">
        <v>45505</v>
      </c>
      <c r="M36" s="49">
        <v>45506</v>
      </c>
      <c r="N36" s="29">
        <f t="shared" si="1"/>
        <v>1</v>
      </c>
      <c r="O36" s="29"/>
      <c r="P36" t="s">
        <v>88</v>
      </c>
      <c r="Q36" t="s">
        <v>88</v>
      </c>
      <c r="R36" t="s">
        <v>88</v>
      </c>
      <c r="S36" t="s">
        <v>88</v>
      </c>
      <c r="T36" t="s">
        <v>88</v>
      </c>
      <c r="U36" t="s">
        <v>20</v>
      </c>
    </row>
    <row r="37" spans="1:21" x14ac:dyDescent="0.45">
      <c r="A37" s="29" t="s">
        <v>1302</v>
      </c>
      <c r="B37" s="29" t="str">
        <f t="shared" si="0"/>
        <v>10.611.160-k</v>
      </c>
      <c r="C37" s="22" t="str">
        <f>IF(IFERROR(VLOOKUP(A37,$A$10:$I36,1,0),0)=0,"",VLOOKUP(A37,$A$10:$I36,3,0))</f>
        <v>UCI</v>
      </c>
      <c r="D37" s="29" t="str">
        <f>IF(IFERROR(VLOOKUP(A37,$A$10:$I36,1,0),0)=0,"",VLOOKUP(A37,$A$10:$I36,4,0))</f>
        <v>CARTES</v>
      </c>
      <c r="E37" s="29" t="str">
        <f>IF(IFERROR(VLOOKUP(A37,$A$10:$I36,1,0),0)=0,"",VLOOKUP(A37,$A$10:$I36,5,0))</f>
        <v>OLIVARES</v>
      </c>
      <c r="F37" s="29" t="str">
        <f>IF(IFERROR(VLOOKUP(A37,$A$10:$I36,1,0),0)=0,"",VLOOKUP(A37,$A$10:$I36,6,0))</f>
        <v>FLORENTINA</v>
      </c>
      <c r="G37" s="49">
        <f>IF(IFERROR(VLOOKUP(A37,$A$10:$I36,1,0),0)=0,"",VLOOKUP(A37,$A$10:$I36,7,0))</f>
        <v>45504</v>
      </c>
      <c r="H37" s="49">
        <v>45506</v>
      </c>
      <c r="I37" s="29"/>
      <c r="J37" s="29"/>
      <c r="K37" s="24" t="s">
        <v>55</v>
      </c>
      <c r="L37" s="49">
        <v>45505</v>
      </c>
      <c r="M37" s="49">
        <v>45506</v>
      </c>
      <c r="N37" s="29">
        <f t="shared" si="1"/>
        <v>1</v>
      </c>
      <c r="O37" s="29"/>
      <c r="P37" t="s">
        <v>88</v>
      </c>
      <c r="Q37" t="s">
        <v>88</v>
      </c>
      <c r="R37" t="s">
        <v>88</v>
      </c>
      <c r="S37" t="s">
        <v>88</v>
      </c>
      <c r="T37" t="s">
        <v>88</v>
      </c>
      <c r="U37" t="s">
        <v>20</v>
      </c>
    </row>
    <row r="38" spans="1:21" x14ac:dyDescent="0.45">
      <c r="A38" s="29">
        <v>68368561</v>
      </c>
      <c r="B38" s="29" t="str">
        <f t="shared" si="0"/>
        <v>6.836.856-1</v>
      </c>
      <c r="C38" s="22" t="s">
        <v>22</v>
      </c>
      <c r="D38" s="29" t="s">
        <v>1151</v>
      </c>
      <c r="E38" s="29" t="s">
        <v>424</v>
      </c>
      <c r="F38" s="29" t="s">
        <v>1152</v>
      </c>
      <c r="G38" s="49">
        <v>45503</v>
      </c>
      <c r="H38" s="49">
        <v>45509</v>
      </c>
      <c r="I38" s="29"/>
      <c r="J38" s="29" t="s">
        <v>22</v>
      </c>
      <c r="K38" s="24" t="s">
        <v>43</v>
      </c>
      <c r="L38" s="49">
        <v>45505</v>
      </c>
      <c r="M38" s="49">
        <v>45509</v>
      </c>
      <c r="N38" s="29">
        <f t="shared" si="1"/>
        <v>4</v>
      </c>
      <c r="O38" s="29"/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20</v>
      </c>
    </row>
    <row r="39" spans="1:21" x14ac:dyDescent="0.45">
      <c r="A39" s="29">
        <v>68368561</v>
      </c>
      <c r="B39" s="29" t="str">
        <f t="shared" si="0"/>
        <v>6.836.856-1</v>
      </c>
      <c r="C39" s="22" t="str">
        <f>IF(IFERROR(VLOOKUP(A39,$A$10:$I38,1,0),0)=0,"",VLOOKUP(A39,$A$10:$I38,3,0))</f>
        <v>UCI</v>
      </c>
      <c r="D39" s="29" t="str">
        <f>IF(IFERROR(VLOOKUP(A39,$A$10:$I38,1,0),0)=0,"",VLOOKUP(A39,$A$10:$I38,4,0))</f>
        <v>BIZAMA</v>
      </c>
      <c r="E39" s="29" t="str">
        <f>IF(IFERROR(VLOOKUP(A39,$A$10:$I38,1,0),0)=0,"",VLOOKUP(A39,$A$10:$I38,5,0))</f>
        <v>ORTIZ</v>
      </c>
      <c r="F39" s="29" t="str">
        <f>IF(IFERROR(VLOOKUP(A39,$A$10:$I38,1,0),0)=0,"",VLOOKUP(A39,$A$10:$I38,6,0))</f>
        <v>BRISALIA</v>
      </c>
      <c r="G39" s="49">
        <f>IF(IFERROR(VLOOKUP(A39,$A$10:$I38,1,0),0)=0,"",VLOOKUP(A39,$A$10:$I38,7,0))</f>
        <v>45503</v>
      </c>
      <c r="H39" s="49">
        <v>45509</v>
      </c>
      <c r="I39" s="29"/>
      <c r="J39" s="29" t="s">
        <v>22</v>
      </c>
      <c r="K39" s="24" t="s">
        <v>47</v>
      </c>
      <c r="L39" s="49">
        <v>45505</v>
      </c>
      <c r="M39" s="49">
        <v>45509</v>
      </c>
      <c r="N39" s="29">
        <f t="shared" si="1"/>
        <v>4</v>
      </c>
      <c r="O39" s="29"/>
      <c r="P39" t="s">
        <v>88</v>
      </c>
      <c r="Q39" t="s">
        <v>88</v>
      </c>
      <c r="R39" t="s">
        <v>88</v>
      </c>
      <c r="S39" t="s">
        <v>88</v>
      </c>
      <c r="T39" t="s">
        <v>88</v>
      </c>
      <c r="U39" t="s">
        <v>20</v>
      </c>
    </row>
    <row r="40" spans="1:21" x14ac:dyDescent="0.45">
      <c r="A40" s="29">
        <v>68368561</v>
      </c>
      <c r="B40" s="29" t="str">
        <f t="shared" si="0"/>
        <v>6.836.856-1</v>
      </c>
      <c r="C40" s="22" t="str">
        <f>IF(IFERROR(VLOOKUP(A40,$A$10:$I39,1,0),0)=0,"",VLOOKUP(A40,$A$10:$I39,3,0))</f>
        <v>UCI</v>
      </c>
      <c r="D40" s="29" t="str">
        <f>IF(IFERROR(VLOOKUP(A40,$A$10:$I39,1,0),0)=0,"",VLOOKUP(A40,$A$10:$I39,4,0))</f>
        <v>BIZAMA</v>
      </c>
      <c r="E40" s="29" t="str">
        <f>IF(IFERROR(VLOOKUP(A40,$A$10:$I39,1,0),0)=0,"",VLOOKUP(A40,$A$10:$I39,5,0))</f>
        <v>ORTIZ</v>
      </c>
      <c r="F40" s="29" t="str">
        <f>IF(IFERROR(VLOOKUP(A40,$A$10:$I39,1,0),0)=0,"",VLOOKUP(A40,$A$10:$I39,6,0))</f>
        <v>BRISALIA</v>
      </c>
      <c r="G40" s="49">
        <f>IF(IFERROR(VLOOKUP(A40,$A$10:$I39,1,0),0)=0,"",VLOOKUP(A40,$A$10:$I39,7,0))</f>
        <v>45503</v>
      </c>
      <c r="H40" s="49">
        <v>45509</v>
      </c>
      <c r="I40" s="29"/>
      <c r="J40" s="29" t="s">
        <v>22</v>
      </c>
      <c r="K40" s="24" t="s">
        <v>55</v>
      </c>
      <c r="L40" s="49">
        <v>45505</v>
      </c>
      <c r="M40" s="49">
        <v>45506</v>
      </c>
      <c r="N40" s="29">
        <f t="shared" si="1"/>
        <v>1</v>
      </c>
      <c r="O40" s="29"/>
      <c r="P40" t="s">
        <v>88</v>
      </c>
      <c r="Q40" t="s">
        <v>88</v>
      </c>
      <c r="R40" t="s">
        <v>88</v>
      </c>
      <c r="S40" t="s">
        <v>88</v>
      </c>
      <c r="T40" t="s">
        <v>88</v>
      </c>
      <c r="U40" t="s">
        <v>20</v>
      </c>
    </row>
    <row r="41" spans="1:21" x14ac:dyDescent="0.45">
      <c r="A41" s="29">
        <v>68368561</v>
      </c>
      <c r="B41" s="29" t="str">
        <f t="shared" si="0"/>
        <v>6.836.856-1</v>
      </c>
      <c r="C41" s="22" t="s">
        <v>22</v>
      </c>
      <c r="D41" s="29" t="str">
        <f>IF(IFERROR(VLOOKUP(A41,$A$10:$I40,1,0),0)=0,"",VLOOKUP(A41,$A$10:$I40,4,0))</f>
        <v>BIZAMA</v>
      </c>
      <c r="E41" s="29" t="str">
        <f>IF(IFERROR(VLOOKUP(A41,$A$10:$I40,1,0),0)=0,"",VLOOKUP(A41,$A$10:$I40,5,0))</f>
        <v>ORTIZ</v>
      </c>
      <c r="F41" s="29" t="str">
        <f>IF(IFERROR(VLOOKUP(A41,$A$10:$I40,1,0),0)=0,"",VLOOKUP(A41,$A$10:$I40,6,0))</f>
        <v>BRISALIA</v>
      </c>
      <c r="G41" s="49">
        <v>45509</v>
      </c>
      <c r="H41" s="49">
        <v>45524</v>
      </c>
      <c r="I41" s="29"/>
      <c r="J41" s="29" t="s">
        <v>19</v>
      </c>
      <c r="K41" s="24" t="s">
        <v>43</v>
      </c>
      <c r="L41" s="49">
        <v>45509</v>
      </c>
      <c r="M41" s="49">
        <v>45524</v>
      </c>
      <c r="N41" s="29">
        <f t="shared" si="1"/>
        <v>15</v>
      </c>
      <c r="O41" s="29"/>
      <c r="P41" t="s">
        <v>88</v>
      </c>
      <c r="Q41" t="s">
        <v>88</v>
      </c>
      <c r="R41" t="s">
        <v>88</v>
      </c>
      <c r="S41" t="s">
        <v>88</v>
      </c>
      <c r="T41" t="s">
        <v>88</v>
      </c>
      <c r="U41" t="s">
        <v>20</v>
      </c>
    </row>
    <row r="42" spans="1:21" x14ac:dyDescent="0.45">
      <c r="A42" s="29">
        <v>68368561</v>
      </c>
      <c r="B42" s="29" t="str">
        <f t="shared" si="0"/>
        <v>6.836.856-1</v>
      </c>
      <c r="C42" s="22" t="s">
        <v>22</v>
      </c>
      <c r="D42" s="29" t="str">
        <f>IF(IFERROR(VLOOKUP(A42,$A$10:$I41,1,0),0)=0,"",VLOOKUP(A42,$A$10:$I41,4,0))</f>
        <v>BIZAMA</v>
      </c>
      <c r="E42" s="29" t="str">
        <f>IF(IFERROR(VLOOKUP(A42,$A$10:$I41,1,0),0)=0,"",VLOOKUP(A42,$A$10:$I41,5,0))</f>
        <v>ORTIZ</v>
      </c>
      <c r="F42" s="29" t="str">
        <f>IF(IFERROR(VLOOKUP(A42,$A$10:$I41,1,0),0)=0,"",VLOOKUP(A42,$A$10:$I41,6,0))</f>
        <v>BRISALIA</v>
      </c>
      <c r="G42" s="49">
        <v>45509</v>
      </c>
      <c r="H42" s="49">
        <v>45524</v>
      </c>
      <c r="I42" s="29"/>
      <c r="J42" s="29" t="s">
        <v>19</v>
      </c>
      <c r="K42" s="24" t="s">
        <v>47</v>
      </c>
      <c r="L42" s="49">
        <v>45509</v>
      </c>
      <c r="M42" s="49">
        <v>45524</v>
      </c>
      <c r="N42" s="29">
        <f t="shared" si="1"/>
        <v>15</v>
      </c>
      <c r="O42" s="29"/>
      <c r="P42" t="s">
        <v>88</v>
      </c>
      <c r="Q42" t="s">
        <v>88</v>
      </c>
      <c r="R42" t="s">
        <v>88</v>
      </c>
      <c r="S42" t="s">
        <v>88</v>
      </c>
      <c r="T42" t="s">
        <v>88</v>
      </c>
      <c r="U42" t="s">
        <v>20</v>
      </c>
    </row>
    <row r="43" spans="1:21" x14ac:dyDescent="0.45">
      <c r="A43" s="29">
        <v>119055156</v>
      </c>
      <c r="B43" s="29" t="str">
        <f t="shared" si="0"/>
        <v>11.905.515-6</v>
      </c>
      <c r="C43" s="22" t="s">
        <v>22</v>
      </c>
      <c r="D43" s="29" t="s">
        <v>1087</v>
      </c>
      <c r="E43" s="29" t="s">
        <v>631</v>
      </c>
      <c r="F43" s="29" t="s">
        <v>912</v>
      </c>
      <c r="G43" s="49">
        <v>45504</v>
      </c>
      <c r="H43" s="49">
        <v>45509</v>
      </c>
      <c r="I43" s="29"/>
      <c r="J43" s="29" t="s">
        <v>56</v>
      </c>
      <c r="K43" s="24" t="s">
        <v>43</v>
      </c>
      <c r="L43" s="49">
        <v>45505</v>
      </c>
      <c r="M43" s="49">
        <v>45509</v>
      </c>
      <c r="N43" s="29">
        <f t="shared" si="1"/>
        <v>4</v>
      </c>
      <c r="O43" s="29"/>
      <c r="P43" t="s">
        <v>88</v>
      </c>
      <c r="Q43" t="s">
        <v>88</v>
      </c>
      <c r="R43" t="s">
        <v>88</v>
      </c>
      <c r="S43" t="s">
        <v>88</v>
      </c>
      <c r="T43" t="s">
        <v>88</v>
      </c>
      <c r="U43" t="s">
        <v>20</v>
      </c>
    </row>
    <row r="44" spans="1:21" x14ac:dyDescent="0.45">
      <c r="A44" s="29">
        <v>119055156</v>
      </c>
      <c r="B44" s="29" t="str">
        <f t="shared" si="0"/>
        <v>11.905.515-6</v>
      </c>
      <c r="C44" s="22" t="str">
        <f>IF(IFERROR(VLOOKUP(A44,$A$10:$I43,1,0),0)=0,"",VLOOKUP(A44,$A$10:$I43,3,0))</f>
        <v>UCI</v>
      </c>
      <c r="D44" s="29" t="str">
        <f>IF(IFERROR(VLOOKUP(A44,$A$10:$I43,1,0),0)=0,"",VLOOKUP(A44,$A$10:$I43,4,0))</f>
        <v>ORTEGA</v>
      </c>
      <c r="E44" s="29" t="str">
        <f>IF(IFERROR(VLOOKUP(A44,$A$10:$I43,1,0),0)=0,"",VLOOKUP(A44,$A$10:$I43,5,0))</f>
        <v>ALARCON</v>
      </c>
      <c r="F44" s="29" t="str">
        <f>IF(IFERROR(VLOOKUP(A44,$A$10:$I43,1,0),0)=0,"",VLOOKUP(A44,$A$10:$I43,6,0))</f>
        <v>PAULINA</v>
      </c>
      <c r="G44" s="49">
        <f>IF(IFERROR(VLOOKUP(A44,$A$10:$I43,1,0),0)=0,"",VLOOKUP(A44,$A$10:$I43,7,0))</f>
        <v>45504</v>
      </c>
      <c r="H44" s="49">
        <v>45509</v>
      </c>
      <c r="I44" s="29"/>
      <c r="J44" s="29" t="s">
        <v>56</v>
      </c>
      <c r="K44" s="24" t="s">
        <v>47</v>
      </c>
      <c r="L44" s="49">
        <v>45505</v>
      </c>
      <c r="M44" s="49">
        <v>45509</v>
      </c>
      <c r="N44" s="29">
        <f t="shared" si="1"/>
        <v>4</v>
      </c>
      <c r="O44" s="29"/>
      <c r="P44" t="s">
        <v>88</v>
      </c>
      <c r="Q44" t="s">
        <v>88</v>
      </c>
      <c r="R44" t="s">
        <v>88</v>
      </c>
      <c r="S44" t="s">
        <v>88</v>
      </c>
      <c r="T44" t="s">
        <v>88</v>
      </c>
      <c r="U44" t="s">
        <v>20</v>
      </c>
    </row>
    <row r="45" spans="1:21" x14ac:dyDescent="0.45">
      <c r="A45" s="29">
        <v>142736144</v>
      </c>
      <c r="B45" s="29" t="str">
        <f t="shared" si="0"/>
        <v>14.273.614-4</v>
      </c>
      <c r="C45" s="22" t="s">
        <v>22</v>
      </c>
      <c r="D45" s="29" t="s">
        <v>310</v>
      </c>
      <c r="E45" s="29" t="s">
        <v>285</v>
      </c>
      <c r="F45" s="29" t="s">
        <v>271</v>
      </c>
      <c r="G45" s="49">
        <v>45508</v>
      </c>
      <c r="H45" s="49">
        <v>45524</v>
      </c>
      <c r="I45" s="29"/>
      <c r="J45" s="29" t="s">
        <v>22</v>
      </c>
      <c r="K45" s="24" t="s">
        <v>43</v>
      </c>
      <c r="L45" s="49">
        <v>45508</v>
      </c>
      <c r="M45" s="49">
        <v>45519</v>
      </c>
      <c r="N45" s="29">
        <f t="shared" si="1"/>
        <v>11</v>
      </c>
      <c r="O45" s="29"/>
      <c r="P45" t="s">
        <v>88</v>
      </c>
      <c r="Q45" t="s">
        <v>88</v>
      </c>
      <c r="R45" t="s">
        <v>88</v>
      </c>
      <c r="S45" t="s">
        <v>88</v>
      </c>
      <c r="T45" t="s">
        <v>88</v>
      </c>
      <c r="U45" t="s">
        <v>20</v>
      </c>
    </row>
    <row r="46" spans="1:21" x14ac:dyDescent="0.45">
      <c r="A46" s="29">
        <v>142736144</v>
      </c>
      <c r="B46" s="29" t="str">
        <f t="shared" ref="B46:B77" si="2">IF(LEN(A46)=8,MID(A46,1,1)&amp;"."&amp;MID(A46,2,3)&amp;"."&amp;MID(A46,5,3)&amp;"-"&amp;RIGHT(A46,1),IF(LEFT(RIGHT(A46,2),1)="-",MID(A46,1,1)&amp;"."&amp;MID(A46,2,3)&amp;"."&amp;MID(A46,5,3)&amp;"-"&amp;RIGHT(A46,1),MID(A46,1,2)&amp;"."&amp;MID(A46,3,3)&amp;"."&amp;MID(A46,6,3)&amp;"-"&amp;MID(A46,9,1)))</f>
        <v>14.273.614-4</v>
      </c>
      <c r="C46" s="22" t="str">
        <f>IF(IFERROR(VLOOKUP(A46,$A$10:$I45,1,0),0)=0,"",VLOOKUP(A46,$A$10:$I45,3,0))</f>
        <v>UCI</v>
      </c>
      <c r="D46" s="29" t="str">
        <f>IF(IFERROR(VLOOKUP(A46,$A$10:$I45,1,0),0)=0,"",VLOOKUP(A46,$A$10:$I45,4,0))</f>
        <v>MORALES</v>
      </c>
      <c r="E46" s="29" t="str">
        <f>IF(IFERROR(VLOOKUP(A46,$A$10:$I45,1,0),0)=0,"",VLOOKUP(A46,$A$10:$I45,5,0))</f>
        <v>JARA</v>
      </c>
      <c r="F46" s="29" t="str">
        <f>IF(IFERROR(VLOOKUP(A46,$A$10:$I45,1,0),0)=0,"",VLOOKUP(A46,$A$10:$I45,6,0))</f>
        <v>MANUEL</v>
      </c>
      <c r="G46" s="49">
        <f>IF(IFERROR(VLOOKUP(A46,$A$10:$I45,1,0),0)=0,"",VLOOKUP(A46,$A$10:$I45,7,0))</f>
        <v>45508</v>
      </c>
      <c r="H46" s="49">
        <v>45524</v>
      </c>
      <c r="I46" s="29"/>
      <c r="J46" s="29" t="s">
        <v>22</v>
      </c>
      <c r="K46" s="24" t="s">
        <v>47</v>
      </c>
      <c r="L46" s="49">
        <v>45508</v>
      </c>
      <c r="M46" s="49">
        <v>45517</v>
      </c>
      <c r="N46" s="29">
        <f t="shared" ref="N46:N77" si="3">+M46-L46</f>
        <v>9</v>
      </c>
      <c r="O46" s="29"/>
      <c r="P46" t="s">
        <v>88</v>
      </c>
      <c r="Q46" t="s">
        <v>88</v>
      </c>
      <c r="R46" t="s">
        <v>88</v>
      </c>
      <c r="S46" t="s">
        <v>88</v>
      </c>
      <c r="T46" t="s">
        <v>88</v>
      </c>
      <c r="U46" t="s">
        <v>20</v>
      </c>
    </row>
    <row r="47" spans="1:21" x14ac:dyDescent="0.45">
      <c r="A47" s="29">
        <v>142736144</v>
      </c>
      <c r="B47" s="29" t="str">
        <f t="shared" si="2"/>
        <v>14.273.614-4</v>
      </c>
      <c r="C47" s="22" t="str">
        <f>IF(IFERROR(VLOOKUP(A47,$A$10:$I46,1,0),0)=0,"",VLOOKUP(A47,$A$10:$I46,3,0))</f>
        <v>UCI</v>
      </c>
      <c r="D47" s="29" t="str">
        <f>IF(IFERROR(VLOOKUP(A47,$A$10:$I46,1,0),0)=0,"",VLOOKUP(A47,$A$10:$I46,4,0))</f>
        <v>MORALES</v>
      </c>
      <c r="E47" s="29" t="str">
        <f>IF(IFERROR(VLOOKUP(A47,$A$10:$I46,1,0),0)=0,"",VLOOKUP(A47,$A$10:$I46,5,0))</f>
        <v>JARA</v>
      </c>
      <c r="F47" s="29" t="str">
        <f>IF(IFERROR(VLOOKUP(A47,$A$10:$I46,1,0),0)=0,"",VLOOKUP(A47,$A$10:$I46,6,0))</f>
        <v>MANUEL</v>
      </c>
      <c r="G47" s="49">
        <f>IF(IFERROR(VLOOKUP(A47,$A$10:$I46,1,0),0)=0,"",VLOOKUP(A47,$A$10:$I46,7,0))</f>
        <v>45508</v>
      </c>
      <c r="H47" s="49">
        <v>45524</v>
      </c>
      <c r="I47" s="29"/>
      <c r="J47" s="29" t="s">
        <v>22</v>
      </c>
      <c r="K47" s="24" t="s">
        <v>55</v>
      </c>
      <c r="L47" s="49">
        <v>45508</v>
      </c>
      <c r="M47" s="49">
        <v>45518</v>
      </c>
      <c r="N47" s="29">
        <f t="shared" si="3"/>
        <v>10</v>
      </c>
      <c r="O47" s="29"/>
      <c r="P47" t="s">
        <v>88</v>
      </c>
      <c r="Q47" t="s">
        <v>88</v>
      </c>
      <c r="R47" t="s">
        <v>88</v>
      </c>
      <c r="S47" t="s">
        <v>88</v>
      </c>
      <c r="T47" t="s">
        <v>88</v>
      </c>
      <c r="U47" t="s">
        <v>20</v>
      </c>
    </row>
    <row r="48" spans="1:21" x14ac:dyDescent="0.45">
      <c r="A48" s="29">
        <v>151851932</v>
      </c>
      <c r="B48" s="29" t="str">
        <f t="shared" si="2"/>
        <v>15.185.193-2</v>
      </c>
      <c r="C48" s="22" t="s">
        <v>22</v>
      </c>
      <c r="D48" s="29" t="s">
        <v>313</v>
      </c>
      <c r="E48" s="29" t="s">
        <v>248</v>
      </c>
      <c r="F48" s="29" t="s">
        <v>324</v>
      </c>
      <c r="G48" s="49">
        <v>45509</v>
      </c>
      <c r="H48" s="49">
        <v>45511</v>
      </c>
      <c r="I48" s="29"/>
      <c r="J48" s="29" t="s">
        <v>22</v>
      </c>
      <c r="K48" s="24" t="s">
        <v>43</v>
      </c>
      <c r="L48" s="49">
        <v>45509</v>
      </c>
      <c r="M48" s="49">
        <v>45511</v>
      </c>
      <c r="N48" s="29">
        <f t="shared" si="3"/>
        <v>2</v>
      </c>
      <c r="O48" s="29"/>
      <c r="P48" t="s">
        <v>88</v>
      </c>
      <c r="Q48" t="s">
        <v>88</v>
      </c>
      <c r="R48" t="s">
        <v>88</v>
      </c>
      <c r="S48" t="s">
        <v>88</v>
      </c>
      <c r="T48" t="s">
        <v>88</v>
      </c>
      <c r="U48" t="s">
        <v>20</v>
      </c>
    </row>
    <row r="49" spans="1:21" x14ac:dyDescent="0.45">
      <c r="A49" s="29">
        <v>151851932</v>
      </c>
      <c r="B49" s="29" t="str">
        <f t="shared" si="2"/>
        <v>15.185.193-2</v>
      </c>
      <c r="C49" s="22" t="str">
        <f>IF(IFERROR(VLOOKUP(A49,$A$10:$I48,1,0),0)=0,"",VLOOKUP(A49,$A$10:$I48,3,0))</f>
        <v>UCI</v>
      </c>
      <c r="D49" s="29" t="str">
        <f>IF(IFERROR(VLOOKUP(A49,$A$10:$I48,1,0),0)=0,"",VLOOKUP(A49,$A$10:$I48,4,0))</f>
        <v>AGUILERA</v>
      </c>
      <c r="E49" s="29" t="str">
        <f>IF(IFERROR(VLOOKUP(A49,$A$10:$I48,1,0),0)=0,"",VLOOKUP(A49,$A$10:$I48,5,0))</f>
        <v>PINO</v>
      </c>
      <c r="F49" s="29" t="str">
        <f>IF(IFERROR(VLOOKUP(A49,$A$10:$I48,1,0),0)=0,"",VLOOKUP(A49,$A$10:$I48,6,0))</f>
        <v>DANIEL</v>
      </c>
      <c r="G49" s="49">
        <f>IF(IFERROR(VLOOKUP(A49,$A$10:$I48,1,0),0)=0,"",VLOOKUP(A49,$A$10:$I48,7,0))</f>
        <v>45509</v>
      </c>
      <c r="H49" s="49">
        <v>45511</v>
      </c>
      <c r="I49" s="29"/>
      <c r="J49" s="29"/>
      <c r="K49" s="24" t="s">
        <v>47</v>
      </c>
      <c r="L49" s="49">
        <v>45509</v>
      </c>
      <c r="M49" s="49">
        <v>45511</v>
      </c>
      <c r="N49" s="29">
        <f t="shared" si="3"/>
        <v>2</v>
      </c>
      <c r="O49" s="29"/>
      <c r="P49" t="s">
        <v>88</v>
      </c>
      <c r="Q49" t="s">
        <v>88</v>
      </c>
      <c r="R49" t="s">
        <v>88</v>
      </c>
      <c r="S49" t="s">
        <v>88</v>
      </c>
      <c r="T49" t="s">
        <v>88</v>
      </c>
      <c r="U49" t="s">
        <v>20</v>
      </c>
    </row>
    <row r="50" spans="1:21" x14ac:dyDescent="0.45">
      <c r="A50" s="29">
        <v>151851932</v>
      </c>
      <c r="B50" s="29" t="str">
        <f t="shared" si="2"/>
        <v>15.185.193-2</v>
      </c>
      <c r="C50" s="22" t="str">
        <f>IF(IFERROR(VLOOKUP(A50,$A$10:$I49,1,0),0)=0,"",VLOOKUP(A50,$A$10:$I49,3,0))</f>
        <v>UCI</v>
      </c>
      <c r="D50" s="29" t="str">
        <f>IF(IFERROR(VLOOKUP(A50,$A$10:$I49,1,0),0)=0,"",VLOOKUP(A50,$A$10:$I49,4,0))</f>
        <v>AGUILERA</v>
      </c>
      <c r="E50" s="29" t="str">
        <f>IF(IFERROR(VLOOKUP(A50,$A$10:$I49,1,0),0)=0,"",VLOOKUP(A50,$A$10:$I49,5,0))</f>
        <v>PINO</v>
      </c>
      <c r="F50" s="29" t="str">
        <f>IF(IFERROR(VLOOKUP(A50,$A$10:$I49,1,0),0)=0,"",VLOOKUP(A50,$A$10:$I49,6,0))</f>
        <v>DANIEL</v>
      </c>
      <c r="G50" s="49">
        <f>IF(IFERROR(VLOOKUP(A50,$A$10:$I49,1,0),0)=0,"",VLOOKUP(A50,$A$10:$I49,7,0))</f>
        <v>45509</v>
      </c>
      <c r="H50" s="49">
        <v>45511</v>
      </c>
      <c r="I50" s="29"/>
      <c r="J50" s="29"/>
      <c r="K50" s="24" t="s">
        <v>55</v>
      </c>
      <c r="L50" s="49">
        <v>45509</v>
      </c>
      <c r="M50" s="49">
        <v>45509</v>
      </c>
      <c r="N50" s="29">
        <f t="shared" si="3"/>
        <v>0</v>
      </c>
      <c r="O50" s="29"/>
      <c r="P50" t="s">
        <v>88</v>
      </c>
      <c r="Q50" t="s">
        <v>88</v>
      </c>
      <c r="R50" t="s">
        <v>88</v>
      </c>
      <c r="S50" t="s">
        <v>88</v>
      </c>
      <c r="T50" t="s">
        <v>88</v>
      </c>
      <c r="U50" t="s">
        <v>20</v>
      </c>
    </row>
    <row r="51" spans="1:21" x14ac:dyDescent="0.45">
      <c r="A51" s="29">
        <v>116630788</v>
      </c>
      <c r="B51" s="29" t="str">
        <f t="shared" si="2"/>
        <v>11.663.078-8</v>
      </c>
      <c r="C51" s="22" t="s">
        <v>22</v>
      </c>
      <c r="D51" s="29" t="s">
        <v>315</v>
      </c>
      <c r="E51" s="29" t="s">
        <v>1287</v>
      </c>
      <c r="F51" s="29" t="s">
        <v>336</v>
      </c>
      <c r="G51" s="49">
        <v>45505</v>
      </c>
      <c r="H51" s="29"/>
      <c r="I51" s="29"/>
      <c r="J51" s="29"/>
      <c r="K51" s="24" t="s">
        <v>43</v>
      </c>
      <c r="L51" s="49">
        <v>45505</v>
      </c>
      <c r="M51" s="49">
        <v>45517</v>
      </c>
      <c r="N51" s="29">
        <f t="shared" si="3"/>
        <v>12</v>
      </c>
      <c r="O51" s="29"/>
      <c r="P51" t="s">
        <v>88</v>
      </c>
      <c r="Q51" t="s">
        <v>88</v>
      </c>
      <c r="R51" t="s">
        <v>88</v>
      </c>
      <c r="S51" t="s">
        <v>88</v>
      </c>
      <c r="T51" t="s">
        <v>88</v>
      </c>
      <c r="U51" t="s">
        <v>20</v>
      </c>
    </row>
    <row r="52" spans="1:21" x14ac:dyDescent="0.45">
      <c r="A52" s="29">
        <v>116630788</v>
      </c>
      <c r="B52" s="29" t="str">
        <f t="shared" si="2"/>
        <v>11.663.078-8</v>
      </c>
      <c r="C52" s="22" t="str">
        <f>IF(IFERROR(VLOOKUP(A52,$A$10:$I51,1,0),0)=0,"",VLOOKUP(A52,$A$10:$I51,3,0))</f>
        <v>UCI</v>
      </c>
      <c r="D52" s="29" t="str">
        <f>IF(IFERROR(VLOOKUP(A52,$A$10:$I51,1,0),0)=0,"",VLOOKUP(A52,$A$10:$I51,4,0))</f>
        <v>ARIAS</v>
      </c>
      <c r="E52" s="29" t="str">
        <f>IF(IFERROR(VLOOKUP(A52,$A$10:$I51,1,0),0)=0,"",VLOOKUP(A52,$A$10:$I51,5,0))</f>
        <v>ARANCIBIA</v>
      </c>
      <c r="F52" s="29" t="str">
        <f>IF(IFERROR(VLOOKUP(A52,$A$10:$I51,1,0),0)=0,"",VLOOKUP(A52,$A$10:$I51,6,0))</f>
        <v>ANA</v>
      </c>
      <c r="G52" s="49">
        <f>IF(IFERROR(VLOOKUP(A52,$A$10:$I51,1,0),0)=0,"",VLOOKUP(A52,$A$10:$I51,7,0))</f>
        <v>45505</v>
      </c>
      <c r="H52" s="29"/>
      <c r="I52" s="29"/>
      <c r="J52" s="29"/>
      <c r="K52" s="24" t="s">
        <v>47</v>
      </c>
      <c r="L52" s="49">
        <v>45505</v>
      </c>
      <c r="M52" s="49">
        <v>45517</v>
      </c>
      <c r="N52" s="29">
        <f t="shared" si="3"/>
        <v>12</v>
      </c>
      <c r="O52" s="29"/>
      <c r="P52" t="s">
        <v>88</v>
      </c>
      <c r="Q52" t="s">
        <v>88</v>
      </c>
      <c r="R52" t="s">
        <v>88</v>
      </c>
      <c r="S52" t="s">
        <v>88</v>
      </c>
      <c r="T52" t="s">
        <v>88</v>
      </c>
      <c r="U52" t="s">
        <v>20</v>
      </c>
    </row>
    <row r="53" spans="1:21" x14ac:dyDescent="0.45">
      <c r="A53" s="29">
        <v>116630788</v>
      </c>
      <c r="B53" s="29" t="str">
        <f t="shared" si="2"/>
        <v>11.663.078-8</v>
      </c>
      <c r="C53" s="22" t="str">
        <f>IF(IFERROR(VLOOKUP(A53,$A$10:$I52,1,0),0)=0,"",VLOOKUP(A53,$A$10:$I52,3,0))</f>
        <v>UCI</v>
      </c>
      <c r="D53" s="29" t="str">
        <f>IF(IFERROR(VLOOKUP(A53,$A$10:$I52,1,0),0)=0,"",VLOOKUP(A53,$A$10:$I52,4,0))</f>
        <v>ARIAS</v>
      </c>
      <c r="E53" s="29" t="str">
        <f>IF(IFERROR(VLOOKUP(A53,$A$10:$I52,1,0),0)=0,"",VLOOKUP(A53,$A$10:$I52,5,0))</f>
        <v>ARANCIBIA</v>
      </c>
      <c r="F53" s="29" t="str">
        <f>IF(IFERROR(VLOOKUP(A53,$A$10:$I52,1,0),0)=0,"",VLOOKUP(A53,$A$10:$I52,6,0))</f>
        <v>ANA</v>
      </c>
      <c r="G53" s="49">
        <f>IF(IFERROR(VLOOKUP(A53,$A$10:$I52,1,0),0)=0,"",VLOOKUP(A53,$A$10:$I52,7,0))</f>
        <v>45505</v>
      </c>
      <c r="H53" s="29"/>
      <c r="I53" s="29"/>
      <c r="J53" s="29"/>
      <c r="K53" s="24" t="s">
        <v>55</v>
      </c>
      <c r="L53" s="49">
        <v>45505</v>
      </c>
      <c r="M53" s="49">
        <v>45535</v>
      </c>
      <c r="N53" s="29">
        <f t="shared" si="3"/>
        <v>30</v>
      </c>
      <c r="O53" s="29"/>
      <c r="P53" t="s">
        <v>88</v>
      </c>
      <c r="Q53" t="s">
        <v>88</v>
      </c>
      <c r="R53" t="s">
        <v>88</v>
      </c>
      <c r="S53" t="s">
        <v>88</v>
      </c>
      <c r="T53" t="s">
        <v>88</v>
      </c>
      <c r="U53" t="s">
        <v>20</v>
      </c>
    </row>
    <row r="54" spans="1:21" x14ac:dyDescent="0.45">
      <c r="A54" s="29">
        <v>116630788</v>
      </c>
      <c r="B54" s="29" t="str">
        <f t="shared" si="2"/>
        <v>11.663.078-8</v>
      </c>
      <c r="C54" s="22" t="str">
        <f>IF(IFERROR(VLOOKUP(A54,$A$10:$I53,1,0),0)=0,"",VLOOKUP(A54,$A$10:$I53,3,0))</f>
        <v>UCI</v>
      </c>
      <c r="D54" s="29" t="str">
        <f>IF(IFERROR(VLOOKUP(A54,$A$10:$I53,1,0),0)=0,"",VLOOKUP(A54,$A$10:$I53,4,0))</f>
        <v>ARIAS</v>
      </c>
      <c r="E54" s="29" t="str">
        <f>IF(IFERROR(VLOOKUP(A54,$A$10:$I53,1,0),0)=0,"",VLOOKUP(A54,$A$10:$I53,5,0))</f>
        <v>ARANCIBIA</v>
      </c>
      <c r="F54" s="29" t="str">
        <f>IF(IFERROR(VLOOKUP(A54,$A$10:$I53,1,0),0)=0,"",VLOOKUP(A54,$A$10:$I53,6,0))</f>
        <v>ANA</v>
      </c>
      <c r="G54" s="49">
        <f>IF(IFERROR(VLOOKUP(A54,$A$10:$I53,1,0),0)=0,"",VLOOKUP(A54,$A$10:$I53,7,0))</f>
        <v>45505</v>
      </c>
      <c r="H54" s="29"/>
      <c r="I54" s="29"/>
      <c r="J54" s="29"/>
      <c r="K54" s="24" t="s">
        <v>18</v>
      </c>
      <c r="L54" s="49">
        <v>45521</v>
      </c>
      <c r="M54" s="49">
        <v>45535</v>
      </c>
      <c r="N54" s="29">
        <f t="shared" si="3"/>
        <v>14</v>
      </c>
      <c r="O54" s="29"/>
      <c r="P54" t="s">
        <v>88</v>
      </c>
      <c r="Q54" t="s">
        <v>88</v>
      </c>
      <c r="R54" t="s">
        <v>88</v>
      </c>
      <c r="S54" t="s">
        <v>88</v>
      </c>
      <c r="T54" t="s">
        <v>88</v>
      </c>
      <c r="U54" t="s">
        <v>20</v>
      </c>
    </row>
    <row r="55" spans="1:21" x14ac:dyDescent="0.45">
      <c r="A55" s="29">
        <v>138038912</v>
      </c>
      <c r="B55" s="29" t="str">
        <f t="shared" si="2"/>
        <v>13.803.891-2</v>
      </c>
      <c r="C55" s="22" t="s">
        <v>22</v>
      </c>
      <c r="D55" s="29" t="s">
        <v>863</v>
      </c>
      <c r="E55" s="29" t="s">
        <v>1304</v>
      </c>
      <c r="F55" s="29" t="s">
        <v>275</v>
      </c>
      <c r="G55" s="49">
        <v>45508</v>
      </c>
      <c r="H55" s="49">
        <v>45511</v>
      </c>
      <c r="I55" s="29"/>
      <c r="J55" s="29" t="s">
        <v>66</v>
      </c>
      <c r="K55" s="24" t="s">
        <v>43</v>
      </c>
      <c r="L55" s="49">
        <v>45508</v>
      </c>
      <c r="M55" s="49">
        <v>45511</v>
      </c>
      <c r="N55" s="29">
        <f t="shared" si="3"/>
        <v>3</v>
      </c>
      <c r="O55" s="29"/>
      <c r="P55" t="s">
        <v>88</v>
      </c>
      <c r="Q55" t="s">
        <v>88</v>
      </c>
      <c r="R55" t="s">
        <v>88</v>
      </c>
      <c r="S55" t="s">
        <v>88</v>
      </c>
      <c r="T55" t="s">
        <v>88</v>
      </c>
      <c r="U55" t="s">
        <v>20</v>
      </c>
    </row>
    <row r="56" spans="1:21" x14ac:dyDescent="0.45">
      <c r="A56" s="29">
        <v>138038912</v>
      </c>
      <c r="B56" s="29" t="str">
        <f t="shared" si="2"/>
        <v>13.803.891-2</v>
      </c>
      <c r="C56" s="22" t="str">
        <f>IF(IFERROR(VLOOKUP(A56,$A$10:$I55,1,0),0)=0,"",VLOOKUP(A56,$A$10:$I55,3,0))</f>
        <v>UCI</v>
      </c>
      <c r="D56" s="29" t="str">
        <f>IF(IFERROR(VLOOKUP(A56,$A$10:$I55,1,0),0)=0,"",VLOOKUP(A56,$A$10:$I55,4,0))</f>
        <v>BARRA</v>
      </c>
      <c r="E56" s="29" t="str">
        <f>IF(IFERROR(VLOOKUP(A56,$A$10:$I55,1,0),0)=0,"",VLOOKUP(A56,$A$10:$I55,5,0))</f>
        <v>LAVIN</v>
      </c>
      <c r="F56" s="29" t="str">
        <f>IF(IFERROR(VLOOKUP(A56,$A$10:$I55,1,0),0)=0,"",VLOOKUP(A56,$A$10:$I55,6,0))</f>
        <v>CAROLINA</v>
      </c>
      <c r="G56" s="49">
        <f>IF(IFERROR(VLOOKUP(A56,$A$10:$I55,1,0),0)=0,"",VLOOKUP(A56,$A$10:$I55,7,0))</f>
        <v>45508</v>
      </c>
      <c r="H56" s="49">
        <v>45511</v>
      </c>
      <c r="I56" s="29"/>
      <c r="J56" s="29" t="s">
        <v>66</v>
      </c>
      <c r="K56" s="24" t="s">
        <v>47</v>
      </c>
      <c r="L56" s="49">
        <v>45508</v>
      </c>
      <c r="M56" s="49">
        <v>45511</v>
      </c>
      <c r="N56" s="29">
        <f t="shared" si="3"/>
        <v>3</v>
      </c>
      <c r="O56" s="29"/>
      <c r="P56" t="s">
        <v>88</v>
      </c>
      <c r="Q56" t="s">
        <v>88</v>
      </c>
      <c r="R56" t="s">
        <v>88</v>
      </c>
      <c r="S56" t="s">
        <v>88</v>
      </c>
      <c r="T56" t="s">
        <v>88</v>
      </c>
      <c r="U56" t="s">
        <v>20</v>
      </c>
    </row>
    <row r="57" spans="1:21" x14ac:dyDescent="0.45">
      <c r="A57" s="29">
        <v>137236524</v>
      </c>
      <c r="B57" s="29" t="str">
        <f t="shared" si="2"/>
        <v>13.723.652-4</v>
      </c>
      <c r="C57" s="22" t="s">
        <v>22</v>
      </c>
      <c r="D57" s="29" t="s">
        <v>422</v>
      </c>
      <c r="E57" s="29" t="s">
        <v>426</v>
      </c>
      <c r="F57" s="29" t="s">
        <v>481</v>
      </c>
      <c r="G57" s="49">
        <v>45505</v>
      </c>
      <c r="H57" s="49">
        <v>45523</v>
      </c>
      <c r="I57" s="29"/>
      <c r="J57" s="29"/>
      <c r="K57" s="24" t="s">
        <v>43</v>
      </c>
      <c r="L57" s="49">
        <v>45505</v>
      </c>
      <c r="M57" s="49">
        <v>45523</v>
      </c>
      <c r="N57" s="29">
        <f t="shared" si="3"/>
        <v>18</v>
      </c>
      <c r="O57" s="29"/>
      <c r="P57" t="s">
        <v>88</v>
      </c>
      <c r="Q57" t="s">
        <v>88</v>
      </c>
      <c r="R57" t="s">
        <v>88</v>
      </c>
      <c r="S57" t="s">
        <v>88</v>
      </c>
      <c r="T57" t="s">
        <v>88</v>
      </c>
      <c r="U57" t="s">
        <v>20</v>
      </c>
    </row>
    <row r="58" spans="1:21" x14ac:dyDescent="0.45">
      <c r="A58" s="29">
        <v>137236524</v>
      </c>
      <c r="B58" s="29" t="str">
        <f t="shared" si="2"/>
        <v>13.723.652-4</v>
      </c>
      <c r="C58" s="22" t="str">
        <f>IF(IFERROR(VLOOKUP(A58,$A$10:$I57,1,0),0)=0,"",VLOOKUP(A58,$A$10:$I57,3,0))</f>
        <v>UCI</v>
      </c>
      <c r="D58" s="29" t="str">
        <f>IF(IFERROR(VLOOKUP(A58,$A$10:$I57,1,0),0)=0,"",VLOOKUP(A58,$A$10:$I57,4,0))</f>
        <v>TORRES</v>
      </c>
      <c r="E58" s="29" t="str">
        <f>IF(IFERROR(VLOOKUP(A58,$A$10:$I57,1,0),0)=0,"",VLOOKUP(A58,$A$10:$I57,5,0))</f>
        <v>GODOY</v>
      </c>
      <c r="F58" s="29" t="str">
        <f>IF(IFERROR(VLOOKUP(A58,$A$10:$I57,1,0),0)=0,"",VLOOKUP(A58,$A$10:$I57,6,0))</f>
        <v>JUAN</v>
      </c>
      <c r="G58" s="49">
        <f>IF(IFERROR(VLOOKUP(A58,$A$10:$I57,1,0),0)=0,"",VLOOKUP(A58,$A$10:$I57,7,0))</f>
        <v>45505</v>
      </c>
      <c r="H58" s="49">
        <v>45523</v>
      </c>
      <c r="I58" s="29"/>
      <c r="J58" s="29"/>
      <c r="K58" s="24" t="s">
        <v>47</v>
      </c>
      <c r="L58" s="49">
        <v>45505</v>
      </c>
      <c r="M58" s="49">
        <v>45523</v>
      </c>
      <c r="N58" s="29">
        <f t="shared" si="3"/>
        <v>18</v>
      </c>
      <c r="O58" s="29"/>
      <c r="P58" t="s">
        <v>88</v>
      </c>
      <c r="Q58" t="s">
        <v>88</v>
      </c>
      <c r="R58" t="s">
        <v>88</v>
      </c>
      <c r="S58" t="s">
        <v>88</v>
      </c>
      <c r="T58" t="s">
        <v>88</v>
      </c>
      <c r="U58" t="s">
        <v>20</v>
      </c>
    </row>
    <row r="59" spans="1:21" x14ac:dyDescent="0.45">
      <c r="A59" s="29">
        <v>137236524</v>
      </c>
      <c r="B59" s="29" t="str">
        <f t="shared" si="2"/>
        <v>13.723.652-4</v>
      </c>
      <c r="C59" s="22" t="str">
        <f>IF(IFERROR(VLOOKUP(A59,$A$10:$I58,1,0),0)=0,"",VLOOKUP(A59,$A$10:$I58,3,0))</f>
        <v>UCI</v>
      </c>
      <c r="D59" s="29" t="str">
        <f>IF(IFERROR(VLOOKUP(A59,$A$10:$I58,1,0),0)=0,"",VLOOKUP(A59,$A$10:$I58,4,0))</f>
        <v>TORRES</v>
      </c>
      <c r="E59" s="29" t="str">
        <f>IF(IFERROR(VLOOKUP(A59,$A$10:$I58,1,0),0)=0,"",VLOOKUP(A59,$A$10:$I58,5,0))</f>
        <v>GODOY</v>
      </c>
      <c r="F59" s="29" t="str">
        <f>IF(IFERROR(VLOOKUP(A59,$A$10:$I58,1,0),0)=0,"",VLOOKUP(A59,$A$10:$I58,6,0))</f>
        <v>JUAN</v>
      </c>
      <c r="G59" s="49">
        <f>IF(IFERROR(VLOOKUP(A59,$A$10:$I58,1,0),0)=0,"",VLOOKUP(A59,$A$10:$I58,7,0))</f>
        <v>45505</v>
      </c>
      <c r="H59" s="49">
        <v>45523</v>
      </c>
      <c r="I59" s="29"/>
      <c r="J59" s="29"/>
      <c r="K59" s="24" t="s">
        <v>55</v>
      </c>
      <c r="L59" s="49">
        <v>45509</v>
      </c>
      <c r="M59" s="49">
        <v>45519</v>
      </c>
      <c r="N59" s="29">
        <f t="shared" si="3"/>
        <v>10</v>
      </c>
      <c r="O59" s="29"/>
      <c r="P59" t="s">
        <v>88</v>
      </c>
      <c r="Q59" t="s">
        <v>88</v>
      </c>
      <c r="R59" t="s">
        <v>88</v>
      </c>
      <c r="S59" t="s">
        <v>88</v>
      </c>
      <c r="T59" t="s">
        <v>88</v>
      </c>
      <c r="U59" t="s">
        <v>20</v>
      </c>
    </row>
    <row r="60" spans="1:21" x14ac:dyDescent="0.45">
      <c r="A60" s="29">
        <v>137236524</v>
      </c>
      <c r="B60" s="29" t="str">
        <f t="shared" si="2"/>
        <v>13.723.652-4</v>
      </c>
      <c r="C60" s="22" t="s">
        <v>22</v>
      </c>
      <c r="D60" s="29" t="str">
        <f>IF(IFERROR(VLOOKUP(A60,$A$10:$I59,1,0),0)=0,"",VLOOKUP(A60,$A$10:$I59,4,0))</f>
        <v>TORRES</v>
      </c>
      <c r="E60" s="29" t="str">
        <f>IF(IFERROR(VLOOKUP(A60,$A$10:$I59,1,0),0)=0,"",VLOOKUP(A60,$A$10:$I59,5,0))</f>
        <v>GODOY</v>
      </c>
      <c r="F60" s="29" t="str">
        <f>IF(IFERROR(VLOOKUP(A60,$A$10:$I59,1,0),0)=0,"",VLOOKUP(A60,$A$10:$I59,6,0))</f>
        <v>JUAN</v>
      </c>
      <c r="G60" s="49">
        <v>45523</v>
      </c>
      <c r="H60" s="49">
        <v>45525</v>
      </c>
      <c r="I60" s="29" t="s">
        <v>22</v>
      </c>
      <c r="J60" s="29" t="s">
        <v>56</v>
      </c>
      <c r="K60" s="24" t="s">
        <v>43</v>
      </c>
      <c r="L60" s="49">
        <v>45523</v>
      </c>
      <c r="M60" s="49">
        <v>45525</v>
      </c>
      <c r="N60" s="29">
        <f t="shared" si="3"/>
        <v>2</v>
      </c>
      <c r="O60" s="29"/>
      <c r="P60" t="s">
        <v>88</v>
      </c>
      <c r="Q60" t="s">
        <v>88</v>
      </c>
      <c r="R60" t="s">
        <v>88</v>
      </c>
      <c r="S60" t="s">
        <v>88</v>
      </c>
      <c r="T60" t="s">
        <v>88</v>
      </c>
      <c r="U60" t="s">
        <v>20</v>
      </c>
    </row>
    <row r="61" spans="1:21" x14ac:dyDescent="0.45">
      <c r="A61" s="29">
        <v>137236524</v>
      </c>
      <c r="B61" s="29" t="str">
        <f t="shared" si="2"/>
        <v>13.723.652-4</v>
      </c>
      <c r="C61" s="22" t="s">
        <v>22</v>
      </c>
      <c r="D61" s="29" t="str">
        <f>IF(IFERROR(VLOOKUP(A61,$A$10:$I60,1,0),0)=0,"",VLOOKUP(A61,$A$10:$I60,4,0))</f>
        <v>TORRES</v>
      </c>
      <c r="E61" s="29" t="str">
        <f>IF(IFERROR(VLOOKUP(A61,$A$10:$I60,1,0),0)=0,"",VLOOKUP(A61,$A$10:$I60,5,0))</f>
        <v>GODOY</v>
      </c>
      <c r="F61" s="29" t="str">
        <f>IF(IFERROR(VLOOKUP(A61,$A$10:$I60,1,0),0)=0,"",VLOOKUP(A61,$A$10:$I60,6,0))</f>
        <v>JUAN</v>
      </c>
      <c r="G61" s="49">
        <v>45523</v>
      </c>
      <c r="H61" s="49">
        <v>45525</v>
      </c>
      <c r="I61" s="29" t="s">
        <v>22</v>
      </c>
      <c r="J61" s="29" t="s">
        <v>56</v>
      </c>
      <c r="K61" s="24" t="s">
        <v>47</v>
      </c>
      <c r="L61" s="49">
        <v>45523</v>
      </c>
      <c r="M61" s="49">
        <v>45524</v>
      </c>
      <c r="N61" s="29">
        <f t="shared" si="3"/>
        <v>1</v>
      </c>
      <c r="O61" s="29"/>
      <c r="P61" t="s">
        <v>88</v>
      </c>
      <c r="Q61" t="s">
        <v>88</v>
      </c>
      <c r="R61" t="s">
        <v>88</v>
      </c>
      <c r="S61" t="s">
        <v>88</v>
      </c>
      <c r="T61" t="s">
        <v>88</v>
      </c>
      <c r="U61" t="s">
        <v>20</v>
      </c>
    </row>
    <row r="62" spans="1:21" x14ac:dyDescent="0.45">
      <c r="A62" s="29" t="s">
        <v>1305</v>
      </c>
      <c r="B62" s="29" t="str">
        <f t="shared" si="2"/>
        <v>16.897.261-K</v>
      </c>
      <c r="C62" s="22" t="s">
        <v>22</v>
      </c>
      <c r="D62" s="29" t="s">
        <v>1306</v>
      </c>
      <c r="E62" s="29" t="s">
        <v>384</v>
      </c>
      <c r="F62" s="29" t="s">
        <v>1307</v>
      </c>
      <c r="G62" s="49">
        <v>45511</v>
      </c>
      <c r="H62" s="49">
        <v>45514</v>
      </c>
      <c r="I62" s="29"/>
      <c r="J62" s="29" t="s">
        <v>22</v>
      </c>
      <c r="K62" s="24" t="s">
        <v>43</v>
      </c>
      <c r="L62" s="49">
        <v>45511</v>
      </c>
      <c r="M62" s="49">
        <v>45514</v>
      </c>
      <c r="N62" s="29">
        <f t="shared" si="3"/>
        <v>3</v>
      </c>
      <c r="O62" s="29"/>
      <c r="P62" t="s">
        <v>88</v>
      </c>
      <c r="Q62" t="s">
        <v>88</v>
      </c>
      <c r="R62" t="s">
        <v>88</v>
      </c>
      <c r="S62" t="s">
        <v>88</v>
      </c>
      <c r="T62" t="s">
        <v>88</v>
      </c>
      <c r="U62" t="s">
        <v>20</v>
      </c>
    </row>
    <row r="63" spans="1:21" x14ac:dyDescent="0.45">
      <c r="A63" s="29" t="s">
        <v>1305</v>
      </c>
      <c r="B63" s="29" t="str">
        <f t="shared" si="2"/>
        <v>16.897.261-K</v>
      </c>
      <c r="C63" s="22" t="str">
        <f>IF(IFERROR(VLOOKUP(A63,$A$10:$I62,1,0),0)=0,"",VLOOKUP(A63,$A$10:$I62,3,0))</f>
        <v>UCI</v>
      </c>
      <c r="D63" s="29" t="str">
        <f>IF(IFERROR(VLOOKUP(A63,$A$10:$I62,1,0),0)=0,"",VLOOKUP(A63,$A$10:$I62,4,0))</f>
        <v>ACEITUNO</v>
      </c>
      <c r="E63" s="29" t="str">
        <f>IF(IFERROR(VLOOKUP(A63,$A$10:$I62,1,0),0)=0,"",VLOOKUP(A63,$A$10:$I62,5,0))</f>
        <v>MUÑOZ</v>
      </c>
      <c r="F63" s="29" t="str">
        <f>IF(IFERROR(VLOOKUP(A63,$A$10:$I62,1,0),0)=0,"",VLOOKUP(A63,$A$10:$I62,6,0))</f>
        <v>ANDRES</v>
      </c>
      <c r="G63" s="49">
        <f>IF(IFERROR(VLOOKUP(A63,$A$10:$I62,1,0),0)=0,"",VLOOKUP(A63,$A$10:$I62,7,0))</f>
        <v>45511</v>
      </c>
      <c r="H63" s="49">
        <v>45514</v>
      </c>
      <c r="I63" s="29"/>
      <c r="J63" s="29"/>
      <c r="K63" s="24" t="s">
        <v>47</v>
      </c>
      <c r="L63" s="49">
        <v>45511</v>
      </c>
      <c r="M63" s="49">
        <v>45513</v>
      </c>
      <c r="N63" s="29">
        <f t="shared" si="3"/>
        <v>2</v>
      </c>
      <c r="O63" s="29"/>
      <c r="P63" t="s">
        <v>88</v>
      </c>
      <c r="Q63" t="s">
        <v>88</v>
      </c>
      <c r="R63" t="s">
        <v>88</v>
      </c>
      <c r="S63" t="s">
        <v>88</v>
      </c>
      <c r="T63" t="s">
        <v>88</v>
      </c>
      <c r="U63" t="s">
        <v>20</v>
      </c>
    </row>
    <row r="64" spans="1:21" x14ac:dyDescent="0.45">
      <c r="A64" s="29">
        <v>56745483</v>
      </c>
      <c r="B64" s="29" t="str">
        <f t="shared" si="2"/>
        <v>5.674.548-3</v>
      </c>
      <c r="C64" s="22" t="s">
        <v>22</v>
      </c>
      <c r="D64" s="29" t="s">
        <v>696</v>
      </c>
      <c r="E64" s="29" t="s">
        <v>1282</v>
      </c>
      <c r="F64" s="29" t="s">
        <v>1120</v>
      </c>
      <c r="G64" s="49">
        <v>45511</v>
      </c>
      <c r="H64" s="49">
        <v>45512</v>
      </c>
      <c r="I64" s="29"/>
      <c r="J64" s="29" t="s">
        <v>82</v>
      </c>
      <c r="K64" s="24" t="s">
        <v>43</v>
      </c>
      <c r="L64" s="49">
        <v>45512</v>
      </c>
      <c r="M64" s="49">
        <v>45512</v>
      </c>
      <c r="N64" s="29">
        <f t="shared" si="3"/>
        <v>0</v>
      </c>
      <c r="O64" s="29"/>
      <c r="P64" t="s">
        <v>88</v>
      </c>
      <c r="Q64" t="s">
        <v>88</v>
      </c>
      <c r="R64" t="s">
        <v>88</v>
      </c>
      <c r="S64" t="s">
        <v>88</v>
      </c>
      <c r="T64" t="s">
        <v>88</v>
      </c>
      <c r="U64" t="s">
        <v>20</v>
      </c>
    </row>
    <row r="65" spans="1:21" x14ac:dyDescent="0.45">
      <c r="A65" s="29">
        <v>56745483</v>
      </c>
      <c r="B65" s="29" t="str">
        <f t="shared" si="2"/>
        <v>5.674.548-3</v>
      </c>
      <c r="C65" s="22" t="s">
        <v>22</v>
      </c>
      <c r="D65" s="29" t="str">
        <f>IF(IFERROR(VLOOKUP(A65,$A$10:$I64,1,0),0)=0,"",VLOOKUP(A65,$A$10:$I64,4,0))</f>
        <v>CARDENAS</v>
      </c>
      <c r="E65" s="29" t="str">
        <f>IF(IFERROR(VLOOKUP(A65,$A$10:$I64,1,0),0)=0,"",VLOOKUP(A65,$A$10:$I64,5,0))</f>
        <v>MACHUCA</v>
      </c>
      <c r="F65" s="29" t="str">
        <f>IF(IFERROR(VLOOKUP(A65,$A$10:$I64,1,0),0)=0,"",VLOOKUP(A65,$A$10:$I64,6,0))</f>
        <v>IRMA</v>
      </c>
      <c r="G65" s="49">
        <v>45511</v>
      </c>
      <c r="H65" s="49">
        <v>45518</v>
      </c>
      <c r="I65" s="29"/>
      <c r="J65" s="29" t="s">
        <v>82</v>
      </c>
      <c r="K65" s="24" t="s">
        <v>47</v>
      </c>
      <c r="L65" s="49">
        <v>45512</v>
      </c>
      <c r="M65" s="49">
        <v>45512</v>
      </c>
      <c r="N65" s="29">
        <f t="shared" si="3"/>
        <v>0</v>
      </c>
      <c r="O65" s="29"/>
      <c r="P65" t="s">
        <v>88</v>
      </c>
      <c r="Q65" t="s">
        <v>88</v>
      </c>
      <c r="R65" t="s">
        <v>88</v>
      </c>
      <c r="S65" t="s">
        <v>88</v>
      </c>
      <c r="T65" t="s">
        <v>88</v>
      </c>
      <c r="U65" t="s">
        <v>20</v>
      </c>
    </row>
    <row r="66" spans="1:21" x14ac:dyDescent="0.45">
      <c r="A66" s="29" t="s">
        <v>1308</v>
      </c>
      <c r="B66" s="29" t="str">
        <f t="shared" si="2"/>
        <v>7.237.309-K</v>
      </c>
      <c r="C66" s="22" t="s">
        <v>22</v>
      </c>
      <c r="D66" s="29" t="s">
        <v>1010</v>
      </c>
      <c r="E66" s="29" t="s">
        <v>631</v>
      </c>
      <c r="F66" s="29" t="s">
        <v>638</v>
      </c>
      <c r="G66" s="49">
        <v>45510</v>
      </c>
      <c r="H66" s="49">
        <v>45517</v>
      </c>
      <c r="I66" s="29"/>
      <c r="J66" s="29" t="s">
        <v>22</v>
      </c>
      <c r="K66" s="24" t="s">
        <v>43</v>
      </c>
      <c r="L66" s="49">
        <v>45510</v>
      </c>
      <c r="M66" s="49">
        <v>45514</v>
      </c>
      <c r="N66" s="29">
        <f t="shared" si="3"/>
        <v>4</v>
      </c>
      <c r="O66" s="29"/>
      <c r="P66" t="s">
        <v>88</v>
      </c>
      <c r="Q66" t="s">
        <v>88</v>
      </c>
      <c r="R66" t="s">
        <v>88</v>
      </c>
      <c r="S66" t="s">
        <v>88</v>
      </c>
      <c r="T66" t="s">
        <v>88</v>
      </c>
      <c r="U66" t="s">
        <v>20</v>
      </c>
    </row>
    <row r="67" spans="1:21" x14ac:dyDescent="0.45">
      <c r="A67" s="29" t="s">
        <v>1308</v>
      </c>
      <c r="B67" s="29" t="str">
        <f t="shared" si="2"/>
        <v>7.237.309-K</v>
      </c>
      <c r="C67" s="22" t="str">
        <f>IF(IFERROR(VLOOKUP(A67,$A$10:$I66,1,0),0)=0,"",VLOOKUP(A67,$A$10:$I66,3,0))</f>
        <v>UCI</v>
      </c>
      <c r="D67" s="29" t="str">
        <f>IF(IFERROR(VLOOKUP(A67,$A$10:$I66,1,0),0)=0,"",VLOOKUP(A67,$A$10:$I66,4,0))</f>
        <v xml:space="preserve">MUÑOZ </v>
      </c>
      <c r="E67" s="29" t="str">
        <f>IF(IFERROR(VLOOKUP(A67,$A$10:$I66,1,0),0)=0,"",VLOOKUP(A67,$A$10:$I66,5,0))</f>
        <v>ALARCON</v>
      </c>
      <c r="F67" s="29" t="str">
        <f>IF(IFERROR(VLOOKUP(A67,$A$10:$I66,1,0),0)=0,"",VLOOKUP(A67,$A$10:$I66,6,0))</f>
        <v>CARLOS</v>
      </c>
      <c r="G67" s="49">
        <f>IF(IFERROR(VLOOKUP(A67,$A$10:$I66,1,0),0)=0,"",VLOOKUP(A67,$A$10:$I66,7,0))</f>
        <v>45510</v>
      </c>
      <c r="H67" s="49">
        <v>45517</v>
      </c>
      <c r="I67" s="29"/>
      <c r="J67" s="29" t="s">
        <v>22</v>
      </c>
      <c r="K67" s="24" t="s">
        <v>47</v>
      </c>
      <c r="L67" s="49">
        <v>45510</v>
      </c>
      <c r="M67" s="49">
        <v>45513</v>
      </c>
      <c r="N67" s="29">
        <f t="shared" si="3"/>
        <v>3</v>
      </c>
      <c r="O67" s="29"/>
      <c r="P67" t="s">
        <v>88</v>
      </c>
      <c r="Q67" t="s">
        <v>88</v>
      </c>
      <c r="R67" t="s">
        <v>88</v>
      </c>
      <c r="S67" t="s">
        <v>88</v>
      </c>
      <c r="T67" t="s">
        <v>88</v>
      </c>
      <c r="U67" t="s">
        <v>20</v>
      </c>
    </row>
    <row r="68" spans="1:21" x14ac:dyDescent="0.45">
      <c r="A68" s="29" t="s">
        <v>1308</v>
      </c>
      <c r="B68" s="29" t="str">
        <f t="shared" si="2"/>
        <v>7.237.309-K</v>
      </c>
      <c r="C68" s="22" t="str">
        <f>IF(IFERROR(VLOOKUP(A68,$A$10:$I67,1,0),0)=0,"",VLOOKUP(A68,$A$10:$I67,3,0))</f>
        <v>UCI</v>
      </c>
      <c r="D68" s="29" t="str">
        <f>IF(IFERROR(VLOOKUP(A68,$A$10:$I67,1,0),0)=0,"",VLOOKUP(A68,$A$10:$I67,4,0))</f>
        <v xml:space="preserve">MUÑOZ </v>
      </c>
      <c r="E68" s="29" t="str">
        <f>IF(IFERROR(VLOOKUP(A68,$A$10:$I67,1,0),0)=0,"",VLOOKUP(A68,$A$10:$I67,5,0))</f>
        <v>ALARCON</v>
      </c>
      <c r="F68" s="29" t="str">
        <f>IF(IFERROR(VLOOKUP(A68,$A$10:$I67,1,0),0)=0,"",VLOOKUP(A68,$A$10:$I67,6,0))</f>
        <v>CARLOS</v>
      </c>
      <c r="G68" s="49">
        <f>IF(IFERROR(VLOOKUP(A68,$A$10:$I67,1,0),0)=0,"",VLOOKUP(A68,$A$10:$I67,7,0))</f>
        <v>45510</v>
      </c>
      <c r="H68" s="49">
        <v>45517</v>
      </c>
      <c r="I68" s="29"/>
      <c r="J68" s="29" t="s">
        <v>22</v>
      </c>
      <c r="K68" s="24" t="s">
        <v>55</v>
      </c>
      <c r="L68" s="49">
        <v>45510</v>
      </c>
      <c r="M68" s="49">
        <v>45513</v>
      </c>
      <c r="N68" s="29">
        <f t="shared" si="3"/>
        <v>3</v>
      </c>
      <c r="O68" s="29"/>
      <c r="P68" t="s">
        <v>88</v>
      </c>
      <c r="Q68" t="s">
        <v>88</v>
      </c>
      <c r="R68" t="s">
        <v>88</v>
      </c>
      <c r="S68" t="s">
        <v>88</v>
      </c>
      <c r="T68" t="s">
        <v>88</v>
      </c>
      <c r="U68" t="s">
        <v>20</v>
      </c>
    </row>
    <row r="69" spans="1:21" x14ac:dyDescent="0.45">
      <c r="A69" s="29" t="s">
        <v>1309</v>
      </c>
      <c r="B69" s="29" t="str">
        <f t="shared" si="2"/>
        <v>7.887.967-K</v>
      </c>
      <c r="C69" s="22" t="s">
        <v>22</v>
      </c>
      <c r="D69" s="29" t="s">
        <v>439</v>
      </c>
      <c r="E69" s="29" t="s">
        <v>736</v>
      </c>
      <c r="F69" s="29" t="s">
        <v>468</v>
      </c>
      <c r="G69" s="49">
        <v>45511</v>
      </c>
      <c r="H69" s="49">
        <v>45515</v>
      </c>
      <c r="I69" s="29"/>
      <c r="J69" s="29" t="s">
        <v>19</v>
      </c>
      <c r="K69" s="24" t="s">
        <v>43</v>
      </c>
      <c r="L69" s="49">
        <v>45511</v>
      </c>
      <c r="M69" s="49">
        <v>45515</v>
      </c>
      <c r="N69" s="29">
        <f t="shared" si="3"/>
        <v>4</v>
      </c>
      <c r="O69" s="29"/>
      <c r="P69" t="s">
        <v>88</v>
      </c>
      <c r="Q69" t="s">
        <v>88</v>
      </c>
      <c r="R69" t="s">
        <v>88</v>
      </c>
      <c r="S69" t="s">
        <v>88</v>
      </c>
      <c r="T69" t="s">
        <v>88</v>
      </c>
      <c r="U69" t="s">
        <v>20</v>
      </c>
    </row>
    <row r="70" spans="1:21" x14ac:dyDescent="0.45">
      <c r="A70" s="29" t="s">
        <v>1309</v>
      </c>
      <c r="B70" s="29" t="str">
        <f t="shared" si="2"/>
        <v>7.887.967-K</v>
      </c>
      <c r="C70" s="22" t="str">
        <f>IF(IFERROR(VLOOKUP(A70,$A$10:$I69,1,0),0)=0,"",VLOOKUP(A70,$A$10:$I69,3,0))</f>
        <v>UCI</v>
      </c>
      <c r="D70" s="29" t="str">
        <f>IF(IFERROR(VLOOKUP(A70,$A$10:$I69,1,0),0)=0,"",VLOOKUP(A70,$A$10:$I69,4,0))</f>
        <v>GONZALEZ</v>
      </c>
      <c r="E70" s="29" t="str">
        <f>IF(IFERROR(VLOOKUP(A70,$A$10:$I69,1,0),0)=0,"",VLOOKUP(A70,$A$10:$I69,5,0))</f>
        <v>BURGOS</v>
      </c>
      <c r="F70" s="29" t="str">
        <f>IF(IFERROR(VLOOKUP(A70,$A$10:$I69,1,0),0)=0,"",VLOOKUP(A70,$A$10:$I69,6,0))</f>
        <v>ALEJANDRO</v>
      </c>
      <c r="G70" s="49">
        <f>IF(IFERROR(VLOOKUP(A70,$A$10:$I69,1,0),0)=0,"",VLOOKUP(A70,$A$10:$I69,7,0))</f>
        <v>45511</v>
      </c>
      <c r="H70" s="49">
        <v>45515</v>
      </c>
      <c r="I70" s="29"/>
      <c r="J70" s="29" t="s">
        <v>19</v>
      </c>
      <c r="K70" s="24" t="s">
        <v>47</v>
      </c>
      <c r="L70" s="49">
        <v>45511</v>
      </c>
      <c r="M70" s="49">
        <v>45515</v>
      </c>
      <c r="N70" s="29">
        <f t="shared" si="3"/>
        <v>4</v>
      </c>
      <c r="O70" s="29"/>
      <c r="P70" t="s">
        <v>88</v>
      </c>
      <c r="Q70" t="s">
        <v>88</v>
      </c>
      <c r="R70" t="s">
        <v>88</v>
      </c>
      <c r="S70" t="s">
        <v>88</v>
      </c>
      <c r="T70" t="s">
        <v>88</v>
      </c>
      <c r="U70" t="s">
        <v>20</v>
      </c>
    </row>
    <row r="71" spans="1:21" x14ac:dyDescent="0.45">
      <c r="A71" s="29" t="s">
        <v>1309</v>
      </c>
      <c r="B71" s="29" t="str">
        <f t="shared" si="2"/>
        <v>7.887.967-K</v>
      </c>
      <c r="C71" s="22" t="str">
        <f>IF(IFERROR(VLOOKUP(A71,$A$10:$I70,1,0),0)=0,"",VLOOKUP(A71,$A$10:$I70,3,0))</f>
        <v>UCI</v>
      </c>
      <c r="D71" s="29" t="str">
        <f>IF(IFERROR(VLOOKUP(A71,$A$10:$I70,1,0),0)=0,"",VLOOKUP(A71,$A$10:$I70,4,0))</f>
        <v>GONZALEZ</v>
      </c>
      <c r="E71" s="29" t="str">
        <f>IF(IFERROR(VLOOKUP(A71,$A$10:$I70,1,0),0)=0,"",VLOOKUP(A71,$A$10:$I70,5,0))</f>
        <v>BURGOS</v>
      </c>
      <c r="F71" s="29" t="str">
        <f>IF(IFERROR(VLOOKUP(A71,$A$10:$I70,1,0),0)=0,"",VLOOKUP(A71,$A$10:$I70,6,0))</f>
        <v>ALEJANDRO</v>
      </c>
      <c r="G71" s="49">
        <f>IF(IFERROR(VLOOKUP(A71,$A$10:$I70,1,0),0)=0,"",VLOOKUP(A71,$A$10:$I70,7,0))</f>
        <v>45511</v>
      </c>
      <c r="H71" s="49">
        <v>45515</v>
      </c>
      <c r="I71" s="29"/>
      <c r="J71" s="29" t="s">
        <v>19</v>
      </c>
      <c r="K71" s="24" t="s">
        <v>55</v>
      </c>
      <c r="L71" s="49">
        <v>45511</v>
      </c>
      <c r="M71" s="49">
        <v>45515</v>
      </c>
      <c r="N71" s="29">
        <f t="shared" si="3"/>
        <v>4</v>
      </c>
      <c r="O71" s="29"/>
      <c r="P71" t="s">
        <v>88</v>
      </c>
      <c r="Q71" t="s">
        <v>88</v>
      </c>
      <c r="R71" t="s">
        <v>88</v>
      </c>
      <c r="S71" t="s">
        <v>88</v>
      </c>
      <c r="T71" t="s">
        <v>88</v>
      </c>
      <c r="U71" t="s">
        <v>20</v>
      </c>
    </row>
    <row r="72" spans="1:21" x14ac:dyDescent="0.45">
      <c r="A72" s="29">
        <v>47664993</v>
      </c>
      <c r="B72" s="29" t="str">
        <f t="shared" si="2"/>
        <v>4.766.499-3</v>
      </c>
      <c r="C72" s="22" t="s">
        <v>22</v>
      </c>
      <c r="D72" s="29" t="s">
        <v>652</v>
      </c>
      <c r="E72" s="29" t="s">
        <v>482</v>
      </c>
      <c r="F72" s="29" t="s">
        <v>1310</v>
      </c>
      <c r="G72" s="49">
        <v>45511</v>
      </c>
      <c r="H72" s="49">
        <v>45513</v>
      </c>
      <c r="I72" s="29"/>
      <c r="J72" s="29" t="s">
        <v>19</v>
      </c>
      <c r="K72" s="24" t="s">
        <v>43</v>
      </c>
      <c r="L72" s="49">
        <v>45511</v>
      </c>
      <c r="M72" s="49">
        <v>45513</v>
      </c>
      <c r="N72" s="29">
        <f t="shared" si="3"/>
        <v>2</v>
      </c>
      <c r="O72" s="29"/>
      <c r="P72" t="s">
        <v>88</v>
      </c>
      <c r="Q72" t="s">
        <v>88</v>
      </c>
      <c r="R72" t="s">
        <v>88</v>
      </c>
      <c r="S72" t="s">
        <v>88</v>
      </c>
      <c r="T72" t="s">
        <v>88</v>
      </c>
      <c r="U72" t="s">
        <v>20</v>
      </c>
    </row>
    <row r="73" spans="1:21" x14ac:dyDescent="0.45">
      <c r="A73" s="29">
        <v>47664993</v>
      </c>
      <c r="B73" s="29" t="str">
        <f t="shared" si="2"/>
        <v>4.766.499-3</v>
      </c>
      <c r="C73" s="22" t="str">
        <f>IF(IFERROR(VLOOKUP(A73,$A$10:$I72,1,0),0)=0,"",VLOOKUP(A73,$A$10:$I72,3,0))</f>
        <v>UCI</v>
      </c>
      <c r="D73" s="29" t="str">
        <f>IF(IFERROR(VLOOKUP(A73,$A$10:$I72,1,0),0)=0,"",VLOOKUP(A73,$A$10:$I72,4,0))</f>
        <v>AGUAYO</v>
      </c>
      <c r="E73" s="29" t="str">
        <f>IF(IFERROR(VLOOKUP(A73,$A$10:$I72,1,0),0)=0,"",VLOOKUP(A73,$A$10:$I72,5,0))</f>
        <v>PEREZ</v>
      </c>
      <c r="F73" s="29" t="str">
        <f>IF(IFERROR(VLOOKUP(A73,$A$10:$I72,1,0),0)=0,"",VLOOKUP(A73,$A$10:$I72,6,0))</f>
        <v>NORA</v>
      </c>
      <c r="G73" s="49">
        <f>IF(IFERROR(VLOOKUP(A73,$A$10:$I72,1,0),0)=0,"",VLOOKUP(A73,$A$10:$I72,7,0))</f>
        <v>45511</v>
      </c>
      <c r="H73" s="49">
        <v>45513</v>
      </c>
      <c r="I73" s="29"/>
      <c r="J73" s="29" t="s">
        <v>19</v>
      </c>
      <c r="K73" s="24" t="s">
        <v>47</v>
      </c>
      <c r="L73" s="49">
        <v>45511</v>
      </c>
      <c r="M73" s="49">
        <v>45513</v>
      </c>
      <c r="N73" s="29">
        <f t="shared" si="3"/>
        <v>2</v>
      </c>
      <c r="O73" s="29"/>
      <c r="P73" t="s">
        <v>88</v>
      </c>
      <c r="Q73" t="s">
        <v>88</v>
      </c>
      <c r="R73" t="s">
        <v>88</v>
      </c>
      <c r="S73" t="s">
        <v>88</v>
      </c>
      <c r="T73" t="s">
        <v>88</v>
      </c>
      <c r="U73" t="s">
        <v>20</v>
      </c>
    </row>
    <row r="74" spans="1:21" x14ac:dyDescent="0.45">
      <c r="A74" s="29">
        <v>185794059</v>
      </c>
      <c r="B74" s="29" t="str">
        <f t="shared" si="2"/>
        <v>18.579.405-9</v>
      </c>
      <c r="C74" s="22" t="s">
        <v>22</v>
      </c>
      <c r="D74" s="29" t="s">
        <v>307</v>
      </c>
      <c r="E74" s="29" t="s">
        <v>646</v>
      </c>
      <c r="F74" s="29" t="s">
        <v>835</v>
      </c>
      <c r="G74" s="49">
        <v>45516</v>
      </c>
      <c r="H74" s="49">
        <v>45525</v>
      </c>
      <c r="I74" s="29"/>
      <c r="J74" s="29" t="s">
        <v>22</v>
      </c>
      <c r="K74" s="24" t="s">
        <v>43</v>
      </c>
      <c r="L74" s="49">
        <v>45516</v>
      </c>
      <c r="M74" s="49">
        <v>45525</v>
      </c>
      <c r="N74" s="29">
        <f t="shared" si="3"/>
        <v>9</v>
      </c>
      <c r="O74" s="29"/>
      <c r="P74" t="s">
        <v>88</v>
      </c>
      <c r="Q74" t="s">
        <v>88</v>
      </c>
      <c r="R74" t="s">
        <v>88</v>
      </c>
      <c r="S74" t="s">
        <v>88</v>
      </c>
      <c r="T74" t="s">
        <v>88</v>
      </c>
      <c r="U74" t="s">
        <v>20</v>
      </c>
    </row>
    <row r="75" spans="1:21" x14ac:dyDescent="0.45">
      <c r="A75" s="29">
        <v>185794059</v>
      </c>
      <c r="B75" s="29" t="str">
        <f t="shared" si="2"/>
        <v>18.579.405-9</v>
      </c>
      <c r="C75" s="22" t="str">
        <f>IF(IFERROR(VLOOKUP(A75,$A$10:$I74,1,0),0)=0,"",VLOOKUP(A75,$A$10:$I74,3,0))</f>
        <v>UCI</v>
      </c>
      <c r="D75" s="29" t="str">
        <f>IF(IFERROR(VLOOKUP(A75,$A$10:$I74,1,0),0)=0,"",VLOOKUP(A75,$A$10:$I74,4,0))</f>
        <v>ESCOBAR</v>
      </c>
      <c r="E75" s="29" t="str">
        <f>IF(IFERROR(VLOOKUP(A75,$A$10:$I74,1,0),0)=0,"",VLOOKUP(A75,$A$10:$I74,5,0))</f>
        <v>ARRIAGADA</v>
      </c>
      <c r="F75" s="29" t="str">
        <f>IF(IFERROR(VLOOKUP(A75,$A$10:$I74,1,0),0)=0,"",VLOOKUP(A75,$A$10:$I74,6,0))</f>
        <v>ROBERTO</v>
      </c>
      <c r="G75" s="49">
        <f>IF(IFERROR(VLOOKUP(A75,$A$10:$I74,1,0),0)=0,"",VLOOKUP(A75,$A$10:$I74,7,0))</f>
        <v>45516</v>
      </c>
      <c r="H75" s="49">
        <v>45525</v>
      </c>
      <c r="I75" s="29"/>
      <c r="J75" s="29" t="s">
        <v>22</v>
      </c>
      <c r="K75" s="24" t="s">
        <v>47</v>
      </c>
      <c r="L75" s="49">
        <v>45516</v>
      </c>
      <c r="M75" s="49">
        <v>45516</v>
      </c>
      <c r="N75" s="29">
        <f t="shared" si="3"/>
        <v>0</v>
      </c>
      <c r="O75" s="29"/>
      <c r="P75" t="s">
        <v>88</v>
      </c>
      <c r="Q75" t="s">
        <v>88</v>
      </c>
      <c r="R75" t="s">
        <v>88</v>
      </c>
      <c r="S75" t="s">
        <v>88</v>
      </c>
      <c r="T75" t="s">
        <v>88</v>
      </c>
      <c r="U75" t="s">
        <v>20</v>
      </c>
    </row>
    <row r="76" spans="1:21" x14ac:dyDescent="0.45">
      <c r="A76" s="29">
        <v>185794059</v>
      </c>
      <c r="B76" s="29" t="str">
        <f t="shared" si="2"/>
        <v>18.579.405-9</v>
      </c>
      <c r="C76" s="22" t="str">
        <f>IF(IFERROR(VLOOKUP(A76,$A$10:$I75,1,0),0)=0,"",VLOOKUP(A76,$A$10:$I75,3,0))</f>
        <v>UCI</v>
      </c>
      <c r="D76" s="29" t="str">
        <f>IF(IFERROR(VLOOKUP(A76,$A$10:$I75,1,0),0)=0,"",VLOOKUP(A76,$A$10:$I75,4,0))</f>
        <v>ESCOBAR</v>
      </c>
      <c r="E76" s="29" t="str">
        <f>IF(IFERROR(VLOOKUP(A76,$A$10:$I75,1,0),0)=0,"",VLOOKUP(A76,$A$10:$I75,5,0))</f>
        <v>ARRIAGADA</v>
      </c>
      <c r="F76" s="29" t="str">
        <f>IF(IFERROR(VLOOKUP(A76,$A$10:$I75,1,0),0)=0,"",VLOOKUP(A76,$A$10:$I75,6,0))</f>
        <v>ROBERTO</v>
      </c>
      <c r="G76" s="49">
        <f>IF(IFERROR(VLOOKUP(A76,$A$10:$I75,1,0),0)=0,"",VLOOKUP(A76,$A$10:$I75,7,0))</f>
        <v>45516</v>
      </c>
      <c r="H76" s="49">
        <v>45525</v>
      </c>
      <c r="I76" s="29"/>
      <c r="J76" s="29" t="s">
        <v>22</v>
      </c>
      <c r="K76" s="24" t="s">
        <v>55</v>
      </c>
      <c r="L76" s="49">
        <v>45516</v>
      </c>
      <c r="M76" s="49">
        <v>45520</v>
      </c>
      <c r="N76" s="29">
        <f t="shared" si="3"/>
        <v>4</v>
      </c>
      <c r="O76" s="29"/>
      <c r="P76" t="s">
        <v>88</v>
      </c>
      <c r="Q76" t="s">
        <v>88</v>
      </c>
      <c r="R76" t="s">
        <v>88</v>
      </c>
      <c r="S76" t="s">
        <v>88</v>
      </c>
      <c r="T76" t="s">
        <v>88</v>
      </c>
      <c r="U76" t="s">
        <v>20</v>
      </c>
    </row>
    <row r="77" spans="1:21" x14ac:dyDescent="0.45">
      <c r="A77" s="29">
        <v>123802500</v>
      </c>
      <c r="B77" s="29" t="str">
        <f t="shared" si="2"/>
        <v>12.380.250-0</v>
      </c>
      <c r="C77" s="22" t="s">
        <v>22</v>
      </c>
      <c r="D77" s="29" t="s">
        <v>482</v>
      </c>
      <c r="E77" s="29" t="s">
        <v>448</v>
      </c>
      <c r="F77" s="29" t="s">
        <v>301</v>
      </c>
      <c r="G77" s="49">
        <v>45514</v>
      </c>
      <c r="H77" s="49">
        <v>45527</v>
      </c>
      <c r="I77" s="29" t="s">
        <v>22</v>
      </c>
      <c r="J77" s="29" t="s">
        <v>22</v>
      </c>
      <c r="K77" s="24" t="s">
        <v>43</v>
      </c>
      <c r="L77" s="49">
        <v>45514</v>
      </c>
      <c r="M77" s="49">
        <v>45527</v>
      </c>
      <c r="N77" s="29">
        <f t="shared" si="3"/>
        <v>13</v>
      </c>
      <c r="O77" s="29"/>
      <c r="P77" t="s">
        <v>88</v>
      </c>
      <c r="Q77" t="s">
        <v>88</v>
      </c>
      <c r="R77" t="s">
        <v>88</v>
      </c>
      <c r="S77" t="s">
        <v>88</v>
      </c>
      <c r="T77" t="s">
        <v>88</v>
      </c>
      <c r="U77" t="s">
        <v>20</v>
      </c>
    </row>
    <row r="78" spans="1:21" x14ac:dyDescent="0.45">
      <c r="A78" s="29">
        <v>123802500</v>
      </c>
      <c r="B78" s="29" t="str">
        <f t="shared" ref="B78:B96" si="4">IF(LEN(A78)=8,MID(A78,1,1)&amp;"."&amp;MID(A78,2,3)&amp;"."&amp;MID(A78,5,3)&amp;"-"&amp;RIGHT(A78,1),IF(LEFT(RIGHT(A78,2),1)="-",MID(A78,1,1)&amp;"."&amp;MID(A78,2,3)&amp;"."&amp;MID(A78,5,3)&amp;"-"&amp;RIGHT(A78,1),MID(A78,1,2)&amp;"."&amp;MID(A78,3,3)&amp;"."&amp;MID(A78,6,3)&amp;"-"&amp;MID(A78,9,1)))</f>
        <v>12.380.250-0</v>
      </c>
      <c r="C78" s="22" t="str">
        <f>IF(IFERROR(VLOOKUP(A78,$A$10:$I77,1,0),0)=0,"",VLOOKUP(A78,$A$10:$I77,3,0))</f>
        <v>UCI</v>
      </c>
      <c r="D78" s="29" t="str">
        <f>IF(IFERROR(VLOOKUP(A78,$A$10:$I77,1,0),0)=0,"",VLOOKUP(A78,$A$10:$I77,4,0))</f>
        <v>PEREZ</v>
      </c>
      <c r="E78" s="29" t="str">
        <f>IF(IFERROR(VLOOKUP(A78,$A$10:$I77,1,0),0)=0,"",VLOOKUP(A78,$A$10:$I77,5,0))</f>
        <v>ROMERO</v>
      </c>
      <c r="F78" s="29" t="str">
        <f>IF(IFERROR(VLOOKUP(A78,$A$10:$I77,1,0),0)=0,"",VLOOKUP(A78,$A$10:$I77,6,0))</f>
        <v>ULISES</v>
      </c>
      <c r="G78" s="49">
        <f>IF(IFERROR(VLOOKUP(A78,$A$10:$I77,1,0),0)=0,"",VLOOKUP(A78,$A$10:$I77,7,0))</f>
        <v>45514</v>
      </c>
      <c r="H78" s="49">
        <v>45527</v>
      </c>
      <c r="I78" s="29" t="s">
        <v>22</v>
      </c>
      <c r="J78" s="29" t="s">
        <v>22</v>
      </c>
      <c r="K78" s="24" t="s">
        <v>47</v>
      </c>
      <c r="L78" s="49">
        <v>45514</v>
      </c>
      <c r="M78" s="49">
        <v>45527</v>
      </c>
      <c r="N78" s="29">
        <f t="shared" ref="N78:N99" si="5">+M78-L78</f>
        <v>13</v>
      </c>
      <c r="O78" s="29"/>
      <c r="P78" t="s">
        <v>88</v>
      </c>
      <c r="Q78" t="s">
        <v>88</v>
      </c>
      <c r="R78" t="s">
        <v>88</v>
      </c>
      <c r="S78" t="s">
        <v>88</v>
      </c>
      <c r="T78" t="s">
        <v>88</v>
      </c>
      <c r="U78" t="s">
        <v>20</v>
      </c>
    </row>
    <row r="79" spans="1:21" x14ac:dyDescent="0.45">
      <c r="A79" s="29">
        <v>52923662</v>
      </c>
      <c r="B79" s="29" t="str">
        <f t="shared" si="4"/>
        <v>5.292.366-2</v>
      </c>
      <c r="C79" s="22" t="s">
        <v>22</v>
      </c>
      <c r="D79" s="29" t="s">
        <v>1311</v>
      </c>
      <c r="E79" s="29" t="s">
        <v>1312</v>
      </c>
      <c r="F79" s="29" t="s">
        <v>351</v>
      </c>
      <c r="G79" s="49">
        <v>45516</v>
      </c>
      <c r="H79" s="49">
        <v>45519</v>
      </c>
      <c r="I79" s="29"/>
      <c r="J79" s="29" t="s">
        <v>22</v>
      </c>
      <c r="K79" s="24" t="s">
        <v>43</v>
      </c>
      <c r="L79" s="49">
        <v>45516</v>
      </c>
      <c r="M79" s="49">
        <v>45519</v>
      </c>
      <c r="N79" s="29">
        <f t="shared" si="5"/>
        <v>3</v>
      </c>
      <c r="O79" s="29"/>
      <c r="P79" t="s">
        <v>88</v>
      </c>
      <c r="Q79" t="s">
        <v>88</v>
      </c>
      <c r="R79" t="s">
        <v>88</v>
      </c>
      <c r="S79" t="s">
        <v>88</v>
      </c>
      <c r="T79" t="s">
        <v>88</v>
      </c>
      <c r="U79" t="s">
        <v>20</v>
      </c>
    </row>
    <row r="80" spans="1:21" x14ac:dyDescent="0.45">
      <c r="A80" s="29">
        <v>52923662</v>
      </c>
      <c r="B80" s="29" t="str">
        <f t="shared" si="4"/>
        <v>5.292.366-2</v>
      </c>
      <c r="C80" s="22" t="str">
        <f>IF(IFERROR(VLOOKUP(A80,$A$10:$I79,1,0),0)=0,"",VLOOKUP(A80,$A$10:$I79,3,0))</f>
        <v>UCI</v>
      </c>
      <c r="D80" s="29" t="str">
        <f>IF(IFERROR(VLOOKUP(A80,$A$10:$I79,1,0),0)=0,"",VLOOKUP(A80,$A$10:$I79,4,0))</f>
        <v>MACIAS</v>
      </c>
      <c r="E80" s="29" t="str">
        <f>IF(IFERROR(VLOOKUP(A80,$A$10:$I79,1,0),0)=0,"",VLOOKUP(A80,$A$10:$I79,5,0))</f>
        <v>LARSEN</v>
      </c>
      <c r="F80" s="29" t="str">
        <f>IF(IFERROR(VLOOKUP(A80,$A$10:$I79,1,0),0)=0,"",VLOOKUP(A80,$A$10:$I79,6,0))</f>
        <v>OSCAR</v>
      </c>
      <c r="G80" s="49">
        <f>IF(IFERROR(VLOOKUP(A80,$A$10:$I79,1,0),0)=0,"",VLOOKUP(A80,$A$10:$I79,7,0))</f>
        <v>45516</v>
      </c>
      <c r="H80" s="49">
        <v>45519</v>
      </c>
      <c r="I80" s="29"/>
      <c r="J80" s="29" t="s">
        <v>22</v>
      </c>
      <c r="K80" s="24" t="s">
        <v>47</v>
      </c>
      <c r="L80" s="49">
        <v>45516</v>
      </c>
      <c r="M80" s="49">
        <v>45519</v>
      </c>
      <c r="N80" s="29">
        <f t="shared" si="5"/>
        <v>3</v>
      </c>
      <c r="O80" s="29"/>
      <c r="P80" t="s">
        <v>88</v>
      </c>
      <c r="Q80" t="s">
        <v>88</v>
      </c>
      <c r="R80" t="s">
        <v>88</v>
      </c>
      <c r="S80" t="s">
        <v>88</v>
      </c>
      <c r="T80" t="s">
        <v>88</v>
      </c>
      <c r="U80" t="s">
        <v>20</v>
      </c>
    </row>
    <row r="81" spans="1:21" x14ac:dyDescent="0.45">
      <c r="A81" s="29">
        <v>67837363</v>
      </c>
      <c r="B81" s="29" t="str">
        <f t="shared" si="4"/>
        <v>6.783.736-3</v>
      </c>
      <c r="C81" s="22" t="s">
        <v>22</v>
      </c>
      <c r="D81" s="29" t="s">
        <v>1313</v>
      </c>
      <c r="E81" s="29" t="s">
        <v>442</v>
      </c>
      <c r="F81" s="29" t="s">
        <v>290</v>
      </c>
      <c r="G81" s="49">
        <v>45515</v>
      </c>
      <c r="H81" s="49">
        <v>45517</v>
      </c>
      <c r="I81" s="29"/>
      <c r="J81" s="29" t="s">
        <v>22</v>
      </c>
      <c r="K81" s="24" t="s">
        <v>43</v>
      </c>
      <c r="L81" s="49">
        <v>45515</v>
      </c>
      <c r="M81" s="49">
        <v>45517</v>
      </c>
      <c r="N81" s="29">
        <f t="shared" si="5"/>
        <v>2</v>
      </c>
      <c r="O81" s="29"/>
      <c r="P81" t="s">
        <v>88</v>
      </c>
      <c r="Q81" t="s">
        <v>88</v>
      </c>
      <c r="R81" t="s">
        <v>88</v>
      </c>
      <c r="S81" t="s">
        <v>88</v>
      </c>
      <c r="T81" t="s">
        <v>88</v>
      </c>
      <c r="U81" t="s">
        <v>20</v>
      </c>
    </row>
    <row r="82" spans="1:21" x14ac:dyDescent="0.45">
      <c r="A82" s="29">
        <v>67837363</v>
      </c>
      <c r="B82" s="29" t="str">
        <f t="shared" si="4"/>
        <v>6.783.736-3</v>
      </c>
      <c r="C82" s="22" t="str">
        <f>IF(IFERROR(VLOOKUP(A82,$A$10:$I81,1,0),0)=0,"",VLOOKUP(A82,$A$10:$I81,3,0))</f>
        <v>UCI</v>
      </c>
      <c r="D82" s="29" t="str">
        <f>IF(IFERROR(VLOOKUP(A82,$A$10:$I81,1,0),0)=0,"",VLOOKUP(A82,$A$10:$I81,4,0))</f>
        <v>ROJAS</v>
      </c>
      <c r="E82" s="29" t="str">
        <f>IF(IFERROR(VLOOKUP(A82,$A$10:$I81,1,0),0)=0,"",VLOOKUP(A82,$A$10:$I81,5,0))</f>
        <v>FUENTEALBA</v>
      </c>
      <c r="F82" s="29" t="str">
        <f>IF(IFERROR(VLOOKUP(A82,$A$10:$I81,1,0),0)=0,"",VLOOKUP(A82,$A$10:$I81,6,0))</f>
        <v>FERNANDO</v>
      </c>
      <c r="G82" s="49">
        <f>IF(IFERROR(VLOOKUP(A82,$A$10:$I81,1,0),0)=0,"",VLOOKUP(A82,$A$10:$I81,7,0))</f>
        <v>45515</v>
      </c>
      <c r="H82" s="49">
        <v>45517</v>
      </c>
      <c r="I82" s="29"/>
      <c r="J82" s="29" t="s">
        <v>22</v>
      </c>
      <c r="K82" s="24" t="s">
        <v>47</v>
      </c>
      <c r="L82" s="49">
        <v>45515</v>
      </c>
      <c r="M82" s="49">
        <v>45517</v>
      </c>
      <c r="N82" s="29">
        <f t="shared" si="5"/>
        <v>2</v>
      </c>
      <c r="O82" s="29"/>
      <c r="P82" t="s">
        <v>88</v>
      </c>
      <c r="Q82" t="s">
        <v>88</v>
      </c>
      <c r="R82" t="s">
        <v>88</v>
      </c>
      <c r="S82" t="s">
        <v>88</v>
      </c>
      <c r="T82" t="s">
        <v>88</v>
      </c>
      <c r="U82" t="s">
        <v>20</v>
      </c>
    </row>
    <row r="83" spans="1:21" x14ac:dyDescent="0.45">
      <c r="A83" s="29">
        <v>188457347</v>
      </c>
      <c r="B83" s="29" t="str">
        <f t="shared" si="4"/>
        <v>18.845.734-7</v>
      </c>
      <c r="C83" s="22" t="s">
        <v>22</v>
      </c>
      <c r="D83" s="29" t="s">
        <v>391</v>
      </c>
      <c r="E83" s="29" t="s">
        <v>448</v>
      </c>
      <c r="F83" s="29" t="s">
        <v>1124</v>
      </c>
      <c r="G83" s="49">
        <v>45522</v>
      </c>
      <c r="H83" s="49">
        <v>45524</v>
      </c>
      <c r="I83" s="29"/>
      <c r="J83" s="29" t="s">
        <v>22</v>
      </c>
      <c r="K83" s="24" t="s">
        <v>43</v>
      </c>
      <c r="L83" s="49">
        <v>45522</v>
      </c>
      <c r="M83" s="49">
        <v>45524</v>
      </c>
      <c r="N83" s="29">
        <f t="shared" si="5"/>
        <v>2</v>
      </c>
      <c r="O83" s="29"/>
      <c r="P83" t="s">
        <v>88</v>
      </c>
      <c r="Q83" t="s">
        <v>88</v>
      </c>
      <c r="R83" t="s">
        <v>88</v>
      </c>
      <c r="S83" t="s">
        <v>88</v>
      </c>
      <c r="T83" t="s">
        <v>88</v>
      </c>
      <c r="U83" t="s">
        <v>20</v>
      </c>
    </row>
    <row r="84" spans="1:21" x14ac:dyDescent="0.45">
      <c r="A84" s="29">
        <v>73591929</v>
      </c>
      <c r="B84" s="29" t="str">
        <f t="shared" si="4"/>
        <v>7.359.192-9</v>
      </c>
      <c r="C84" s="22" t="s">
        <v>22</v>
      </c>
      <c r="D84" s="29" t="s">
        <v>1314</v>
      </c>
      <c r="E84" s="29" t="s">
        <v>285</v>
      </c>
      <c r="F84" s="29" t="s">
        <v>1315</v>
      </c>
      <c r="G84" s="49">
        <v>45519</v>
      </c>
      <c r="H84" s="49">
        <v>45525</v>
      </c>
      <c r="I84" s="29"/>
      <c r="J84" s="29" t="s">
        <v>22</v>
      </c>
      <c r="K84" s="24" t="s">
        <v>43</v>
      </c>
      <c r="L84" s="49">
        <v>45519</v>
      </c>
      <c r="M84" s="49">
        <v>45525</v>
      </c>
      <c r="N84" s="29">
        <f t="shared" si="5"/>
        <v>6</v>
      </c>
      <c r="O84" s="29"/>
      <c r="P84" t="s">
        <v>88</v>
      </c>
      <c r="Q84" t="s">
        <v>88</v>
      </c>
      <c r="R84" t="s">
        <v>88</v>
      </c>
      <c r="S84" t="s">
        <v>88</v>
      </c>
      <c r="T84" t="s">
        <v>88</v>
      </c>
      <c r="U84" t="s">
        <v>20</v>
      </c>
    </row>
    <row r="85" spans="1:21" x14ac:dyDescent="0.45">
      <c r="A85" s="29">
        <v>73591929</v>
      </c>
      <c r="B85" s="29" t="str">
        <f t="shared" si="4"/>
        <v>7.359.192-9</v>
      </c>
      <c r="C85" s="22" t="str">
        <f>IF(IFERROR(VLOOKUP(A85,$A$10:$I84,1,0),0)=0,"",VLOOKUP(A85,$A$10:$I84,3,0))</f>
        <v>UCI</v>
      </c>
      <c r="D85" s="29" t="str">
        <f>IF(IFERROR(VLOOKUP(A85,$A$10:$I84,1,0),0)=0,"",VLOOKUP(A85,$A$10:$I84,4,0))</f>
        <v>YISSI</v>
      </c>
      <c r="E85" s="29" t="str">
        <f>IF(IFERROR(VLOOKUP(A85,$A$10:$I84,1,0),0)=0,"",VLOOKUP(A85,$A$10:$I84,5,0))</f>
        <v>JARA</v>
      </c>
      <c r="F85" s="29" t="str">
        <f>IF(IFERROR(VLOOKUP(A85,$A$10:$I84,1,0),0)=0,"",VLOOKUP(A85,$A$10:$I84,6,0))</f>
        <v>QUEMEL</v>
      </c>
      <c r="G85" s="49">
        <f>IF(IFERROR(VLOOKUP(A85,$A$10:$I84,1,0),0)=0,"",VLOOKUP(A85,$A$10:$I84,7,0))</f>
        <v>45519</v>
      </c>
      <c r="H85" s="49">
        <v>45525</v>
      </c>
      <c r="I85" s="29"/>
      <c r="J85" s="29" t="s">
        <v>22</v>
      </c>
      <c r="K85" s="24" t="s">
        <v>47</v>
      </c>
      <c r="L85" s="49">
        <v>45519</v>
      </c>
      <c r="M85" s="49">
        <v>45525</v>
      </c>
      <c r="N85" s="29">
        <f t="shared" si="5"/>
        <v>6</v>
      </c>
      <c r="O85" s="29"/>
      <c r="P85" t="s">
        <v>88</v>
      </c>
      <c r="Q85" t="s">
        <v>88</v>
      </c>
      <c r="R85" t="s">
        <v>88</v>
      </c>
      <c r="S85" t="s">
        <v>88</v>
      </c>
      <c r="T85" t="s">
        <v>88</v>
      </c>
      <c r="U85" t="s">
        <v>20</v>
      </c>
    </row>
    <row r="86" spans="1:21" x14ac:dyDescent="0.45">
      <c r="A86" s="29">
        <v>56057803</v>
      </c>
      <c r="B86" s="29" t="str">
        <f t="shared" si="4"/>
        <v>5.605.780-3</v>
      </c>
      <c r="C86" s="22" t="s">
        <v>22</v>
      </c>
      <c r="D86" s="29" t="s">
        <v>640</v>
      </c>
      <c r="E86" s="29" t="s">
        <v>266</v>
      </c>
      <c r="F86" s="29" t="s">
        <v>854</v>
      </c>
      <c r="G86" s="49">
        <v>45517</v>
      </c>
      <c r="H86" s="49"/>
      <c r="I86" s="29"/>
      <c r="J86" s="29" t="s">
        <v>22</v>
      </c>
      <c r="K86" s="24" t="s">
        <v>43</v>
      </c>
      <c r="L86" s="49">
        <v>45517</v>
      </c>
      <c r="M86" s="49">
        <v>45535</v>
      </c>
      <c r="N86" s="29">
        <f t="shared" si="5"/>
        <v>18</v>
      </c>
      <c r="O86" s="29"/>
      <c r="P86" t="s">
        <v>88</v>
      </c>
      <c r="Q86" t="s">
        <v>88</v>
      </c>
      <c r="R86" t="s">
        <v>88</v>
      </c>
      <c r="S86" t="s">
        <v>88</v>
      </c>
      <c r="T86" t="s">
        <v>88</v>
      </c>
      <c r="U86" t="s">
        <v>20</v>
      </c>
    </row>
    <row r="87" spans="1:21" x14ac:dyDescent="0.45">
      <c r="A87" s="29">
        <v>56057803</v>
      </c>
      <c r="B87" s="29" t="str">
        <f t="shared" si="4"/>
        <v>5.605.780-3</v>
      </c>
      <c r="C87" s="22" t="str">
        <f>IF(IFERROR(VLOOKUP(A87,$A$10:$I86,1,0),0)=0,"",VLOOKUP(A87,$A$10:$I86,3,0))</f>
        <v>UCI</v>
      </c>
      <c r="D87" s="29" t="str">
        <f>IF(IFERROR(VLOOKUP(A87,$A$10:$I86,1,0),0)=0,"",VLOOKUP(A87,$A$10:$I86,4,0))</f>
        <v>ORELLANA</v>
      </c>
      <c r="E87" s="29" t="str">
        <f>IF(IFERROR(VLOOKUP(A87,$A$10:$I86,1,0),0)=0,"",VLOOKUP(A87,$A$10:$I86,5,0))</f>
        <v>SOTO</v>
      </c>
      <c r="F87" s="29" t="str">
        <f>IF(IFERROR(VLOOKUP(A87,$A$10:$I86,1,0),0)=0,"",VLOOKUP(A87,$A$10:$I86,6,0))</f>
        <v>ESTER</v>
      </c>
      <c r="G87" s="49">
        <f>IF(IFERROR(VLOOKUP(A87,$A$10:$I86,1,0),0)=0,"",VLOOKUP(A87,$A$10:$I86,7,0))</f>
        <v>45517</v>
      </c>
      <c r="H87" s="49"/>
      <c r="I87" s="29"/>
      <c r="J87" s="29" t="s">
        <v>22</v>
      </c>
      <c r="K87" s="24" t="s">
        <v>47</v>
      </c>
      <c r="L87" s="49">
        <v>45517</v>
      </c>
      <c r="M87" s="49">
        <v>45535</v>
      </c>
      <c r="N87" s="29">
        <f t="shared" si="5"/>
        <v>18</v>
      </c>
      <c r="O87" s="29"/>
      <c r="P87" t="s">
        <v>88</v>
      </c>
      <c r="Q87" t="s">
        <v>88</v>
      </c>
      <c r="R87" t="s">
        <v>88</v>
      </c>
      <c r="S87" t="s">
        <v>88</v>
      </c>
      <c r="T87" t="s">
        <v>88</v>
      </c>
      <c r="U87" t="s">
        <v>20</v>
      </c>
    </row>
    <row r="88" spans="1:21" x14ac:dyDescent="0.45">
      <c r="A88" s="29">
        <v>56057803</v>
      </c>
      <c r="B88" s="29" t="str">
        <f t="shared" si="4"/>
        <v>5.605.780-3</v>
      </c>
      <c r="C88" s="22" t="str">
        <f>IF(IFERROR(VLOOKUP(A88,$A$10:$I87,1,0),0)=0,"",VLOOKUP(A88,$A$10:$I87,3,0))</f>
        <v>UCI</v>
      </c>
      <c r="D88" s="29" t="str">
        <f>IF(IFERROR(VLOOKUP(A88,$A$10:$I87,1,0),0)=0,"",VLOOKUP(A88,$A$10:$I87,4,0))</f>
        <v>ORELLANA</v>
      </c>
      <c r="E88" s="29" t="str">
        <f>IF(IFERROR(VLOOKUP(A88,$A$10:$I87,1,0),0)=0,"",VLOOKUP(A88,$A$10:$I87,5,0))</f>
        <v>SOTO</v>
      </c>
      <c r="F88" s="29" t="str">
        <f>IF(IFERROR(VLOOKUP(A88,$A$10:$I87,1,0),0)=0,"",VLOOKUP(A88,$A$10:$I87,6,0))</f>
        <v>ESTER</v>
      </c>
      <c r="G88" s="49">
        <f>IF(IFERROR(VLOOKUP(A88,$A$10:$I87,1,0),0)=0,"",VLOOKUP(A88,$A$10:$I87,7,0))</f>
        <v>45517</v>
      </c>
      <c r="H88" s="49"/>
      <c r="I88" s="29"/>
      <c r="J88" s="29" t="s">
        <v>22</v>
      </c>
      <c r="K88" s="24" t="s">
        <v>55</v>
      </c>
      <c r="L88" s="49">
        <v>45525</v>
      </c>
      <c r="M88" s="49">
        <v>45532</v>
      </c>
      <c r="N88" s="29">
        <f t="shared" si="5"/>
        <v>7</v>
      </c>
      <c r="O88" s="29"/>
      <c r="P88" t="s">
        <v>88</v>
      </c>
      <c r="Q88" t="s">
        <v>88</v>
      </c>
      <c r="R88" t="s">
        <v>88</v>
      </c>
      <c r="S88" t="s">
        <v>88</v>
      </c>
      <c r="T88" t="s">
        <v>88</v>
      </c>
      <c r="U88" t="s">
        <v>20</v>
      </c>
    </row>
    <row r="89" spans="1:21" x14ac:dyDescent="0.45">
      <c r="A89" s="29">
        <v>94294894</v>
      </c>
      <c r="B89" s="29" t="str">
        <f t="shared" si="4"/>
        <v>9.429.489-4</v>
      </c>
      <c r="C89" s="22" t="s">
        <v>22</v>
      </c>
      <c r="D89" s="29" t="s">
        <v>245</v>
      </c>
      <c r="E89" s="29" t="s">
        <v>1169</v>
      </c>
      <c r="F89" s="29" t="s">
        <v>380</v>
      </c>
      <c r="G89" s="49">
        <v>45517</v>
      </c>
      <c r="H89" s="49">
        <v>45520</v>
      </c>
      <c r="I89" s="29"/>
      <c r="J89" s="29" t="s">
        <v>22</v>
      </c>
      <c r="K89" s="24" t="s">
        <v>43</v>
      </c>
      <c r="L89" s="49">
        <v>45517</v>
      </c>
      <c r="M89" s="49">
        <v>45520</v>
      </c>
      <c r="N89" s="29">
        <f t="shared" si="5"/>
        <v>3</v>
      </c>
      <c r="O89" s="29"/>
      <c r="P89" t="s">
        <v>88</v>
      </c>
      <c r="Q89" t="s">
        <v>88</v>
      </c>
      <c r="R89" t="s">
        <v>88</v>
      </c>
      <c r="S89" t="s">
        <v>88</v>
      </c>
      <c r="T89" t="s">
        <v>88</v>
      </c>
      <c r="U89" t="s">
        <v>20</v>
      </c>
    </row>
    <row r="90" spans="1:21" x14ac:dyDescent="0.45">
      <c r="A90" s="29">
        <v>107118209</v>
      </c>
      <c r="B90" s="29" t="str">
        <f t="shared" si="4"/>
        <v>10.711.820-9</v>
      </c>
      <c r="C90" s="22" t="s">
        <v>22</v>
      </c>
      <c r="D90" s="29" t="s">
        <v>955</v>
      </c>
      <c r="E90" s="29" t="s">
        <v>328</v>
      </c>
      <c r="F90" s="29" t="s">
        <v>944</v>
      </c>
      <c r="G90" s="49">
        <v>45524</v>
      </c>
      <c r="H90" s="49">
        <v>45527</v>
      </c>
      <c r="I90" s="29"/>
      <c r="J90" s="29" t="s">
        <v>22</v>
      </c>
      <c r="K90" s="24" t="s">
        <v>43</v>
      </c>
      <c r="L90" s="49">
        <v>45524</v>
      </c>
      <c r="M90" s="49">
        <v>45527</v>
      </c>
      <c r="N90" s="29">
        <f t="shared" si="5"/>
        <v>3</v>
      </c>
      <c r="O90" s="29"/>
      <c r="P90" t="s">
        <v>88</v>
      </c>
      <c r="Q90" t="s">
        <v>88</v>
      </c>
      <c r="R90" t="s">
        <v>88</v>
      </c>
      <c r="S90" t="s">
        <v>88</v>
      </c>
      <c r="T90" t="s">
        <v>88</v>
      </c>
      <c r="U90" t="s">
        <v>20</v>
      </c>
    </row>
    <row r="91" spans="1:21" x14ac:dyDescent="0.45">
      <c r="A91" s="29">
        <v>107118209</v>
      </c>
      <c r="B91" s="29" t="str">
        <f t="shared" si="4"/>
        <v>10.711.820-9</v>
      </c>
      <c r="C91" s="22" t="str">
        <f>IF(IFERROR(VLOOKUP(A91,$A$10:$I90,1,0),0)=0,"",VLOOKUP(A91,$A$10:$I90,3,0))</f>
        <v>UCI</v>
      </c>
      <c r="D91" s="29" t="str">
        <f>IF(IFERROR(VLOOKUP(A91,$A$10:$I90,1,0),0)=0,"",VLOOKUP(A91,$A$10:$I90,4,0))</f>
        <v>DEFAUR</v>
      </c>
      <c r="E91" s="29" t="str">
        <f>IF(IFERROR(VLOOKUP(A91,$A$10:$I90,1,0),0)=0,"",VLOOKUP(A91,$A$10:$I90,5,0))</f>
        <v>GUTIERREZ</v>
      </c>
      <c r="F91" s="29" t="str">
        <f>IF(IFERROR(VLOOKUP(A91,$A$10:$I90,1,0),0)=0,"",VLOOKUP(A91,$A$10:$I90,6,0))</f>
        <v>ELIANA</v>
      </c>
      <c r="G91" s="49">
        <f>IF(IFERROR(VLOOKUP(A91,$A$10:$I90,1,0),0)=0,"",VLOOKUP(A91,$A$10:$I90,7,0))</f>
        <v>45524</v>
      </c>
      <c r="H91" s="49">
        <v>45527</v>
      </c>
      <c r="I91" s="29"/>
      <c r="J91" s="29" t="s">
        <v>22</v>
      </c>
      <c r="K91" s="24" t="s">
        <v>47</v>
      </c>
      <c r="L91" s="49">
        <v>45524</v>
      </c>
      <c r="M91" s="49">
        <v>45527</v>
      </c>
      <c r="N91" s="29">
        <f t="shared" si="5"/>
        <v>3</v>
      </c>
      <c r="O91" s="29"/>
      <c r="P91" t="s">
        <v>88</v>
      </c>
      <c r="Q91" t="s">
        <v>88</v>
      </c>
      <c r="R91" t="s">
        <v>88</v>
      </c>
      <c r="S91" t="s">
        <v>88</v>
      </c>
      <c r="T91" t="s">
        <v>88</v>
      </c>
      <c r="U91" t="s">
        <v>20</v>
      </c>
    </row>
    <row r="92" spans="1:21" x14ac:dyDescent="0.45">
      <c r="A92" s="29">
        <v>98343474</v>
      </c>
      <c r="B92" s="29" t="str">
        <f t="shared" si="4"/>
        <v>9.834.347-4</v>
      </c>
      <c r="C92" s="22" t="s">
        <v>22</v>
      </c>
      <c r="D92" s="29" t="s">
        <v>1010</v>
      </c>
      <c r="E92" s="29" t="s">
        <v>767</v>
      </c>
      <c r="F92" s="29" t="s">
        <v>1280</v>
      </c>
      <c r="G92" s="49">
        <v>45501</v>
      </c>
      <c r="H92" s="49">
        <v>45511</v>
      </c>
      <c r="I92" s="29" t="s">
        <v>22</v>
      </c>
      <c r="J92" s="29" t="s">
        <v>56</v>
      </c>
      <c r="K92" s="24" t="s">
        <v>18</v>
      </c>
      <c r="L92" s="49">
        <v>45505</v>
      </c>
      <c r="M92" s="49">
        <v>45511</v>
      </c>
      <c r="N92" s="29">
        <f t="shared" si="5"/>
        <v>6</v>
      </c>
      <c r="O92" s="29"/>
      <c r="P92" t="s">
        <v>88</v>
      </c>
      <c r="Q92" t="s">
        <v>88</v>
      </c>
      <c r="R92" t="s">
        <v>88</v>
      </c>
      <c r="S92" t="s">
        <v>88</v>
      </c>
      <c r="T92" t="s">
        <v>88</v>
      </c>
      <c r="U92" t="s">
        <v>20</v>
      </c>
    </row>
    <row r="93" spans="1:21" x14ac:dyDescent="0.45">
      <c r="A93" s="29">
        <v>98343474</v>
      </c>
      <c r="B93" s="29" t="str">
        <f t="shared" si="4"/>
        <v>9.834.347-4</v>
      </c>
      <c r="C93" s="22" t="str">
        <f>IF(IFERROR(VLOOKUP(A93,$A$10:$I92,1,0),0)=0,"",VLOOKUP(A93,$A$10:$I92,3,0))</f>
        <v>UCI</v>
      </c>
      <c r="D93" s="29" t="str">
        <f>IF(IFERROR(VLOOKUP(A93,$A$10:$I92,1,0),0)=0,"",VLOOKUP(A93,$A$10:$I92,4,0))</f>
        <v xml:space="preserve">MUÑOZ </v>
      </c>
      <c r="E93" s="29" t="str">
        <f>IF(IFERROR(VLOOKUP(A93,$A$10:$I92,1,0),0)=0,"",VLOOKUP(A93,$A$10:$I92,5,0))</f>
        <v>NEIRA</v>
      </c>
      <c r="F93" s="29" t="str">
        <f>IF(IFERROR(VLOOKUP(A93,$A$10:$I92,1,0),0)=0,"",VLOOKUP(A93,$A$10:$I92,6,0))</f>
        <v>MIRKO</v>
      </c>
      <c r="G93" s="49">
        <f>IF(IFERROR(VLOOKUP(A93,$A$10:$I92,1,0),0)=0,"",VLOOKUP(A93,$A$10:$I92,7,0))</f>
        <v>45501</v>
      </c>
      <c r="H93" s="49">
        <v>45511</v>
      </c>
      <c r="I93" s="29"/>
      <c r="J93" s="29" t="s">
        <v>56</v>
      </c>
      <c r="K93" s="24" t="s">
        <v>47</v>
      </c>
      <c r="L93" s="49">
        <v>45505</v>
      </c>
      <c r="M93" s="49">
        <v>45511</v>
      </c>
      <c r="N93" s="29">
        <f t="shared" si="5"/>
        <v>6</v>
      </c>
      <c r="O93" s="29"/>
      <c r="P93" t="s">
        <v>88</v>
      </c>
      <c r="Q93" t="s">
        <v>88</v>
      </c>
      <c r="R93" t="s">
        <v>88</v>
      </c>
      <c r="S93" t="s">
        <v>88</v>
      </c>
      <c r="T93" t="s">
        <v>88</v>
      </c>
      <c r="U93" t="s">
        <v>20</v>
      </c>
    </row>
    <row r="94" spans="1:21" ht="17.25" customHeight="1" x14ac:dyDescent="0.45">
      <c r="A94" s="29">
        <v>131324200</v>
      </c>
      <c r="B94" s="29" t="str">
        <f t="shared" si="4"/>
        <v>13.132.420-0</v>
      </c>
      <c r="C94" s="22" t="s">
        <v>22</v>
      </c>
      <c r="D94" s="29" t="s">
        <v>946</v>
      </c>
      <c r="E94" s="29" t="s">
        <v>580</v>
      </c>
      <c r="F94" s="29" t="s">
        <v>468</v>
      </c>
      <c r="G94" s="49">
        <v>45500</v>
      </c>
      <c r="H94" s="29"/>
      <c r="I94" s="29" t="s">
        <v>22</v>
      </c>
      <c r="J94" s="29"/>
      <c r="K94" s="24" t="s">
        <v>43</v>
      </c>
      <c r="L94" s="49">
        <v>45517</v>
      </c>
      <c r="M94" s="49">
        <v>45535</v>
      </c>
      <c r="N94" s="29">
        <f t="shared" si="5"/>
        <v>18</v>
      </c>
      <c r="O94" s="29"/>
      <c r="P94" t="s">
        <v>88</v>
      </c>
      <c r="Q94" t="s">
        <v>88</v>
      </c>
      <c r="R94" t="s">
        <v>88</v>
      </c>
      <c r="S94" t="s">
        <v>88</v>
      </c>
      <c r="T94" t="s">
        <v>88</v>
      </c>
      <c r="U94" t="s">
        <v>20</v>
      </c>
    </row>
    <row r="95" spans="1:21" ht="17.25" customHeight="1" x14ac:dyDescent="0.45">
      <c r="A95" s="29">
        <v>131324200</v>
      </c>
      <c r="B95" s="29" t="str">
        <f t="shared" si="4"/>
        <v>13.132.420-0</v>
      </c>
      <c r="C95" s="22" t="s">
        <v>22</v>
      </c>
      <c r="D95" s="29" t="s">
        <v>946</v>
      </c>
      <c r="E95" s="29" t="s">
        <v>580</v>
      </c>
      <c r="F95" s="29" t="s">
        <v>468</v>
      </c>
      <c r="G95" s="49">
        <v>45500</v>
      </c>
      <c r="H95" s="29"/>
      <c r="I95" s="29" t="s">
        <v>22</v>
      </c>
      <c r="J95" s="29"/>
      <c r="K95" s="24" t="s">
        <v>18</v>
      </c>
      <c r="L95" s="49">
        <v>45511</v>
      </c>
      <c r="M95" s="49">
        <v>45526</v>
      </c>
      <c r="N95" s="29">
        <f t="shared" si="5"/>
        <v>15</v>
      </c>
      <c r="O95" s="29"/>
      <c r="P95" t="s">
        <v>88</v>
      </c>
      <c r="Q95" t="s">
        <v>88</v>
      </c>
      <c r="R95" t="s">
        <v>88</v>
      </c>
      <c r="S95" t="s">
        <v>88</v>
      </c>
      <c r="T95" t="s">
        <v>88</v>
      </c>
      <c r="U95" t="s">
        <v>20</v>
      </c>
    </row>
    <row r="96" spans="1:21" x14ac:dyDescent="0.45">
      <c r="A96" s="29">
        <v>131324200</v>
      </c>
      <c r="B96" s="29" t="str">
        <f t="shared" si="4"/>
        <v>13.132.420-0</v>
      </c>
      <c r="C96" s="22" t="s">
        <v>22</v>
      </c>
      <c r="D96" s="29" t="s">
        <v>946</v>
      </c>
      <c r="E96" s="29" t="s">
        <v>580</v>
      </c>
      <c r="F96" s="29" t="s">
        <v>468</v>
      </c>
      <c r="G96" s="49">
        <v>45500</v>
      </c>
      <c r="H96" s="29"/>
      <c r="I96" s="29" t="s">
        <v>22</v>
      </c>
      <c r="J96" s="29"/>
      <c r="K96" s="24" t="s">
        <v>47</v>
      </c>
      <c r="L96" s="49">
        <v>45505</v>
      </c>
      <c r="M96" s="49">
        <v>45535</v>
      </c>
      <c r="N96" s="29">
        <f t="shared" si="5"/>
        <v>30</v>
      </c>
      <c r="O96" s="29"/>
      <c r="P96" t="s">
        <v>88</v>
      </c>
      <c r="Q96" t="s">
        <v>88</v>
      </c>
      <c r="R96" t="s">
        <v>88</v>
      </c>
      <c r="S96" t="s">
        <v>88</v>
      </c>
      <c r="T96" t="s">
        <v>88</v>
      </c>
      <c r="U96" t="s">
        <v>20</v>
      </c>
    </row>
    <row r="97" spans="1:21" x14ac:dyDescent="0.45">
      <c r="A97" s="29">
        <v>83074256</v>
      </c>
      <c r="B97" s="29" t="s">
        <v>1316</v>
      </c>
      <c r="C97" s="22" t="s">
        <v>30</v>
      </c>
      <c r="D97" s="29" t="s">
        <v>636</v>
      </c>
      <c r="E97" s="29" t="s">
        <v>294</v>
      </c>
      <c r="F97" s="29" t="s">
        <v>1317</v>
      </c>
      <c r="G97" s="49">
        <v>45524</v>
      </c>
      <c r="H97" s="29">
        <v>45538</v>
      </c>
      <c r="I97" s="29"/>
      <c r="J97" s="29" t="s">
        <v>22</v>
      </c>
      <c r="K97" s="24" t="s">
        <v>43</v>
      </c>
      <c r="L97" s="49">
        <v>45524</v>
      </c>
      <c r="M97" s="49">
        <v>45535</v>
      </c>
      <c r="N97" s="29">
        <f t="shared" si="5"/>
        <v>11</v>
      </c>
      <c r="O97" s="29"/>
      <c r="P97" t="s">
        <v>88</v>
      </c>
      <c r="Q97" t="s">
        <v>88</v>
      </c>
      <c r="R97" t="s">
        <v>88</v>
      </c>
      <c r="S97" t="s">
        <v>88</v>
      </c>
      <c r="T97" t="s">
        <v>88</v>
      </c>
      <c r="U97" t="s">
        <v>20</v>
      </c>
    </row>
    <row r="98" spans="1:21" x14ac:dyDescent="0.45">
      <c r="A98" s="29">
        <v>83074256</v>
      </c>
      <c r="B98" s="29" t="str">
        <f>IF(LEN(A98)=8,MID(A98,1,1)&amp;"."&amp;MID(A98,2,3)&amp;"."&amp;MID(A98,5,3)&amp;"-"&amp;RIGHT(A98,1),IF(LEFT(RIGHT(A98,2),1)="-",MID(A98,1,1)&amp;"."&amp;MID(A98,2,3)&amp;"."&amp;MID(A98,5,3)&amp;"-"&amp;RIGHT(A98,1),MID(A98,1,2)&amp;"."&amp;MID(A98,3,3)&amp;"."&amp;MID(A98,6,3)&amp;"-"&amp;MID(A98,9,1)))</f>
        <v>8.307.425-6</v>
      </c>
      <c r="C98" s="22" t="str">
        <f>IF(IFERROR(VLOOKUP(A98,$A$10:$I97,1,0),0)=0,"",VLOOKUP(A98,$A$10:$I97,3,0))</f>
        <v>UCO</v>
      </c>
      <c r="D98" s="29" t="str">
        <f>IF(IFERROR(VLOOKUP(A98,$A$10:$I97,1,0),0)=0,"",VLOOKUP(A98,$A$10:$I97,4,0))</f>
        <v>BRAVO</v>
      </c>
      <c r="E98" s="29" t="str">
        <f>IF(IFERROR(VLOOKUP(A98,$A$10:$I97,1,0),0)=0,"",VLOOKUP(A98,$A$10:$I97,5,0))</f>
        <v>TAPIA</v>
      </c>
      <c r="F98" s="29" t="str">
        <f>IF(IFERROR(VLOOKUP(A98,$A$10:$I97,1,0),0)=0,"",VLOOKUP(A98,$A$10:$I97,6,0))</f>
        <v>FABRICIANO</v>
      </c>
      <c r="G98" s="49">
        <f>IF(IFERROR(VLOOKUP(A98,$A$10:$I97,1,0),0)=0,"",VLOOKUP(A98,$A$10:$I97,7,0))</f>
        <v>45524</v>
      </c>
      <c r="H98" s="29"/>
      <c r="I98" s="29"/>
      <c r="J98" s="29"/>
      <c r="K98" s="24" t="s">
        <v>47</v>
      </c>
      <c r="L98" s="49">
        <v>45524</v>
      </c>
      <c r="M98" s="49">
        <v>45535</v>
      </c>
      <c r="N98" s="29">
        <f t="shared" si="5"/>
        <v>11</v>
      </c>
      <c r="P98" t="s">
        <v>88</v>
      </c>
      <c r="Q98" t="s">
        <v>88</v>
      </c>
      <c r="R98" t="s">
        <v>88</v>
      </c>
      <c r="S98" t="s">
        <v>88</v>
      </c>
      <c r="T98" t="s">
        <v>88</v>
      </c>
      <c r="U98" t="s">
        <v>20</v>
      </c>
    </row>
    <row r="99" spans="1:21" x14ac:dyDescent="0.45">
      <c r="A99" s="29">
        <v>83074256</v>
      </c>
      <c r="B99" s="29" t="str">
        <f>IF(LEN(A99)=8,MID(A99,1,1)&amp;"."&amp;MID(A99,2,3)&amp;"."&amp;MID(A99,5,3)&amp;"-"&amp;RIGHT(A99,1),IF(LEFT(RIGHT(A99,2),1)="-",MID(A99,1,1)&amp;"."&amp;MID(A99,2,3)&amp;"."&amp;MID(A99,5,3)&amp;"-"&amp;RIGHT(A99,1),MID(A99,1,2)&amp;"."&amp;MID(A99,3,3)&amp;"."&amp;MID(A99,6,3)&amp;"-"&amp;MID(A99,9,1)))</f>
        <v>8.307.425-6</v>
      </c>
      <c r="C99" s="22" t="str">
        <f>IF(IFERROR(VLOOKUP(A99,$A$10:$I98,1,0),0)=0,"",VLOOKUP(A99,$A$10:$I98,3,0))</f>
        <v>UCO</v>
      </c>
      <c r="D99" s="29" t="str">
        <f>IF(IFERROR(VLOOKUP(A99,$A$10:$I98,1,0),0)=0,"",VLOOKUP(A99,$A$10:$I98,4,0))</f>
        <v>BRAVO</v>
      </c>
      <c r="E99" s="29" t="str">
        <f>IF(IFERROR(VLOOKUP(A99,$A$10:$I98,1,0),0)=0,"",VLOOKUP(A99,$A$10:$I98,5,0))</f>
        <v>TAPIA</v>
      </c>
      <c r="F99" s="29" t="str">
        <f>IF(IFERROR(VLOOKUP(A99,$A$10:$I98,1,0),0)=0,"",VLOOKUP(A99,$A$10:$I98,6,0))</f>
        <v>FABRICIANO</v>
      </c>
      <c r="G99" s="49">
        <f>IF(IFERROR(VLOOKUP(A99,$A$10:$I98,1,0),0)=0,"",VLOOKUP(A99,$A$10:$I98,7,0))</f>
        <v>45524</v>
      </c>
      <c r="H99" s="29"/>
      <c r="I99" s="29"/>
      <c r="J99" s="29"/>
      <c r="K99" s="24" t="s">
        <v>55</v>
      </c>
      <c r="L99" s="49">
        <v>45524</v>
      </c>
      <c r="M99" s="49">
        <v>45535</v>
      </c>
      <c r="N99" s="29">
        <f t="shared" si="5"/>
        <v>11</v>
      </c>
      <c r="O99" s="29"/>
      <c r="P99" t="s">
        <v>126</v>
      </c>
      <c r="Q99" t="s">
        <v>132</v>
      </c>
      <c r="R99" t="s">
        <v>88</v>
      </c>
      <c r="S99" t="s">
        <v>88</v>
      </c>
      <c r="T99" t="s">
        <v>88</v>
      </c>
      <c r="U99" t="s">
        <v>14</v>
      </c>
    </row>
    <row r="100" spans="1:21" x14ac:dyDescent="0.45">
      <c r="A100" s="29">
        <v>123802500</v>
      </c>
      <c r="B100" s="29" t="s">
        <v>1318</v>
      </c>
      <c r="C100" s="22" t="s">
        <v>22</v>
      </c>
      <c r="D100" s="29" t="str">
        <f>IF(IFERROR(VLOOKUP(A100,$A$10:$I99,1,0),0)=0,"",VLOOKUP(A100,$A$10:$I99,4,0))</f>
        <v>PEREZ</v>
      </c>
      <c r="E100" s="29" t="str">
        <f>IF(IFERROR(VLOOKUP(A100,$A$10:$I99,1,0),0)=0,"",VLOOKUP(A100,$A$10:$I99,5,0))</f>
        <v>ROMERO</v>
      </c>
      <c r="F100" s="29" t="str">
        <f>IF(IFERROR(VLOOKUP(A100,$A$10:$I99,1,0),0)=0,"",VLOOKUP(A100,$A$10:$I99,6,0))</f>
        <v>ULISES</v>
      </c>
      <c r="G100" s="49">
        <v>45507</v>
      </c>
      <c r="H100" s="49">
        <v>45514</v>
      </c>
      <c r="I100" s="29"/>
      <c r="J100" s="29" t="s">
        <v>22</v>
      </c>
      <c r="K100" s="24" t="s">
        <v>43</v>
      </c>
      <c r="L100" s="49">
        <v>45507</v>
      </c>
      <c r="M100" s="49">
        <v>45514</v>
      </c>
      <c r="N100" s="29">
        <v>7</v>
      </c>
      <c r="O100" s="29"/>
      <c r="P100" t="s">
        <v>88</v>
      </c>
      <c r="Q100" t="s">
        <v>88</v>
      </c>
      <c r="R100" t="s">
        <v>88</v>
      </c>
      <c r="S100" t="s">
        <v>88</v>
      </c>
      <c r="T100" t="s">
        <v>88</v>
      </c>
      <c r="U100" t="s">
        <v>20</v>
      </c>
    </row>
    <row r="101" spans="1:21" x14ac:dyDescent="0.45">
      <c r="A101" s="29">
        <v>123802500</v>
      </c>
      <c r="B101" s="29" t="s">
        <v>1318</v>
      </c>
      <c r="C101" s="22" t="s">
        <v>22</v>
      </c>
      <c r="D101" s="29" t="str">
        <f>IF(IFERROR(VLOOKUP(A101,$A$10:$I100,1,0),0)=0,"",VLOOKUP(A101,$A$10:$I100,4,0))</f>
        <v>PEREZ</v>
      </c>
      <c r="E101" s="29" t="str">
        <f>IF(IFERROR(VLOOKUP(A101,$A$10:$I100,1,0),0)=0,"",VLOOKUP(A101,$A$10:$I100,5,0))</f>
        <v>ROMERO</v>
      </c>
      <c r="F101" s="29" t="str">
        <f>IF(IFERROR(VLOOKUP(A101,$A$10:$I100,1,0),0)=0,"",VLOOKUP(A101,$A$10:$I100,6,0))</f>
        <v>ULISES</v>
      </c>
      <c r="G101" s="49">
        <v>45507</v>
      </c>
      <c r="H101" s="49">
        <v>45514</v>
      </c>
      <c r="I101" s="29"/>
      <c r="J101" s="29" t="s">
        <v>22</v>
      </c>
      <c r="K101" s="24" t="s">
        <v>47</v>
      </c>
      <c r="L101" s="49">
        <v>45507</v>
      </c>
      <c r="M101" s="49">
        <v>45514</v>
      </c>
      <c r="N101" s="29">
        <v>7</v>
      </c>
      <c r="O101" s="29"/>
      <c r="P101" t="s">
        <v>88</v>
      </c>
      <c r="Q101" t="s">
        <v>88</v>
      </c>
      <c r="R101" t="s">
        <v>88</v>
      </c>
      <c r="S101" t="s">
        <v>88</v>
      </c>
      <c r="T101" t="s">
        <v>88</v>
      </c>
      <c r="U101" t="s">
        <v>20</v>
      </c>
    </row>
    <row r="102" spans="1:21" x14ac:dyDescent="0.45">
      <c r="A102" s="29">
        <v>183887076</v>
      </c>
      <c r="B102" s="29" t="s">
        <v>1319</v>
      </c>
      <c r="C102" s="22" t="s">
        <v>22</v>
      </c>
      <c r="D102" s="29" t="s">
        <v>736</v>
      </c>
      <c r="E102" s="29" t="s">
        <v>422</v>
      </c>
      <c r="F102" s="29" t="s">
        <v>487</v>
      </c>
      <c r="G102" s="49">
        <v>45506</v>
      </c>
      <c r="H102" s="49">
        <v>45520</v>
      </c>
      <c r="I102" s="29"/>
      <c r="J102" s="29"/>
      <c r="K102" s="24" t="s">
        <v>43</v>
      </c>
      <c r="L102" s="49">
        <v>45506</v>
      </c>
      <c r="M102" s="49">
        <v>45516</v>
      </c>
      <c r="N102" s="29">
        <v>10</v>
      </c>
      <c r="O102" s="29"/>
      <c r="P102" t="s">
        <v>88</v>
      </c>
      <c r="Q102" t="s">
        <v>88</v>
      </c>
      <c r="R102" t="s">
        <v>88</v>
      </c>
      <c r="S102" t="s">
        <v>88</v>
      </c>
      <c r="T102" t="s">
        <v>88</v>
      </c>
      <c r="U102" t="s">
        <v>20</v>
      </c>
    </row>
    <row r="103" spans="1:21" x14ac:dyDescent="0.45">
      <c r="A103" s="29">
        <v>183887076</v>
      </c>
      <c r="B103" s="29" t="s">
        <v>1319</v>
      </c>
      <c r="C103" s="22" t="s">
        <v>22</v>
      </c>
      <c r="D103" s="29" t="s">
        <v>736</v>
      </c>
      <c r="E103" s="29" t="s">
        <v>422</v>
      </c>
      <c r="F103" s="29" t="s">
        <v>487</v>
      </c>
      <c r="G103" s="49">
        <v>45506</v>
      </c>
      <c r="H103" s="49">
        <v>45516</v>
      </c>
      <c r="I103" s="29"/>
      <c r="J103" s="29" t="s">
        <v>34</v>
      </c>
      <c r="K103" s="24" t="s">
        <v>47</v>
      </c>
      <c r="L103" s="49">
        <v>45506</v>
      </c>
      <c r="M103" s="49">
        <v>45513</v>
      </c>
      <c r="N103" s="29">
        <v>7</v>
      </c>
      <c r="O103" s="29"/>
      <c r="P103" t="s">
        <v>88</v>
      </c>
      <c r="Q103" t="s">
        <v>88</v>
      </c>
      <c r="R103" t="s">
        <v>88</v>
      </c>
      <c r="S103" t="s">
        <v>88</v>
      </c>
      <c r="T103" t="s">
        <v>88</v>
      </c>
      <c r="U103" t="s">
        <v>20</v>
      </c>
    </row>
    <row r="104" spans="1:21" x14ac:dyDescent="0.45">
      <c r="A104" s="29">
        <v>92479897</v>
      </c>
      <c r="B104" s="29" t="s">
        <v>1320</v>
      </c>
      <c r="C104" s="22" t="s">
        <v>22</v>
      </c>
      <c r="D104" s="29" t="s">
        <v>1143</v>
      </c>
      <c r="E104" s="29" t="s">
        <v>422</v>
      </c>
      <c r="F104" s="29" t="s">
        <v>638</v>
      </c>
      <c r="G104" s="49">
        <v>45509</v>
      </c>
      <c r="H104" s="49">
        <v>45525</v>
      </c>
      <c r="I104" s="29" t="s">
        <v>22</v>
      </c>
      <c r="J104" s="29" t="s">
        <v>56</v>
      </c>
      <c r="K104" s="24" t="s">
        <v>18</v>
      </c>
      <c r="L104" s="49">
        <v>45509</v>
      </c>
      <c r="M104" s="49">
        <v>45525</v>
      </c>
      <c r="N104" s="29">
        <v>16</v>
      </c>
      <c r="O104" s="29"/>
      <c r="P104" t="s">
        <v>88</v>
      </c>
      <c r="Q104" t="s">
        <v>88</v>
      </c>
      <c r="R104" t="s">
        <v>88</v>
      </c>
      <c r="S104" t="s">
        <v>88</v>
      </c>
      <c r="T104" t="s">
        <v>88</v>
      </c>
      <c r="U104" t="s">
        <v>20</v>
      </c>
    </row>
    <row r="105" spans="1:21" x14ac:dyDescent="0.45">
      <c r="A105" s="29">
        <v>92479897</v>
      </c>
      <c r="B105" s="29" t="s">
        <v>1320</v>
      </c>
      <c r="C105" s="22" t="s">
        <v>22</v>
      </c>
      <c r="D105" s="29" t="s">
        <v>1143</v>
      </c>
      <c r="E105" s="29" t="s">
        <v>422</v>
      </c>
      <c r="F105" s="29" t="s">
        <v>638</v>
      </c>
      <c r="G105" s="49">
        <v>45509</v>
      </c>
      <c r="H105" s="49">
        <v>45525</v>
      </c>
      <c r="I105" s="29" t="s">
        <v>22</v>
      </c>
      <c r="J105" s="29" t="s">
        <v>56</v>
      </c>
      <c r="K105" s="24" t="s">
        <v>47</v>
      </c>
      <c r="L105" s="49">
        <v>45509</v>
      </c>
      <c r="M105" s="49">
        <v>45510</v>
      </c>
      <c r="N105" s="29">
        <v>1</v>
      </c>
      <c r="O105" s="29"/>
      <c r="P105" t="s">
        <v>88</v>
      </c>
      <c r="Q105" t="s">
        <v>88</v>
      </c>
      <c r="R105" t="s">
        <v>88</v>
      </c>
      <c r="S105" t="s">
        <v>88</v>
      </c>
      <c r="T105" t="s">
        <v>88</v>
      </c>
      <c r="U105" t="s">
        <v>20</v>
      </c>
    </row>
    <row r="106" spans="1:21" x14ac:dyDescent="0.45">
      <c r="A106" s="29">
        <v>86037777</v>
      </c>
      <c r="B106" s="29" t="s">
        <v>1321</v>
      </c>
      <c r="C106" s="22" t="s">
        <v>22</v>
      </c>
      <c r="D106" s="29" t="s">
        <v>655</v>
      </c>
      <c r="E106" s="29" t="s">
        <v>954</v>
      </c>
      <c r="F106" s="29" t="s">
        <v>362</v>
      </c>
      <c r="G106" s="49">
        <v>45505</v>
      </c>
      <c r="H106" s="49">
        <v>45518</v>
      </c>
      <c r="I106" s="29" t="s">
        <v>22</v>
      </c>
      <c r="J106" s="29" t="s">
        <v>24</v>
      </c>
      <c r="K106" s="24" t="s">
        <v>43</v>
      </c>
      <c r="L106" s="49">
        <v>45505</v>
      </c>
      <c r="M106" s="49">
        <v>45518</v>
      </c>
      <c r="N106" s="29">
        <v>13</v>
      </c>
      <c r="O106" s="29"/>
      <c r="P106" t="s">
        <v>88</v>
      </c>
      <c r="Q106" t="s">
        <v>88</v>
      </c>
      <c r="R106" t="s">
        <v>88</v>
      </c>
      <c r="S106" t="s">
        <v>88</v>
      </c>
      <c r="T106" t="s">
        <v>88</v>
      </c>
      <c r="U106" t="s">
        <v>20</v>
      </c>
    </row>
    <row r="107" spans="1:21" x14ac:dyDescent="0.45">
      <c r="A107" s="29">
        <v>143740374</v>
      </c>
      <c r="B107" s="29" t="s">
        <v>1322</v>
      </c>
      <c r="C107" s="22" t="s">
        <v>22</v>
      </c>
      <c r="D107" s="29" t="s">
        <v>536</v>
      </c>
      <c r="E107" s="29" t="s">
        <v>1087</v>
      </c>
      <c r="F107" s="29" t="s">
        <v>1323</v>
      </c>
      <c r="G107" s="49">
        <v>45506</v>
      </c>
      <c r="H107" s="49">
        <v>45532</v>
      </c>
      <c r="I107" s="29"/>
      <c r="J107" s="29"/>
      <c r="K107" s="24" t="s">
        <v>43</v>
      </c>
      <c r="L107" s="49">
        <v>45506</v>
      </c>
      <c r="M107" s="49">
        <v>45513</v>
      </c>
      <c r="N107" s="29">
        <v>7</v>
      </c>
      <c r="O107" s="29"/>
      <c r="P107" t="s">
        <v>88</v>
      </c>
      <c r="Q107" t="s">
        <v>88</v>
      </c>
      <c r="R107" t="s">
        <v>88</v>
      </c>
      <c r="S107" t="s">
        <v>88</v>
      </c>
      <c r="T107" t="s">
        <v>88</v>
      </c>
      <c r="U107" t="s">
        <v>20</v>
      </c>
    </row>
    <row r="108" spans="1:21" x14ac:dyDescent="0.45">
      <c r="A108" s="29">
        <v>143740374</v>
      </c>
      <c r="B108" s="29" t="s">
        <v>1322</v>
      </c>
      <c r="C108" s="22" t="s">
        <v>22</v>
      </c>
      <c r="D108" s="29" t="s">
        <v>536</v>
      </c>
      <c r="E108" s="29" t="s">
        <v>1087</v>
      </c>
      <c r="F108" s="29" t="s">
        <v>1323</v>
      </c>
      <c r="G108" s="49">
        <v>45506</v>
      </c>
      <c r="H108" s="49">
        <v>45532</v>
      </c>
      <c r="I108" s="29"/>
      <c r="J108" s="29"/>
      <c r="K108" s="24" t="s">
        <v>47</v>
      </c>
      <c r="L108" s="49">
        <v>45506</v>
      </c>
      <c r="M108" s="49">
        <v>45528</v>
      </c>
      <c r="N108" s="29">
        <v>22</v>
      </c>
      <c r="O108" s="29"/>
      <c r="P108" t="s">
        <v>88</v>
      </c>
      <c r="Q108" t="s">
        <v>88</v>
      </c>
      <c r="R108" t="s">
        <v>88</v>
      </c>
      <c r="S108" t="s">
        <v>88</v>
      </c>
      <c r="T108" t="s">
        <v>88</v>
      </c>
      <c r="U108" t="s">
        <v>20</v>
      </c>
    </row>
    <row r="109" spans="1:21" x14ac:dyDescent="0.45">
      <c r="A109" s="29">
        <v>143740374</v>
      </c>
      <c r="B109" s="29" t="s">
        <v>1322</v>
      </c>
      <c r="C109" s="22" t="s">
        <v>22</v>
      </c>
      <c r="D109" s="29" t="s">
        <v>536</v>
      </c>
      <c r="E109" s="29" t="s">
        <v>1087</v>
      </c>
      <c r="F109" s="29" t="s">
        <v>1323</v>
      </c>
      <c r="G109" s="49">
        <v>45506</v>
      </c>
      <c r="H109" s="49">
        <v>45532</v>
      </c>
      <c r="I109" s="29"/>
      <c r="J109" s="29"/>
      <c r="K109" s="24" t="s">
        <v>18</v>
      </c>
      <c r="L109" s="49">
        <v>45513</v>
      </c>
      <c r="M109" s="49">
        <v>45532</v>
      </c>
      <c r="N109" s="29">
        <v>19</v>
      </c>
      <c r="O109" s="29"/>
      <c r="P109" t="s">
        <v>88</v>
      </c>
      <c r="Q109" t="s">
        <v>88</v>
      </c>
      <c r="R109" t="s">
        <v>88</v>
      </c>
      <c r="S109" t="s">
        <v>88</v>
      </c>
      <c r="T109" t="s">
        <v>88</v>
      </c>
      <c r="U109" t="s">
        <v>20</v>
      </c>
    </row>
    <row r="110" spans="1:21" x14ac:dyDescent="0.45">
      <c r="A110" s="29" t="s">
        <v>1324</v>
      </c>
      <c r="B110" s="29" t="str">
        <f t="shared" ref="B110:B141" si="6">IF(LEN(A110)=8,MID(A110,1,1)&amp;"."&amp;MID(A110,2,3)&amp;"."&amp;MID(A110,5,3)&amp;"-"&amp;RIGHT(A110,1),IF(LEFT(RIGHT(A110,2),1)="-",MID(A110,1,1)&amp;"."&amp;MID(A110,2,3)&amp;"."&amp;MID(A110,5,3)&amp;"-"&amp;RIGHT(A110,1),MID(A110,1,2)&amp;"."&amp;MID(A110,3,3)&amp;"."&amp;MID(A110,6,3)&amp;"-"&amp;MID(A110,9,1)))</f>
        <v>6.836.856-1</v>
      </c>
      <c r="C110" s="22" t="s">
        <v>22</v>
      </c>
      <c r="D110" s="29" t="s">
        <v>1151</v>
      </c>
      <c r="E110" s="29" t="s">
        <v>424</v>
      </c>
      <c r="F110" s="29" t="s">
        <v>1152</v>
      </c>
      <c r="G110" s="49">
        <v>45509</v>
      </c>
      <c r="H110" s="49">
        <v>45524</v>
      </c>
      <c r="I110" s="29" t="s">
        <v>22</v>
      </c>
      <c r="J110" s="29"/>
      <c r="K110" s="24" t="s">
        <v>43</v>
      </c>
      <c r="L110" s="49">
        <v>45509</v>
      </c>
      <c r="M110" s="49">
        <v>45524</v>
      </c>
      <c r="N110" s="29">
        <f>+M110-L110</f>
        <v>15</v>
      </c>
      <c r="O110" s="29"/>
      <c r="P110" t="s">
        <v>88</v>
      </c>
      <c r="Q110" t="s">
        <v>88</v>
      </c>
      <c r="R110" t="s">
        <v>88</v>
      </c>
      <c r="S110" t="s">
        <v>88</v>
      </c>
      <c r="T110" t="s">
        <v>88</v>
      </c>
      <c r="U110" t="s">
        <v>20</v>
      </c>
    </row>
    <row r="111" spans="1:21" x14ac:dyDescent="0.45">
      <c r="A111" s="29" t="s">
        <v>1324</v>
      </c>
      <c r="B111" s="29" t="str">
        <f t="shared" si="6"/>
        <v>6.836.856-1</v>
      </c>
      <c r="C111" s="22" t="str">
        <f>IF(IFERROR(VLOOKUP(A111,$A$10:$I110,1,0),0)=0,"",VLOOKUP(A111,$A$10:$I110,3,0))</f>
        <v>UCI</v>
      </c>
      <c r="D111" s="29" t="str">
        <f>IF(IFERROR(VLOOKUP(A111,$A$10:$I110,1,0),0)=0,"",VLOOKUP(A111,$A$10:$I110,4,0))</f>
        <v>BIZAMA</v>
      </c>
      <c r="E111" s="29" t="str">
        <f>IF(IFERROR(VLOOKUP(A111,$A$10:$I110,1,0),0)=0,"",VLOOKUP(A111,$A$10:$I110,5,0))</f>
        <v>ORTIZ</v>
      </c>
      <c r="F111" s="29" t="str">
        <f>IF(IFERROR(VLOOKUP(A111,$A$10:$I110,1,0),0)=0,"",VLOOKUP(A111,$A$10:$I110,6,0))</f>
        <v>BRISALIA</v>
      </c>
      <c r="G111" s="49">
        <f>IF(IFERROR(VLOOKUP(A111,$A$10:$I110,1,0),0)=0,"",VLOOKUP(A111,$A$10:$I110,7,0))</f>
        <v>45509</v>
      </c>
      <c r="H111" s="29"/>
      <c r="I111" s="29"/>
      <c r="J111" s="29"/>
      <c r="K111" s="24" t="s">
        <v>47</v>
      </c>
      <c r="L111" s="49">
        <v>45509</v>
      </c>
      <c r="M111" s="49">
        <v>45524</v>
      </c>
      <c r="N111" s="29">
        <f>+M111-L111</f>
        <v>15</v>
      </c>
      <c r="O111" s="29"/>
      <c r="P111" t="s">
        <v>88</v>
      </c>
      <c r="Q111" t="s">
        <v>88</v>
      </c>
      <c r="R111" t="s">
        <v>88</v>
      </c>
      <c r="S111" t="s">
        <v>88</v>
      </c>
      <c r="T111" t="s">
        <v>88</v>
      </c>
      <c r="U111" t="s">
        <v>20</v>
      </c>
    </row>
    <row r="112" spans="1:21" x14ac:dyDescent="0.45">
      <c r="A112" s="29">
        <v>75559763</v>
      </c>
      <c r="B112" s="29" t="str">
        <f t="shared" si="6"/>
        <v>7.555.976-3</v>
      </c>
      <c r="C112" s="22" t="s">
        <v>22</v>
      </c>
      <c r="D112" s="29" t="s">
        <v>270</v>
      </c>
      <c r="E112" s="29" t="s">
        <v>439</v>
      </c>
      <c r="F112" s="29" t="s">
        <v>373</v>
      </c>
      <c r="G112" s="49">
        <v>45506</v>
      </c>
      <c r="H112" s="49">
        <v>45513</v>
      </c>
      <c r="I112" s="29" t="s">
        <v>22</v>
      </c>
      <c r="J112" s="29" t="s">
        <v>26</v>
      </c>
      <c r="K112" s="24" t="s">
        <v>43</v>
      </c>
      <c r="L112" s="49">
        <v>45506</v>
      </c>
      <c r="M112" s="49">
        <v>45513</v>
      </c>
      <c r="N112" s="29">
        <f>+M112-L112</f>
        <v>7</v>
      </c>
      <c r="O112" s="29"/>
      <c r="P112" t="s">
        <v>88</v>
      </c>
      <c r="Q112" t="s">
        <v>88</v>
      </c>
      <c r="R112" t="s">
        <v>88</v>
      </c>
      <c r="S112" t="s">
        <v>88</v>
      </c>
      <c r="T112" t="s">
        <v>88</v>
      </c>
      <c r="U112" t="s">
        <v>20</v>
      </c>
    </row>
    <row r="113" spans="1:21" x14ac:dyDescent="0.45">
      <c r="A113" s="29">
        <v>75559763</v>
      </c>
      <c r="B113" s="29" t="str">
        <f t="shared" si="6"/>
        <v>7.555.976-3</v>
      </c>
      <c r="C113" s="22" t="str">
        <f>IF(IFERROR(VLOOKUP(A113,$A$10:$I112,1,0),0)=0,"",VLOOKUP(A113,$A$10:$I112,3,0))</f>
        <v>UCI</v>
      </c>
      <c r="D113" s="29" t="str">
        <f>IF(IFERROR(VLOOKUP(A113,$A$10:$I112,1,0),0)=0,"",VLOOKUP(A113,$A$10:$I112,4,0))</f>
        <v>VILLALOBOS</v>
      </c>
      <c r="E113" s="29" t="str">
        <f>IF(IFERROR(VLOOKUP(A113,$A$10:$I112,1,0),0)=0,"",VLOOKUP(A113,$A$10:$I112,5,0))</f>
        <v>GONZALEZ</v>
      </c>
      <c r="F113" s="29" t="str">
        <f>IF(IFERROR(VLOOKUP(A113,$A$10:$I112,1,0),0)=0,"",VLOOKUP(A113,$A$10:$I112,6,0))</f>
        <v>ELSA</v>
      </c>
      <c r="G113" s="49">
        <f>IF(IFERROR(VLOOKUP(A113,$A$10:$I112,1,0),0)=0,"",VLOOKUP(A113,$A$10:$I112,7,0))</f>
        <v>45506</v>
      </c>
      <c r="H113" s="49">
        <v>45513</v>
      </c>
      <c r="I113" s="29" t="s">
        <v>22</v>
      </c>
      <c r="J113" s="29"/>
      <c r="K113" s="24" t="s">
        <v>47</v>
      </c>
      <c r="L113" s="49">
        <v>45506</v>
      </c>
      <c r="M113" s="49">
        <v>45513</v>
      </c>
      <c r="N113" s="29">
        <f>+M113-L113</f>
        <v>7</v>
      </c>
      <c r="O113" s="29"/>
      <c r="P113" t="s">
        <v>88</v>
      </c>
      <c r="Q113" t="s">
        <v>88</v>
      </c>
      <c r="R113" t="s">
        <v>88</v>
      </c>
      <c r="S113" t="s">
        <v>88</v>
      </c>
      <c r="T113" t="s">
        <v>88</v>
      </c>
      <c r="U113" t="s">
        <v>20</v>
      </c>
    </row>
    <row r="114" spans="1:21" x14ac:dyDescent="0.45">
      <c r="A114" s="29">
        <v>55910618</v>
      </c>
      <c r="B114" s="29" t="str">
        <f t="shared" si="6"/>
        <v>5.591.061-8</v>
      </c>
      <c r="C114" s="22" t="s">
        <v>22</v>
      </c>
      <c r="D114" s="29" t="s">
        <v>670</v>
      </c>
      <c r="E114" s="29" t="s">
        <v>507</v>
      </c>
      <c r="F114" s="29" t="s">
        <v>1120</v>
      </c>
      <c r="G114" s="49">
        <v>45507</v>
      </c>
      <c r="H114" s="29">
        <v>45511</v>
      </c>
      <c r="I114" s="29" t="s">
        <v>22</v>
      </c>
      <c r="J114" s="29"/>
      <c r="K114" s="24" t="s">
        <v>47</v>
      </c>
      <c r="L114" s="49">
        <v>45507</v>
      </c>
      <c r="M114" s="49">
        <v>45511</v>
      </c>
      <c r="N114" s="29">
        <v>4</v>
      </c>
      <c r="O114" s="29"/>
      <c r="P114" t="s">
        <v>88</v>
      </c>
      <c r="Q114" t="s">
        <v>88</v>
      </c>
      <c r="R114" t="s">
        <v>88</v>
      </c>
      <c r="S114" t="s">
        <v>88</v>
      </c>
      <c r="T114" t="s">
        <v>88</v>
      </c>
      <c r="U114" t="s">
        <v>20</v>
      </c>
    </row>
    <row r="115" spans="1:21" x14ac:dyDescent="0.45">
      <c r="A115" s="29" t="s">
        <v>1325</v>
      </c>
      <c r="B115" s="29" t="str">
        <f t="shared" si="6"/>
        <v>8.791.836-k</v>
      </c>
      <c r="C115" s="22" t="s">
        <v>22</v>
      </c>
      <c r="D115" s="29" t="s">
        <v>1276</v>
      </c>
      <c r="E115" s="29" t="s">
        <v>670</v>
      </c>
      <c r="F115" s="29" t="s">
        <v>271</v>
      </c>
      <c r="G115" s="49">
        <v>45502</v>
      </c>
      <c r="H115" s="49">
        <v>45507</v>
      </c>
      <c r="I115" s="29"/>
      <c r="J115" s="29"/>
      <c r="K115" s="24" t="s">
        <v>18</v>
      </c>
      <c r="L115" s="49">
        <v>45505</v>
      </c>
      <c r="M115" s="49">
        <v>45507</v>
      </c>
      <c r="N115" s="29">
        <f t="shared" ref="N115:N160" si="7">+M115-L115</f>
        <v>2</v>
      </c>
      <c r="O115" s="29"/>
      <c r="P115" t="s">
        <v>88</v>
      </c>
      <c r="Q115" t="s">
        <v>88</v>
      </c>
      <c r="R115" t="s">
        <v>88</v>
      </c>
      <c r="S115" t="s">
        <v>88</v>
      </c>
      <c r="T115" t="s">
        <v>88</v>
      </c>
      <c r="U115" t="s">
        <v>20</v>
      </c>
    </row>
    <row r="116" spans="1:21" x14ac:dyDescent="0.45">
      <c r="A116" s="29" t="s">
        <v>1326</v>
      </c>
      <c r="B116" s="29" t="str">
        <f t="shared" si="6"/>
        <v>6.416.418-k</v>
      </c>
      <c r="C116" s="22" t="s">
        <v>22</v>
      </c>
      <c r="D116" s="29" t="s">
        <v>842</v>
      </c>
      <c r="E116" s="29" t="s">
        <v>285</v>
      </c>
      <c r="F116" s="29" t="s">
        <v>348</v>
      </c>
      <c r="G116" s="49">
        <v>45513</v>
      </c>
      <c r="H116" s="29" t="s">
        <v>1327</v>
      </c>
      <c r="I116" s="29" t="s">
        <v>22</v>
      </c>
      <c r="J116" s="29"/>
      <c r="K116" s="24" t="s">
        <v>43</v>
      </c>
      <c r="L116" s="49">
        <v>45513</v>
      </c>
      <c r="M116" s="49">
        <v>45520</v>
      </c>
      <c r="N116" s="29">
        <f t="shared" si="7"/>
        <v>7</v>
      </c>
      <c r="O116" s="29"/>
      <c r="P116" t="s">
        <v>88</v>
      </c>
      <c r="Q116" t="s">
        <v>88</v>
      </c>
      <c r="R116" t="s">
        <v>88</v>
      </c>
      <c r="S116" t="s">
        <v>88</v>
      </c>
      <c r="T116" t="s">
        <v>88</v>
      </c>
      <c r="U116" t="s">
        <v>20</v>
      </c>
    </row>
    <row r="117" spans="1:21" x14ac:dyDescent="0.45">
      <c r="A117" s="29" t="s">
        <v>1326</v>
      </c>
      <c r="B117" s="29" t="str">
        <f t="shared" si="6"/>
        <v>6.416.418-k</v>
      </c>
      <c r="C117" s="22" t="str">
        <f>IF(IFERROR(VLOOKUP(A117,$A$10:$I116,1,0),0)=0,"",VLOOKUP(A117,$A$10:$I116,3,0))</f>
        <v>UCI</v>
      </c>
      <c r="D117" s="29" t="str">
        <f>IF(IFERROR(VLOOKUP(A117,$A$10:$I116,1,0),0)=0,"",VLOOKUP(A117,$A$10:$I116,4,0))</f>
        <v>RIFFO</v>
      </c>
      <c r="E117" s="29" t="str">
        <f>IF(IFERROR(VLOOKUP(A117,$A$10:$I116,1,0),0)=0,"",VLOOKUP(A117,$A$10:$I116,5,0))</f>
        <v>JARA</v>
      </c>
      <c r="F117" s="29" t="str">
        <f>IF(IFERROR(VLOOKUP(A117,$A$10:$I116,1,0),0)=0,"",VLOOKUP(A117,$A$10:$I116,6,0))</f>
        <v>MARIA</v>
      </c>
      <c r="G117" s="49">
        <f>IF(IFERROR(VLOOKUP(A117,$A$10:$I116,1,0),0)=0,"",VLOOKUP(A117,$A$10:$I116,7,0))</f>
        <v>45513</v>
      </c>
      <c r="H117" s="29" t="s">
        <v>1327</v>
      </c>
      <c r="I117" s="29" t="s">
        <v>22</v>
      </c>
      <c r="J117" s="29"/>
      <c r="K117" s="24" t="s">
        <v>47</v>
      </c>
      <c r="L117" s="49">
        <v>45513</v>
      </c>
      <c r="M117" s="49">
        <v>45520</v>
      </c>
      <c r="N117" s="29">
        <f t="shared" si="7"/>
        <v>7</v>
      </c>
      <c r="O117" s="29"/>
      <c r="P117" t="s">
        <v>88</v>
      </c>
      <c r="Q117" t="s">
        <v>88</v>
      </c>
      <c r="R117" t="s">
        <v>88</v>
      </c>
      <c r="S117" t="s">
        <v>88</v>
      </c>
      <c r="T117" t="s">
        <v>88</v>
      </c>
      <c r="U117" t="s">
        <v>20</v>
      </c>
    </row>
    <row r="118" spans="1:21" x14ac:dyDescent="0.45">
      <c r="A118" s="29">
        <v>103478545</v>
      </c>
      <c r="B118" s="29" t="str">
        <f t="shared" si="6"/>
        <v>10.347.854-5</v>
      </c>
      <c r="C118" s="22" t="s">
        <v>22</v>
      </c>
      <c r="D118" s="29" t="s">
        <v>323</v>
      </c>
      <c r="E118" s="29" t="s">
        <v>310</v>
      </c>
      <c r="F118" s="29" t="s">
        <v>551</v>
      </c>
      <c r="G118" s="49">
        <v>45514</v>
      </c>
      <c r="H118" s="49">
        <v>45530</v>
      </c>
      <c r="I118" s="29"/>
      <c r="J118" s="29" t="s">
        <v>19</v>
      </c>
      <c r="K118" s="24" t="s">
        <v>43</v>
      </c>
      <c r="L118" s="49">
        <v>45515</v>
      </c>
      <c r="M118" s="49">
        <v>45530</v>
      </c>
      <c r="N118" s="29">
        <f t="shared" si="7"/>
        <v>15</v>
      </c>
      <c r="O118" s="29"/>
      <c r="P118" t="s">
        <v>88</v>
      </c>
      <c r="Q118" t="s">
        <v>88</v>
      </c>
      <c r="R118" t="s">
        <v>88</v>
      </c>
      <c r="S118" t="s">
        <v>88</v>
      </c>
      <c r="T118" t="s">
        <v>88</v>
      </c>
      <c r="U118" t="s">
        <v>20</v>
      </c>
    </row>
    <row r="119" spans="1:21" x14ac:dyDescent="0.45">
      <c r="A119" s="29">
        <v>103478545</v>
      </c>
      <c r="B119" s="29" t="str">
        <f t="shared" si="6"/>
        <v>10.347.854-5</v>
      </c>
      <c r="C119" s="22" t="str">
        <f>IF(IFERROR(VLOOKUP(A119,$A$10:$I118,1,0),0)=0,"",VLOOKUP(A119,$A$10:$I118,3,0))</f>
        <v>UCI</v>
      </c>
      <c r="D119" s="29" t="str">
        <f>IF(IFERROR(VLOOKUP(A119,$A$10:$I118,1,0),0)=0,"",VLOOKUP(A119,$A$10:$I118,4,0))</f>
        <v>BASCUÑAN</v>
      </c>
      <c r="E119" s="29" t="str">
        <f>IF(IFERROR(VLOOKUP(A119,$A$10:$I118,1,0),0)=0,"",VLOOKUP(A119,$A$10:$I118,5,0))</f>
        <v>MORALES</v>
      </c>
      <c r="F119" s="29" t="str">
        <f>IF(IFERROR(VLOOKUP(A119,$A$10:$I118,1,0),0)=0,"",VLOOKUP(A119,$A$10:$I118,6,0))</f>
        <v>ADRIANA</v>
      </c>
      <c r="G119" s="49">
        <f>IF(IFERROR(VLOOKUP(A119,$A$10:$I118,1,0),0)=0,"",VLOOKUP(A119,$A$10:$I118,7,0))</f>
        <v>45514</v>
      </c>
      <c r="H119" s="49">
        <v>45530</v>
      </c>
      <c r="I119" s="29"/>
      <c r="J119" s="29" t="s">
        <v>19</v>
      </c>
      <c r="K119" s="24" t="s">
        <v>47</v>
      </c>
      <c r="L119" s="49">
        <v>45514</v>
      </c>
      <c r="M119" s="49">
        <v>45516</v>
      </c>
      <c r="N119" s="29">
        <f t="shared" si="7"/>
        <v>2</v>
      </c>
      <c r="O119" s="29"/>
      <c r="P119" t="s">
        <v>88</v>
      </c>
      <c r="Q119" t="s">
        <v>88</v>
      </c>
      <c r="R119" t="s">
        <v>88</v>
      </c>
      <c r="S119" t="s">
        <v>88</v>
      </c>
      <c r="T119" t="s">
        <v>88</v>
      </c>
      <c r="U119" t="s">
        <v>20</v>
      </c>
    </row>
    <row r="120" spans="1:21" x14ac:dyDescent="0.45">
      <c r="A120" s="29">
        <v>103478545</v>
      </c>
      <c r="B120" s="29" t="str">
        <f t="shared" si="6"/>
        <v>10.347.854-5</v>
      </c>
      <c r="C120" s="22" t="str">
        <f>IF(IFERROR(VLOOKUP(A120,$A$10:$I119,1,0),0)=0,"",VLOOKUP(A120,$A$10:$I119,3,0))</f>
        <v>UCI</v>
      </c>
      <c r="D120" s="29" t="str">
        <f>IF(IFERROR(VLOOKUP(A120,$A$10:$I119,1,0),0)=0,"",VLOOKUP(A120,$A$10:$I119,4,0))</f>
        <v>BASCUÑAN</v>
      </c>
      <c r="E120" s="29" t="str">
        <f>IF(IFERROR(VLOOKUP(A120,$A$10:$I119,1,0),0)=0,"",VLOOKUP(A120,$A$10:$I119,5,0))</f>
        <v>MORALES</v>
      </c>
      <c r="F120" s="29" t="str">
        <f>IF(IFERROR(VLOOKUP(A120,$A$10:$I119,1,0),0)=0,"",VLOOKUP(A120,$A$10:$I119,6,0))</f>
        <v>ADRIANA</v>
      </c>
      <c r="G120" s="49">
        <f>IF(IFERROR(VLOOKUP(A120,$A$10:$I119,1,0),0)=0,"",VLOOKUP(A120,$A$10:$I119,7,0))</f>
        <v>45514</v>
      </c>
      <c r="H120" s="49">
        <v>45530</v>
      </c>
      <c r="I120" s="29"/>
      <c r="J120" s="29" t="s">
        <v>19</v>
      </c>
      <c r="K120" s="24" t="s">
        <v>47</v>
      </c>
      <c r="L120" s="49">
        <v>45517</v>
      </c>
      <c r="M120" s="49">
        <v>45530</v>
      </c>
      <c r="N120" s="29">
        <f t="shared" si="7"/>
        <v>13</v>
      </c>
      <c r="O120" s="29"/>
      <c r="P120" t="s">
        <v>88</v>
      </c>
      <c r="Q120" t="s">
        <v>88</v>
      </c>
      <c r="R120" t="s">
        <v>88</v>
      </c>
      <c r="S120" t="s">
        <v>88</v>
      </c>
      <c r="T120" t="s">
        <v>88</v>
      </c>
      <c r="U120" t="s">
        <v>20</v>
      </c>
    </row>
    <row r="121" spans="1:21" x14ac:dyDescent="0.45">
      <c r="A121" s="29">
        <v>67837363</v>
      </c>
      <c r="B121" s="29" t="str">
        <f t="shared" si="6"/>
        <v>6.783.736-3</v>
      </c>
      <c r="C121" s="22" t="s">
        <v>22</v>
      </c>
      <c r="D121" s="29" t="str">
        <f>IF(IFERROR(VLOOKUP(A121,$A$10:$I120,1,0),0)=0,"",VLOOKUP(A121,$A$10:$I120,4,0))</f>
        <v>ROJAS</v>
      </c>
      <c r="E121" s="29" t="str">
        <f>IF(IFERROR(VLOOKUP(A121,$A$10:$I120,1,0),0)=0,"",VLOOKUP(A121,$A$10:$I120,5,0))</f>
        <v>FUENTEALBA</v>
      </c>
      <c r="F121" s="29" t="str">
        <f>IF(IFERROR(VLOOKUP(A121,$A$10:$I120,1,0),0)=0,"",VLOOKUP(A121,$A$10:$I120,6,0))</f>
        <v>FERNANDO</v>
      </c>
      <c r="G121" s="49">
        <v>45517</v>
      </c>
      <c r="H121" s="49">
        <v>45527</v>
      </c>
      <c r="I121" s="29"/>
      <c r="J121" s="29" t="s">
        <v>24</v>
      </c>
      <c r="K121" s="24" t="s">
        <v>18</v>
      </c>
      <c r="L121" s="49">
        <v>45517</v>
      </c>
      <c r="M121" s="49">
        <v>45523</v>
      </c>
      <c r="N121" s="29">
        <f t="shared" si="7"/>
        <v>6</v>
      </c>
      <c r="O121" s="29"/>
      <c r="P121" t="s">
        <v>88</v>
      </c>
      <c r="Q121" t="s">
        <v>88</v>
      </c>
      <c r="R121" t="s">
        <v>88</v>
      </c>
      <c r="S121" t="s">
        <v>88</v>
      </c>
      <c r="T121" t="s">
        <v>88</v>
      </c>
      <c r="U121" t="s">
        <v>20</v>
      </c>
    </row>
    <row r="122" spans="1:21" x14ac:dyDescent="0.45">
      <c r="A122" s="29" t="s">
        <v>1328</v>
      </c>
      <c r="B122" s="29" t="str">
        <f t="shared" si="6"/>
        <v>8.603.777-7</v>
      </c>
      <c r="C122" s="22" t="s">
        <v>22</v>
      </c>
      <c r="D122" s="29" t="s">
        <v>954</v>
      </c>
      <c r="E122" s="29" t="s">
        <v>655</v>
      </c>
      <c r="F122" s="29" t="s">
        <v>362</v>
      </c>
      <c r="G122" s="49">
        <v>45505</v>
      </c>
      <c r="H122" s="49">
        <v>45518</v>
      </c>
      <c r="I122" s="29" t="s">
        <v>22</v>
      </c>
      <c r="J122" s="29" t="s">
        <v>24</v>
      </c>
      <c r="K122" s="24" t="s">
        <v>43</v>
      </c>
      <c r="L122" s="49">
        <v>45505</v>
      </c>
      <c r="M122" s="49">
        <v>45518</v>
      </c>
      <c r="N122" s="29">
        <f t="shared" si="7"/>
        <v>13</v>
      </c>
      <c r="O122" s="29"/>
      <c r="P122" t="s">
        <v>88</v>
      </c>
      <c r="Q122" t="s">
        <v>88</v>
      </c>
      <c r="R122" t="s">
        <v>88</v>
      </c>
      <c r="S122" t="s">
        <v>88</v>
      </c>
      <c r="T122" t="s">
        <v>88</v>
      </c>
      <c r="U122" t="s">
        <v>20</v>
      </c>
    </row>
    <row r="123" spans="1:21" x14ac:dyDescent="0.45">
      <c r="A123" s="29" t="s">
        <v>1329</v>
      </c>
      <c r="B123" s="29" t="str">
        <f t="shared" si="6"/>
        <v>5.292.366-2</v>
      </c>
      <c r="C123" s="22" t="s">
        <v>22</v>
      </c>
      <c r="D123" s="29" t="s">
        <v>1330</v>
      </c>
      <c r="E123" s="29" t="s">
        <v>1312</v>
      </c>
      <c r="F123" s="29" t="s">
        <v>351</v>
      </c>
      <c r="G123" s="49">
        <v>45519</v>
      </c>
      <c r="H123" s="49">
        <v>45523</v>
      </c>
      <c r="I123" s="29" t="s">
        <v>22</v>
      </c>
      <c r="J123" s="29" t="s">
        <v>24</v>
      </c>
      <c r="K123" s="24" t="s">
        <v>43</v>
      </c>
      <c r="L123" s="49">
        <v>45519</v>
      </c>
      <c r="M123" s="49">
        <v>45523</v>
      </c>
      <c r="N123" s="29">
        <f t="shared" si="7"/>
        <v>4</v>
      </c>
      <c r="O123" s="29"/>
      <c r="P123" t="s">
        <v>88</v>
      </c>
      <c r="Q123" t="s">
        <v>88</v>
      </c>
      <c r="R123" t="s">
        <v>88</v>
      </c>
      <c r="S123" t="s">
        <v>88</v>
      </c>
      <c r="T123" t="s">
        <v>88</v>
      </c>
      <c r="U123" t="s">
        <v>20</v>
      </c>
    </row>
    <row r="124" spans="1:21" x14ac:dyDescent="0.45">
      <c r="A124" s="29" t="s">
        <v>1329</v>
      </c>
      <c r="B124" s="29" t="str">
        <f t="shared" si="6"/>
        <v>5.292.366-2</v>
      </c>
      <c r="C124" s="22" t="str">
        <f>IF(IFERROR(VLOOKUP(A124,$A$10:$I123,1,0),0)=0,"",VLOOKUP(A124,$A$10:$I123,3,0))</f>
        <v>UCI</v>
      </c>
      <c r="D124" s="29" t="str">
        <f>IF(IFERROR(VLOOKUP(A124,$A$10:$I123,1,0),0)=0,"",VLOOKUP(A124,$A$10:$I123,4,0))</f>
        <v>MACÍAS</v>
      </c>
      <c r="E124" s="29" t="str">
        <f>IF(IFERROR(VLOOKUP(A124,$A$10:$I123,1,0),0)=0,"",VLOOKUP(A124,$A$10:$I123,5,0))</f>
        <v>LARSEN</v>
      </c>
      <c r="F124" s="29" t="str">
        <f>IF(IFERROR(VLOOKUP(A124,$A$10:$I123,1,0),0)=0,"",VLOOKUP(A124,$A$10:$I123,6,0))</f>
        <v>OSCAR</v>
      </c>
      <c r="G124" s="49">
        <f>IF(IFERROR(VLOOKUP(A124,$A$10:$I123,1,0),0)=0,"",VLOOKUP(A124,$A$10:$I123,7,0))</f>
        <v>45519</v>
      </c>
      <c r="H124" s="49">
        <v>45523</v>
      </c>
      <c r="I124" s="29" t="s">
        <v>22</v>
      </c>
      <c r="J124" s="29" t="s">
        <v>24</v>
      </c>
      <c r="K124" s="24" t="s">
        <v>47</v>
      </c>
      <c r="L124" s="49">
        <v>45519</v>
      </c>
      <c r="M124" s="49">
        <v>45523</v>
      </c>
      <c r="N124" s="29">
        <f t="shared" si="7"/>
        <v>4</v>
      </c>
      <c r="O124" s="29"/>
      <c r="P124" t="s">
        <v>88</v>
      </c>
      <c r="Q124" t="s">
        <v>88</v>
      </c>
      <c r="R124" t="s">
        <v>88</v>
      </c>
      <c r="S124" t="s">
        <v>88</v>
      </c>
      <c r="T124" t="s">
        <v>88</v>
      </c>
      <c r="U124" t="s">
        <v>20</v>
      </c>
    </row>
    <row r="125" spans="1:21" x14ac:dyDescent="0.45">
      <c r="A125" s="29" t="s">
        <v>1331</v>
      </c>
      <c r="B125" s="29" t="str">
        <f t="shared" si="6"/>
        <v>8.756.892-k</v>
      </c>
      <c r="C125" s="22" t="s">
        <v>22</v>
      </c>
      <c r="D125" s="29" t="s">
        <v>1332</v>
      </c>
      <c r="E125" s="29" t="s">
        <v>318</v>
      </c>
      <c r="F125" s="29" t="s">
        <v>305</v>
      </c>
      <c r="G125" s="49">
        <v>45519</v>
      </c>
      <c r="H125" s="49">
        <v>45524</v>
      </c>
      <c r="I125" s="29" t="s">
        <v>22</v>
      </c>
      <c r="J125" s="29" t="s">
        <v>24</v>
      </c>
      <c r="K125" s="24" t="s">
        <v>43</v>
      </c>
      <c r="L125" s="49">
        <v>45519</v>
      </c>
      <c r="M125" s="49">
        <v>45524</v>
      </c>
      <c r="N125" s="29">
        <f t="shared" si="7"/>
        <v>5</v>
      </c>
      <c r="O125" s="29"/>
      <c r="P125" t="s">
        <v>88</v>
      </c>
      <c r="Q125" t="s">
        <v>88</v>
      </c>
      <c r="R125" t="s">
        <v>88</v>
      </c>
      <c r="S125" t="s">
        <v>88</v>
      </c>
      <c r="T125" t="s">
        <v>88</v>
      </c>
      <c r="U125" t="s">
        <v>20</v>
      </c>
    </row>
    <row r="126" spans="1:21" x14ac:dyDescent="0.45">
      <c r="A126" s="29" t="s">
        <v>1331</v>
      </c>
      <c r="B126" s="29" t="str">
        <f t="shared" si="6"/>
        <v>8.756.892-k</v>
      </c>
      <c r="C126" s="22" t="str">
        <f>IF(IFERROR(VLOOKUP(A126,$A$10:$I125,1,0),0)=0,"",VLOOKUP(A126,$A$10:$I125,3,0))</f>
        <v>UCI</v>
      </c>
      <c r="D126" s="29" t="str">
        <f>IF(IFERROR(VLOOKUP(A126,$A$10:$I125,1,0),0)=0,"",VLOOKUP(A126,$A$10:$I125,4,0))</f>
        <v>VALDERAS</v>
      </c>
      <c r="E126" s="29" t="str">
        <f>IF(IFERROR(VLOOKUP(A126,$A$10:$I125,1,0),0)=0,"",VLOOKUP(A126,$A$10:$I125,5,0))</f>
        <v>VERA</v>
      </c>
      <c r="F126" s="29" t="str">
        <f>IF(IFERROR(VLOOKUP(A126,$A$10:$I125,1,0),0)=0,"",VLOOKUP(A126,$A$10:$I125,6,0))</f>
        <v>BERTA</v>
      </c>
      <c r="G126" s="49">
        <f>IF(IFERROR(VLOOKUP(A126,$A$10:$I125,1,0),0)=0,"",VLOOKUP(A126,$A$10:$I125,7,0))</f>
        <v>45519</v>
      </c>
      <c r="H126" s="49">
        <v>45524</v>
      </c>
      <c r="I126" s="29" t="s">
        <v>22</v>
      </c>
      <c r="J126" s="29" t="s">
        <v>24</v>
      </c>
      <c r="K126" s="24" t="s">
        <v>47</v>
      </c>
      <c r="L126" s="49">
        <v>45519</v>
      </c>
      <c r="M126" s="49">
        <v>45524</v>
      </c>
      <c r="N126" s="29">
        <f t="shared" si="7"/>
        <v>5</v>
      </c>
      <c r="O126" s="29"/>
      <c r="P126" t="s">
        <v>88</v>
      </c>
      <c r="Q126" t="s">
        <v>88</v>
      </c>
      <c r="R126" t="s">
        <v>88</v>
      </c>
      <c r="S126" t="s">
        <v>88</v>
      </c>
      <c r="T126" t="s">
        <v>88</v>
      </c>
      <c r="U126" t="s">
        <v>20</v>
      </c>
    </row>
    <row r="127" spans="1:21" x14ac:dyDescent="0.45">
      <c r="A127" s="29">
        <v>71931439</v>
      </c>
      <c r="B127" s="29" t="str">
        <f t="shared" si="6"/>
        <v>7.193.143-9</v>
      </c>
      <c r="C127" s="22" t="s">
        <v>22</v>
      </c>
      <c r="D127" s="29" t="s">
        <v>536</v>
      </c>
      <c r="E127" s="29" t="s">
        <v>1333</v>
      </c>
      <c r="F127" s="29" t="s">
        <v>506</v>
      </c>
      <c r="G127" s="49">
        <v>45514</v>
      </c>
      <c r="H127" s="49">
        <v>45521</v>
      </c>
      <c r="I127" s="29" t="s">
        <v>30</v>
      </c>
      <c r="J127" s="29" t="s">
        <v>46</v>
      </c>
      <c r="K127" s="24" t="s">
        <v>43</v>
      </c>
      <c r="L127" s="49">
        <v>45514</v>
      </c>
      <c r="M127" s="49">
        <v>45520</v>
      </c>
      <c r="N127" s="29">
        <f t="shared" si="7"/>
        <v>6</v>
      </c>
      <c r="O127" s="29"/>
      <c r="P127" t="s">
        <v>88</v>
      </c>
      <c r="Q127" t="s">
        <v>88</v>
      </c>
      <c r="R127" t="s">
        <v>88</v>
      </c>
      <c r="S127" t="s">
        <v>88</v>
      </c>
      <c r="T127" t="s">
        <v>88</v>
      </c>
      <c r="U127" t="s">
        <v>20</v>
      </c>
    </row>
    <row r="128" spans="1:21" x14ac:dyDescent="0.45">
      <c r="A128" s="29">
        <v>71931439</v>
      </c>
      <c r="B128" s="29" t="str">
        <f t="shared" si="6"/>
        <v>7.193.143-9</v>
      </c>
      <c r="C128" s="22" t="str">
        <f>IF(IFERROR(VLOOKUP(A128,$A$10:$I127,1,0),0)=0,"",VLOOKUP(A128,$A$10:$I127,3,0))</f>
        <v>UCI</v>
      </c>
      <c r="D128" s="29" t="str">
        <f>IF(IFERROR(VLOOKUP(A128,$A$10:$I127,1,0),0)=0,"",VLOOKUP(A128,$A$10:$I127,4,0))</f>
        <v>RIQUELME</v>
      </c>
      <c r="E128" s="29" t="str">
        <f>IF(IFERROR(VLOOKUP(A128,$A$10:$I127,1,0),0)=0,"",VLOOKUP(A128,$A$10:$I127,5,0))</f>
        <v>WONG</v>
      </c>
      <c r="F128" s="29" t="str">
        <f>IF(IFERROR(VLOOKUP(A128,$A$10:$I127,1,0),0)=0,"",VLOOKUP(A128,$A$10:$I127,6,0))</f>
        <v>RICARDO</v>
      </c>
      <c r="G128" s="49">
        <f>IF(IFERROR(VLOOKUP(A128,$A$10:$I127,1,0),0)=0,"",VLOOKUP(A128,$A$10:$I127,7,0))</f>
        <v>45514</v>
      </c>
      <c r="H128" s="49">
        <v>45521</v>
      </c>
      <c r="I128" s="29" t="s">
        <v>30</v>
      </c>
      <c r="J128" s="29" t="s">
        <v>46</v>
      </c>
      <c r="K128" s="24" t="s">
        <v>47</v>
      </c>
      <c r="L128" s="49">
        <v>45516</v>
      </c>
      <c r="M128" s="49">
        <v>45520</v>
      </c>
      <c r="N128" s="29">
        <f t="shared" si="7"/>
        <v>4</v>
      </c>
      <c r="O128" s="29"/>
      <c r="P128" t="s">
        <v>88</v>
      </c>
      <c r="Q128" t="s">
        <v>88</v>
      </c>
      <c r="R128" t="s">
        <v>88</v>
      </c>
      <c r="S128" t="s">
        <v>88</v>
      </c>
      <c r="T128" t="s">
        <v>88</v>
      </c>
      <c r="U128" t="s">
        <v>20</v>
      </c>
    </row>
    <row r="129" spans="1:21" x14ac:dyDescent="0.45">
      <c r="A129" s="29">
        <v>155180358</v>
      </c>
      <c r="B129" s="29" t="str">
        <f t="shared" si="6"/>
        <v>15.518.035-8</v>
      </c>
      <c r="C129" s="22" t="s">
        <v>22</v>
      </c>
      <c r="D129" s="29" t="s">
        <v>310</v>
      </c>
      <c r="E129" s="29" t="s">
        <v>1334</v>
      </c>
      <c r="F129" s="29" t="s">
        <v>489</v>
      </c>
      <c r="G129" s="49">
        <v>45515</v>
      </c>
      <c r="H129" s="49">
        <v>45518</v>
      </c>
      <c r="I129" s="29" t="s">
        <v>22</v>
      </c>
      <c r="J129" s="29" t="s">
        <v>56</v>
      </c>
      <c r="K129" s="24" t="s">
        <v>43</v>
      </c>
      <c r="L129" s="49">
        <v>45515</v>
      </c>
      <c r="M129" s="49">
        <v>45518</v>
      </c>
      <c r="N129" s="29">
        <f t="shared" si="7"/>
        <v>3</v>
      </c>
      <c r="O129" s="29"/>
      <c r="P129" t="s">
        <v>88</v>
      </c>
      <c r="Q129" t="s">
        <v>88</v>
      </c>
      <c r="R129" t="s">
        <v>88</v>
      </c>
      <c r="S129" t="s">
        <v>88</v>
      </c>
      <c r="T129" t="s">
        <v>88</v>
      </c>
      <c r="U129" t="s">
        <v>20</v>
      </c>
    </row>
    <row r="130" spans="1:21" x14ac:dyDescent="0.45">
      <c r="A130" s="29">
        <v>155180358</v>
      </c>
      <c r="B130" s="29" t="str">
        <f t="shared" si="6"/>
        <v>15.518.035-8</v>
      </c>
      <c r="C130" s="22" t="str">
        <f>IF(IFERROR(VLOOKUP(A130,$A$10:$I129,1,0),0)=0,"",VLOOKUP(A130,$A$10:$I129,3,0))</f>
        <v>UCI</v>
      </c>
      <c r="D130" s="29" t="str">
        <f>IF(IFERROR(VLOOKUP(A130,$A$10:$I129,1,0),0)=0,"",VLOOKUP(A130,$A$10:$I129,4,0))</f>
        <v>MORALES</v>
      </c>
      <c r="E130" s="29" t="str">
        <f>IF(IFERROR(VLOOKUP(A130,$A$10:$I129,1,0),0)=0,"",VLOOKUP(A130,$A$10:$I129,5,0))</f>
        <v>BARROS</v>
      </c>
      <c r="F130" s="29" t="str">
        <f>IF(IFERROR(VLOOKUP(A130,$A$10:$I129,1,0),0)=0,"",VLOOKUP(A130,$A$10:$I129,6,0))</f>
        <v>HECTOR</v>
      </c>
      <c r="G130" s="49">
        <f>IF(IFERROR(VLOOKUP(A130,$A$10:$I129,1,0),0)=0,"",VLOOKUP(A130,$A$10:$I129,7,0))</f>
        <v>45515</v>
      </c>
      <c r="H130" s="49">
        <v>45518</v>
      </c>
      <c r="I130" s="29" t="s">
        <v>22</v>
      </c>
      <c r="J130" s="29" t="s">
        <v>56</v>
      </c>
      <c r="K130" s="24" t="s">
        <v>47</v>
      </c>
      <c r="L130" s="49">
        <v>45515</v>
      </c>
      <c r="M130" s="49">
        <v>45518</v>
      </c>
      <c r="N130" s="29">
        <f t="shared" si="7"/>
        <v>3</v>
      </c>
      <c r="O130" s="29"/>
      <c r="P130" t="s">
        <v>88</v>
      </c>
      <c r="Q130" t="s">
        <v>88</v>
      </c>
      <c r="R130" t="s">
        <v>88</v>
      </c>
      <c r="S130" t="s">
        <v>88</v>
      </c>
      <c r="T130" t="s">
        <v>88</v>
      </c>
      <c r="U130" t="s">
        <v>20</v>
      </c>
    </row>
    <row r="131" spans="1:21" x14ac:dyDescent="0.45">
      <c r="A131" s="29">
        <v>59799215</v>
      </c>
      <c r="B131" s="29" t="str">
        <f t="shared" si="6"/>
        <v>5.979.921-5</v>
      </c>
      <c r="C131" s="22" t="s">
        <v>22</v>
      </c>
      <c r="D131" s="29" t="s">
        <v>660</v>
      </c>
      <c r="E131" s="29" t="s">
        <v>367</v>
      </c>
      <c r="F131" s="29" t="s">
        <v>1335</v>
      </c>
      <c r="G131" s="49">
        <v>45521</v>
      </c>
      <c r="H131" s="49">
        <v>45527</v>
      </c>
      <c r="I131" s="29" t="s">
        <v>22</v>
      </c>
      <c r="J131" s="29" t="s">
        <v>46</v>
      </c>
      <c r="K131" s="24" t="s">
        <v>43</v>
      </c>
      <c r="L131" s="49">
        <v>45521</v>
      </c>
      <c r="M131" s="49">
        <v>45527</v>
      </c>
      <c r="N131" s="29">
        <f t="shared" si="7"/>
        <v>6</v>
      </c>
      <c r="O131" s="29"/>
      <c r="P131" t="s">
        <v>88</v>
      </c>
      <c r="Q131" t="s">
        <v>88</v>
      </c>
      <c r="R131" t="s">
        <v>88</v>
      </c>
      <c r="S131" t="s">
        <v>88</v>
      </c>
      <c r="T131" t="s">
        <v>88</v>
      </c>
      <c r="U131" t="s">
        <v>20</v>
      </c>
    </row>
    <row r="132" spans="1:21" x14ac:dyDescent="0.45">
      <c r="A132" s="29">
        <v>59799215</v>
      </c>
      <c r="B132" s="29" t="str">
        <f t="shared" si="6"/>
        <v>5.979.921-5</v>
      </c>
      <c r="C132" s="22" t="str">
        <f>IF(IFERROR(VLOOKUP(A132,$A$10:$I131,1,0),0)=0,"",VLOOKUP(A132,$A$10:$I131,3,0))</f>
        <v>UCI</v>
      </c>
      <c r="D132" s="29" t="str">
        <f>IF(IFERROR(VLOOKUP(A132,$A$10:$I131,1,0),0)=0,"",VLOOKUP(A132,$A$10:$I131,4,0))</f>
        <v>SALAZAR</v>
      </c>
      <c r="E132" s="29" t="str">
        <f>IF(IFERROR(VLOOKUP(A132,$A$10:$I131,1,0),0)=0,"",VLOOKUP(A132,$A$10:$I131,5,0))</f>
        <v>HERRERA</v>
      </c>
      <c r="F132" s="29" t="str">
        <f>IF(IFERROR(VLOOKUP(A132,$A$10:$I131,1,0),0)=0,"",VLOOKUP(A132,$A$10:$I131,6,0))</f>
        <v>DUNIA</v>
      </c>
      <c r="G132" s="49">
        <f>IF(IFERROR(VLOOKUP(A132,$A$10:$I131,1,0),0)=0,"",VLOOKUP(A132,$A$10:$I131,7,0))</f>
        <v>45521</v>
      </c>
      <c r="H132" s="49">
        <v>45527</v>
      </c>
      <c r="I132" s="29" t="s">
        <v>22</v>
      </c>
      <c r="J132" s="29" t="s">
        <v>46</v>
      </c>
      <c r="K132" s="24" t="s">
        <v>47</v>
      </c>
      <c r="L132" s="49">
        <v>45521</v>
      </c>
      <c r="M132" s="49">
        <v>45527</v>
      </c>
      <c r="N132" s="29">
        <f t="shared" si="7"/>
        <v>6</v>
      </c>
      <c r="O132" s="29"/>
      <c r="P132" t="s">
        <v>88</v>
      </c>
      <c r="Q132" t="s">
        <v>88</v>
      </c>
      <c r="R132" t="s">
        <v>88</v>
      </c>
      <c r="S132" t="s">
        <v>88</v>
      </c>
      <c r="T132" t="s">
        <v>88</v>
      </c>
      <c r="U132" t="s">
        <v>20</v>
      </c>
    </row>
    <row r="133" spans="1:21" x14ac:dyDescent="0.45">
      <c r="A133" s="29">
        <v>123793773</v>
      </c>
      <c r="B133" s="29" t="str">
        <f t="shared" si="6"/>
        <v>12.379.377-3</v>
      </c>
      <c r="C133" s="22" t="s">
        <v>22</v>
      </c>
      <c r="D133" s="29" t="s">
        <v>288</v>
      </c>
      <c r="E133" s="29" t="s">
        <v>278</v>
      </c>
      <c r="F133" s="29" t="s">
        <v>385</v>
      </c>
      <c r="G133" s="49">
        <v>45532</v>
      </c>
      <c r="H133" s="49">
        <v>45534</v>
      </c>
      <c r="I133" s="29" t="s">
        <v>22</v>
      </c>
      <c r="J133" s="29" t="s">
        <v>24</v>
      </c>
      <c r="K133" s="24" t="s">
        <v>47</v>
      </c>
      <c r="L133" s="49">
        <v>45532</v>
      </c>
      <c r="M133" s="49">
        <v>45534</v>
      </c>
      <c r="N133" s="29">
        <f t="shared" si="7"/>
        <v>2</v>
      </c>
      <c r="O133" s="29"/>
      <c r="P133" t="s">
        <v>88</v>
      </c>
      <c r="Q133" t="s">
        <v>88</v>
      </c>
      <c r="R133" t="s">
        <v>88</v>
      </c>
      <c r="S133" t="s">
        <v>88</v>
      </c>
      <c r="T133" t="s">
        <v>88</v>
      </c>
      <c r="U133" t="s">
        <v>20</v>
      </c>
    </row>
    <row r="134" spans="1:21" x14ac:dyDescent="0.45">
      <c r="A134" s="29">
        <v>122080501</v>
      </c>
      <c r="B134" s="29" t="str">
        <f t="shared" si="6"/>
        <v>12.208.050-1</v>
      </c>
      <c r="C134" s="22" t="s">
        <v>22</v>
      </c>
      <c r="D134" s="29" t="s">
        <v>1336</v>
      </c>
      <c r="E134" s="29" t="s">
        <v>1337</v>
      </c>
      <c r="F134" s="29" t="s">
        <v>1338</v>
      </c>
      <c r="G134" s="49">
        <v>45530</v>
      </c>
      <c r="H134" s="49">
        <v>45534</v>
      </c>
      <c r="I134" s="29" t="s">
        <v>22</v>
      </c>
      <c r="J134" s="29" t="s">
        <v>26</v>
      </c>
      <c r="K134" s="24" t="s">
        <v>43</v>
      </c>
      <c r="L134" s="49">
        <v>45530</v>
      </c>
      <c r="M134" s="49">
        <v>45533</v>
      </c>
      <c r="N134" s="29">
        <f t="shared" si="7"/>
        <v>3</v>
      </c>
      <c r="O134" s="29"/>
      <c r="P134" t="s">
        <v>88</v>
      </c>
      <c r="Q134" t="s">
        <v>88</v>
      </c>
      <c r="R134" t="s">
        <v>88</v>
      </c>
      <c r="S134" t="s">
        <v>88</v>
      </c>
      <c r="T134" t="s">
        <v>88</v>
      </c>
      <c r="U134" t="s">
        <v>20</v>
      </c>
    </row>
    <row r="135" spans="1:21" x14ac:dyDescent="0.45">
      <c r="A135" s="29">
        <v>95392229</v>
      </c>
      <c r="B135" s="29" t="str">
        <f t="shared" si="6"/>
        <v>9.539.222-9</v>
      </c>
      <c r="C135" s="22" t="s">
        <v>22</v>
      </c>
      <c r="D135" s="29" t="s">
        <v>490</v>
      </c>
      <c r="E135" s="29" t="s">
        <v>1031</v>
      </c>
      <c r="F135" s="29" t="s">
        <v>1339</v>
      </c>
      <c r="G135" s="49">
        <v>45527</v>
      </c>
      <c r="H135" s="49">
        <v>45534</v>
      </c>
      <c r="I135" s="29" t="s">
        <v>22</v>
      </c>
      <c r="J135" s="29" t="s">
        <v>26</v>
      </c>
      <c r="K135" s="24" t="s">
        <v>43</v>
      </c>
      <c r="L135" s="49">
        <v>45527</v>
      </c>
      <c r="M135" s="49">
        <v>45533</v>
      </c>
      <c r="N135" s="29">
        <f t="shared" si="7"/>
        <v>6</v>
      </c>
      <c r="O135" s="29"/>
      <c r="P135" t="s">
        <v>88</v>
      </c>
      <c r="Q135" t="s">
        <v>88</v>
      </c>
      <c r="R135" t="s">
        <v>88</v>
      </c>
      <c r="S135" t="s">
        <v>88</v>
      </c>
      <c r="T135" t="s">
        <v>88</v>
      </c>
      <c r="U135" t="s">
        <v>20</v>
      </c>
    </row>
    <row r="136" spans="1:21" x14ac:dyDescent="0.45">
      <c r="A136" s="29">
        <v>95392229</v>
      </c>
      <c r="B136" s="29" t="str">
        <f t="shared" si="6"/>
        <v>9.539.222-9</v>
      </c>
      <c r="C136" s="22" t="str">
        <f>IF(IFERROR(VLOOKUP(A136,$A$10:$I135,1,0),0)=0,"",VLOOKUP(A136,$A$10:$I135,3,0))</f>
        <v>UCI</v>
      </c>
      <c r="D136" s="29" t="str">
        <f>IF(IFERROR(VLOOKUP(A136,$A$10:$I135,1,0),0)=0,"",VLOOKUP(A136,$A$10:$I135,4,0))</f>
        <v>BELTRAN</v>
      </c>
      <c r="E136" s="29" t="str">
        <f>IF(IFERROR(VLOOKUP(A136,$A$10:$I135,1,0),0)=0,"",VLOOKUP(A136,$A$10:$I135,5,0))</f>
        <v>MARIN</v>
      </c>
      <c r="F136" s="29" t="str">
        <f>IF(IFERROR(VLOOKUP(A136,$A$10:$I135,1,0),0)=0,"",VLOOKUP(A136,$A$10:$I135,6,0))</f>
        <v>AMERICO</v>
      </c>
      <c r="G136" s="49">
        <f>IF(IFERROR(VLOOKUP(A136,$A$10:$I135,1,0),0)=0,"",VLOOKUP(A136,$A$10:$I135,7,0))</f>
        <v>45527</v>
      </c>
      <c r="H136" s="49">
        <v>45534</v>
      </c>
      <c r="I136" s="29" t="s">
        <v>22</v>
      </c>
      <c r="J136" s="29" t="s">
        <v>26</v>
      </c>
      <c r="K136" s="24" t="s">
        <v>47</v>
      </c>
      <c r="L136" s="49">
        <v>45527</v>
      </c>
      <c r="M136" s="49">
        <v>45533</v>
      </c>
      <c r="N136" s="29">
        <f t="shared" si="7"/>
        <v>6</v>
      </c>
      <c r="O136" s="29"/>
      <c r="P136" t="s">
        <v>88</v>
      </c>
      <c r="Q136" t="s">
        <v>88</v>
      </c>
      <c r="R136" t="s">
        <v>88</v>
      </c>
      <c r="S136" t="s">
        <v>88</v>
      </c>
      <c r="T136" t="s">
        <v>88</v>
      </c>
      <c r="U136" t="s">
        <v>20</v>
      </c>
    </row>
    <row r="137" spans="1:21" x14ac:dyDescent="0.45">
      <c r="A137" s="29">
        <v>101376184</v>
      </c>
      <c r="B137" s="29" t="str">
        <f t="shared" si="6"/>
        <v>10.137.618-4</v>
      </c>
      <c r="C137" s="22" t="s">
        <v>22</v>
      </c>
      <c r="D137" s="29" t="s">
        <v>511</v>
      </c>
      <c r="E137" s="29" t="s">
        <v>902</v>
      </c>
      <c r="F137" s="29" t="s">
        <v>738</v>
      </c>
      <c r="G137" s="49">
        <v>45530</v>
      </c>
      <c r="H137" s="29"/>
      <c r="I137" s="29"/>
      <c r="J137" s="29"/>
      <c r="K137" s="24" t="s">
        <v>43</v>
      </c>
      <c r="L137" s="49">
        <v>45530</v>
      </c>
      <c r="M137" s="49">
        <v>45535</v>
      </c>
      <c r="N137" s="29">
        <f t="shared" si="7"/>
        <v>5</v>
      </c>
      <c r="O137" s="29"/>
      <c r="P137" t="s">
        <v>88</v>
      </c>
      <c r="Q137" t="s">
        <v>88</v>
      </c>
      <c r="R137" t="s">
        <v>88</v>
      </c>
      <c r="S137" t="s">
        <v>88</v>
      </c>
      <c r="T137" t="s">
        <v>88</v>
      </c>
      <c r="U137" t="s">
        <v>20</v>
      </c>
    </row>
    <row r="138" spans="1:21" x14ac:dyDescent="0.45">
      <c r="A138" s="29">
        <v>101376184</v>
      </c>
      <c r="B138" s="29" t="str">
        <f t="shared" si="6"/>
        <v>10.137.618-4</v>
      </c>
      <c r="C138" s="22" t="s">
        <v>22</v>
      </c>
      <c r="D138" s="29" t="s">
        <v>511</v>
      </c>
      <c r="E138" s="29" t="s">
        <v>902</v>
      </c>
      <c r="F138" s="29" t="s">
        <v>738</v>
      </c>
      <c r="G138" s="49">
        <v>45530</v>
      </c>
      <c r="H138" s="29"/>
      <c r="I138" s="29"/>
      <c r="J138" s="29"/>
      <c r="K138" s="24" t="s">
        <v>55</v>
      </c>
      <c r="L138" s="49">
        <v>45530</v>
      </c>
      <c r="M138" s="49">
        <v>45535</v>
      </c>
      <c r="N138" s="29">
        <f t="shared" si="7"/>
        <v>5</v>
      </c>
      <c r="O138" s="29"/>
      <c r="P138" t="s">
        <v>88</v>
      </c>
      <c r="Q138" t="s">
        <v>88</v>
      </c>
      <c r="R138" t="s">
        <v>88</v>
      </c>
      <c r="S138" t="s">
        <v>88</v>
      </c>
      <c r="T138" t="s">
        <v>88</v>
      </c>
      <c r="U138" t="s">
        <v>20</v>
      </c>
    </row>
    <row r="139" spans="1:21" x14ac:dyDescent="0.45">
      <c r="A139" s="29">
        <v>101376184</v>
      </c>
      <c r="B139" s="29" t="str">
        <f t="shared" si="6"/>
        <v>10.137.618-4</v>
      </c>
      <c r="C139" s="22" t="str">
        <f>IF(IFERROR(VLOOKUP(A139,$A$10:$I137,1,0),0)=0,"",VLOOKUP(A139,$A$10:$I137,3,0))</f>
        <v>UCI</v>
      </c>
      <c r="D139" s="29" t="str">
        <f>IF(IFERROR(VLOOKUP(A139,$A$10:$I137,1,0),0)=0,"",VLOOKUP(A139,$A$10:$I137,4,0))</f>
        <v>FRANCO</v>
      </c>
      <c r="E139" s="29" t="str">
        <f>IF(IFERROR(VLOOKUP(A139,$A$10:$I137,1,0),0)=0,"",VLOOKUP(A139,$A$10:$I137,5,0))</f>
        <v>RAMIREZ</v>
      </c>
      <c r="F139" s="29" t="str">
        <f>IF(IFERROR(VLOOKUP(A139,$A$10:$I137,1,0),0)=0,"",VLOOKUP(A139,$A$10:$I137,6,0))</f>
        <v>MARGARITA</v>
      </c>
      <c r="G139" s="49">
        <f>IF(IFERROR(VLOOKUP(A139,$A$10:$I137,1,0),0)=0,"",VLOOKUP(A139,$A$10:$I137,7,0))</f>
        <v>45530</v>
      </c>
      <c r="H139" s="29"/>
      <c r="I139" s="29"/>
      <c r="J139" s="29"/>
      <c r="K139" s="24" t="s">
        <v>47</v>
      </c>
      <c r="L139" s="49">
        <v>45530</v>
      </c>
      <c r="M139" s="49">
        <v>45535</v>
      </c>
      <c r="N139" s="29">
        <f t="shared" si="7"/>
        <v>5</v>
      </c>
      <c r="O139" s="29"/>
      <c r="P139" t="s">
        <v>88</v>
      </c>
      <c r="Q139" t="s">
        <v>88</v>
      </c>
      <c r="R139" t="s">
        <v>88</v>
      </c>
      <c r="S139" t="s">
        <v>88</v>
      </c>
      <c r="T139" t="s">
        <v>88</v>
      </c>
      <c r="U139" t="s">
        <v>20</v>
      </c>
    </row>
    <row r="140" spans="1:21" x14ac:dyDescent="0.45">
      <c r="A140" s="29">
        <v>168956819</v>
      </c>
      <c r="B140" s="29" t="str">
        <f t="shared" si="6"/>
        <v>16.895.681-9</v>
      </c>
      <c r="C140" s="22" t="s">
        <v>22</v>
      </c>
      <c r="D140" s="29" t="s">
        <v>500</v>
      </c>
      <c r="E140" s="29" t="s">
        <v>501</v>
      </c>
      <c r="F140" s="29" t="s">
        <v>502</v>
      </c>
      <c r="G140" s="49">
        <v>45532</v>
      </c>
      <c r="H140" s="49">
        <v>45537</v>
      </c>
      <c r="I140" s="29"/>
      <c r="J140" s="29" t="s">
        <v>22</v>
      </c>
      <c r="K140" s="24" t="s">
        <v>18</v>
      </c>
      <c r="L140" s="49">
        <v>45532</v>
      </c>
      <c r="M140" s="49">
        <v>45535</v>
      </c>
      <c r="N140" s="29">
        <f t="shared" si="7"/>
        <v>3</v>
      </c>
      <c r="O140" s="29"/>
      <c r="P140" t="s">
        <v>88</v>
      </c>
      <c r="Q140" t="s">
        <v>88</v>
      </c>
      <c r="R140" t="s">
        <v>88</v>
      </c>
      <c r="S140" t="s">
        <v>88</v>
      </c>
      <c r="T140" t="s">
        <v>88</v>
      </c>
      <c r="U140" t="s">
        <v>20</v>
      </c>
    </row>
    <row r="141" spans="1:21" x14ac:dyDescent="0.45">
      <c r="A141" s="29">
        <v>168956819</v>
      </c>
      <c r="B141" s="29" t="str">
        <f t="shared" si="6"/>
        <v>16.895.681-9</v>
      </c>
      <c r="C141" s="22" t="str">
        <f>IF(IFERROR(VLOOKUP(A141,$A$10:$I140,1,0),0)=0,"",VLOOKUP(A141,$A$10:$I140,3,0))</f>
        <v>UCI</v>
      </c>
      <c r="D141" s="29" t="str">
        <f>IF(IFERROR(VLOOKUP(A141,$A$10:$I140,1,0),0)=0,"",VLOOKUP(A141,$A$10:$I140,4,0))</f>
        <v>ARCE</v>
      </c>
      <c r="E141" s="29" t="str">
        <f>IF(IFERROR(VLOOKUP(A141,$A$10:$I140,1,0),0)=0,"",VLOOKUP(A141,$A$10:$I140,5,0))</f>
        <v>REYES</v>
      </c>
      <c r="F141" s="29" t="str">
        <f>IF(IFERROR(VLOOKUP(A141,$A$10:$I140,1,0),0)=0,"",VLOOKUP(A141,$A$10:$I140,6,0))</f>
        <v>RUBEN</v>
      </c>
      <c r="G141" s="49">
        <f>IF(IFERROR(VLOOKUP(A141,$A$10:$I140,1,0),0)=0,"",VLOOKUP(A141,$A$10:$I140,7,0))</f>
        <v>45532</v>
      </c>
      <c r="H141" s="49">
        <v>45537</v>
      </c>
      <c r="I141" s="29"/>
      <c r="J141" s="29" t="s">
        <v>22</v>
      </c>
      <c r="K141" s="24" t="s">
        <v>47</v>
      </c>
      <c r="L141" s="49">
        <v>45532</v>
      </c>
      <c r="M141" s="49">
        <v>45535</v>
      </c>
      <c r="N141" s="29">
        <f t="shared" si="7"/>
        <v>3</v>
      </c>
      <c r="O141" s="29"/>
      <c r="P141" t="s">
        <v>88</v>
      </c>
      <c r="Q141" t="s">
        <v>88</v>
      </c>
      <c r="R141" t="s">
        <v>88</v>
      </c>
      <c r="S141" t="s">
        <v>88</v>
      </c>
      <c r="T141" t="s">
        <v>88</v>
      </c>
      <c r="U141" t="s">
        <v>20</v>
      </c>
    </row>
    <row r="142" spans="1:21" x14ac:dyDescent="0.45">
      <c r="A142" s="29">
        <v>107751629</v>
      </c>
      <c r="B142" s="29" t="str">
        <f t="shared" ref="B142:B160" si="8">IF(LEN(A142)=8,MID(A142,1,1)&amp;"."&amp;MID(A142,2,3)&amp;"."&amp;MID(A142,5,3)&amp;"-"&amp;RIGHT(A142,1),IF(LEFT(RIGHT(A142,2),1)="-",MID(A142,1,1)&amp;"."&amp;MID(A142,2,3)&amp;"."&amp;MID(A142,5,3)&amp;"-"&amp;RIGHT(A142,1),MID(A142,1,2)&amp;"."&amp;MID(A142,3,3)&amp;"."&amp;MID(A142,6,3)&amp;"-"&amp;MID(A142,9,1)))</f>
        <v>10.775.162-9</v>
      </c>
      <c r="C142" s="22" t="s">
        <v>22</v>
      </c>
      <c r="D142" s="29" t="str">
        <f>IF(IFERROR(VLOOKUP(A142,$A$10:$I141,1,0),0)=0,"",VLOOKUP(A142,$A$10:$I141,4,0))</f>
        <v>VALENZUELA</v>
      </c>
      <c r="E142" s="29" t="str">
        <f>IF(IFERROR(VLOOKUP(A142,$A$10:$I141,1,0),0)=0,"",VLOOKUP(A142,$A$10:$I141,5,0))</f>
        <v>PUENTES</v>
      </c>
      <c r="F142" s="29" t="str">
        <f>IF(IFERROR(VLOOKUP(A142,$A$10:$I141,1,0),0)=0,"",VLOOKUP(A142,$A$10:$I141,6,0))</f>
        <v>XIMENA</v>
      </c>
      <c r="G142" s="49">
        <v>45532</v>
      </c>
      <c r="H142" s="29"/>
      <c r="I142" s="29"/>
      <c r="J142" s="29"/>
      <c r="K142" s="24" t="s">
        <v>18</v>
      </c>
      <c r="L142" s="49">
        <v>45528</v>
      </c>
      <c r="M142" s="49">
        <v>45535</v>
      </c>
      <c r="N142" s="29">
        <f t="shared" si="7"/>
        <v>7</v>
      </c>
      <c r="O142" s="29"/>
      <c r="P142" t="s">
        <v>88</v>
      </c>
      <c r="Q142" t="s">
        <v>88</v>
      </c>
      <c r="R142" t="s">
        <v>88</v>
      </c>
      <c r="S142" t="s">
        <v>88</v>
      </c>
      <c r="T142" t="s">
        <v>88</v>
      </c>
      <c r="U142" t="s">
        <v>20</v>
      </c>
    </row>
    <row r="143" spans="1:21" x14ac:dyDescent="0.45">
      <c r="A143" s="29">
        <v>93435710</v>
      </c>
      <c r="B143" s="29" t="str">
        <f t="shared" si="8"/>
        <v>9.343.571-0</v>
      </c>
      <c r="C143" s="22" t="s">
        <v>22</v>
      </c>
      <c r="D143" s="29" t="s">
        <v>315</v>
      </c>
      <c r="E143" s="29" t="s">
        <v>1340</v>
      </c>
      <c r="F143" s="29" t="s">
        <v>1015</v>
      </c>
      <c r="G143" s="49">
        <v>45529</v>
      </c>
      <c r="H143" s="49">
        <v>45534</v>
      </c>
      <c r="I143" s="29"/>
      <c r="J143" s="29" t="s">
        <v>44</v>
      </c>
      <c r="K143" s="24" t="s">
        <v>43</v>
      </c>
      <c r="L143" s="49">
        <v>45529</v>
      </c>
      <c r="M143" s="49">
        <v>45534</v>
      </c>
      <c r="N143" s="29">
        <f t="shared" si="7"/>
        <v>5</v>
      </c>
      <c r="O143" s="29"/>
      <c r="P143" t="s">
        <v>88</v>
      </c>
      <c r="Q143" t="s">
        <v>88</v>
      </c>
      <c r="R143" t="s">
        <v>88</v>
      </c>
      <c r="S143" t="s">
        <v>88</v>
      </c>
      <c r="T143" t="s">
        <v>88</v>
      </c>
      <c r="U143" t="s">
        <v>20</v>
      </c>
    </row>
    <row r="144" spans="1:21" x14ac:dyDescent="0.45">
      <c r="A144" s="29">
        <v>107118209</v>
      </c>
      <c r="B144" s="29" t="str">
        <f t="shared" si="8"/>
        <v>10.711.820-9</v>
      </c>
      <c r="C144" s="22" t="s">
        <v>22</v>
      </c>
      <c r="D144" s="29" t="str">
        <f>IF(IFERROR(VLOOKUP(A144,$A$10:$I143,1,0),0)=0,"",VLOOKUP(A144,$A$10:$I143,4,0))</f>
        <v>DEFAUR</v>
      </c>
      <c r="E144" s="29" t="str">
        <f>IF(IFERROR(VLOOKUP(A144,$A$10:$I143,1,0),0)=0,"",VLOOKUP(A144,$A$10:$I143,5,0))</f>
        <v>GUTIERREZ</v>
      </c>
      <c r="F144" s="29" t="str">
        <f>IF(IFERROR(VLOOKUP(A144,$A$10:$I143,1,0),0)=0,"",VLOOKUP(A144,$A$10:$I143,6,0))</f>
        <v>ELIANA</v>
      </c>
      <c r="G144" s="49">
        <v>45527</v>
      </c>
      <c r="H144" s="29"/>
      <c r="I144" s="29" t="s">
        <v>22</v>
      </c>
      <c r="J144" s="29"/>
      <c r="K144" s="24" t="s">
        <v>43</v>
      </c>
      <c r="L144" s="49">
        <v>45527</v>
      </c>
      <c r="M144" s="49">
        <v>45535</v>
      </c>
      <c r="N144" s="29">
        <f t="shared" si="7"/>
        <v>8</v>
      </c>
      <c r="O144" s="29"/>
      <c r="P144" t="s">
        <v>88</v>
      </c>
      <c r="Q144" t="s">
        <v>88</v>
      </c>
      <c r="R144" t="s">
        <v>88</v>
      </c>
      <c r="S144" t="s">
        <v>88</v>
      </c>
      <c r="T144" t="s">
        <v>88</v>
      </c>
      <c r="U144" t="s">
        <v>20</v>
      </c>
    </row>
    <row r="145" spans="1:21" x14ac:dyDescent="0.45">
      <c r="A145" s="29" t="s">
        <v>1341</v>
      </c>
      <c r="B145" s="29" t="str">
        <f t="shared" si="8"/>
        <v>6.395.442-k</v>
      </c>
      <c r="C145" s="22" t="s">
        <v>22</v>
      </c>
      <c r="D145" s="29" t="s">
        <v>723</v>
      </c>
      <c r="E145" s="29" t="s">
        <v>680</v>
      </c>
      <c r="F145" s="29" t="s">
        <v>1342</v>
      </c>
      <c r="G145" s="49">
        <v>45531</v>
      </c>
      <c r="H145" s="49">
        <v>45533</v>
      </c>
      <c r="I145" s="29"/>
      <c r="J145" s="29" t="s">
        <v>26</v>
      </c>
      <c r="K145" s="24" t="s">
        <v>43</v>
      </c>
      <c r="L145" s="49">
        <v>45531</v>
      </c>
      <c r="M145" s="49">
        <v>45533</v>
      </c>
      <c r="N145" s="29">
        <f t="shared" si="7"/>
        <v>2</v>
      </c>
      <c r="O145" s="29"/>
      <c r="P145" t="s">
        <v>88</v>
      </c>
      <c r="Q145" t="s">
        <v>88</v>
      </c>
      <c r="R145" t="s">
        <v>88</v>
      </c>
      <c r="S145" t="s">
        <v>88</v>
      </c>
      <c r="T145" t="s">
        <v>88</v>
      </c>
      <c r="U145" t="s">
        <v>20</v>
      </c>
    </row>
    <row r="146" spans="1:21" x14ac:dyDescent="0.45">
      <c r="A146" s="29">
        <v>159922936</v>
      </c>
      <c r="B146" s="29" t="str">
        <f t="shared" si="8"/>
        <v>15.992.293-6</v>
      </c>
      <c r="C146" s="22" t="str">
        <f>IF(IFERROR(VLOOKUP(A146,$A$10:$I145,1,0),0)=0,"",VLOOKUP(A146,$A$10:$I145,3,0))</f>
        <v/>
      </c>
      <c r="D146" s="29" t="str">
        <f>IF(IFERROR(VLOOKUP(A146,$A$10:$I145,1,0),0)=0,"",VLOOKUP(A146,$A$10:$I145,4,0))</f>
        <v/>
      </c>
      <c r="E146" s="29" t="str">
        <f>IF(IFERROR(VLOOKUP(A146,$A$10:$I145,1,0),0)=0,"",VLOOKUP(A146,$A$10:$I145,5,0))</f>
        <v/>
      </c>
      <c r="F146" s="29" t="str">
        <f>IF(IFERROR(VLOOKUP(A146,$A$10:$I145,1,0),0)=0,"",VLOOKUP(A146,$A$10:$I145,6,0))</f>
        <v/>
      </c>
      <c r="G146" s="49" t="str">
        <f>IF(IFERROR(VLOOKUP(A146,$A$10:$I145,1,0),0)=0,"",VLOOKUP(A146,$A$10:$I145,7,0))</f>
        <v/>
      </c>
      <c r="H146" s="29"/>
      <c r="I146" s="29"/>
      <c r="J146" s="29"/>
      <c r="K146" s="24" t="s">
        <v>43</v>
      </c>
      <c r="L146" s="49">
        <v>45511</v>
      </c>
      <c r="M146" s="49">
        <v>45535</v>
      </c>
      <c r="N146" s="29">
        <f t="shared" si="7"/>
        <v>24</v>
      </c>
      <c r="O146" s="29"/>
      <c r="P146" t="s">
        <v>88</v>
      </c>
      <c r="Q146" t="s">
        <v>88</v>
      </c>
      <c r="R146" t="s">
        <v>88</v>
      </c>
      <c r="S146" t="s">
        <v>88</v>
      </c>
      <c r="T146" t="s">
        <v>88</v>
      </c>
      <c r="U146" t="s">
        <v>20</v>
      </c>
    </row>
    <row r="147" spans="1:21" x14ac:dyDescent="0.45">
      <c r="A147" s="29" t="s">
        <v>1343</v>
      </c>
      <c r="B147" s="29" t="str">
        <f t="shared" si="8"/>
        <v>5.589.942-8</v>
      </c>
      <c r="C147" s="22" t="s">
        <v>46</v>
      </c>
      <c r="D147" s="29" t="s">
        <v>401</v>
      </c>
      <c r="E147" s="29" t="s">
        <v>257</v>
      </c>
      <c r="F147" s="29" t="s">
        <v>250</v>
      </c>
      <c r="G147" s="49">
        <v>45499</v>
      </c>
      <c r="H147" s="49">
        <v>45519</v>
      </c>
      <c r="I147" s="29"/>
      <c r="J147" s="29"/>
      <c r="K147" s="24" t="s">
        <v>47</v>
      </c>
      <c r="L147" s="49">
        <v>45505</v>
      </c>
      <c r="M147" s="49">
        <v>45515</v>
      </c>
      <c r="N147" s="29">
        <f t="shared" si="7"/>
        <v>10</v>
      </c>
      <c r="O147" s="29"/>
      <c r="P147" t="s">
        <v>88</v>
      </c>
      <c r="Q147" t="s">
        <v>88</v>
      </c>
      <c r="R147" t="s">
        <v>88</v>
      </c>
      <c r="S147" t="s">
        <v>88</v>
      </c>
      <c r="T147" t="s">
        <v>88</v>
      </c>
      <c r="U147" t="s">
        <v>20</v>
      </c>
    </row>
    <row r="148" spans="1:21" x14ac:dyDescent="0.45">
      <c r="A148" s="29">
        <v>45788911</v>
      </c>
      <c r="B148" s="29" t="str">
        <f t="shared" si="8"/>
        <v>4.578.891-1</v>
      </c>
      <c r="C148" s="22" t="s">
        <v>46</v>
      </c>
      <c r="D148" s="29" t="s">
        <v>240</v>
      </c>
      <c r="E148" s="29" t="s">
        <v>873</v>
      </c>
      <c r="F148" s="29" t="s">
        <v>629</v>
      </c>
      <c r="G148" s="49">
        <v>45498</v>
      </c>
      <c r="H148" s="49">
        <v>45516</v>
      </c>
      <c r="I148" s="29"/>
      <c r="J148" s="29"/>
      <c r="K148" s="24" t="s">
        <v>47</v>
      </c>
      <c r="L148" s="49">
        <v>45505</v>
      </c>
      <c r="M148" s="49">
        <v>45516</v>
      </c>
      <c r="N148" s="29">
        <f t="shared" si="7"/>
        <v>11</v>
      </c>
      <c r="O148" s="29"/>
      <c r="P148" t="s">
        <v>88</v>
      </c>
      <c r="Q148" t="s">
        <v>88</v>
      </c>
      <c r="R148" t="s">
        <v>88</v>
      </c>
      <c r="S148" t="s">
        <v>88</v>
      </c>
      <c r="T148" t="s">
        <v>88</v>
      </c>
      <c r="U148" t="s">
        <v>20</v>
      </c>
    </row>
    <row r="149" spans="1:21" x14ac:dyDescent="0.45">
      <c r="A149" s="29">
        <v>98575146</v>
      </c>
      <c r="B149" s="29" t="str">
        <f t="shared" si="8"/>
        <v>9.857.514-6</v>
      </c>
      <c r="C149" s="22" t="s">
        <v>46</v>
      </c>
      <c r="D149" s="29" t="s">
        <v>384</v>
      </c>
      <c r="E149" s="29" t="s">
        <v>1344</v>
      </c>
      <c r="F149" s="29" t="s">
        <v>1281</v>
      </c>
      <c r="G149" s="49">
        <v>45504</v>
      </c>
      <c r="H149" s="49">
        <v>45527</v>
      </c>
      <c r="I149" s="29"/>
      <c r="J149" s="29" t="s">
        <v>13</v>
      </c>
      <c r="K149" s="24" t="s">
        <v>18</v>
      </c>
      <c r="L149" s="49">
        <v>45505</v>
      </c>
      <c r="M149" s="49">
        <v>45527</v>
      </c>
      <c r="N149" s="29">
        <f t="shared" si="7"/>
        <v>22</v>
      </c>
      <c r="O149" s="29"/>
      <c r="P149" t="s">
        <v>88</v>
      </c>
      <c r="Q149" t="s">
        <v>88</v>
      </c>
      <c r="R149" t="s">
        <v>88</v>
      </c>
      <c r="S149" t="s">
        <v>88</v>
      </c>
      <c r="T149" t="s">
        <v>88</v>
      </c>
      <c r="U149" t="s">
        <v>20</v>
      </c>
    </row>
    <row r="150" spans="1:21" x14ac:dyDescent="0.45">
      <c r="A150" s="29">
        <v>58272477</v>
      </c>
      <c r="B150" s="29" t="str">
        <f t="shared" si="8"/>
        <v>5.827.247-7</v>
      </c>
      <c r="C150" s="22" t="s">
        <v>46</v>
      </c>
      <c r="D150" s="29" t="s">
        <v>312</v>
      </c>
      <c r="E150" s="29" t="s">
        <v>675</v>
      </c>
      <c r="F150" s="29" t="s">
        <v>638</v>
      </c>
      <c r="G150" s="49">
        <v>45493</v>
      </c>
      <c r="H150" s="49">
        <v>45524</v>
      </c>
      <c r="I150" s="29"/>
      <c r="J150" s="29" t="s">
        <v>19</v>
      </c>
      <c r="K150" s="24" t="s">
        <v>43</v>
      </c>
      <c r="L150" s="49">
        <v>45505</v>
      </c>
      <c r="M150" s="49">
        <v>45521</v>
      </c>
      <c r="N150" s="29">
        <f t="shared" si="7"/>
        <v>16</v>
      </c>
      <c r="O150" s="29"/>
      <c r="P150" t="s">
        <v>88</v>
      </c>
      <c r="Q150" t="s">
        <v>88</v>
      </c>
      <c r="R150" t="s">
        <v>88</v>
      </c>
      <c r="S150" t="s">
        <v>88</v>
      </c>
      <c r="T150" t="s">
        <v>88</v>
      </c>
      <c r="U150" t="s">
        <v>20</v>
      </c>
    </row>
    <row r="151" spans="1:21" x14ac:dyDescent="0.45">
      <c r="A151" s="29">
        <v>58272477</v>
      </c>
      <c r="B151" s="29" t="str">
        <f t="shared" si="8"/>
        <v>5.827.247-7</v>
      </c>
      <c r="C151" s="22" t="str">
        <f>IF(IFERROR(VLOOKUP(A151,$A$10:$I150,1,0),0)=0,"",VLOOKUP(A151,$A$10:$I150,3,0))</f>
        <v>Pensionado</v>
      </c>
      <c r="D151" s="29" t="str">
        <f>IF(IFERROR(VLOOKUP(A151,$A$10:$I150,1,0),0)=0,"",VLOOKUP(A151,$A$10:$I150,4,0))</f>
        <v>BUSTOS</v>
      </c>
      <c r="E151" s="29" t="str">
        <f>IF(IFERROR(VLOOKUP(A151,$A$10:$I150,1,0),0)=0,"",VLOOKUP(A151,$A$10:$I150,5,0))</f>
        <v>SANDOVAL</v>
      </c>
      <c r="F151" s="29" t="str">
        <f>IF(IFERROR(VLOOKUP(A151,$A$10:$I150,1,0),0)=0,"",VLOOKUP(A151,$A$10:$I150,6,0))</f>
        <v>CARLOS</v>
      </c>
      <c r="G151" s="49">
        <f>IF(IFERROR(VLOOKUP(A151,$A$10:$I150,1,0),0)=0,"",VLOOKUP(A151,$A$10:$I150,7,0))</f>
        <v>45493</v>
      </c>
      <c r="H151" s="49">
        <v>45524</v>
      </c>
      <c r="I151" s="29"/>
      <c r="J151" s="29" t="s">
        <v>19</v>
      </c>
      <c r="K151" s="24" t="s">
        <v>43</v>
      </c>
      <c r="L151" s="49">
        <v>45521</v>
      </c>
      <c r="M151" s="49">
        <v>45524</v>
      </c>
      <c r="N151" s="29">
        <f t="shared" si="7"/>
        <v>3</v>
      </c>
      <c r="O151" s="29"/>
      <c r="P151" t="s">
        <v>88</v>
      </c>
      <c r="Q151" t="s">
        <v>88</v>
      </c>
      <c r="R151" t="s">
        <v>88</v>
      </c>
      <c r="S151" t="s">
        <v>88</v>
      </c>
      <c r="T151" t="s">
        <v>88</v>
      </c>
      <c r="U151" t="s">
        <v>20</v>
      </c>
    </row>
    <row r="152" spans="1:21" x14ac:dyDescent="0.45">
      <c r="A152" s="29">
        <v>186837959</v>
      </c>
      <c r="B152" s="29" t="str">
        <f t="shared" si="8"/>
        <v>18.683.795-9</v>
      </c>
      <c r="C152" s="22" t="s">
        <v>46</v>
      </c>
      <c r="D152" s="29" t="s">
        <v>1345</v>
      </c>
      <c r="E152" s="29" t="s">
        <v>461</v>
      </c>
      <c r="F152" s="29" t="s">
        <v>1346</v>
      </c>
      <c r="G152" s="49">
        <v>45515</v>
      </c>
      <c r="H152" s="49">
        <v>45521</v>
      </c>
      <c r="I152" s="29"/>
      <c r="J152" s="29"/>
      <c r="K152" s="24" t="s">
        <v>43</v>
      </c>
      <c r="L152" s="49">
        <v>45515</v>
      </c>
      <c r="M152" s="49">
        <v>45521</v>
      </c>
      <c r="N152" s="29">
        <f t="shared" si="7"/>
        <v>6</v>
      </c>
      <c r="O152" s="29"/>
      <c r="P152" t="s">
        <v>88</v>
      </c>
      <c r="Q152" t="s">
        <v>88</v>
      </c>
      <c r="R152" t="s">
        <v>88</v>
      </c>
      <c r="S152" t="s">
        <v>88</v>
      </c>
      <c r="T152" t="s">
        <v>88</v>
      </c>
      <c r="U152" t="s">
        <v>20</v>
      </c>
    </row>
    <row r="153" spans="1:21" x14ac:dyDescent="0.45">
      <c r="A153" s="29">
        <v>63368083</v>
      </c>
      <c r="B153" s="29" t="str">
        <f t="shared" si="8"/>
        <v>6.336.808-3</v>
      </c>
      <c r="C153" s="22" t="s">
        <v>46</v>
      </c>
      <c r="D153" s="29" t="s">
        <v>860</v>
      </c>
      <c r="E153" s="29" t="s">
        <v>523</v>
      </c>
      <c r="F153" s="29" t="s">
        <v>1120</v>
      </c>
      <c r="G153" s="49">
        <v>45503</v>
      </c>
      <c r="H153" s="49">
        <v>45513</v>
      </c>
      <c r="I153" s="29"/>
      <c r="J153" s="29" t="s">
        <v>24</v>
      </c>
      <c r="K153" s="24" t="s">
        <v>43</v>
      </c>
      <c r="L153" s="49">
        <v>45505</v>
      </c>
      <c r="M153" s="49">
        <v>45513</v>
      </c>
      <c r="N153" s="29">
        <f t="shared" si="7"/>
        <v>8</v>
      </c>
      <c r="O153" s="29"/>
      <c r="P153" t="s">
        <v>88</v>
      </c>
      <c r="Q153" t="s">
        <v>88</v>
      </c>
      <c r="R153" t="s">
        <v>88</v>
      </c>
      <c r="S153" t="s">
        <v>88</v>
      </c>
      <c r="T153" t="s">
        <v>88</v>
      </c>
      <c r="U153" t="s">
        <v>20</v>
      </c>
    </row>
    <row r="154" spans="1:21" x14ac:dyDescent="0.45">
      <c r="A154" s="29" t="s">
        <v>1296</v>
      </c>
      <c r="B154" s="29" t="str">
        <f t="shared" si="8"/>
        <v>9.821.088-1</v>
      </c>
      <c r="C154" s="22" t="s">
        <v>46</v>
      </c>
      <c r="D154" s="29" t="s">
        <v>435</v>
      </c>
      <c r="E154" s="29" t="s">
        <v>345</v>
      </c>
      <c r="F154" s="29" t="s">
        <v>452</v>
      </c>
      <c r="G154" s="49">
        <v>45496</v>
      </c>
      <c r="H154" s="49">
        <v>45515</v>
      </c>
      <c r="I154" s="29"/>
      <c r="J154" s="29"/>
      <c r="K154" s="24" t="s">
        <v>18</v>
      </c>
      <c r="L154" s="49">
        <v>45505</v>
      </c>
      <c r="M154" s="49">
        <v>45515</v>
      </c>
      <c r="N154" s="29">
        <f t="shared" si="7"/>
        <v>10</v>
      </c>
      <c r="O154" s="29"/>
      <c r="P154" t="s">
        <v>88</v>
      </c>
      <c r="Q154" t="s">
        <v>88</v>
      </c>
      <c r="R154" t="s">
        <v>88</v>
      </c>
      <c r="S154" t="s">
        <v>88</v>
      </c>
      <c r="T154" t="s">
        <v>88</v>
      </c>
      <c r="U154" t="s">
        <v>20</v>
      </c>
    </row>
    <row r="155" spans="1:21" x14ac:dyDescent="0.45">
      <c r="A155" s="29">
        <v>59799215</v>
      </c>
      <c r="B155" s="29" t="str">
        <f t="shared" si="8"/>
        <v>5.979.921-5</v>
      </c>
      <c r="C155" s="22" t="s">
        <v>46</v>
      </c>
      <c r="D155" s="29" t="str">
        <f>IF(IFERROR(VLOOKUP(A155,$A$10:$I154,1,0),0)=0,"",VLOOKUP(A155,$A$10:$I154,4,0))</f>
        <v>SALAZAR</v>
      </c>
      <c r="E155" s="29" t="str">
        <f>IF(IFERROR(VLOOKUP(A155,$A$10:$I154,1,0),0)=0,"",VLOOKUP(A155,$A$10:$I154,5,0))</f>
        <v>HERRERA</v>
      </c>
      <c r="F155" s="29" t="str">
        <f>IF(IFERROR(VLOOKUP(A155,$A$10:$I154,1,0),0)=0,"",VLOOKUP(A155,$A$10:$I154,6,0))</f>
        <v>DUNIA</v>
      </c>
      <c r="G155" s="49">
        <v>45527</v>
      </c>
      <c r="H155" s="49">
        <v>45534</v>
      </c>
      <c r="I155" s="29" t="s">
        <v>22</v>
      </c>
      <c r="J155" s="29" t="s">
        <v>13</v>
      </c>
      <c r="K155" s="24" t="s">
        <v>43</v>
      </c>
      <c r="L155" s="49">
        <v>45527</v>
      </c>
      <c r="M155" s="49">
        <v>45534</v>
      </c>
      <c r="N155" s="29">
        <f t="shared" si="7"/>
        <v>7</v>
      </c>
      <c r="O155" s="29"/>
      <c r="P155" t="s">
        <v>88</v>
      </c>
      <c r="Q155" t="s">
        <v>88</v>
      </c>
      <c r="R155" t="s">
        <v>88</v>
      </c>
      <c r="S155" t="s">
        <v>88</v>
      </c>
      <c r="T155" t="s">
        <v>88</v>
      </c>
      <c r="U155" t="s">
        <v>20</v>
      </c>
    </row>
    <row r="156" spans="1:21" x14ac:dyDescent="0.45">
      <c r="A156" s="29" t="s">
        <v>1347</v>
      </c>
      <c r="B156" s="29" t="str">
        <f t="shared" si="8"/>
        <v>7.353.327-9</v>
      </c>
      <c r="C156" s="22" t="s">
        <v>46</v>
      </c>
      <c r="D156" s="29" t="s">
        <v>1348</v>
      </c>
      <c r="E156" s="29" t="s">
        <v>1349</v>
      </c>
      <c r="F156" s="29" t="s">
        <v>348</v>
      </c>
      <c r="G156" s="49">
        <v>45524</v>
      </c>
      <c r="H156" s="49">
        <v>45534</v>
      </c>
      <c r="I156" s="29"/>
      <c r="J156" s="29"/>
      <c r="K156" s="24" t="s">
        <v>47</v>
      </c>
      <c r="L156" s="49">
        <v>45524</v>
      </c>
      <c r="M156" s="49">
        <v>45527</v>
      </c>
      <c r="N156" s="29">
        <f t="shared" si="7"/>
        <v>3</v>
      </c>
      <c r="O156" s="29"/>
      <c r="P156" t="s">
        <v>88</v>
      </c>
      <c r="Q156" t="s">
        <v>88</v>
      </c>
      <c r="R156" t="s">
        <v>88</v>
      </c>
      <c r="S156" t="s">
        <v>88</v>
      </c>
      <c r="T156" t="s">
        <v>88</v>
      </c>
      <c r="U156" t="s">
        <v>20</v>
      </c>
    </row>
    <row r="157" spans="1:21" x14ac:dyDescent="0.45">
      <c r="A157" s="29">
        <v>100823314</v>
      </c>
      <c r="B157" s="29" t="str">
        <f t="shared" si="8"/>
        <v>10.082.331-4</v>
      </c>
      <c r="C157" s="22" t="s">
        <v>46</v>
      </c>
      <c r="D157" s="29" t="s">
        <v>310</v>
      </c>
      <c r="E157" s="29" t="s">
        <v>1265</v>
      </c>
      <c r="F157" s="29" t="s">
        <v>1350</v>
      </c>
      <c r="G157" s="49">
        <v>45530</v>
      </c>
      <c r="H157" s="29"/>
      <c r="I157" s="29"/>
      <c r="J157" s="29"/>
      <c r="K157" s="24" t="s">
        <v>43</v>
      </c>
      <c r="L157" s="49">
        <v>45530</v>
      </c>
      <c r="M157" s="49">
        <v>45535</v>
      </c>
      <c r="N157" s="29">
        <f t="shared" si="7"/>
        <v>5</v>
      </c>
      <c r="O157" s="29"/>
      <c r="P157" t="s">
        <v>88</v>
      </c>
      <c r="Q157" t="s">
        <v>88</v>
      </c>
      <c r="R157" t="s">
        <v>88</v>
      </c>
      <c r="S157" t="s">
        <v>88</v>
      </c>
      <c r="T157" t="s">
        <v>88</v>
      </c>
      <c r="U157" t="s">
        <v>20</v>
      </c>
    </row>
    <row r="158" spans="1:21" x14ac:dyDescent="0.45">
      <c r="A158" s="29">
        <v>123802500</v>
      </c>
      <c r="B158" s="29" t="str">
        <f t="shared" si="8"/>
        <v>12.380.250-0</v>
      </c>
      <c r="C158" s="22" t="s">
        <v>46</v>
      </c>
      <c r="D158" s="29" t="str">
        <f>IF(IFERROR(VLOOKUP(A158,$A$10:$I157,1,0),0)=0,"",VLOOKUP(A158,$A$10:$I157,4,0))</f>
        <v>PEREZ</v>
      </c>
      <c r="E158" s="29" t="str">
        <f>IF(IFERROR(VLOOKUP(A158,$A$10:$I157,1,0),0)=0,"",VLOOKUP(A158,$A$10:$I157,5,0))</f>
        <v>ROMERO</v>
      </c>
      <c r="F158" s="29" t="str">
        <f>IF(IFERROR(VLOOKUP(A158,$A$10:$I157,1,0),0)=0,"",VLOOKUP(A158,$A$10:$I157,6,0))</f>
        <v>ULISES</v>
      </c>
      <c r="G158" s="49">
        <v>45530</v>
      </c>
      <c r="H158" s="29"/>
      <c r="I158" s="29"/>
      <c r="J158" s="29"/>
      <c r="K158" s="24" t="s">
        <v>43</v>
      </c>
      <c r="L158" s="49">
        <v>45530</v>
      </c>
      <c r="M158" s="49">
        <v>45535</v>
      </c>
      <c r="N158" s="29">
        <f t="shared" si="7"/>
        <v>5</v>
      </c>
      <c r="O158" s="29"/>
      <c r="P158" t="s">
        <v>88</v>
      </c>
      <c r="Q158" t="s">
        <v>88</v>
      </c>
      <c r="R158" t="s">
        <v>88</v>
      </c>
      <c r="S158" t="s">
        <v>88</v>
      </c>
      <c r="T158" t="s">
        <v>88</v>
      </c>
      <c r="U158" t="s">
        <v>20</v>
      </c>
    </row>
    <row r="159" spans="1:21" x14ac:dyDescent="0.45">
      <c r="A159" s="29">
        <v>97914087</v>
      </c>
      <c r="B159" s="29" t="str">
        <f t="shared" si="8"/>
        <v>9.791.408-7</v>
      </c>
      <c r="C159" s="22" t="s">
        <v>46</v>
      </c>
      <c r="D159" s="29" t="s">
        <v>558</v>
      </c>
      <c r="E159" s="29" t="s">
        <v>1351</v>
      </c>
      <c r="F159" s="29" t="s">
        <v>368</v>
      </c>
      <c r="G159" s="49">
        <v>45518</v>
      </c>
      <c r="H159" s="49">
        <v>45538</v>
      </c>
      <c r="I159" s="29"/>
      <c r="J159" s="29" t="s">
        <v>19</v>
      </c>
      <c r="K159" s="24" t="s">
        <v>43</v>
      </c>
      <c r="L159" s="49">
        <v>45531</v>
      </c>
      <c r="M159" s="49">
        <v>45535</v>
      </c>
      <c r="N159" s="29">
        <f t="shared" si="7"/>
        <v>4</v>
      </c>
      <c r="O159" s="29"/>
      <c r="P159" t="s">
        <v>88</v>
      </c>
      <c r="Q159" t="s">
        <v>88</v>
      </c>
      <c r="R159" t="s">
        <v>88</v>
      </c>
      <c r="S159" t="s">
        <v>88</v>
      </c>
      <c r="T159" t="s">
        <v>88</v>
      </c>
      <c r="U159" t="s">
        <v>20</v>
      </c>
    </row>
    <row r="160" spans="1:21" x14ac:dyDescent="0.45">
      <c r="A160" s="29" t="s">
        <v>1352</v>
      </c>
      <c r="B160" s="29" t="str">
        <f t="shared" si="8"/>
        <v>6.523.582-k</v>
      </c>
      <c r="C160" s="22" t="s">
        <v>46</v>
      </c>
      <c r="D160" s="29" t="s">
        <v>726</v>
      </c>
      <c r="E160" s="29" t="s">
        <v>422</v>
      </c>
      <c r="F160" s="29" t="s">
        <v>481</v>
      </c>
      <c r="G160" s="49">
        <v>45523</v>
      </c>
      <c r="H160" s="49">
        <v>45530</v>
      </c>
      <c r="I160" s="29"/>
      <c r="J160" s="29"/>
      <c r="K160" s="24" t="s">
        <v>47</v>
      </c>
      <c r="L160" s="49">
        <v>45523</v>
      </c>
      <c r="M160" s="49">
        <v>45529</v>
      </c>
      <c r="N160" s="29">
        <f t="shared" si="7"/>
        <v>6</v>
      </c>
      <c r="O160" s="29"/>
      <c r="P160" t="s">
        <v>88</v>
      </c>
      <c r="Q160" t="s">
        <v>88</v>
      </c>
      <c r="R160" t="s">
        <v>88</v>
      </c>
      <c r="S160" t="s">
        <v>88</v>
      </c>
      <c r="T160" t="s">
        <v>88</v>
      </c>
      <c r="U160" t="s">
        <v>20</v>
      </c>
    </row>
    <row r="161" spans="1:21" x14ac:dyDescent="0.45">
      <c r="A161" s="29">
        <v>56160051</v>
      </c>
      <c r="B161" s="29" t="s">
        <v>1353</v>
      </c>
      <c r="C161" s="22" t="s">
        <v>22</v>
      </c>
      <c r="D161" s="29" t="s">
        <v>481</v>
      </c>
      <c r="E161" s="29" t="s">
        <v>391</v>
      </c>
      <c r="F161" s="29" t="s">
        <v>1169</v>
      </c>
      <c r="G161" s="49">
        <v>45511</v>
      </c>
      <c r="H161" s="29">
        <v>45513</v>
      </c>
      <c r="I161" s="29"/>
      <c r="J161" s="29"/>
      <c r="K161" s="24" t="s">
        <v>43</v>
      </c>
      <c r="L161" s="49">
        <v>45511</v>
      </c>
      <c r="M161" s="49">
        <v>45513</v>
      </c>
      <c r="N161" s="29">
        <v>2</v>
      </c>
      <c r="O161" s="29"/>
      <c r="P161" t="s">
        <v>88</v>
      </c>
      <c r="Q161" t="s">
        <v>88</v>
      </c>
      <c r="R161" t="s">
        <v>88</v>
      </c>
      <c r="S161" t="s">
        <v>88</v>
      </c>
      <c r="T161" t="s">
        <v>88</v>
      </c>
      <c r="U161" t="s">
        <v>20</v>
      </c>
    </row>
    <row r="162" spans="1:21" x14ac:dyDescent="0.45">
      <c r="A162" s="29">
        <v>56160051</v>
      </c>
      <c r="B162" s="29" t="s">
        <v>1353</v>
      </c>
      <c r="C162" s="22" t="s">
        <v>22</v>
      </c>
      <c r="D162" s="29" t="s">
        <v>481</v>
      </c>
      <c r="E162" s="29" t="s">
        <v>391</v>
      </c>
      <c r="F162" s="29" t="s">
        <v>1169</v>
      </c>
      <c r="G162" s="49">
        <v>45511</v>
      </c>
      <c r="H162" s="29">
        <v>45513</v>
      </c>
      <c r="I162" s="29"/>
      <c r="J162" s="29"/>
      <c r="K162" s="24" t="s">
        <v>47</v>
      </c>
      <c r="L162" s="49">
        <v>45511</v>
      </c>
      <c r="M162" s="49">
        <v>45513</v>
      </c>
      <c r="N162" s="29">
        <v>2</v>
      </c>
      <c r="O162" s="29"/>
      <c r="P162" t="s">
        <v>88</v>
      </c>
      <c r="Q162" t="s">
        <v>88</v>
      </c>
      <c r="R162" t="s">
        <v>88</v>
      </c>
      <c r="S162" t="s">
        <v>88</v>
      </c>
      <c r="T162" t="s">
        <v>88</v>
      </c>
      <c r="U162" t="s">
        <v>20</v>
      </c>
    </row>
    <row r="163" spans="1:21" x14ac:dyDescent="0.45">
      <c r="A163" s="29">
        <v>123802500</v>
      </c>
      <c r="B163" s="29" t="s">
        <v>1318</v>
      </c>
      <c r="C163" s="22" t="s">
        <v>22</v>
      </c>
      <c r="D163" s="29" t="s">
        <v>301</v>
      </c>
      <c r="E163" s="29" t="s">
        <v>482</v>
      </c>
      <c r="F163" s="29" t="s">
        <v>448</v>
      </c>
      <c r="G163" s="49">
        <v>45507</v>
      </c>
      <c r="H163" s="29">
        <v>45514</v>
      </c>
      <c r="I163" s="29"/>
      <c r="J163" s="29" t="s">
        <v>22</v>
      </c>
      <c r="K163" s="24" t="s">
        <v>43</v>
      </c>
      <c r="L163" s="49">
        <v>45507</v>
      </c>
      <c r="M163" s="49">
        <v>45514</v>
      </c>
      <c r="N163" s="29">
        <v>7</v>
      </c>
      <c r="O163" s="29"/>
      <c r="P163" t="s">
        <v>88</v>
      </c>
      <c r="Q163" t="s">
        <v>88</v>
      </c>
      <c r="R163" t="s">
        <v>88</v>
      </c>
      <c r="S163" t="s">
        <v>88</v>
      </c>
      <c r="T163" t="s">
        <v>88</v>
      </c>
      <c r="U163" t="s">
        <v>20</v>
      </c>
    </row>
    <row r="164" spans="1:21" x14ac:dyDescent="0.45">
      <c r="A164" s="29">
        <v>123802500</v>
      </c>
      <c r="B164" s="29" t="s">
        <v>1318</v>
      </c>
      <c r="C164" s="22" t="s">
        <v>22</v>
      </c>
      <c r="D164" s="29" t="s">
        <v>301</v>
      </c>
      <c r="E164" s="29" t="s">
        <v>482</v>
      </c>
      <c r="F164" s="29" t="s">
        <v>448</v>
      </c>
      <c r="G164" s="49">
        <v>45507</v>
      </c>
      <c r="H164" s="29">
        <v>45514</v>
      </c>
      <c r="I164" s="29"/>
      <c r="J164" s="29" t="s">
        <v>22</v>
      </c>
      <c r="K164" s="24" t="s">
        <v>47</v>
      </c>
      <c r="L164" s="49">
        <v>45507</v>
      </c>
      <c r="M164" s="49">
        <v>45514</v>
      </c>
      <c r="N164" s="29">
        <v>7</v>
      </c>
      <c r="O164" s="29"/>
      <c r="P164" t="s">
        <v>88</v>
      </c>
      <c r="Q164" t="s">
        <v>88</v>
      </c>
      <c r="R164" t="s">
        <v>88</v>
      </c>
      <c r="S164" t="s">
        <v>88</v>
      </c>
      <c r="T164" t="s">
        <v>88</v>
      </c>
      <c r="U164" t="s">
        <v>20</v>
      </c>
    </row>
    <row r="165" spans="1:21" x14ac:dyDescent="0.45">
      <c r="A165" s="29">
        <v>183887076</v>
      </c>
      <c r="B165" s="29" t="s">
        <v>1319</v>
      </c>
      <c r="C165" s="22" t="s">
        <v>22</v>
      </c>
      <c r="D165" s="29" t="s">
        <v>487</v>
      </c>
      <c r="E165" s="29" t="s">
        <v>736</v>
      </c>
      <c r="F165" s="29" t="s">
        <v>422</v>
      </c>
      <c r="G165" s="49">
        <v>45506</v>
      </c>
      <c r="H165" s="29">
        <v>45520</v>
      </c>
      <c r="I165" s="29"/>
      <c r="J165" s="29"/>
      <c r="K165" s="24" t="s">
        <v>43</v>
      </c>
      <c r="L165" s="49">
        <v>45506</v>
      </c>
      <c r="M165" s="49">
        <v>45516</v>
      </c>
      <c r="N165" s="29">
        <v>10</v>
      </c>
      <c r="O165" s="29"/>
      <c r="P165" t="s">
        <v>88</v>
      </c>
      <c r="Q165" t="s">
        <v>88</v>
      </c>
      <c r="R165" t="s">
        <v>88</v>
      </c>
      <c r="S165" t="s">
        <v>88</v>
      </c>
      <c r="T165" t="s">
        <v>88</v>
      </c>
      <c r="U165" t="s">
        <v>20</v>
      </c>
    </row>
    <row r="166" spans="1:21" x14ac:dyDescent="0.45">
      <c r="A166" s="29">
        <v>183887076</v>
      </c>
      <c r="B166" s="29" t="s">
        <v>1319</v>
      </c>
      <c r="C166" s="22" t="s">
        <v>22</v>
      </c>
      <c r="D166" s="29" t="s">
        <v>487</v>
      </c>
      <c r="E166" s="29" t="s">
        <v>736</v>
      </c>
      <c r="F166" s="29" t="s">
        <v>422</v>
      </c>
      <c r="G166" s="49">
        <v>45506</v>
      </c>
      <c r="H166" s="29">
        <v>45516</v>
      </c>
      <c r="I166" s="29"/>
      <c r="J166" s="29" t="s">
        <v>34</v>
      </c>
      <c r="K166" s="24" t="s">
        <v>47</v>
      </c>
      <c r="L166" s="49">
        <v>45506</v>
      </c>
      <c r="M166" s="49">
        <v>45513</v>
      </c>
      <c r="N166" s="29">
        <v>7</v>
      </c>
      <c r="O166" s="29"/>
      <c r="P166" t="s">
        <v>88</v>
      </c>
      <c r="Q166" t="s">
        <v>88</v>
      </c>
      <c r="R166" t="s">
        <v>88</v>
      </c>
      <c r="S166" t="s">
        <v>88</v>
      </c>
      <c r="T166" t="s">
        <v>88</v>
      </c>
      <c r="U166" t="s">
        <v>20</v>
      </c>
    </row>
    <row r="167" spans="1:21" x14ac:dyDescent="0.45">
      <c r="A167" s="29">
        <v>92479897</v>
      </c>
      <c r="B167" s="29" t="s">
        <v>1320</v>
      </c>
      <c r="C167" s="22" t="s">
        <v>22</v>
      </c>
      <c r="D167" s="29" t="s">
        <v>638</v>
      </c>
      <c r="E167" s="29" t="s">
        <v>422</v>
      </c>
      <c r="F167" s="29" t="s">
        <v>1143</v>
      </c>
      <c r="G167" s="49">
        <v>45509</v>
      </c>
      <c r="H167" s="29">
        <v>45525</v>
      </c>
      <c r="I167" s="29" t="s">
        <v>22</v>
      </c>
      <c r="J167" s="29" t="s">
        <v>56</v>
      </c>
      <c r="K167" s="24" t="s">
        <v>18</v>
      </c>
      <c r="L167" s="49">
        <v>45509</v>
      </c>
      <c r="M167" s="49">
        <v>45525</v>
      </c>
      <c r="N167" s="29">
        <v>16</v>
      </c>
      <c r="O167" s="29"/>
      <c r="P167" t="s">
        <v>88</v>
      </c>
      <c r="Q167" t="s">
        <v>88</v>
      </c>
      <c r="R167" t="s">
        <v>88</v>
      </c>
      <c r="S167" t="s">
        <v>88</v>
      </c>
      <c r="T167" t="s">
        <v>88</v>
      </c>
      <c r="U167" t="s">
        <v>20</v>
      </c>
    </row>
    <row r="168" spans="1:21" x14ac:dyDescent="0.45">
      <c r="A168" s="29">
        <v>92479897</v>
      </c>
      <c r="B168" s="29" t="s">
        <v>1320</v>
      </c>
      <c r="C168" s="22" t="s">
        <v>22</v>
      </c>
      <c r="D168" s="29" t="s">
        <v>638</v>
      </c>
      <c r="E168" s="29" t="s">
        <v>422</v>
      </c>
      <c r="F168" s="29" t="s">
        <v>1143</v>
      </c>
      <c r="G168" s="49">
        <v>45509</v>
      </c>
      <c r="H168" s="29">
        <v>45525</v>
      </c>
      <c r="I168" s="29" t="s">
        <v>22</v>
      </c>
      <c r="J168" s="29" t="s">
        <v>56</v>
      </c>
      <c r="K168" s="24" t="s">
        <v>47</v>
      </c>
      <c r="L168" s="49">
        <v>45509</v>
      </c>
      <c r="M168" s="49">
        <v>45510</v>
      </c>
      <c r="N168" s="29">
        <v>1</v>
      </c>
      <c r="O168" s="29"/>
      <c r="P168" t="s">
        <v>88</v>
      </c>
      <c r="Q168" t="s">
        <v>88</v>
      </c>
      <c r="R168" t="s">
        <v>88</v>
      </c>
      <c r="S168" t="s">
        <v>88</v>
      </c>
      <c r="T168" t="s">
        <v>88</v>
      </c>
      <c r="U168" t="s">
        <v>20</v>
      </c>
    </row>
    <row r="169" spans="1:21" x14ac:dyDescent="0.45">
      <c r="A169" s="29">
        <v>86037777</v>
      </c>
      <c r="B169" s="29" t="s">
        <v>1321</v>
      </c>
      <c r="C169" s="22" t="s">
        <v>22</v>
      </c>
      <c r="D169" s="29" t="s">
        <v>362</v>
      </c>
      <c r="E169" s="29" t="s">
        <v>954</v>
      </c>
      <c r="F169" s="29" t="s">
        <v>655</v>
      </c>
      <c r="G169" s="49">
        <v>45505</v>
      </c>
      <c r="H169" s="29">
        <v>45518</v>
      </c>
      <c r="I169" s="29" t="s">
        <v>22</v>
      </c>
      <c r="J169" s="29" t="s">
        <v>24</v>
      </c>
      <c r="K169" s="24" t="s">
        <v>43</v>
      </c>
      <c r="L169" s="49">
        <v>45505</v>
      </c>
      <c r="M169" s="49">
        <v>45518</v>
      </c>
      <c r="N169" s="29">
        <v>13</v>
      </c>
      <c r="O169" s="29"/>
      <c r="P169" t="s">
        <v>88</v>
      </c>
      <c r="Q169" t="s">
        <v>88</v>
      </c>
      <c r="R169" t="s">
        <v>88</v>
      </c>
      <c r="S169" t="s">
        <v>88</v>
      </c>
      <c r="T169" t="s">
        <v>88</v>
      </c>
      <c r="U169" t="s">
        <v>20</v>
      </c>
    </row>
    <row r="170" spans="1:21" x14ac:dyDescent="0.45">
      <c r="A170" s="29">
        <v>143740374</v>
      </c>
      <c r="B170" s="29" t="s">
        <v>1322</v>
      </c>
      <c r="C170" s="22" t="s">
        <v>22</v>
      </c>
      <c r="D170" s="29" t="s">
        <v>1323</v>
      </c>
      <c r="E170" s="29" t="s">
        <v>536</v>
      </c>
      <c r="F170" s="29" t="s">
        <v>1087</v>
      </c>
      <c r="G170" s="49">
        <v>45506</v>
      </c>
      <c r="H170" s="29">
        <v>45532</v>
      </c>
      <c r="I170" s="29"/>
      <c r="J170" s="29"/>
      <c r="K170" s="24" t="s">
        <v>43</v>
      </c>
      <c r="L170" s="49">
        <v>45506</v>
      </c>
      <c r="M170" s="49">
        <v>45513</v>
      </c>
      <c r="N170" s="29">
        <v>7</v>
      </c>
      <c r="O170" s="29"/>
      <c r="P170" t="s">
        <v>88</v>
      </c>
      <c r="Q170" t="s">
        <v>88</v>
      </c>
      <c r="R170" t="s">
        <v>88</v>
      </c>
      <c r="S170" t="s">
        <v>88</v>
      </c>
      <c r="T170" t="s">
        <v>88</v>
      </c>
      <c r="U170" t="s">
        <v>20</v>
      </c>
    </row>
    <row r="171" spans="1:21" x14ac:dyDescent="0.45">
      <c r="A171" s="29">
        <v>143740374</v>
      </c>
      <c r="B171" s="29" t="s">
        <v>1322</v>
      </c>
      <c r="C171" s="22" t="s">
        <v>22</v>
      </c>
      <c r="D171" s="29" t="s">
        <v>1323</v>
      </c>
      <c r="E171" s="29" t="s">
        <v>536</v>
      </c>
      <c r="F171" s="29" t="s">
        <v>1087</v>
      </c>
      <c r="G171" s="49">
        <v>45506</v>
      </c>
      <c r="H171" s="29">
        <v>45532</v>
      </c>
      <c r="I171" s="29"/>
      <c r="J171" s="29"/>
      <c r="K171" s="24" t="s">
        <v>47</v>
      </c>
      <c r="L171" s="49">
        <v>45506</v>
      </c>
      <c r="M171" s="49">
        <v>45528</v>
      </c>
      <c r="N171" s="29">
        <v>22</v>
      </c>
      <c r="O171" s="29"/>
      <c r="P171" t="s">
        <v>88</v>
      </c>
      <c r="Q171" t="s">
        <v>88</v>
      </c>
      <c r="R171" t="s">
        <v>88</v>
      </c>
      <c r="S171" t="s">
        <v>88</v>
      </c>
      <c r="T171" t="s">
        <v>88</v>
      </c>
      <c r="U171" t="s">
        <v>20</v>
      </c>
    </row>
    <row r="172" spans="1:21" x14ac:dyDescent="0.45">
      <c r="A172" s="29">
        <v>143740374</v>
      </c>
      <c r="B172" s="29" t="s">
        <v>1322</v>
      </c>
      <c r="C172" s="22" t="s">
        <v>22</v>
      </c>
      <c r="D172" s="29" t="s">
        <v>1323</v>
      </c>
      <c r="E172" s="29" t="s">
        <v>536</v>
      </c>
      <c r="F172" s="29" t="s">
        <v>1087</v>
      </c>
      <c r="G172" s="49">
        <v>45506</v>
      </c>
      <c r="H172" s="29">
        <v>45532</v>
      </c>
      <c r="I172" s="29"/>
      <c r="J172" s="29"/>
      <c r="K172" s="24" t="s">
        <v>18</v>
      </c>
      <c r="L172" s="49">
        <v>45513</v>
      </c>
      <c r="M172" s="49">
        <v>45532</v>
      </c>
      <c r="N172" s="29">
        <v>19</v>
      </c>
      <c r="O172" s="29"/>
      <c r="P172" t="s">
        <v>88</v>
      </c>
      <c r="Q172" t="s">
        <v>88</v>
      </c>
      <c r="R172" t="s">
        <v>88</v>
      </c>
      <c r="S172" t="s">
        <v>88</v>
      </c>
      <c r="T172" t="s">
        <v>88</v>
      </c>
      <c r="U172" t="s">
        <v>20</v>
      </c>
    </row>
    <row r="173" spans="1:21" x14ac:dyDescent="0.45">
      <c r="A173" s="29">
        <v>117938042</v>
      </c>
      <c r="B173" s="29" t="str">
        <f t="shared" ref="B173:B204" si="9">IF(LEN(A173)=8,MID(A173,1,1)&amp;"."&amp;MID(A173,2,3)&amp;"."&amp;MID(A173,5,3)&amp;"-"&amp;RIGHT(A173,1),IF(LEFT(RIGHT(A173,2),1)="-",MID(A173,1,1)&amp;"."&amp;MID(A173,2,3)&amp;"."&amp;MID(A173,5,3)&amp;"-"&amp;RIGHT(A173,1),MID(A173,1,2)&amp;"."&amp;MID(A173,3,3)&amp;"."&amp;MID(A173,6,3)&amp;"-"&amp;MID(A173,9,1)))</f>
        <v>11.793.804-2</v>
      </c>
      <c r="C173" s="22" t="s">
        <v>46</v>
      </c>
      <c r="D173" s="29" t="s">
        <v>447</v>
      </c>
      <c r="E173" s="29" t="s">
        <v>379</v>
      </c>
      <c r="F173" s="29" t="s">
        <v>846</v>
      </c>
      <c r="G173" s="49">
        <v>45526</v>
      </c>
      <c r="H173" s="49">
        <v>45530</v>
      </c>
      <c r="I173" s="29"/>
      <c r="J173" s="29"/>
      <c r="K173" s="24" t="s">
        <v>47</v>
      </c>
      <c r="L173" s="49">
        <v>45526</v>
      </c>
      <c r="M173" s="49">
        <v>45530</v>
      </c>
      <c r="N173" s="29">
        <f t="shared" ref="N173:N204" si="10">+M173-L173</f>
        <v>4</v>
      </c>
      <c r="O173" s="29"/>
      <c r="P173" t="s">
        <v>88</v>
      </c>
      <c r="Q173" t="s">
        <v>88</v>
      </c>
      <c r="R173" t="s">
        <v>88</v>
      </c>
      <c r="S173" t="s">
        <v>88</v>
      </c>
      <c r="T173" t="s">
        <v>88</v>
      </c>
      <c r="U173" t="s">
        <v>20</v>
      </c>
    </row>
    <row r="174" spans="1:21" x14ac:dyDescent="0.45">
      <c r="A174" s="29">
        <v>123512103</v>
      </c>
      <c r="B174" s="29" t="str">
        <f t="shared" si="9"/>
        <v>12.351.210-3</v>
      </c>
      <c r="C174" s="22" t="s">
        <v>46</v>
      </c>
      <c r="D174" s="29" t="s">
        <v>1354</v>
      </c>
      <c r="E174" s="29" t="s">
        <v>1262</v>
      </c>
      <c r="F174" s="29" t="s">
        <v>1355</v>
      </c>
      <c r="G174" s="49">
        <v>45524</v>
      </c>
      <c r="H174" s="49">
        <v>45529</v>
      </c>
      <c r="I174" s="29"/>
      <c r="J174" s="29"/>
      <c r="K174" s="24" t="s">
        <v>43</v>
      </c>
      <c r="L174" s="49">
        <v>45526</v>
      </c>
      <c r="M174" s="49">
        <v>45529</v>
      </c>
      <c r="N174" s="29">
        <f t="shared" si="10"/>
        <v>3</v>
      </c>
      <c r="O174" s="29"/>
      <c r="P174" t="s">
        <v>88</v>
      </c>
      <c r="Q174" t="s">
        <v>88</v>
      </c>
      <c r="R174" t="s">
        <v>88</v>
      </c>
      <c r="S174" t="s">
        <v>88</v>
      </c>
      <c r="T174" t="s">
        <v>88</v>
      </c>
      <c r="U174" t="s">
        <v>20</v>
      </c>
    </row>
    <row r="175" spans="1:21" x14ac:dyDescent="0.45">
      <c r="A175" s="29" t="s">
        <v>1356</v>
      </c>
      <c r="B175" s="29" t="str">
        <f t="shared" si="9"/>
        <v>9.428.115-6</v>
      </c>
      <c r="C175" s="22" t="s">
        <v>30</v>
      </c>
      <c r="D175" s="29" t="s">
        <v>964</v>
      </c>
      <c r="E175" s="29" t="s">
        <v>374</v>
      </c>
      <c r="F175" s="29" t="s">
        <v>1357</v>
      </c>
      <c r="G175" s="49">
        <v>45506</v>
      </c>
      <c r="H175" s="49">
        <v>45518</v>
      </c>
      <c r="I175" s="29"/>
      <c r="J175" s="29" t="s">
        <v>22</v>
      </c>
      <c r="K175" s="24" t="s">
        <v>43</v>
      </c>
      <c r="L175" s="49">
        <v>45506</v>
      </c>
      <c r="M175" s="49">
        <v>45518</v>
      </c>
      <c r="N175" s="29">
        <f t="shared" si="10"/>
        <v>12</v>
      </c>
      <c r="O175" s="29"/>
      <c r="P175" t="s">
        <v>88</v>
      </c>
      <c r="Q175" t="s">
        <v>88</v>
      </c>
      <c r="R175" t="s">
        <v>88</v>
      </c>
      <c r="S175" t="s">
        <v>88</v>
      </c>
      <c r="T175" t="s">
        <v>88</v>
      </c>
      <c r="U175" t="s">
        <v>20</v>
      </c>
    </row>
    <row r="176" spans="1:21" x14ac:dyDescent="0.45">
      <c r="A176" s="29" t="s">
        <v>1356</v>
      </c>
      <c r="B176" s="29" t="str">
        <f t="shared" si="9"/>
        <v>9.428.115-6</v>
      </c>
      <c r="C176" s="22" t="str">
        <f>IF(IFERROR(VLOOKUP(A176,$A$10:$I175,1,0),0)=0,"",VLOOKUP(A176,$A$10:$I175,3,0))</f>
        <v>UCO</v>
      </c>
      <c r="D176" s="29" t="str">
        <f>IF(IFERROR(VLOOKUP(A176,$A$10:$I175,1,0),0)=0,"",VLOOKUP(A176,$A$10:$I175,4,0))</f>
        <v>GATICA</v>
      </c>
      <c r="E176" s="29" t="str">
        <f>IF(IFERROR(VLOOKUP(A176,$A$10:$I175,1,0),0)=0,"",VLOOKUP(A176,$A$10:$I175,5,0))</f>
        <v>MONSALVE</v>
      </c>
      <c r="F176" s="29" t="str">
        <f>IF(IFERROR(VLOOKUP(A176,$A$10:$I175,1,0),0)=0,"",VLOOKUP(A176,$A$10:$I175,6,0))</f>
        <v>MARCIA</v>
      </c>
      <c r="G176" s="49">
        <f>IF(IFERROR(VLOOKUP(A176,$A$10:$I175,1,0),0)=0,"",VLOOKUP(A176,$A$10:$I175,7,0))</f>
        <v>45506</v>
      </c>
      <c r="H176" s="49">
        <v>45518</v>
      </c>
      <c r="I176" s="29"/>
      <c r="J176" s="29" t="s">
        <v>22</v>
      </c>
      <c r="K176" s="24" t="s">
        <v>47</v>
      </c>
      <c r="L176" s="49">
        <v>45506</v>
      </c>
      <c r="M176" s="49">
        <v>45518</v>
      </c>
      <c r="N176" s="29">
        <f t="shared" si="10"/>
        <v>12</v>
      </c>
      <c r="O176" s="29"/>
      <c r="P176" t="s">
        <v>88</v>
      </c>
      <c r="Q176" t="s">
        <v>88</v>
      </c>
      <c r="R176" t="s">
        <v>88</v>
      </c>
      <c r="S176" t="s">
        <v>88</v>
      </c>
      <c r="T176" t="s">
        <v>88</v>
      </c>
      <c r="U176" t="s">
        <v>20</v>
      </c>
    </row>
    <row r="177" spans="1:21" x14ac:dyDescent="0.45">
      <c r="A177" s="29" t="s">
        <v>1356</v>
      </c>
      <c r="B177" s="29" t="str">
        <f t="shared" si="9"/>
        <v>9.428.115-6</v>
      </c>
      <c r="C177" s="22" t="str">
        <f>IF(IFERROR(VLOOKUP(A177,$A$10:$I176,1,0),0)=0,"",VLOOKUP(A177,$A$10:$I176,3,0))</f>
        <v>UCO</v>
      </c>
      <c r="D177" s="29" t="str">
        <f>IF(IFERROR(VLOOKUP(A177,$A$10:$I176,1,0),0)=0,"",VLOOKUP(A177,$A$10:$I176,4,0))</f>
        <v>GATICA</v>
      </c>
      <c r="E177" s="29" t="str">
        <f>IF(IFERROR(VLOOKUP(A177,$A$10:$I176,1,0),0)=0,"",VLOOKUP(A177,$A$10:$I176,5,0))</f>
        <v>MONSALVE</v>
      </c>
      <c r="F177" s="29" t="str">
        <f>IF(IFERROR(VLOOKUP(A177,$A$10:$I176,1,0),0)=0,"",VLOOKUP(A177,$A$10:$I176,6,0))</f>
        <v>MARCIA</v>
      </c>
      <c r="G177" s="49">
        <f>IF(IFERROR(VLOOKUP(A177,$A$10:$I176,1,0),0)=0,"",VLOOKUP(A177,$A$10:$I176,7,0))</f>
        <v>45506</v>
      </c>
      <c r="H177" s="49">
        <v>45518</v>
      </c>
      <c r="I177" s="29"/>
      <c r="J177" s="29" t="s">
        <v>22</v>
      </c>
      <c r="K177" s="24" t="s">
        <v>55</v>
      </c>
      <c r="L177" s="49">
        <v>45506</v>
      </c>
      <c r="M177" s="49">
        <v>45518</v>
      </c>
      <c r="N177" s="29">
        <f t="shared" si="10"/>
        <v>12</v>
      </c>
      <c r="O177" s="29"/>
      <c r="P177" t="s">
        <v>88</v>
      </c>
      <c r="Q177" t="s">
        <v>88</v>
      </c>
      <c r="R177" t="s">
        <v>88</v>
      </c>
      <c r="S177" t="s">
        <v>88</v>
      </c>
      <c r="T177" t="s">
        <v>88</v>
      </c>
      <c r="U177" t="s">
        <v>20</v>
      </c>
    </row>
    <row r="178" spans="1:21" x14ac:dyDescent="0.45">
      <c r="A178" s="29">
        <v>55853959</v>
      </c>
      <c r="B178" s="29" t="str">
        <f t="shared" si="9"/>
        <v>5.585.395-9</v>
      </c>
      <c r="C178" s="22" t="s">
        <v>30</v>
      </c>
      <c r="D178" s="29" t="s">
        <v>860</v>
      </c>
      <c r="E178" s="29" t="s">
        <v>1358</v>
      </c>
      <c r="F178" s="29" t="s">
        <v>481</v>
      </c>
      <c r="G178" s="49">
        <v>45516</v>
      </c>
      <c r="H178" s="49">
        <v>45519</v>
      </c>
      <c r="I178" s="29"/>
      <c r="J178" s="29"/>
      <c r="K178" s="24" t="s">
        <v>43</v>
      </c>
      <c r="L178" s="49">
        <v>45516</v>
      </c>
      <c r="M178" s="49">
        <v>45519</v>
      </c>
      <c r="N178" s="29">
        <f t="shared" si="10"/>
        <v>3</v>
      </c>
      <c r="O178" s="29"/>
      <c r="P178" t="s">
        <v>88</v>
      </c>
      <c r="Q178" t="s">
        <v>88</v>
      </c>
      <c r="R178" t="s">
        <v>88</v>
      </c>
      <c r="S178" t="s">
        <v>88</v>
      </c>
      <c r="T178" t="s">
        <v>88</v>
      </c>
      <c r="U178" t="s">
        <v>20</v>
      </c>
    </row>
    <row r="179" spans="1:21" x14ac:dyDescent="0.45">
      <c r="A179" s="29">
        <v>55853959</v>
      </c>
      <c r="B179" s="29" t="str">
        <f t="shared" si="9"/>
        <v>5.585.395-9</v>
      </c>
      <c r="C179" s="22" t="str">
        <f>IF(IFERROR(VLOOKUP(A179,$A$10:$I178,1,0),0)=0,"",VLOOKUP(A179,$A$10:$I178,3,0))</f>
        <v>UCO</v>
      </c>
      <c r="D179" s="29" t="str">
        <f>IF(IFERROR(VLOOKUP(A179,$A$10:$I178,1,0),0)=0,"",VLOOKUP(A179,$A$10:$I178,4,0))</f>
        <v>CISTERNAS</v>
      </c>
      <c r="E179" s="29" t="str">
        <f>IF(IFERROR(VLOOKUP(A179,$A$10:$I178,1,0),0)=0,"",VLOOKUP(A179,$A$10:$I178,5,0))</f>
        <v>BASTIDAS</v>
      </c>
      <c r="F179" s="29" t="str">
        <f>IF(IFERROR(VLOOKUP(A179,$A$10:$I178,1,0),0)=0,"",VLOOKUP(A179,$A$10:$I178,6,0))</f>
        <v>JUAN</v>
      </c>
      <c r="G179" s="49">
        <v>45516</v>
      </c>
      <c r="H179" s="49">
        <v>45519</v>
      </c>
      <c r="I179" s="29"/>
      <c r="J179" s="29"/>
      <c r="K179" s="24" t="s">
        <v>47</v>
      </c>
      <c r="L179" s="49">
        <v>45516</v>
      </c>
      <c r="M179" s="49">
        <v>45519</v>
      </c>
      <c r="N179" s="29">
        <f t="shared" si="10"/>
        <v>3</v>
      </c>
      <c r="O179" s="29"/>
      <c r="P179" t="s">
        <v>88</v>
      </c>
      <c r="Q179" t="s">
        <v>88</v>
      </c>
      <c r="R179" t="s">
        <v>88</v>
      </c>
      <c r="S179" t="s">
        <v>88</v>
      </c>
      <c r="T179" t="s">
        <v>88</v>
      </c>
      <c r="U179" t="s">
        <v>20</v>
      </c>
    </row>
    <row r="180" spans="1:21" x14ac:dyDescent="0.45">
      <c r="A180" s="29">
        <v>120813293</v>
      </c>
      <c r="B180" s="29" t="str">
        <f t="shared" si="9"/>
        <v>12.081.329-3</v>
      </c>
      <c r="C180" s="22" t="s">
        <v>30</v>
      </c>
      <c r="D180" s="29" t="s">
        <v>860</v>
      </c>
      <c r="E180" s="29" t="s">
        <v>483</v>
      </c>
      <c r="F180" s="29" t="s">
        <v>638</v>
      </c>
      <c r="G180" s="49">
        <v>45514</v>
      </c>
      <c r="H180" s="49">
        <v>45517</v>
      </c>
      <c r="I180" s="29"/>
      <c r="J180" s="29" t="s">
        <v>24</v>
      </c>
      <c r="K180" s="24" t="s">
        <v>43</v>
      </c>
      <c r="L180" s="49">
        <v>45514</v>
      </c>
      <c r="M180" s="49">
        <v>45517</v>
      </c>
      <c r="N180" s="29">
        <f t="shared" si="10"/>
        <v>3</v>
      </c>
      <c r="O180" s="29"/>
      <c r="P180" t="s">
        <v>88</v>
      </c>
      <c r="Q180" t="s">
        <v>88</v>
      </c>
      <c r="R180" t="s">
        <v>88</v>
      </c>
      <c r="S180" t="s">
        <v>88</v>
      </c>
      <c r="T180" t="s">
        <v>88</v>
      </c>
      <c r="U180" t="s">
        <v>20</v>
      </c>
    </row>
    <row r="181" spans="1:21" x14ac:dyDescent="0.45">
      <c r="A181" s="29">
        <v>120986988</v>
      </c>
      <c r="B181" s="29" t="str">
        <f t="shared" si="9"/>
        <v>12.098.698-8</v>
      </c>
      <c r="C181" s="22" t="s">
        <v>30</v>
      </c>
      <c r="D181" s="29" t="s">
        <v>282</v>
      </c>
      <c r="E181" s="29" t="s">
        <v>479</v>
      </c>
      <c r="F181" s="29" t="s">
        <v>362</v>
      </c>
      <c r="G181" s="49">
        <v>45515</v>
      </c>
      <c r="H181" s="49">
        <v>45528</v>
      </c>
      <c r="I181" s="29"/>
      <c r="J181" s="29" t="s">
        <v>19</v>
      </c>
      <c r="K181" s="24" t="s">
        <v>43</v>
      </c>
      <c r="L181" s="49">
        <v>45515</v>
      </c>
      <c r="M181" s="49">
        <v>45528</v>
      </c>
      <c r="N181" s="29">
        <f t="shared" si="10"/>
        <v>13</v>
      </c>
      <c r="O181" s="29"/>
      <c r="P181" t="s">
        <v>88</v>
      </c>
      <c r="Q181" t="s">
        <v>88</v>
      </c>
      <c r="R181" t="s">
        <v>88</v>
      </c>
      <c r="S181" t="s">
        <v>88</v>
      </c>
      <c r="T181" t="s">
        <v>88</v>
      </c>
      <c r="U181" t="s">
        <v>20</v>
      </c>
    </row>
    <row r="182" spans="1:21" x14ac:dyDescent="0.45">
      <c r="A182" s="29">
        <v>120986988</v>
      </c>
      <c r="B182" s="29" t="str">
        <f t="shared" si="9"/>
        <v>12.098.698-8</v>
      </c>
      <c r="C182" s="22" t="str">
        <f>IF(IFERROR(VLOOKUP(A182,$A$10:$I181,1,0),0)=0,"",VLOOKUP(A182,$A$10:$I181,3,0))</f>
        <v>UCO</v>
      </c>
      <c r="D182" s="29" t="str">
        <f>IF(IFERROR(VLOOKUP(A182,$A$10:$I181,1,0),0)=0,"",VLOOKUP(A182,$A$10:$I181,4,0))</f>
        <v>CARRASCO</v>
      </c>
      <c r="E182" s="29" t="str">
        <f>IF(IFERROR(VLOOKUP(A182,$A$10:$I181,1,0),0)=0,"",VLOOKUP(A182,$A$10:$I181,5,0))</f>
        <v>BUSTAMANTE</v>
      </c>
      <c r="F182" s="29" t="str">
        <f>IF(IFERROR(VLOOKUP(A182,$A$10:$I181,1,0),0)=0,"",VLOOKUP(A182,$A$10:$I181,6,0))</f>
        <v>JORGE</v>
      </c>
      <c r="G182" s="49">
        <f>IF(IFERROR(VLOOKUP(A182,$A$10:$I181,1,0),0)=0,"",VLOOKUP(A182,$A$10:$I181,7,0))</f>
        <v>45515</v>
      </c>
      <c r="H182" s="49">
        <v>45528</v>
      </c>
      <c r="I182" s="29"/>
      <c r="J182" s="29" t="s">
        <v>19</v>
      </c>
      <c r="K182" s="24" t="s">
        <v>47</v>
      </c>
      <c r="L182" s="49">
        <v>45515</v>
      </c>
      <c r="M182" s="49">
        <v>45528</v>
      </c>
      <c r="N182" s="29">
        <f t="shared" si="10"/>
        <v>13</v>
      </c>
      <c r="O182" s="29"/>
      <c r="P182" t="s">
        <v>88</v>
      </c>
      <c r="Q182" t="s">
        <v>88</v>
      </c>
      <c r="R182" t="s">
        <v>88</v>
      </c>
      <c r="S182" t="s">
        <v>88</v>
      </c>
      <c r="T182" t="s">
        <v>88</v>
      </c>
      <c r="U182" t="s">
        <v>20</v>
      </c>
    </row>
    <row r="183" spans="1:21" x14ac:dyDescent="0.45">
      <c r="A183" s="29">
        <v>120986988</v>
      </c>
      <c r="B183" s="29" t="str">
        <f t="shared" si="9"/>
        <v>12.098.698-8</v>
      </c>
      <c r="C183" s="22" t="str">
        <f>IF(IFERROR(VLOOKUP(A183,$A$10:$I182,1,0),0)=0,"",VLOOKUP(A183,$A$10:$I182,3,0))</f>
        <v>UCO</v>
      </c>
      <c r="D183" s="29" t="str">
        <f>IF(IFERROR(VLOOKUP(A183,$A$10:$I182,1,0),0)=0,"",VLOOKUP(A183,$A$10:$I182,4,0))</f>
        <v>CARRASCO</v>
      </c>
      <c r="E183" s="29" t="str">
        <f>IF(IFERROR(VLOOKUP(A183,$A$10:$I182,1,0),0)=0,"",VLOOKUP(A183,$A$10:$I182,5,0))</f>
        <v>BUSTAMANTE</v>
      </c>
      <c r="F183" s="29" t="str">
        <f>IF(IFERROR(VLOOKUP(A183,$A$10:$I182,1,0),0)=0,"",VLOOKUP(A183,$A$10:$I182,6,0))</f>
        <v>JORGE</v>
      </c>
      <c r="G183" s="49">
        <f>IF(IFERROR(VLOOKUP(A183,$A$10:$I182,1,0),0)=0,"",VLOOKUP(A183,$A$10:$I182,7,0))</f>
        <v>45515</v>
      </c>
      <c r="H183" s="49">
        <v>45528</v>
      </c>
      <c r="I183" s="29"/>
      <c r="J183" s="29" t="s">
        <v>19</v>
      </c>
      <c r="K183" s="24" t="s">
        <v>55</v>
      </c>
      <c r="L183" s="49">
        <v>45515</v>
      </c>
      <c r="M183" s="49">
        <v>45528</v>
      </c>
      <c r="N183" s="29">
        <f t="shared" si="10"/>
        <v>13</v>
      </c>
      <c r="O183" s="29"/>
      <c r="P183" t="s">
        <v>137</v>
      </c>
      <c r="Q183" t="s">
        <v>88</v>
      </c>
      <c r="R183" t="s">
        <v>88</v>
      </c>
      <c r="S183" t="s">
        <v>88</v>
      </c>
      <c r="T183" t="s">
        <v>88</v>
      </c>
      <c r="U183" t="s">
        <v>20</v>
      </c>
    </row>
    <row r="184" spans="1:21" x14ac:dyDescent="0.45">
      <c r="A184" s="29">
        <v>89927617</v>
      </c>
      <c r="B184" s="29" t="str">
        <f t="shared" si="9"/>
        <v>8.992.761-7</v>
      </c>
      <c r="C184" s="22" t="s">
        <v>30</v>
      </c>
      <c r="D184" t="s">
        <v>1359</v>
      </c>
      <c r="E184" t="s">
        <v>810</v>
      </c>
      <c r="F184" t="s">
        <v>1360</v>
      </c>
      <c r="G184" s="49">
        <v>45516</v>
      </c>
      <c r="H184" s="49">
        <v>45527</v>
      </c>
      <c r="I184" s="29"/>
      <c r="J184" s="29" t="s">
        <v>19</v>
      </c>
      <c r="K184" s="24" t="s">
        <v>43</v>
      </c>
      <c r="L184" s="49">
        <v>45516</v>
      </c>
      <c r="M184" s="49">
        <v>45527</v>
      </c>
      <c r="N184" s="29">
        <f t="shared" si="10"/>
        <v>11</v>
      </c>
      <c r="O184" s="29"/>
      <c r="P184" t="s">
        <v>98</v>
      </c>
      <c r="Q184" t="s">
        <v>88</v>
      </c>
      <c r="R184" t="s">
        <v>88</v>
      </c>
      <c r="S184" t="s">
        <v>88</v>
      </c>
      <c r="T184" t="s">
        <v>88</v>
      </c>
      <c r="U184" t="s">
        <v>14</v>
      </c>
    </row>
    <row r="185" spans="1:21" x14ac:dyDescent="0.45">
      <c r="A185" s="29">
        <v>89927617</v>
      </c>
      <c r="B185" s="29" t="str">
        <f t="shared" si="9"/>
        <v>8.992.761-7</v>
      </c>
      <c r="C185" s="22" t="str">
        <f>IF(IFERROR(VLOOKUP(A185,$A$10:$I184,1,0),0)=0,"",VLOOKUP(A185,$A$10:$I184,3,0))</f>
        <v>UCO</v>
      </c>
      <c r="D185" s="29" t="str">
        <f>IF(IFERROR(VLOOKUP(A185,$A$10:$I184,1,0),0)=0,"",VLOOKUP(A185,$A$10:$I184,4,0))</f>
        <v>BARRÍA</v>
      </c>
      <c r="E185" s="29" t="str">
        <f>IF(IFERROR(VLOOKUP(A185,$A$10:$I184,1,0),0)=0,"",VLOOKUP(A185,$A$10:$I184,5,0))</f>
        <v>CARTES</v>
      </c>
      <c r="F185" s="29" t="str">
        <f>IF(IFERROR(VLOOKUP(A185,$A$10:$I184,1,0),0)=0,"",VLOOKUP(A185,$A$10:$I184,6,0))</f>
        <v>MARLY</v>
      </c>
      <c r="G185" s="49">
        <f>IF(IFERROR(VLOOKUP(A185,$A$10:$I184,1,0),0)=0,"",VLOOKUP(A185,$A$10:$I184,7,0))</f>
        <v>45516</v>
      </c>
      <c r="H185" s="49">
        <v>45527</v>
      </c>
      <c r="I185" s="29"/>
      <c r="J185" s="29" t="s">
        <v>19</v>
      </c>
      <c r="K185" s="24" t="s">
        <v>47</v>
      </c>
      <c r="L185" s="49">
        <v>45516</v>
      </c>
      <c r="M185" s="49">
        <v>45527</v>
      </c>
      <c r="N185" s="29">
        <f t="shared" si="10"/>
        <v>11</v>
      </c>
      <c r="O185" s="29"/>
      <c r="P185" t="s">
        <v>88</v>
      </c>
      <c r="Q185" t="s">
        <v>88</v>
      </c>
      <c r="R185" t="s">
        <v>88</v>
      </c>
      <c r="S185" t="s">
        <v>88</v>
      </c>
      <c r="T185" t="s">
        <v>88</v>
      </c>
      <c r="U185" t="s">
        <v>20</v>
      </c>
    </row>
    <row r="186" spans="1:21" x14ac:dyDescent="0.45">
      <c r="A186" s="29">
        <v>89927617</v>
      </c>
      <c r="B186" s="29" t="str">
        <f t="shared" si="9"/>
        <v>8.992.761-7</v>
      </c>
      <c r="C186" s="22" t="str">
        <f>IF(IFERROR(VLOOKUP(A186,$A$10:$I185,1,0),0)=0,"",VLOOKUP(A186,$A$10:$I185,3,0))</f>
        <v>UCO</v>
      </c>
      <c r="D186" s="29" t="str">
        <f>IF(IFERROR(VLOOKUP(A186,$A$10:$I185,1,0),0)=0,"",VLOOKUP(A186,$A$10:$I185,4,0))</f>
        <v>BARRÍA</v>
      </c>
      <c r="E186" s="29" t="str">
        <f>IF(IFERROR(VLOOKUP(A186,$A$10:$I185,1,0),0)=0,"",VLOOKUP(A186,$A$10:$I185,5,0))</f>
        <v>CARTES</v>
      </c>
      <c r="F186" s="29" t="str">
        <f>IF(IFERROR(VLOOKUP(A186,$A$10:$I185,1,0),0)=0,"",VLOOKUP(A186,$A$10:$I185,6,0))</f>
        <v>MARLY</v>
      </c>
      <c r="G186" s="49">
        <f>IF(IFERROR(VLOOKUP(A186,$A$10:$I185,1,0),0)=0,"",VLOOKUP(A186,$A$10:$I185,7,0))</f>
        <v>45516</v>
      </c>
      <c r="H186" s="49">
        <v>45527</v>
      </c>
      <c r="I186" s="29"/>
      <c r="J186" s="29" t="s">
        <v>19</v>
      </c>
      <c r="K186" s="24" t="s">
        <v>55</v>
      </c>
      <c r="L186" s="49">
        <v>45519</v>
      </c>
      <c r="M186" s="49">
        <v>45527</v>
      </c>
      <c r="N186" s="29">
        <f t="shared" si="10"/>
        <v>8</v>
      </c>
      <c r="O186" s="29"/>
      <c r="P186" t="s">
        <v>88</v>
      </c>
      <c r="Q186" t="s">
        <v>88</v>
      </c>
      <c r="R186" t="s">
        <v>88</v>
      </c>
      <c r="S186" t="s">
        <v>88</v>
      </c>
      <c r="T186" t="s">
        <v>88</v>
      </c>
      <c r="U186" t="s">
        <v>20</v>
      </c>
    </row>
    <row r="187" spans="1:21" x14ac:dyDescent="0.45">
      <c r="A187" s="29">
        <v>265911013</v>
      </c>
      <c r="B187" s="29" t="str">
        <f t="shared" si="9"/>
        <v>26.591.101-3</v>
      </c>
      <c r="C187" s="22" t="s">
        <v>30</v>
      </c>
      <c r="D187" s="29" t="s">
        <v>252</v>
      </c>
      <c r="E187" s="29" t="s">
        <v>240</v>
      </c>
      <c r="F187" s="29" t="s">
        <v>1361</v>
      </c>
      <c r="G187" s="49">
        <v>45520</v>
      </c>
      <c r="H187" s="49">
        <v>45524</v>
      </c>
      <c r="I187" s="29"/>
      <c r="J187" s="29" t="s">
        <v>22</v>
      </c>
      <c r="K187" s="24" t="s">
        <v>43</v>
      </c>
      <c r="L187" s="49">
        <v>45520</v>
      </c>
      <c r="M187" s="49">
        <v>45524</v>
      </c>
      <c r="N187" s="29">
        <f t="shared" si="10"/>
        <v>4</v>
      </c>
      <c r="O187" s="29"/>
      <c r="P187" t="s">
        <v>88</v>
      </c>
      <c r="Q187" t="s">
        <v>88</v>
      </c>
      <c r="R187" t="s">
        <v>88</v>
      </c>
      <c r="S187" t="s">
        <v>88</v>
      </c>
      <c r="T187" t="s">
        <v>88</v>
      </c>
      <c r="U187" t="s">
        <v>20</v>
      </c>
    </row>
    <row r="188" spans="1:21" x14ac:dyDescent="0.45">
      <c r="A188" s="29">
        <v>71931439</v>
      </c>
      <c r="B188" s="29" t="str">
        <f t="shared" si="9"/>
        <v>7.193.143-9</v>
      </c>
      <c r="C188" s="22" t="s">
        <v>30</v>
      </c>
      <c r="D188" s="29" t="str">
        <f>IF(IFERROR(VLOOKUP(A188,$A$10:$I187,1,0),0)=0,"",VLOOKUP(A188,$A$10:$I187,4,0))</f>
        <v>RIQUELME</v>
      </c>
      <c r="E188" s="29" t="str">
        <f>IF(IFERROR(VLOOKUP(A188,$A$10:$I187,1,0),0)=0,"",VLOOKUP(A188,$A$10:$I187,5,0))</f>
        <v>WONG</v>
      </c>
      <c r="F188" s="29" t="str">
        <f>IF(IFERROR(VLOOKUP(A188,$A$10:$I187,1,0),0)=0,"",VLOOKUP(A188,$A$10:$I187,6,0))</f>
        <v>RICARDO</v>
      </c>
      <c r="G188" s="49">
        <v>45506</v>
      </c>
      <c r="H188" s="49">
        <v>45514</v>
      </c>
      <c r="I188" s="29"/>
      <c r="J188" s="29" t="s">
        <v>22</v>
      </c>
      <c r="K188" s="24" t="s">
        <v>43</v>
      </c>
      <c r="L188" s="49">
        <v>45506</v>
      </c>
      <c r="M188" s="49">
        <v>45514</v>
      </c>
      <c r="N188" s="29">
        <f t="shared" si="10"/>
        <v>8</v>
      </c>
      <c r="O188" s="29"/>
      <c r="P188" t="s">
        <v>88</v>
      </c>
      <c r="Q188" t="s">
        <v>88</v>
      </c>
      <c r="R188" t="s">
        <v>88</v>
      </c>
      <c r="S188" t="s">
        <v>88</v>
      </c>
      <c r="T188" t="s">
        <v>88</v>
      </c>
      <c r="U188" t="s">
        <v>20</v>
      </c>
    </row>
    <row r="189" spans="1:21" x14ac:dyDescent="0.45">
      <c r="A189" s="29">
        <v>71931439</v>
      </c>
      <c r="B189" s="29" t="str">
        <f t="shared" si="9"/>
        <v>7.193.143-9</v>
      </c>
      <c r="C189" s="22" t="s">
        <v>30</v>
      </c>
      <c r="D189" s="29" t="str">
        <f>IF(IFERROR(VLOOKUP(A189,$A$10:$I188,1,0),0)=0,"",VLOOKUP(A189,$A$10:$I188,4,0))</f>
        <v>RIQUELME</v>
      </c>
      <c r="E189" s="29" t="str">
        <f>IF(IFERROR(VLOOKUP(A189,$A$10:$I188,1,0),0)=0,"",VLOOKUP(A189,$A$10:$I188,5,0))</f>
        <v>WONG</v>
      </c>
      <c r="F189" s="29" t="str">
        <f>IF(IFERROR(VLOOKUP(A189,$A$10:$I188,1,0),0)=0,"",VLOOKUP(A189,$A$10:$I188,6,0))</f>
        <v>RICARDO</v>
      </c>
      <c r="G189" s="49">
        <v>45506</v>
      </c>
      <c r="H189" s="49">
        <v>45514</v>
      </c>
      <c r="I189" s="29"/>
      <c r="J189" s="29" t="s">
        <v>22</v>
      </c>
      <c r="K189" s="24" t="s">
        <v>47</v>
      </c>
      <c r="L189" s="49">
        <v>45506</v>
      </c>
      <c r="M189" s="49">
        <v>45514</v>
      </c>
      <c r="N189" s="29">
        <f t="shared" si="10"/>
        <v>8</v>
      </c>
      <c r="O189" s="29"/>
      <c r="P189" t="s">
        <v>88</v>
      </c>
      <c r="Q189" t="s">
        <v>88</v>
      </c>
      <c r="R189" t="s">
        <v>88</v>
      </c>
      <c r="S189" t="s">
        <v>88</v>
      </c>
      <c r="T189" t="s">
        <v>88</v>
      </c>
      <c r="U189" t="s">
        <v>20</v>
      </c>
    </row>
    <row r="190" spans="1:21" x14ac:dyDescent="0.45">
      <c r="A190">
        <v>116628236</v>
      </c>
      <c r="B190" s="29" t="str">
        <f t="shared" si="9"/>
        <v>11.662.823-6</v>
      </c>
      <c r="C190" s="22" t="s">
        <v>30</v>
      </c>
      <c r="D190" s="29" t="s">
        <v>1362</v>
      </c>
      <c r="E190" s="29" t="s">
        <v>375</v>
      </c>
      <c r="F190" s="29" t="s">
        <v>733</v>
      </c>
      <c r="G190" s="49">
        <v>45506</v>
      </c>
      <c r="H190" s="49">
        <v>45510</v>
      </c>
      <c r="I190" s="29"/>
      <c r="J190" s="29" t="s">
        <v>24</v>
      </c>
      <c r="K190" s="24" t="s">
        <v>43</v>
      </c>
      <c r="L190" s="49">
        <v>45506</v>
      </c>
      <c r="M190" s="49">
        <v>45509</v>
      </c>
      <c r="N190" s="29">
        <f t="shared" si="10"/>
        <v>3</v>
      </c>
      <c r="O190" s="29"/>
      <c r="P190" t="s">
        <v>88</v>
      </c>
      <c r="Q190" t="s">
        <v>88</v>
      </c>
      <c r="R190" t="s">
        <v>88</v>
      </c>
      <c r="S190" t="s">
        <v>88</v>
      </c>
      <c r="T190" t="s">
        <v>88</v>
      </c>
      <c r="U190" t="s">
        <v>20</v>
      </c>
    </row>
    <row r="191" spans="1:21" x14ac:dyDescent="0.45">
      <c r="A191" s="29" t="s">
        <v>1363</v>
      </c>
      <c r="B191" s="29" t="str">
        <f t="shared" si="9"/>
        <v>10.327.558-k</v>
      </c>
      <c r="C191" s="22" t="s">
        <v>30</v>
      </c>
      <c r="D191" s="29" t="s">
        <v>403</v>
      </c>
      <c r="E191" s="29" t="s">
        <v>655</v>
      </c>
      <c r="F191" s="29" t="s">
        <v>481</v>
      </c>
      <c r="G191" s="49">
        <v>45505</v>
      </c>
      <c r="H191" s="49">
        <v>45509</v>
      </c>
      <c r="I191" s="29"/>
      <c r="J191" s="29" t="s">
        <v>24</v>
      </c>
      <c r="K191" s="24" t="s">
        <v>43</v>
      </c>
      <c r="L191" s="49">
        <v>45505</v>
      </c>
      <c r="M191" s="49">
        <v>45509</v>
      </c>
      <c r="N191" s="29">
        <f t="shared" si="10"/>
        <v>4</v>
      </c>
      <c r="O191" s="29"/>
      <c r="P191" t="s">
        <v>88</v>
      </c>
      <c r="Q191" t="s">
        <v>88</v>
      </c>
      <c r="R191" t="s">
        <v>88</v>
      </c>
      <c r="S191" t="s">
        <v>88</v>
      </c>
      <c r="T191" t="s">
        <v>88</v>
      </c>
      <c r="U191" t="s">
        <v>20</v>
      </c>
    </row>
    <row r="192" spans="1:21" x14ac:dyDescent="0.45">
      <c r="A192" s="29" t="s">
        <v>1363</v>
      </c>
      <c r="B192" s="29" t="str">
        <f t="shared" si="9"/>
        <v>10.327.558-k</v>
      </c>
      <c r="C192" s="22" t="str">
        <f>IF(IFERROR(VLOOKUP(A192,$A$10:$I191,1,0),0)=0,"",VLOOKUP(A192,$A$10:$I191,3,0))</f>
        <v>UCO</v>
      </c>
      <c r="D192" s="29" t="str">
        <f>IF(IFERROR(VLOOKUP(A192,$A$10:$I191,1,0),0)=0,"",VLOOKUP(A192,$A$10:$I191,4,0))</f>
        <v>GARRIDO</v>
      </c>
      <c r="E192" s="29" t="str">
        <f>IF(IFERROR(VLOOKUP(A192,$A$10:$I191,1,0),0)=0,"",VLOOKUP(A192,$A$10:$I191,5,0))</f>
        <v>GAJARDO</v>
      </c>
      <c r="F192" s="29" t="str">
        <f>IF(IFERROR(VLOOKUP(A192,$A$10:$I191,1,0),0)=0,"",VLOOKUP(A192,$A$10:$I191,6,0))</f>
        <v>JUAN</v>
      </c>
      <c r="G192" s="49">
        <f>IF(IFERROR(VLOOKUP(A192,$A$10:$I191,1,0),0)=0,"",VLOOKUP(A192,$A$10:$I191,7,0))</f>
        <v>45505</v>
      </c>
      <c r="H192" s="49">
        <v>45509</v>
      </c>
      <c r="I192" s="29"/>
      <c r="J192" s="29" t="s">
        <v>24</v>
      </c>
      <c r="K192" s="24" t="s">
        <v>47</v>
      </c>
      <c r="L192" s="49">
        <v>45505</v>
      </c>
      <c r="M192" s="49">
        <v>45509</v>
      </c>
      <c r="N192" s="29">
        <f t="shared" si="10"/>
        <v>4</v>
      </c>
      <c r="O192" s="29"/>
      <c r="P192" t="s">
        <v>88</v>
      </c>
      <c r="Q192" t="s">
        <v>88</v>
      </c>
      <c r="R192" t="s">
        <v>88</v>
      </c>
      <c r="S192" t="s">
        <v>88</v>
      </c>
      <c r="T192" t="s">
        <v>88</v>
      </c>
      <c r="U192" t="s">
        <v>20</v>
      </c>
    </row>
    <row r="193" spans="1:21" x14ac:dyDescent="0.45">
      <c r="A193" s="29">
        <v>112881581</v>
      </c>
      <c r="B193" s="29" t="str">
        <f t="shared" si="9"/>
        <v>11.288.158-1</v>
      </c>
      <c r="C193" s="22" t="s">
        <v>30</v>
      </c>
      <c r="D193" t="s">
        <v>412</v>
      </c>
      <c r="E193" t="s">
        <v>266</v>
      </c>
      <c r="F193" t="s">
        <v>489</v>
      </c>
      <c r="G193" s="49">
        <v>45530</v>
      </c>
      <c r="H193" s="49">
        <v>45533</v>
      </c>
      <c r="I193" s="29"/>
      <c r="J193" s="29" t="s">
        <v>24</v>
      </c>
      <c r="K193" s="24" t="s">
        <v>43</v>
      </c>
      <c r="L193" s="49">
        <v>45530</v>
      </c>
      <c r="M193" s="49">
        <v>45533</v>
      </c>
      <c r="N193" s="29">
        <f t="shared" si="10"/>
        <v>3</v>
      </c>
      <c r="O193" s="29"/>
      <c r="P193" t="s">
        <v>88</v>
      </c>
      <c r="Q193" t="s">
        <v>88</v>
      </c>
      <c r="R193" t="s">
        <v>88</v>
      </c>
      <c r="S193" t="s">
        <v>88</v>
      </c>
      <c r="T193" t="s">
        <v>88</v>
      </c>
      <c r="U193" t="s">
        <v>20</v>
      </c>
    </row>
    <row r="194" spans="1:21" x14ac:dyDescent="0.45">
      <c r="A194" s="29">
        <v>112881581</v>
      </c>
      <c r="B194" s="29" t="str">
        <f t="shared" si="9"/>
        <v>11.288.158-1</v>
      </c>
      <c r="C194" s="22" t="str">
        <f>IF(IFERROR(VLOOKUP(A194,$A$10:$I193,1,0),0)=0,"",VLOOKUP(A194,$A$10:$I193,3,0))</f>
        <v>UCO</v>
      </c>
      <c r="D194" s="29" t="str">
        <f>IF(IFERROR(VLOOKUP(A194,$A$10:$I193,1,0),0)=0,"",VLOOKUP(A194,$A$10:$I193,4,0))</f>
        <v>REBOLLEDO</v>
      </c>
      <c r="E194" s="29" t="str">
        <f>IF(IFERROR(VLOOKUP(A194,$A$10:$I193,1,0),0)=0,"",VLOOKUP(A194,$A$10:$I193,5,0))</f>
        <v>SOTO</v>
      </c>
      <c r="F194" s="29" t="str">
        <f>IF(IFERROR(VLOOKUP(A194,$A$10:$I193,1,0),0)=0,"",VLOOKUP(A194,$A$10:$I193,6,0))</f>
        <v>HECTOR</v>
      </c>
      <c r="G194" s="49">
        <f>IF(IFERROR(VLOOKUP(A194,$A$10:$I193,1,0),0)=0,"",VLOOKUP(A194,$A$10:$I193,7,0))</f>
        <v>45530</v>
      </c>
      <c r="H194" s="49">
        <v>45533</v>
      </c>
      <c r="I194" s="29"/>
      <c r="J194" s="29" t="s">
        <v>24</v>
      </c>
      <c r="K194" s="24" t="s">
        <v>47</v>
      </c>
      <c r="L194" s="49">
        <v>45530</v>
      </c>
      <c r="M194" s="49">
        <v>45531</v>
      </c>
      <c r="N194" s="29">
        <f t="shared" si="10"/>
        <v>1</v>
      </c>
      <c r="O194" s="29"/>
      <c r="P194" t="s">
        <v>88</v>
      </c>
      <c r="Q194" t="s">
        <v>88</v>
      </c>
      <c r="R194" t="s">
        <v>88</v>
      </c>
      <c r="S194" t="s">
        <v>88</v>
      </c>
      <c r="T194" t="s">
        <v>88</v>
      </c>
      <c r="U194" t="s">
        <v>20</v>
      </c>
    </row>
    <row r="195" spans="1:21" x14ac:dyDescent="0.45">
      <c r="A195" s="29">
        <v>67164539</v>
      </c>
      <c r="B195" s="29" t="str">
        <f t="shared" si="9"/>
        <v>6.716.453-9</v>
      </c>
      <c r="C195" s="22" t="s">
        <v>30</v>
      </c>
      <c r="D195" t="s">
        <v>427</v>
      </c>
      <c r="E195" t="s">
        <v>537</v>
      </c>
      <c r="F195" t="s">
        <v>601</v>
      </c>
      <c r="G195" s="49">
        <v>45526</v>
      </c>
      <c r="H195" s="49">
        <v>45532</v>
      </c>
      <c r="I195" s="29"/>
      <c r="J195" s="29" t="s">
        <v>24</v>
      </c>
      <c r="K195" s="24" t="s">
        <v>47</v>
      </c>
      <c r="L195" s="49">
        <v>45526</v>
      </c>
      <c r="M195" s="49">
        <v>45531</v>
      </c>
      <c r="N195" s="29">
        <f t="shared" si="10"/>
        <v>5</v>
      </c>
      <c r="O195" s="29"/>
      <c r="P195" t="s">
        <v>88</v>
      </c>
      <c r="Q195" t="s">
        <v>88</v>
      </c>
      <c r="R195" t="s">
        <v>88</v>
      </c>
      <c r="S195" t="s">
        <v>88</v>
      </c>
      <c r="T195" t="s">
        <v>88</v>
      </c>
      <c r="U195" t="s">
        <v>20</v>
      </c>
    </row>
    <row r="196" spans="1:21" x14ac:dyDescent="0.45">
      <c r="A196" s="29">
        <v>73501164</v>
      </c>
      <c r="B196" s="29" t="str">
        <f t="shared" si="9"/>
        <v>7.350.116-4</v>
      </c>
      <c r="C196" s="22" t="s">
        <v>30</v>
      </c>
      <c r="D196" s="29" t="s">
        <v>1364</v>
      </c>
      <c r="E196" s="29" t="s">
        <v>1365</v>
      </c>
      <c r="F196" s="29" t="s">
        <v>1366</v>
      </c>
      <c r="G196" s="49">
        <v>45528</v>
      </c>
      <c r="H196" s="49">
        <v>45532</v>
      </c>
      <c r="I196" s="29"/>
      <c r="J196" s="29" t="s">
        <v>24</v>
      </c>
      <c r="K196" s="24" t="s">
        <v>43</v>
      </c>
      <c r="L196" s="49">
        <v>45528</v>
      </c>
      <c r="M196" s="49">
        <v>45532</v>
      </c>
      <c r="N196" s="29">
        <f t="shared" si="10"/>
        <v>4</v>
      </c>
      <c r="O196" s="29"/>
      <c r="P196" t="s">
        <v>88</v>
      </c>
      <c r="Q196" t="s">
        <v>88</v>
      </c>
      <c r="R196" t="s">
        <v>88</v>
      </c>
      <c r="S196" t="s">
        <v>88</v>
      </c>
      <c r="T196" t="s">
        <v>88</v>
      </c>
      <c r="U196" t="s">
        <v>20</v>
      </c>
    </row>
    <row r="197" spans="1:21" x14ac:dyDescent="0.45">
      <c r="A197" s="29">
        <v>99429488</v>
      </c>
      <c r="B197" s="29" t="str">
        <f t="shared" si="9"/>
        <v>9.942.948-8</v>
      </c>
      <c r="C197" s="22" t="s">
        <v>30</v>
      </c>
      <c r="D197" t="s">
        <v>670</v>
      </c>
      <c r="E197" t="s">
        <v>675</v>
      </c>
      <c r="F197" t="s">
        <v>1047</v>
      </c>
      <c r="G197" s="49">
        <v>45531</v>
      </c>
      <c r="H197" s="49">
        <v>45534</v>
      </c>
      <c r="I197" s="29"/>
      <c r="J197" s="29" t="s">
        <v>24</v>
      </c>
      <c r="K197" s="24" t="s">
        <v>43</v>
      </c>
      <c r="L197" s="49">
        <v>45531</v>
      </c>
      <c r="M197" s="49">
        <v>45534</v>
      </c>
      <c r="N197" s="29">
        <f t="shared" si="10"/>
        <v>3</v>
      </c>
      <c r="O197" s="29"/>
      <c r="P197" t="s">
        <v>88</v>
      </c>
      <c r="Q197" t="s">
        <v>88</v>
      </c>
      <c r="R197" t="s">
        <v>88</v>
      </c>
      <c r="S197" t="s">
        <v>88</v>
      </c>
      <c r="T197" t="s">
        <v>88</v>
      </c>
      <c r="U197" t="s">
        <v>20</v>
      </c>
    </row>
    <row r="198" spans="1:21" x14ac:dyDescent="0.45">
      <c r="A198" s="29">
        <v>99429488</v>
      </c>
      <c r="B198" s="29" t="str">
        <f t="shared" si="9"/>
        <v>9.942.948-8</v>
      </c>
      <c r="C198" s="22" t="str">
        <f>IF(IFERROR(VLOOKUP(A198,$A$10:$I197,1,0),0)=0,"",VLOOKUP(A198,$A$10:$I197,3,0))</f>
        <v>UCO</v>
      </c>
      <c r="D198" s="29" t="str">
        <f>IF(IFERROR(VLOOKUP(A198,$A$10:$I197,1,0),0)=0,"",VLOOKUP(A198,$A$10:$I197,4,0))</f>
        <v>VALENZUELA</v>
      </c>
      <c r="E198" s="29" t="str">
        <f>IF(IFERROR(VLOOKUP(A198,$A$10:$I197,1,0),0)=0,"",VLOOKUP(A198,$A$10:$I197,5,0))</f>
        <v>SANDOVAL</v>
      </c>
      <c r="F198" s="29" t="str">
        <f>IF(IFERROR(VLOOKUP(A198,$A$10:$I197,1,0),0)=0,"",VLOOKUP(A198,$A$10:$I197,6,0))</f>
        <v>GENOVEVA</v>
      </c>
      <c r="G198" s="49">
        <f>IF(IFERROR(VLOOKUP(A198,$A$10:$I197,1,0),0)=0,"",VLOOKUP(A198,$A$10:$I197,7,0))</f>
        <v>45531</v>
      </c>
      <c r="H198" s="49">
        <v>45534</v>
      </c>
      <c r="I198" s="29"/>
      <c r="J198" s="29"/>
      <c r="K198" s="24" t="s">
        <v>47</v>
      </c>
      <c r="L198" s="49">
        <v>45531</v>
      </c>
      <c r="M198" s="49">
        <v>45534</v>
      </c>
      <c r="N198" s="29">
        <f t="shared" si="10"/>
        <v>3</v>
      </c>
      <c r="O198" s="29"/>
      <c r="P198" t="s">
        <v>88</v>
      </c>
      <c r="Q198" t="s">
        <v>88</v>
      </c>
      <c r="R198" t="s">
        <v>88</v>
      </c>
      <c r="S198" t="s">
        <v>88</v>
      </c>
      <c r="T198" t="s">
        <v>88</v>
      </c>
      <c r="U198" t="s">
        <v>20</v>
      </c>
    </row>
    <row r="199" spans="1:21" x14ac:dyDescent="0.45">
      <c r="A199" s="29">
        <v>79650897</v>
      </c>
      <c r="B199" s="29" t="str">
        <f t="shared" si="9"/>
        <v>7.965.089-7</v>
      </c>
      <c r="C199" s="22" t="s">
        <v>30</v>
      </c>
      <c r="D199" t="s">
        <v>496</v>
      </c>
      <c r="E199" t="s">
        <v>1037</v>
      </c>
      <c r="F199" t="s">
        <v>362</v>
      </c>
      <c r="G199" s="49">
        <v>45496</v>
      </c>
      <c r="H199" s="49">
        <v>45531</v>
      </c>
      <c r="I199" s="29"/>
      <c r="J199" s="29"/>
      <c r="K199" s="24" t="s">
        <v>43</v>
      </c>
      <c r="L199" s="49">
        <v>45527</v>
      </c>
      <c r="M199" s="49">
        <v>45531</v>
      </c>
      <c r="N199" s="29">
        <f t="shared" si="10"/>
        <v>4</v>
      </c>
      <c r="O199" s="29"/>
      <c r="P199" t="s">
        <v>88</v>
      </c>
      <c r="Q199" t="s">
        <v>88</v>
      </c>
      <c r="R199" t="s">
        <v>88</v>
      </c>
      <c r="S199" t="s">
        <v>88</v>
      </c>
      <c r="T199" t="s">
        <v>88</v>
      </c>
      <c r="U199" t="s">
        <v>20</v>
      </c>
    </row>
    <row r="200" spans="1:21" x14ac:dyDescent="0.45">
      <c r="A200" s="29">
        <v>79650897</v>
      </c>
      <c r="B200" s="29" t="str">
        <f t="shared" si="9"/>
        <v>7.965.089-7</v>
      </c>
      <c r="C200" s="22" t="str">
        <f>IF(IFERROR(VLOOKUP(A200,$A$10:$I199,1,0),0)=0,"",VLOOKUP(A200,$A$10:$I199,3,0))</f>
        <v>UCO</v>
      </c>
      <c r="D200" s="29" t="str">
        <f>IF(IFERROR(VLOOKUP(A200,$A$10:$I199,1,0),0)=0,"",VLOOKUP(A200,$A$10:$I199,4,0))</f>
        <v>ACUÑA</v>
      </c>
      <c r="E200" s="29" t="str">
        <f>IF(IFERROR(VLOOKUP(A200,$A$10:$I199,1,0),0)=0,"",VLOOKUP(A200,$A$10:$I199,5,0))</f>
        <v>GUAJARDO</v>
      </c>
      <c r="F200" s="29" t="str">
        <f>IF(IFERROR(VLOOKUP(A200,$A$10:$I199,1,0),0)=0,"",VLOOKUP(A200,$A$10:$I199,6,0))</f>
        <v>JORGE</v>
      </c>
      <c r="G200" s="49">
        <f>IF(IFERROR(VLOOKUP(A200,$A$10:$I199,1,0),0)=0,"",VLOOKUP(A200,$A$10:$I199,7,0))</f>
        <v>45496</v>
      </c>
      <c r="H200" s="49">
        <v>45531</v>
      </c>
      <c r="I200" s="29"/>
      <c r="J200" s="29"/>
      <c r="K200" s="24" t="s">
        <v>47</v>
      </c>
      <c r="L200" s="49">
        <v>45527</v>
      </c>
      <c r="M200" s="49">
        <v>45531</v>
      </c>
      <c r="N200" s="29">
        <f t="shared" si="10"/>
        <v>4</v>
      </c>
      <c r="O200" s="29"/>
      <c r="P200" t="s">
        <v>88</v>
      </c>
      <c r="Q200" t="s">
        <v>88</v>
      </c>
      <c r="R200" t="s">
        <v>88</v>
      </c>
      <c r="S200" t="s">
        <v>88</v>
      </c>
      <c r="T200" t="s">
        <v>88</v>
      </c>
      <c r="U200" t="s">
        <v>20</v>
      </c>
    </row>
    <row r="201" spans="1:21" x14ac:dyDescent="0.45">
      <c r="A201" s="29" t="s">
        <v>1341</v>
      </c>
      <c r="B201" s="29" t="str">
        <f t="shared" si="9"/>
        <v>6.395.442-k</v>
      </c>
      <c r="C201" s="22" t="str">
        <f>IF(IFERROR(VLOOKUP(A201,$A$10:$I200,1,0),0)=0,"",VLOOKUP(A201,$A$10:$I200,3,0))</f>
        <v>UCI</v>
      </c>
      <c r="D201" s="29" t="str">
        <f>IF(IFERROR(VLOOKUP(A201,$A$10:$I200,1,0),0)=0,"",VLOOKUP(A201,$A$10:$I200,4,0))</f>
        <v>PALMA</v>
      </c>
      <c r="E201" s="29" t="str">
        <f>IF(IFERROR(VLOOKUP(A201,$A$10:$I200,1,0),0)=0,"",VLOOKUP(A201,$A$10:$I200,5,0))</f>
        <v>INOSTROZA</v>
      </c>
      <c r="F201" s="29" t="str">
        <f>IF(IFERROR(VLOOKUP(A201,$A$10:$I200,1,0),0)=0,"",VLOOKUP(A201,$A$10:$I200,6,0))</f>
        <v>MILDA</v>
      </c>
      <c r="G201" s="49">
        <f>IF(IFERROR(VLOOKUP(A201,$A$10:$I200,1,0),0)=0,"",VLOOKUP(A201,$A$10:$I200,7,0))</f>
        <v>45531</v>
      </c>
      <c r="H201" s="49">
        <v>45533</v>
      </c>
      <c r="I201" s="29"/>
      <c r="J201" s="29" t="s">
        <v>26</v>
      </c>
      <c r="K201" s="24" t="s">
        <v>47</v>
      </c>
      <c r="L201" s="49">
        <v>45531</v>
      </c>
      <c r="M201" s="49">
        <v>45533</v>
      </c>
      <c r="N201" s="29">
        <f t="shared" si="10"/>
        <v>2</v>
      </c>
      <c r="O201" s="29"/>
      <c r="P201" t="s">
        <v>88</v>
      </c>
      <c r="Q201" t="s">
        <v>88</v>
      </c>
      <c r="R201" t="s">
        <v>88</v>
      </c>
      <c r="S201" t="s">
        <v>88</v>
      </c>
      <c r="T201" t="s">
        <v>88</v>
      </c>
      <c r="U201" t="s">
        <v>20</v>
      </c>
    </row>
    <row r="202" spans="1:21" x14ac:dyDescent="0.45">
      <c r="A202" s="29" t="s">
        <v>1367</v>
      </c>
      <c r="B202" s="29" t="str">
        <f t="shared" si="9"/>
        <v>7.005.169-9</v>
      </c>
      <c r="C202" s="22" t="s">
        <v>22</v>
      </c>
      <c r="D202" s="29" t="s">
        <v>1041</v>
      </c>
      <c r="E202" s="29" t="s">
        <v>1033</v>
      </c>
      <c r="F202" s="29" t="s">
        <v>348</v>
      </c>
      <c r="G202" s="49">
        <v>45527</v>
      </c>
      <c r="H202" s="49">
        <v>45532</v>
      </c>
      <c r="I202" s="29"/>
      <c r="J202" s="29" t="s">
        <v>56</v>
      </c>
      <c r="K202" s="24" t="s">
        <v>43</v>
      </c>
      <c r="L202" s="49">
        <v>45527</v>
      </c>
      <c r="M202" s="49">
        <v>45532</v>
      </c>
      <c r="N202" s="29">
        <f t="shared" si="10"/>
        <v>5</v>
      </c>
      <c r="O202" s="29"/>
      <c r="P202" t="s">
        <v>88</v>
      </c>
      <c r="Q202" t="s">
        <v>88</v>
      </c>
      <c r="R202" t="s">
        <v>88</v>
      </c>
      <c r="S202" t="s">
        <v>88</v>
      </c>
      <c r="T202" t="s">
        <v>88</v>
      </c>
      <c r="U202" t="s">
        <v>20</v>
      </c>
    </row>
    <row r="203" spans="1:21" x14ac:dyDescent="0.45">
      <c r="A203" s="29" t="s">
        <v>1367</v>
      </c>
      <c r="B203" s="29" t="str">
        <f t="shared" si="9"/>
        <v>7.005.169-9</v>
      </c>
      <c r="C203" s="22" t="str">
        <f>IF(IFERROR(VLOOKUP(A203,$A$10:$I202,1,0),0)=0,"",VLOOKUP(A203,$A$10:$I202,3,0))</f>
        <v>UCI</v>
      </c>
      <c r="D203" s="29" t="str">
        <f>IF(IFERROR(VLOOKUP(A203,$A$10:$I202,1,0),0)=0,"",VLOOKUP(A203,$A$10:$I202,4,0))</f>
        <v>SALAS</v>
      </c>
      <c r="E203" s="29" t="str">
        <f>IF(IFERROR(VLOOKUP(A203,$A$10:$I202,1,0),0)=0,"",VLOOKUP(A203,$A$10:$I202,5,0))</f>
        <v>OJEDA</v>
      </c>
      <c r="F203" s="29" t="str">
        <f>IF(IFERROR(VLOOKUP(A203,$A$10:$I202,1,0),0)=0,"",VLOOKUP(A203,$A$10:$I202,6,0))</f>
        <v>MARIA</v>
      </c>
      <c r="G203" s="49">
        <f>IF(IFERROR(VLOOKUP(A203,$A$10:$I202,1,0),0)=0,"",VLOOKUP(A203,$A$10:$I202,7,0))</f>
        <v>45527</v>
      </c>
      <c r="H203" s="49">
        <v>45532</v>
      </c>
      <c r="I203" s="29"/>
      <c r="J203" s="29" t="s">
        <v>56</v>
      </c>
      <c r="K203" s="24" t="s">
        <v>47</v>
      </c>
      <c r="L203" s="49">
        <v>45527</v>
      </c>
      <c r="M203" s="49">
        <v>45532</v>
      </c>
      <c r="N203" s="29">
        <f t="shared" si="10"/>
        <v>5</v>
      </c>
      <c r="O203" s="29"/>
      <c r="P203" t="s">
        <v>88</v>
      </c>
      <c r="Q203" t="s">
        <v>88</v>
      </c>
      <c r="R203" t="s">
        <v>88</v>
      </c>
      <c r="S203" t="s">
        <v>88</v>
      </c>
      <c r="T203" t="s">
        <v>88</v>
      </c>
      <c r="U203" t="s">
        <v>20</v>
      </c>
    </row>
    <row r="204" spans="1:21" x14ac:dyDescent="0.45">
      <c r="A204" s="29">
        <v>221364171</v>
      </c>
      <c r="B204" s="29" t="str">
        <f t="shared" si="9"/>
        <v>22.136.417-1</v>
      </c>
      <c r="C204" s="22" t="s">
        <v>22</v>
      </c>
      <c r="D204" s="29" t="s">
        <v>1368</v>
      </c>
      <c r="E204" s="29" t="s">
        <v>369</v>
      </c>
      <c r="F204" s="29" t="s">
        <v>560</v>
      </c>
      <c r="G204" s="49">
        <v>45531</v>
      </c>
      <c r="H204" s="49">
        <v>45540</v>
      </c>
      <c r="I204" s="29"/>
      <c r="J204" s="29"/>
      <c r="K204" s="24" t="s">
        <v>43</v>
      </c>
      <c r="L204" s="49">
        <v>45531</v>
      </c>
      <c r="M204" s="49">
        <v>45535</v>
      </c>
      <c r="N204" s="29">
        <f t="shared" si="10"/>
        <v>4</v>
      </c>
      <c r="O204" s="29"/>
      <c r="P204" t="s">
        <v>88</v>
      </c>
      <c r="Q204" t="s">
        <v>88</v>
      </c>
      <c r="R204" t="s">
        <v>88</v>
      </c>
      <c r="S204" t="s">
        <v>88</v>
      </c>
      <c r="T204" t="s">
        <v>88</v>
      </c>
      <c r="U204" t="s">
        <v>20</v>
      </c>
    </row>
    <row r="205" spans="1:21" x14ac:dyDescent="0.45">
      <c r="A205" s="29">
        <v>221364171</v>
      </c>
      <c r="B205" s="29" t="str">
        <f t="shared" ref="B205:B236" si="11">IF(LEN(A205)=8,MID(A205,1,1)&amp;"."&amp;MID(A205,2,3)&amp;"."&amp;MID(A205,5,3)&amp;"-"&amp;RIGHT(A205,1),IF(LEFT(RIGHT(A205,2),1)="-",MID(A205,1,1)&amp;"."&amp;MID(A205,2,3)&amp;"."&amp;MID(A205,5,3)&amp;"-"&amp;RIGHT(A205,1),MID(A205,1,2)&amp;"."&amp;MID(A205,3,3)&amp;"."&amp;MID(A205,6,3)&amp;"-"&amp;MID(A205,9,1)))</f>
        <v>22.136.417-1</v>
      </c>
      <c r="C205" s="22" t="str">
        <f>IF(IFERROR(VLOOKUP(A205,$A$10:$I204,1,0),0)=0,"",VLOOKUP(A205,$A$10:$I204,3,0))</f>
        <v>UCI</v>
      </c>
      <c r="D205" s="29" t="str">
        <f>IF(IFERROR(VLOOKUP(A205,$A$10:$I204,1,0),0)=0,"",VLOOKUP(A205,$A$10:$I204,4,0))</f>
        <v>ABURTO</v>
      </c>
      <c r="E205" s="29" t="str">
        <f>IF(IFERROR(VLOOKUP(A205,$A$10:$I204,1,0),0)=0,"",VLOOKUP(A205,$A$10:$I204,5,0))</f>
        <v>SEGUEL</v>
      </c>
      <c r="F205" s="29" t="str">
        <f>IF(IFERROR(VLOOKUP(A205,$A$10:$I204,1,0),0)=0,"",VLOOKUP(A205,$A$10:$I204,6,0))</f>
        <v>MAURICIO</v>
      </c>
      <c r="G205" s="49">
        <f>IF(IFERROR(VLOOKUP(A205,$A$10:$I204,1,0),0)=0,"",VLOOKUP(A205,$A$10:$I204,7,0))</f>
        <v>45531</v>
      </c>
      <c r="H205" s="29"/>
      <c r="I205" s="29"/>
      <c r="J205" s="29"/>
      <c r="K205" s="24" t="s">
        <v>47</v>
      </c>
      <c r="L205" s="49">
        <v>45531</v>
      </c>
      <c r="M205" s="49">
        <v>45535</v>
      </c>
      <c r="N205" s="29">
        <f t="shared" ref="N205:N236" si="12">+M205-L205</f>
        <v>4</v>
      </c>
      <c r="O205" s="29"/>
      <c r="P205" t="s">
        <v>88</v>
      </c>
      <c r="Q205" t="s">
        <v>88</v>
      </c>
      <c r="R205" t="s">
        <v>88</v>
      </c>
      <c r="S205" t="s">
        <v>88</v>
      </c>
      <c r="T205" t="s">
        <v>88</v>
      </c>
      <c r="U205" t="s">
        <v>20</v>
      </c>
    </row>
    <row r="206" spans="1:21" x14ac:dyDescent="0.45">
      <c r="A206" s="29">
        <v>221364171</v>
      </c>
      <c r="B206" s="29" t="str">
        <f t="shared" si="11"/>
        <v>22.136.417-1</v>
      </c>
      <c r="C206" s="22" t="str">
        <f>IF(IFERROR(VLOOKUP(A206,$A$10:$I205,1,0),0)=0,"",VLOOKUP(A206,$A$10:$I205,3,0))</f>
        <v>UCI</v>
      </c>
      <c r="D206" s="29" t="str">
        <f>IF(IFERROR(VLOOKUP(A206,$A$10:$I205,1,0),0)=0,"",VLOOKUP(A206,$A$10:$I205,4,0))</f>
        <v>ABURTO</v>
      </c>
      <c r="E206" s="29" t="str">
        <f>IF(IFERROR(VLOOKUP(A206,$A$10:$I205,1,0),0)=0,"",VLOOKUP(A206,$A$10:$I205,5,0))</f>
        <v>SEGUEL</v>
      </c>
      <c r="F206" s="29" t="str">
        <f>IF(IFERROR(VLOOKUP(A206,$A$10:$I205,1,0),0)=0,"",VLOOKUP(A206,$A$10:$I205,6,0))</f>
        <v>MAURICIO</v>
      </c>
      <c r="G206" s="49">
        <f>IF(IFERROR(VLOOKUP(A206,$A$10:$I205,1,0),0)=0,"",VLOOKUP(A206,$A$10:$I205,7,0))</f>
        <v>45531</v>
      </c>
      <c r="H206" s="29"/>
      <c r="I206" s="29"/>
      <c r="J206" s="29"/>
      <c r="K206" s="24" t="s">
        <v>55</v>
      </c>
      <c r="L206" s="49">
        <v>45531</v>
      </c>
      <c r="M206" s="49">
        <v>45535</v>
      </c>
      <c r="N206" s="29">
        <f t="shared" si="12"/>
        <v>4</v>
      </c>
      <c r="O206" s="29"/>
      <c r="P206" t="s">
        <v>88</v>
      </c>
      <c r="Q206" t="s">
        <v>88</v>
      </c>
      <c r="R206" t="s">
        <v>88</v>
      </c>
      <c r="S206" t="s">
        <v>88</v>
      </c>
      <c r="T206" t="s">
        <v>88</v>
      </c>
      <c r="U206" t="s">
        <v>20</v>
      </c>
    </row>
    <row r="207" spans="1:21" x14ac:dyDescent="0.45">
      <c r="A207" s="29">
        <v>79006203</v>
      </c>
      <c r="B207" s="29" t="str">
        <f t="shared" si="11"/>
        <v>7.900.620-3</v>
      </c>
      <c r="C207" s="22" t="s">
        <v>22</v>
      </c>
      <c r="D207" s="29" t="s">
        <v>422</v>
      </c>
      <c r="E207" s="29" t="s">
        <v>1169</v>
      </c>
      <c r="F207" s="29" t="s">
        <v>250</v>
      </c>
      <c r="G207" s="49">
        <v>45531</v>
      </c>
      <c r="H207" s="49">
        <v>45535</v>
      </c>
      <c r="I207" s="29"/>
      <c r="J207" s="29"/>
      <c r="K207" s="24" t="s">
        <v>43</v>
      </c>
      <c r="L207" s="49">
        <v>45531</v>
      </c>
      <c r="M207" s="49">
        <v>45535</v>
      </c>
      <c r="N207" s="29">
        <f t="shared" si="12"/>
        <v>4</v>
      </c>
      <c r="O207" s="29"/>
      <c r="P207" t="s">
        <v>88</v>
      </c>
      <c r="Q207" t="s">
        <v>88</v>
      </c>
      <c r="R207" t="s">
        <v>88</v>
      </c>
      <c r="S207" t="s">
        <v>88</v>
      </c>
      <c r="T207" t="s">
        <v>88</v>
      </c>
      <c r="U207" t="s">
        <v>20</v>
      </c>
    </row>
    <row r="208" spans="1:21" x14ac:dyDescent="0.45">
      <c r="A208" s="29">
        <v>79006203</v>
      </c>
      <c r="B208" s="29" t="str">
        <f t="shared" si="11"/>
        <v>7.900.620-3</v>
      </c>
      <c r="C208" s="22" t="str">
        <f>IF(IFERROR(VLOOKUP(A208,$A$10:$I207,1,0),0)=0,"",VLOOKUP(A208,$A$10:$I207,3,0))</f>
        <v>UCI</v>
      </c>
      <c r="D208" s="29" t="str">
        <f>IF(IFERROR(VLOOKUP(A208,$A$10:$I207,1,0),0)=0,"",VLOOKUP(A208,$A$10:$I207,4,0))</f>
        <v>TORRES</v>
      </c>
      <c r="E208" s="29" t="str">
        <f>IF(IFERROR(VLOOKUP(A208,$A$10:$I207,1,0),0)=0,"",VLOOKUP(A208,$A$10:$I207,5,0))</f>
        <v>ULLOA</v>
      </c>
      <c r="F208" s="29" t="str">
        <f>IF(IFERROR(VLOOKUP(A208,$A$10:$I207,1,0),0)=0,"",VLOOKUP(A208,$A$10:$I207,6,0))</f>
        <v>JOSE</v>
      </c>
      <c r="G208" s="49">
        <f>IF(IFERROR(VLOOKUP(A208,$A$10:$I207,1,0),0)=0,"",VLOOKUP(A208,$A$10:$I207,7,0))</f>
        <v>45531</v>
      </c>
      <c r="H208" s="29"/>
      <c r="I208" s="29"/>
      <c r="J208" s="29"/>
      <c r="K208" s="24" t="s">
        <v>47</v>
      </c>
      <c r="L208" s="49">
        <v>45531</v>
      </c>
      <c r="M208" s="49">
        <v>45535</v>
      </c>
      <c r="N208" s="29">
        <f t="shared" si="12"/>
        <v>4</v>
      </c>
      <c r="O208" s="29"/>
      <c r="P208" t="s">
        <v>88</v>
      </c>
      <c r="Q208" t="s">
        <v>88</v>
      </c>
      <c r="R208" t="s">
        <v>88</v>
      </c>
      <c r="S208" t="s">
        <v>88</v>
      </c>
      <c r="T208" t="s">
        <v>88</v>
      </c>
      <c r="U208" t="s">
        <v>20</v>
      </c>
    </row>
    <row r="209" spans="1:21" x14ac:dyDescent="0.45">
      <c r="A209">
        <v>82225668</v>
      </c>
      <c r="B209" s="29" t="str">
        <f t="shared" si="11"/>
        <v>8.222.566-8</v>
      </c>
      <c r="C209" s="22" t="s">
        <v>22</v>
      </c>
      <c r="D209" s="29" t="s">
        <v>375</v>
      </c>
      <c r="E209" s="29" t="s">
        <v>1369</v>
      </c>
      <c r="F209" s="29" t="s">
        <v>1370</v>
      </c>
      <c r="G209" s="49">
        <v>45532</v>
      </c>
      <c r="H209" s="29"/>
      <c r="I209" s="29"/>
      <c r="J209" s="29"/>
      <c r="K209" s="24" t="s">
        <v>43</v>
      </c>
      <c r="L209" s="49">
        <v>45532</v>
      </c>
      <c r="M209" s="49">
        <v>45535</v>
      </c>
      <c r="N209" s="29">
        <f t="shared" si="12"/>
        <v>3</v>
      </c>
      <c r="O209" s="29"/>
      <c r="P209" t="s">
        <v>88</v>
      </c>
      <c r="Q209" t="s">
        <v>88</v>
      </c>
      <c r="R209" t="s">
        <v>88</v>
      </c>
      <c r="S209" t="s">
        <v>88</v>
      </c>
      <c r="T209" t="s">
        <v>88</v>
      </c>
      <c r="U209" t="s">
        <v>20</v>
      </c>
    </row>
    <row r="210" spans="1:21" x14ac:dyDescent="0.45">
      <c r="A210">
        <v>82225668</v>
      </c>
      <c r="B210" s="29" t="str">
        <f t="shared" si="11"/>
        <v>8.222.566-8</v>
      </c>
      <c r="C210" s="22" t="str">
        <f>IF(IFERROR(VLOOKUP(A210,$A$10:$I209,1,0),0)=0,"",VLOOKUP(A210,$A$10:$I209,3,0))</f>
        <v>UCI</v>
      </c>
      <c r="D210" s="29" t="str">
        <f>IF(IFERROR(VLOOKUP(A210,$A$10:$I209,1,0),0)=0,"",VLOOKUP(A210,$A$10:$I209,4,0))</f>
        <v>CASTILLO</v>
      </c>
      <c r="E210" s="29" t="str">
        <f>IF(IFERROR(VLOOKUP(A210,$A$10:$I209,1,0),0)=0,"",VLOOKUP(A210,$A$10:$I209,5,0))</f>
        <v>MILLAR</v>
      </c>
      <c r="F210" s="29" t="str">
        <f>IF(IFERROR(VLOOKUP(A210,$A$10:$I209,1,0),0)=0,"",VLOOKUP(A210,$A$10:$I209,6,0))</f>
        <v>IGNELIA</v>
      </c>
      <c r="G210" s="49">
        <f>IF(IFERROR(VLOOKUP(A210,$A$10:$I209,1,0),0)=0,"",VLOOKUP(A210,$A$10:$I209,7,0))</f>
        <v>45532</v>
      </c>
      <c r="H210" s="29"/>
      <c r="I210" s="29"/>
      <c r="J210" s="29"/>
      <c r="K210" s="24" t="s">
        <v>47</v>
      </c>
      <c r="L210" s="49">
        <v>45532</v>
      </c>
      <c r="M210" s="49">
        <v>45535</v>
      </c>
      <c r="N210" s="29">
        <f t="shared" si="12"/>
        <v>3</v>
      </c>
      <c r="O210" s="29"/>
      <c r="P210" t="s">
        <v>88</v>
      </c>
      <c r="Q210" t="s">
        <v>88</v>
      </c>
      <c r="R210" t="s">
        <v>88</v>
      </c>
      <c r="S210" t="s">
        <v>88</v>
      </c>
      <c r="T210" t="s">
        <v>88</v>
      </c>
      <c r="U210" t="s">
        <v>20</v>
      </c>
    </row>
    <row r="211" spans="1:21" x14ac:dyDescent="0.45">
      <c r="A211">
        <v>144815882</v>
      </c>
      <c r="B211" s="29" t="str">
        <f t="shared" si="11"/>
        <v>14.481.588-2</v>
      </c>
      <c r="C211" s="22" t="s">
        <v>22</v>
      </c>
      <c r="D211" t="s">
        <v>1292</v>
      </c>
      <c r="E211" t="s">
        <v>393</v>
      </c>
      <c r="F211" t="s">
        <v>1371</v>
      </c>
      <c r="G211" s="49">
        <v>45527</v>
      </c>
      <c r="H211" s="29"/>
      <c r="I211" s="29"/>
      <c r="J211" s="29"/>
      <c r="K211" s="24" t="s">
        <v>43</v>
      </c>
      <c r="L211" s="49">
        <v>45527</v>
      </c>
      <c r="M211" s="49">
        <v>45535</v>
      </c>
      <c r="N211" s="29">
        <f t="shared" si="12"/>
        <v>8</v>
      </c>
      <c r="O211" s="29"/>
      <c r="P211" t="s">
        <v>88</v>
      </c>
      <c r="Q211" t="s">
        <v>88</v>
      </c>
      <c r="R211" t="s">
        <v>88</v>
      </c>
      <c r="S211" t="s">
        <v>88</v>
      </c>
      <c r="T211" t="s">
        <v>88</v>
      </c>
      <c r="U211" t="s">
        <v>20</v>
      </c>
    </row>
    <row r="212" spans="1:21" x14ac:dyDescent="0.45">
      <c r="A212">
        <v>144815882</v>
      </c>
      <c r="B212" s="29" t="str">
        <f t="shared" si="11"/>
        <v>14.481.588-2</v>
      </c>
      <c r="C212" s="22" t="str">
        <f>IF(IFERROR(VLOOKUP(A212,$A$10:$I211,1,0),0)=0,"",VLOOKUP(A212,$A$10:$I211,3,0))</f>
        <v>UCI</v>
      </c>
      <c r="D212" s="29" t="str">
        <f>IF(IFERROR(VLOOKUP(A212,$A$10:$I211,1,0),0)=0,"",VLOOKUP(A212,$A$10:$I211,4,0))</f>
        <v>CARRERA</v>
      </c>
      <c r="E212" s="29" t="str">
        <f>IF(IFERROR(VLOOKUP(A212,$A$10:$I211,1,0),0)=0,"",VLOOKUP(A212,$A$10:$I211,5,0))</f>
        <v>FERNANDEZ</v>
      </c>
      <c r="F212" s="29" t="str">
        <f>IF(IFERROR(VLOOKUP(A212,$A$10:$I211,1,0),0)=0,"",VLOOKUP(A212,$A$10:$I211,6,0))</f>
        <v>ISABEL</v>
      </c>
      <c r="G212" s="49">
        <f>IF(IFERROR(VLOOKUP(A212,$A$10:$I211,1,0),0)=0,"",VLOOKUP(A212,$A$10:$I211,7,0))</f>
        <v>45527</v>
      </c>
      <c r="H212" s="29"/>
      <c r="I212" s="29"/>
      <c r="J212" s="29"/>
      <c r="K212" s="24" t="s">
        <v>47</v>
      </c>
      <c r="L212" s="49">
        <v>45527</v>
      </c>
      <c r="M212" s="49">
        <v>45535</v>
      </c>
      <c r="N212" s="29">
        <f t="shared" si="12"/>
        <v>8</v>
      </c>
      <c r="O212" s="29"/>
      <c r="P212" t="s">
        <v>88</v>
      </c>
      <c r="Q212" t="s">
        <v>88</v>
      </c>
      <c r="R212" t="s">
        <v>88</v>
      </c>
      <c r="S212" t="s">
        <v>88</v>
      </c>
      <c r="T212" t="s">
        <v>88</v>
      </c>
      <c r="U212" t="s">
        <v>20</v>
      </c>
    </row>
    <row r="213" spans="1:21" x14ac:dyDescent="0.45">
      <c r="A213" s="29">
        <v>55176876</v>
      </c>
      <c r="B213" s="29" t="str">
        <f t="shared" si="11"/>
        <v>5.517.687-6</v>
      </c>
      <c r="C213" s="22" t="s">
        <v>22</v>
      </c>
      <c r="D213" s="29" t="s">
        <v>812</v>
      </c>
      <c r="E213" s="29" t="s">
        <v>583</v>
      </c>
      <c r="F213" s="29" t="s">
        <v>380</v>
      </c>
      <c r="G213" s="49">
        <v>45525</v>
      </c>
      <c r="H213" s="49">
        <v>45529</v>
      </c>
      <c r="I213" s="29"/>
      <c r="J213" s="29" t="s">
        <v>22</v>
      </c>
      <c r="K213" s="24" t="s">
        <v>43</v>
      </c>
      <c r="L213" s="49">
        <v>45525</v>
      </c>
      <c r="M213" s="49">
        <v>45529</v>
      </c>
      <c r="N213" s="29">
        <f t="shared" si="12"/>
        <v>4</v>
      </c>
      <c r="O213" s="29"/>
      <c r="P213" t="s">
        <v>88</v>
      </c>
      <c r="Q213" t="s">
        <v>88</v>
      </c>
      <c r="R213" t="s">
        <v>88</v>
      </c>
      <c r="S213" t="s">
        <v>88</v>
      </c>
      <c r="T213" t="s">
        <v>88</v>
      </c>
      <c r="U213" t="s">
        <v>20</v>
      </c>
    </row>
    <row r="214" spans="1:21" x14ac:dyDescent="0.45">
      <c r="A214" s="29">
        <v>55176876</v>
      </c>
      <c r="B214" s="29" t="str">
        <f t="shared" si="11"/>
        <v>5.517.687-6</v>
      </c>
      <c r="C214" s="22" t="str">
        <f>IF(IFERROR(VLOOKUP(A214,$A$10:$I213,1,0),0)=0,"",VLOOKUP(A214,$A$10:$I213,3,0))</f>
        <v>UCI</v>
      </c>
      <c r="D214" s="29" t="str">
        <f>IF(IFERROR(VLOOKUP(A214,$A$10:$I213,1,0),0)=0,"",VLOOKUP(A214,$A$10:$I213,4,0))</f>
        <v>MANRIQUEZ</v>
      </c>
      <c r="E214" s="29" t="str">
        <f>IF(IFERROR(VLOOKUP(A214,$A$10:$I213,1,0),0)=0,"",VLOOKUP(A214,$A$10:$I213,5,0))</f>
        <v>ALVAREZ</v>
      </c>
      <c r="F214" s="29" t="str">
        <f>IF(IFERROR(VLOOKUP(A214,$A$10:$I213,1,0),0)=0,"",VLOOKUP(A214,$A$10:$I213,6,0))</f>
        <v>VICTOR</v>
      </c>
      <c r="G214" s="49">
        <f>IF(IFERROR(VLOOKUP(A214,$A$10:$I213,1,0),0)=0,"",VLOOKUP(A214,$A$10:$I213,7,0))</f>
        <v>45525</v>
      </c>
      <c r="H214" s="49">
        <v>45529</v>
      </c>
      <c r="I214" s="29"/>
      <c r="J214" s="29" t="s">
        <v>22</v>
      </c>
      <c r="K214" s="24" t="s">
        <v>47</v>
      </c>
      <c r="L214" s="49">
        <v>45525</v>
      </c>
      <c r="M214" s="49">
        <v>45529</v>
      </c>
      <c r="N214" s="29">
        <f t="shared" si="12"/>
        <v>4</v>
      </c>
      <c r="O214" s="29"/>
      <c r="P214" t="s">
        <v>88</v>
      </c>
      <c r="Q214" t="s">
        <v>88</v>
      </c>
      <c r="R214" t="s">
        <v>88</v>
      </c>
      <c r="S214" t="s">
        <v>88</v>
      </c>
      <c r="T214" t="s">
        <v>88</v>
      </c>
      <c r="U214" t="s">
        <v>20</v>
      </c>
    </row>
    <row r="215" spans="1:21" x14ac:dyDescent="0.45">
      <c r="A215" s="29">
        <v>123802500</v>
      </c>
      <c r="B215" s="29" t="str">
        <f t="shared" si="11"/>
        <v>12.380.250-0</v>
      </c>
      <c r="C215" s="22" t="str">
        <f>IF(IFERROR(VLOOKUP(A215,$A$10:$I214,1,0),0)=0,"",VLOOKUP(A215,$A$10:$I214,3,0))</f>
        <v>UCI</v>
      </c>
      <c r="D215" s="29" t="str">
        <f>IF(IFERROR(VLOOKUP(A215,$A$10:$I214,1,0),0)=0,"",VLOOKUP(A215,$A$10:$I214,4,0))</f>
        <v>PEREZ</v>
      </c>
      <c r="E215" s="29" t="str">
        <f>IF(IFERROR(VLOOKUP(A215,$A$10:$I214,1,0),0)=0,"",VLOOKUP(A215,$A$10:$I214,5,0))</f>
        <v>ROMERO</v>
      </c>
      <c r="F215" s="29" t="str">
        <f>IF(IFERROR(VLOOKUP(A215,$A$10:$I214,1,0),0)=0,"",VLOOKUP(A215,$A$10:$I214,6,0))</f>
        <v>ULISES</v>
      </c>
      <c r="G215" s="49">
        <v>45527</v>
      </c>
      <c r="H215" s="49">
        <v>45530</v>
      </c>
      <c r="I215" s="29"/>
      <c r="J215" s="29"/>
      <c r="K215" s="24" t="s">
        <v>43</v>
      </c>
      <c r="L215" s="49">
        <v>45527</v>
      </c>
      <c r="M215" s="49">
        <v>45530</v>
      </c>
      <c r="N215" s="29">
        <f t="shared" si="12"/>
        <v>3</v>
      </c>
      <c r="O215" s="29"/>
      <c r="P215" t="s">
        <v>88</v>
      </c>
      <c r="Q215" t="s">
        <v>88</v>
      </c>
      <c r="R215" t="s">
        <v>88</v>
      </c>
      <c r="S215" t="s">
        <v>88</v>
      </c>
      <c r="T215" t="s">
        <v>88</v>
      </c>
      <c r="U215" t="s">
        <v>20</v>
      </c>
    </row>
    <row r="216" spans="1:21" x14ac:dyDescent="0.45">
      <c r="A216" s="29">
        <v>123802500</v>
      </c>
      <c r="B216" s="29" t="str">
        <f t="shared" si="11"/>
        <v>12.380.250-0</v>
      </c>
      <c r="C216" s="22" t="str">
        <f>IF(IFERROR(VLOOKUP(A216,$A$10:$I215,1,0),0)=0,"",VLOOKUP(A216,$A$10:$I215,3,0))</f>
        <v>UCI</v>
      </c>
      <c r="D216" s="29" t="str">
        <f>IF(IFERROR(VLOOKUP(A216,$A$10:$I215,1,0),0)=0,"",VLOOKUP(A216,$A$10:$I215,4,0))</f>
        <v>PEREZ</v>
      </c>
      <c r="E216" s="29" t="str">
        <f>IF(IFERROR(VLOOKUP(A216,$A$10:$I215,1,0),0)=0,"",VLOOKUP(A216,$A$10:$I215,5,0))</f>
        <v>ROMERO</v>
      </c>
      <c r="F216" s="29" t="str">
        <f>IF(IFERROR(VLOOKUP(A216,$A$10:$I215,1,0),0)=0,"",VLOOKUP(A216,$A$10:$I215,6,0))</f>
        <v>ULISES</v>
      </c>
      <c r="G216" s="49">
        <v>45527</v>
      </c>
      <c r="H216" s="49">
        <v>45530</v>
      </c>
      <c r="I216" s="29"/>
      <c r="J216" s="29"/>
      <c r="K216" s="24" t="s">
        <v>47</v>
      </c>
      <c r="L216" s="49">
        <v>45527</v>
      </c>
      <c r="M216" s="49">
        <v>45530</v>
      </c>
      <c r="N216" s="29">
        <f t="shared" si="12"/>
        <v>3</v>
      </c>
      <c r="O216" s="29"/>
      <c r="P216" t="s">
        <v>88</v>
      </c>
      <c r="Q216" t="s">
        <v>88</v>
      </c>
      <c r="R216" t="s">
        <v>88</v>
      </c>
      <c r="S216" t="s">
        <v>88</v>
      </c>
      <c r="T216" t="s">
        <v>88</v>
      </c>
      <c r="U216" t="s">
        <v>20</v>
      </c>
    </row>
    <row r="217" spans="1:21" x14ac:dyDescent="0.45">
      <c r="A217" s="29">
        <v>101376184</v>
      </c>
      <c r="B217" s="29" t="str">
        <f t="shared" si="11"/>
        <v>10.137.618-4</v>
      </c>
      <c r="C217" s="22" t="s">
        <v>22</v>
      </c>
      <c r="D217" s="29" t="str">
        <f>IF(IFERROR(VLOOKUP(A217,$A$10:$I216,1,0),0)=0,"",VLOOKUP(A217,$A$10:$I216,4,0))</f>
        <v>FRANCO</v>
      </c>
      <c r="E217" s="29" t="str">
        <f>IF(IFERROR(VLOOKUP(A217,$A$10:$I216,1,0),0)=0,"",VLOOKUP(A217,$A$10:$I216,5,0))</f>
        <v>RAMIREZ</v>
      </c>
      <c r="F217" s="29" t="str">
        <f>IF(IFERROR(VLOOKUP(A217,$A$10:$I216,1,0),0)=0,"",VLOOKUP(A217,$A$10:$I216,6,0))</f>
        <v>MARGARITA</v>
      </c>
      <c r="G217" s="49" t="s">
        <v>1372</v>
      </c>
      <c r="H217" s="49">
        <v>45530</v>
      </c>
      <c r="I217" s="29"/>
      <c r="J217" s="29"/>
      <c r="K217" s="24" t="s">
        <v>43</v>
      </c>
      <c r="L217" s="49">
        <v>45527</v>
      </c>
      <c r="M217" s="49">
        <v>45530</v>
      </c>
      <c r="N217" s="29">
        <f t="shared" si="12"/>
        <v>3</v>
      </c>
      <c r="O217" s="29"/>
      <c r="P217" t="s">
        <v>88</v>
      </c>
      <c r="Q217" t="s">
        <v>88</v>
      </c>
      <c r="R217" t="s">
        <v>88</v>
      </c>
      <c r="S217" t="s">
        <v>88</v>
      </c>
      <c r="T217" t="s">
        <v>88</v>
      </c>
      <c r="U217" t="s">
        <v>20</v>
      </c>
    </row>
    <row r="218" spans="1:21" x14ac:dyDescent="0.45">
      <c r="A218" s="29">
        <v>101376184</v>
      </c>
      <c r="B218" s="29" t="str">
        <f t="shared" si="11"/>
        <v>10.137.618-4</v>
      </c>
      <c r="C218" s="22" t="s">
        <v>22</v>
      </c>
      <c r="D218" s="29" t="str">
        <f>IF(IFERROR(VLOOKUP(A218,$A$10:$I217,1,0),0)=0,"",VLOOKUP(A218,$A$10:$I217,4,0))</f>
        <v>FRANCO</v>
      </c>
      <c r="E218" s="29" t="str">
        <f>IF(IFERROR(VLOOKUP(A218,$A$10:$I217,1,0),0)=0,"",VLOOKUP(A218,$A$10:$I217,5,0))</f>
        <v>RAMIREZ</v>
      </c>
      <c r="F218" s="29" t="str">
        <f>IF(IFERROR(VLOOKUP(A218,$A$10:$I217,1,0),0)=0,"",VLOOKUP(A218,$A$10:$I217,6,0))</f>
        <v>MARGARITA</v>
      </c>
      <c r="G218" s="49">
        <v>45527</v>
      </c>
      <c r="H218" s="49">
        <v>45530</v>
      </c>
      <c r="I218" s="29"/>
      <c r="J218" s="29"/>
      <c r="K218" s="24" t="s">
        <v>47</v>
      </c>
      <c r="L218" s="49">
        <v>45527</v>
      </c>
      <c r="M218" s="49">
        <v>45530</v>
      </c>
      <c r="N218" s="29">
        <f t="shared" si="12"/>
        <v>3</v>
      </c>
      <c r="O218" s="29"/>
      <c r="P218" t="s">
        <v>88</v>
      </c>
      <c r="Q218" t="s">
        <v>88</v>
      </c>
      <c r="R218" t="s">
        <v>88</v>
      </c>
      <c r="S218" t="s">
        <v>88</v>
      </c>
      <c r="T218" t="s">
        <v>88</v>
      </c>
      <c r="U218" t="s">
        <v>20</v>
      </c>
    </row>
    <row r="219" spans="1:21" x14ac:dyDescent="0.45">
      <c r="A219" s="29">
        <v>89120039</v>
      </c>
      <c r="B219" s="29" t="str">
        <f t="shared" si="11"/>
        <v>8.912.003-9</v>
      </c>
      <c r="C219" s="22" t="s">
        <v>22</v>
      </c>
      <c r="D219" s="29" t="s">
        <v>1169</v>
      </c>
      <c r="E219" s="29" t="s">
        <v>348</v>
      </c>
      <c r="F219" s="29" t="s">
        <v>1373</v>
      </c>
      <c r="G219" s="49">
        <v>45526</v>
      </c>
      <c r="H219" s="49">
        <v>45529</v>
      </c>
      <c r="I219" s="29"/>
      <c r="J219" s="29"/>
      <c r="K219" s="24" t="s">
        <v>43</v>
      </c>
      <c r="L219" s="49">
        <v>45526</v>
      </c>
      <c r="M219" s="49">
        <v>45529</v>
      </c>
      <c r="N219" s="29">
        <f t="shared" si="12"/>
        <v>3</v>
      </c>
      <c r="O219" s="29"/>
      <c r="P219" t="s">
        <v>88</v>
      </c>
      <c r="Q219" t="s">
        <v>88</v>
      </c>
      <c r="R219" t="s">
        <v>88</v>
      </c>
      <c r="S219" t="s">
        <v>88</v>
      </c>
      <c r="T219" t="s">
        <v>88</v>
      </c>
      <c r="U219" t="s">
        <v>20</v>
      </c>
    </row>
    <row r="220" spans="1:21" x14ac:dyDescent="0.45">
      <c r="A220" s="29">
        <v>89120039</v>
      </c>
      <c r="B220" s="29" t="str">
        <f t="shared" si="11"/>
        <v>8.912.003-9</v>
      </c>
      <c r="C220" s="22" t="str">
        <f>IF(IFERROR(VLOOKUP(A220,$A$10:$I219,1,0),0)=0,"",VLOOKUP(A220,$A$10:$I219,3,0))</f>
        <v>UCI</v>
      </c>
      <c r="D220" s="29" t="str">
        <f>IF(IFERROR(VLOOKUP(A220,$A$10:$I219,1,0),0)=0,"",VLOOKUP(A220,$A$10:$I219,4,0))</f>
        <v>ULLOA</v>
      </c>
      <c r="E220" s="29" t="str">
        <f>IF(IFERROR(VLOOKUP(A220,$A$10:$I219,1,0),0)=0,"",VLOOKUP(A220,$A$10:$I219,5,0))</f>
        <v>MARIA</v>
      </c>
      <c r="F220" s="29" t="str">
        <f>IF(IFERROR(VLOOKUP(A220,$A$10:$I219,1,0),0)=0,"",VLOOKUP(A220,$A$10:$I219,6,0))</f>
        <v>MAYORGA</v>
      </c>
      <c r="G220" s="49">
        <f>IF(IFERROR(VLOOKUP(A220,$A$10:$I219,1,0),0)=0,"",VLOOKUP(A220,$A$10:$I219,7,0))</f>
        <v>45526</v>
      </c>
      <c r="H220" s="29"/>
      <c r="I220" s="29"/>
      <c r="J220" s="29"/>
      <c r="K220" s="24" t="s">
        <v>47</v>
      </c>
      <c r="L220" s="49">
        <v>45526</v>
      </c>
      <c r="M220" s="49">
        <v>45529</v>
      </c>
      <c r="N220" s="29">
        <f t="shared" si="12"/>
        <v>3</v>
      </c>
      <c r="O220" s="29"/>
      <c r="P220" t="s">
        <v>88</v>
      </c>
      <c r="Q220" t="s">
        <v>88</v>
      </c>
      <c r="R220" t="s">
        <v>88</v>
      </c>
      <c r="S220" t="s">
        <v>88</v>
      </c>
      <c r="T220" t="s">
        <v>88</v>
      </c>
      <c r="U220" t="s">
        <v>20</v>
      </c>
    </row>
    <row r="221" spans="1:21" x14ac:dyDescent="0.45">
      <c r="A221" s="29">
        <v>111495386</v>
      </c>
      <c r="B221" s="29" t="str">
        <f t="shared" si="11"/>
        <v>11.149.538-6</v>
      </c>
      <c r="C221" s="22" t="s">
        <v>22</v>
      </c>
      <c r="D221" s="29" t="s">
        <v>652</v>
      </c>
      <c r="E221" s="29" t="s">
        <v>352</v>
      </c>
      <c r="F221" s="29" t="s">
        <v>468</v>
      </c>
      <c r="G221" s="49">
        <v>45526</v>
      </c>
      <c r="H221" s="49">
        <v>45530</v>
      </c>
      <c r="I221" s="29"/>
      <c r="J221" s="29"/>
      <c r="K221" s="24" t="s">
        <v>43</v>
      </c>
      <c r="L221" s="49">
        <v>45526</v>
      </c>
      <c r="M221" s="49">
        <v>45530</v>
      </c>
      <c r="N221" s="29">
        <f t="shared" si="12"/>
        <v>4</v>
      </c>
      <c r="O221" s="29"/>
      <c r="P221" t="s">
        <v>88</v>
      </c>
      <c r="Q221" t="s">
        <v>88</v>
      </c>
      <c r="R221" t="s">
        <v>88</v>
      </c>
      <c r="S221" t="s">
        <v>88</v>
      </c>
      <c r="T221" t="s">
        <v>88</v>
      </c>
      <c r="U221" t="s">
        <v>20</v>
      </c>
    </row>
    <row r="222" spans="1:21" x14ac:dyDescent="0.45">
      <c r="A222" s="29">
        <v>111495386</v>
      </c>
      <c r="B222" s="29" t="str">
        <f t="shared" si="11"/>
        <v>11.149.538-6</v>
      </c>
      <c r="C222" s="22" t="str">
        <f>IF(IFERROR(VLOOKUP(A222,$A$10:$I221,1,0),0)=0,"",VLOOKUP(A222,$A$10:$I221,3,0))</f>
        <v>UCI</v>
      </c>
      <c r="D222" s="29" t="str">
        <f>IF(IFERROR(VLOOKUP(A222,$A$10:$I221,1,0),0)=0,"",VLOOKUP(A222,$A$10:$I221,4,0))</f>
        <v>AGUAYO</v>
      </c>
      <c r="E222" s="29" t="str">
        <f>IF(IFERROR(VLOOKUP(A222,$A$10:$I221,1,0),0)=0,"",VLOOKUP(A222,$A$10:$I221,5,0))</f>
        <v>CONTRERAS</v>
      </c>
      <c r="F222" s="29" t="str">
        <f>IF(IFERROR(VLOOKUP(A222,$A$10:$I221,1,0),0)=0,"",VLOOKUP(A222,$A$10:$I221,6,0))</f>
        <v>ALEJANDRO</v>
      </c>
      <c r="G222" s="49">
        <v>45526</v>
      </c>
      <c r="H222" s="49">
        <v>45530</v>
      </c>
      <c r="I222" s="29"/>
      <c r="J222" s="29"/>
      <c r="K222" s="24" t="s">
        <v>47</v>
      </c>
      <c r="L222" s="49">
        <v>45526</v>
      </c>
      <c r="M222" s="49">
        <v>45530</v>
      </c>
      <c r="N222" s="29">
        <f t="shared" si="12"/>
        <v>4</v>
      </c>
      <c r="O222" s="29"/>
      <c r="P222" t="s">
        <v>88</v>
      </c>
      <c r="Q222" t="s">
        <v>88</v>
      </c>
      <c r="R222" t="s">
        <v>88</v>
      </c>
      <c r="S222" t="s">
        <v>88</v>
      </c>
      <c r="T222" t="s">
        <v>88</v>
      </c>
      <c r="U222" t="s">
        <v>20</v>
      </c>
    </row>
    <row r="223" spans="1:21" x14ac:dyDescent="0.45">
      <c r="A223" s="29">
        <v>53739237</v>
      </c>
      <c r="B223" s="29" t="str">
        <f t="shared" si="11"/>
        <v>5.373.923-7</v>
      </c>
      <c r="C223" s="22" t="s">
        <v>22</v>
      </c>
      <c r="D223" s="29" t="s">
        <v>1161</v>
      </c>
      <c r="E223" s="29" t="s">
        <v>306</v>
      </c>
      <c r="F223" s="29" t="s">
        <v>250</v>
      </c>
      <c r="G223" s="49">
        <v>45529</v>
      </c>
      <c r="H223" s="49">
        <v>45532</v>
      </c>
      <c r="I223" s="29"/>
      <c r="J223" s="29"/>
      <c r="K223" s="24" t="s">
        <v>43</v>
      </c>
      <c r="L223" s="49">
        <v>45529</v>
      </c>
      <c r="M223" s="49">
        <v>45532</v>
      </c>
      <c r="N223" s="29">
        <f t="shared" si="12"/>
        <v>3</v>
      </c>
      <c r="O223" s="29"/>
      <c r="P223" t="s">
        <v>88</v>
      </c>
      <c r="Q223" t="s">
        <v>88</v>
      </c>
      <c r="R223" t="s">
        <v>88</v>
      </c>
      <c r="S223" t="s">
        <v>88</v>
      </c>
      <c r="T223" t="s">
        <v>88</v>
      </c>
      <c r="U223" t="s">
        <v>20</v>
      </c>
    </row>
    <row r="224" spans="1:21" x14ac:dyDescent="0.45">
      <c r="A224" s="29">
        <v>53739237</v>
      </c>
      <c r="B224" s="29" t="str">
        <f t="shared" si="11"/>
        <v>5.373.923-7</v>
      </c>
      <c r="C224" s="22" t="str">
        <f>IF(IFERROR(VLOOKUP(A224,$A$10:$I223,1,0),0)=0,"",VLOOKUP(A224,$A$10:$I223,3,0))</f>
        <v>UCI</v>
      </c>
      <c r="D224" s="29" t="str">
        <f>IF(IFERROR(VLOOKUP(A224,$A$10:$I223,1,0),0)=0,"",VLOOKUP(A224,$A$10:$I223,4,0))</f>
        <v>AVELLO</v>
      </c>
      <c r="E224" s="29" t="str">
        <f>IF(IFERROR(VLOOKUP(A224,$A$10:$I223,1,0),0)=0,"",VLOOKUP(A224,$A$10:$I223,5,0))</f>
        <v>RIVERA</v>
      </c>
      <c r="F224" s="29" t="str">
        <f>IF(IFERROR(VLOOKUP(A224,$A$10:$I223,1,0),0)=0,"",VLOOKUP(A224,$A$10:$I223,6,0))</f>
        <v>JOSE</v>
      </c>
      <c r="G224" s="49">
        <f>IF(IFERROR(VLOOKUP(A224,$A$10:$I223,1,0),0)=0,"",VLOOKUP(A224,$A$10:$I223,7,0))</f>
        <v>45529</v>
      </c>
      <c r="H224" s="49">
        <v>45532</v>
      </c>
      <c r="I224" s="29"/>
      <c r="J224" s="29"/>
      <c r="K224" s="24" t="s">
        <v>47</v>
      </c>
      <c r="L224" s="49">
        <v>45529</v>
      </c>
      <c r="M224" s="49">
        <v>45532</v>
      </c>
      <c r="N224" s="29">
        <f t="shared" si="12"/>
        <v>3</v>
      </c>
      <c r="O224" s="29"/>
      <c r="P224" t="s">
        <v>88</v>
      </c>
      <c r="Q224" t="s">
        <v>88</v>
      </c>
      <c r="R224" t="s">
        <v>88</v>
      </c>
      <c r="S224" t="s">
        <v>88</v>
      </c>
      <c r="T224" t="s">
        <v>88</v>
      </c>
      <c r="U224" t="s">
        <v>20</v>
      </c>
    </row>
    <row r="225" spans="1:21" x14ac:dyDescent="0.45">
      <c r="A225" s="29">
        <v>62586052</v>
      </c>
      <c r="B225" s="29" t="str">
        <f t="shared" si="11"/>
        <v>6.258.605-2</v>
      </c>
      <c r="C225" s="22" t="s">
        <v>22</v>
      </c>
      <c r="D225" s="29" t="s">
        <v>1374</v>
      </c>
      <c r="E225" s="29" t="s">
        <v>1375</v>
      </c>
      <c r="F225" s="29" t="s">
        <v>872</v>
      </c>
      <c r="G225" s="49">
        <v>45528</v>
      </c>
      <c r="H225" s="49">
        <v>45532</v>
      </c>
      <c r="I225" s="29"/>
      <c r="J225" s="29"/>
      <c r="K225" s="24" t="s">
        <v>43</v>
      </c>
      <c r="L225" s="49">
        <v>45528</v>
      </c>
      <c r="M225" s="49">
        <v>45532</v>
      </c>
      <c r="N225" s="29">
        <f t="shared" si="12"/>
        <v>4</v>
      </c>
      <c r="O225" s="29"/>
      <c r="P225" t="s">
        <v>88</v>
      </c>
      <c r="Q225" t="s">
        <v>88</v>
      </c>
      <c r="R225" t="s">
        <v>88</v>
      </c>
      <c r="S225" t="s">
        <v>88</v>
      </c>
      <c r="T225" t="s">
        <v>88</v>
      </c>
      <c r="U225" t="s">
        <v>20</v>
      </c>
    </row>
    <row r="226" spans="1:21" x14ac:dyDescent="0.45">
      <c r="A226" s="29">
        <v>62586052</v>
      </c>
      <c r="B226" s="29" t="str">
        <f t="shared" si="11"/>
        <v>6.258.605-2</v>
      </c>
      <c r="C226" s="22" t="str">
        <f>IF(IFERROR(VLOOKUP(A226,$A$10:$I225,1,0),0)=0,"",VLOOKUP(A226,$A$10:$I225,3,0))</f>
        <v>UCI</v>
      </c>
      <c r="D226" s="29" t="str">
        <f>IF(IFERROR(VLOOKUP(A226,$A$10:$I225,1,0),0)=0,"",VLOOKUP(A226,$A$10:$I225,4,0))</f>
        <v>SOTTOLICHIO</v>
      </c>
      <c r="E226" s="29" t="str">
        <f>IF(IFERROR(VLOOKUP(A226,$A$10:$I225,1,0),0)=0,"",VLOOKUP(A226,$A$10:$I225,5,0))</f>
        <v>URQUIZA</v>
      </c>
      <c r="F226" s="29" t="str">
        <f>IF(IFERROR(VLOOKUP(A226,$A$10:$I225,1,0),0)=0,"",VLOOKUP(A226,$A$10:$I225,6,0))</f>
        <v>BERNARDO</v>
      </c>
      <c r="G226" s="49">
        <f>IF(IFERROR(VLOOKUP(A226,$A$10:$I225,1,0),0)=0,"",VLOOKUP(A226,$A$10:$I225,7,0))</f>
        <v>45528</v>
      </c>
      <c r="H226" s="49">
        <v>45532</v>
      </c>
      <c r="I226" s="29"/>
      <c r="J226" s="29"/>
      <c r="K226" s="24" t="s">
        <v>47</v>
      </c>
      <c r="L226" s="49">
        <v>45528</v>
      </c>
      <c r="M226" s="49">
        <v>45532</v>
      </c>
      <c r="N226" s="29">
        <f t="shared" si="12"/>
        <v>4</v>
      </c>
      <c r="O226" s="29"/>
      <c r="P226" t="s">
        <v>88</v>
      </c>
      <c r="Q226" t="s">
        <v>88</v>
      </c>
      <c r="R226" t="s">
        <v>88</v>
      </c>
      <c r="S226" t="s">
        <v>88</v>
      </c>
      <c r="T226" t="s">
        <v>88</v>
      </c>
      <c r="U226" t="s">
        <v>20</v>
      </c>
    </row>
    <row r="227" spans="1:21" x14ac:dyDescent="0.45">
      <c r="A227" s="29">
        <v>62586052</v>
      </c>
      <c r="B227" s="29" t="str">
        <f t="shared" si="11"/>
        <v>6.258.605-2</v>
      </c>
      <c r="C227" s="22" t="str">
        <f>IF(IFERROR(VLOOKUP(A227,$A$10:$I226,1,0),0)=0,"",VLOOKUP(A227,$A$10:$I226,3,0))</f>
        <v>UCI</v>
      </c>
      <c r="D227" s="29" t="str">
        <f>IF(IFERROR(VLOOKUP(A227,$A$10:$I226,1,0),0)=0,"",VLOOKUP(A227,$A$10:$I226,4,0))</f>
        <v>SOTTOLICHIO</v>
      </c>
      <c r="E227" s="29" t="str">
        <f>IF(IFERROR(VLOOKUP(A227,$A$10:$I226,1,0),0)=0,"",VLOOKUP(A227,$A$10:$I226,5,0))</f>
        <v>URQUIZA</v>
      </c>
      <c r="F227" s="29" t="str">
        <f>IF(IFERROR(VLOOKUP(A227,$A$10:$I226,1,0),0)=0,"",VLOOKUP(A227,$A$10:$I226,6,0))</f>
        <v>BERNARDO</v>
      </c>
      <c r="G227" s="49">
        <f>IF(IFERROR(VLOOKUP(A227,$A$10:$I226,1,0),0)=0,"",VLOOKUP(A227,$A$10:$I226,7,0))</f>
        <v>45528</v>
      </c>
      <c r="H227" s="49">
        <v>45532</v>
      </c>
      <c r="I227" s="29"/>
      <c r="J227" s="29"/>
      <c r="K227" s="24" t="s">
        <v>55</v>
      </c>
      <c r="L227" s="49">
        <v>45528</v>
      </c>
      <c r="M227" s="49">
        <v>45532</v>
      </c>
      <c r="N227" s="29">
        <f t="shared" si="12"/>
        <v>4</v>
      </c>
      <c r="O227" s="29"/>
      <c r="P227" t="s">
        <v>88</v>
      </c>
      <c r="Q227" t="s">
        <v>88</v>
      </c>
      <c r="R227" t="s">
        <v>88</v>
      </c>
      <c r="S227" t="s">
        <v>88</v>
      </c>
      <c r="T227" t="s">
        <v>88</v>
      </c>
      <c r="U227" t="s">
        <v>20</v>
      </c>
    </row>
    <row r="228" spans="1:21" x14ac:dyDescent="0.45">
      <c r="A228" s="29" t="s">
        <v>1376</v>
      </c>
      <c r="B228" s="29" t="str">
        <f t="shared" si="11"/>
        <v>5.112.918-0</v>
      </c>
      <c r="C228" s="22" t="s">
        <v>38</v>
      </c>
      <c r="D228" s="29" t="s">
        <v>646</v>
      </c>
      <c r="E228" s="29" t="s">
        <v>307</v>
      </c>
      <c r="F228" s="29" t="s">
        <v>250</v>
      </c>
      <c r="G228" s="49">
        <v>45502</v>
      </c>
      <c r="H228" s="49">
        <v>45519</v>
      </c>
      <c r="I228" s="29" t="s">
        <v>66</v>
      </c>
      <c r="J228" s="29" t="s">
        <v>24</v>
      </c>
      <c r="K228" s="24" t="s">
        <v>43</v>
      </c>
      <c r="L228" s="49">
        <v>45505</v>
      </c>
      <c r="M228" s="49">
        <v>45519</v>
      </c>
      <c r="N228" s="29">
        <f t="shared" si="12"/>
        <v>14</v>
      </c>
      <c r="O228" s="29"/>
      <c r="P228" t="s">
        <v>88</v>
      </c>
      <c r="Q228" t="s">
        <v>88</v>
      </c>
      <c r="R228" t="s">
        <v>88</v>
      </c>
      <c r="S228" t="s">
        <v>88</v>
      </c>
      <c r="T228" t="s">
        <v>88</v>
      </c>
      <c r="U228" t="s">
        <v>20</v>
      </c>
    </row>
    <row r="229" spans="1:21" x14ac:dyDescent="0.45">
      <c r="A229" s="29" t="s">
        <v>1376</v>
      </c>
      <c r="B229" s="29" t="str">
        <f t="shared" si="11"/>
        <v>5.112.918-0</v>
      </c>
      <c r="C229" s="22" t="str">
        <f>IF(IFERROR(VLOOKUP(A229,$A$10:$I228,1,0),0)=0,"",VLOOKUP(A229,$A$10:$I228,3,0))</f>
        <v xml:space="preserve">Sala de cuidados intermedios </v>
      </c>
      <c r="D229" s="29" t="str">
        <f>IF(IFERROR(VLOOKUP(A229,$A$10:$I228,1,0),0)=0,"",VLOOKUP(A229,$A$10:$I228,4,0))</f>
        <v>ARRIAGADA</v>
      </c>
      <c r="E229" s="29" t="str">
        <f>IF(IFERROR(VLOOKUP(A229,$A$10:$I228,1,0),0)=0,"",VLOOKUP(A229,$A$10:$I228,5,0))</f>
        <v>ESCOBAR</v>
      </c>
      <c r="F229" s="29" t="str">
        <f>IF(IFERROR(VLOOKUP(A229,$A$10:$I228,1,0),0)=0,"",VLOOKUP(A229,$A$10:$I228,6,0))</f>
        <v>JOSE</v>
      </c>
      <c r="G229" s="49">
        <f>IF(IFERROR(VLOOKUP(A229,$A$10:$I228,1,0),0)=0,"",VLOOKUP(A229,$A$10:$I228,7,0))</f>
        <v>45502</v>
      </c>
      <c r="H229" s="49">
        <v>45519</v>
      </c>
      <c r="I229" s="29" t="s">
        <v>66</v>
      </c>
      <c r="J229" s="29" t="s">
        <v>24</v>
      </c>
      <c r="K229" s="24" t="s">
        <v>47</v>
      </c>
      <c r="L229" s="49">
        <v>45505</v>
      </c>
      <c r="M229" s="49">
        <v>45505</v>
      </c>
      <c r="N229" s="29">
        <f t="shared" si="12"/>
        <v>0</v>
      </c>
      <c r="O229" s="29"/>
      <c r="P229" t="s">
        <v>88</v>
      </c>
      <c r="Q229" t="s">
        <v>88</v>
      </c>
      <c r="R229" t="s">
        <v>88</v>
      </c>
      <c r="S229" t="s">
        <v>88</v>
      </c>
      <c r="T229" t="s">
        <v>88</v>
      </c>
      <c r="U229" t="s">
        <v>20</v>
      </c>
    </row>
    <row r="230" spans="1:21" x14ac:dyDescent="0.45">
      <c r="A230" s="29" t="s">
        <v>1377</v>
      </c>
      <c r="B230" s="29" t="str">
        <f t="shared" si="11"/>
        <v>9.328.110-1</v>
      </c>
      <c r="C230" s="22" t="s">
        <v>38</v>
      </c>
      <c r="D230" s="29" t="s">
        <v>248</v>
      </c>
      <c r="E230" s="29" t="s">
        <v>1378</v>
      </c>
      <c r="F230" s="29" t="s">
        <v>468</v>
      </c>
      <c r="G230" s="49">
        <v>45512</v>
      </c>
      <c r="H230" s="49">
        <v>45513</v>
      </c>
      <c r="I230" s="29"/>
      <c r="J230" s="29"/>
      <c r="K230" s="24" t="s">
        <v>62</v>
      </c>
      <c r="L230" s="49">
        <v>45512</v>
      </c>
      <c r="M230" s="49">
        <v>45513</v>
      </c>
      <c r="N230" s="29">
        <f t="shared" si="12"/>
        <v>1</v>
      </c>
      <c r="O230" s="29"/>
      <c r="P230" t="s">
        <v>88</v>
      </c>
      <c r="Q230" t="s">
        <v>88</v>
      </c>
      <c r="R230" t="s">
        <v>88</v>
      </c>
      <c r="S230" t="s">
        <v>88</v>
      </c>
      <c r="T230" t="s">
        <v>88</v>
      </c>
      <c r="U230" t="s">
        <v>20</v>
      </c>
    </row>
    <row r="231" spans="1:21" x14ac:dyDescent="0.45">
      <c r="A231" s="29" t="s">
        <v>1379</v>
      </c>
      <c r="B231" s="29" t="str">
        <f t="shared" si="11"/>
        <v>5.373.786-2</v>
      </c>
      <c r="C231" s="22" t="s">
        <v>38</v>
      </c>
      <c r="D231" s="29" t="s">
        <v>1380</v>
      </c>
      <c r="E231" s="29" t="s">
        <v>465</v>
      </c>
      <c r="F231" s="29" t="s">
        <v>250</v>
      </c>
      <c r="G231" s="49">
        <v>45507</v>
      </c>
      <c r="H231" s="49">
        <v>45531</v>
      </c>
      <c r="I231" s="29"/>
      <c r="J231" s="29"/>
      <c r="K231" s="24" t="s">
        <v>43</v>
      </c>
      <c r="L231" s="49">
        <v>45507</v>
      </c>
      <c r="M231" s="49">
        <v>45531</v>
      </c>
      <c r="N231" s="29">
        <f t="shared" si="12"/>
        <v>24</v>
      </c>
      <c r="O231" s="29"/>
      <c r="P231" t="s">
        <v>88</v>
      </c>
      <c r="Q231" t="s">
        <v>88</v>
      </c>
      <c r="R231" t="s">
        <v>88</v>
      </c>
      <c r="S231" t="s">
        <v>88</v>
      </c>
      <c r="T231" t="s">
        <v>88</v>
      </c>
      <c r="U231" t="s">
        <v>20</v>
      </c>
    </row>
    <row r="232" spans="1:21" x14ac:dyDescent="0.45">
      <c r="A232" s="29" t="s">
        <v>1379</v>
      </c>
      <c r="B232" s="29" t="str">
        <f t="shared" si="11"/>
        <v>5.373.786-2</v>
      </c>
      <c r="C232" s="22" t="str">
        <f>IF(IFERROR(VLOOKUP(A232,$A$10:$I231,1,0),0)=0,"",VLOOKUP(A232,$A$10:$I231,3,0))</f>
        <v xml:space="preserve">Sala de cuidados intermedios </v>
      </c>
      <c r="D232" s="29" t="str">
        <f>IF(IFERROR(VLOOKUP(A232,$A$10:$I231,1,0),0)=0,"",VLOOKUP(A232,$A$10:$I231,4,0))</f>
        <v>AGUILAR</v>
      </c>
      <c r="E232" s="29" t="str">
        <f>IF(IFERROR(VLOOKUP(A232,$A$10:$I231,1,0),0)=0,"",VLOOKUP(A232,$A$10:$I231,5,0))</f>
        <v>NAVARRO</v>
      </c>
      <c r="F232" s="29" t="str">
        <f>IF(IFERROR(VLOOKUP(A232,$A$10:$I231,1,0),0)=0,"",VLOOKUP(A232,$A$10:$I231,6,0))</f>
        <v>JOSE</v>
      </c>
      <c r="G232" s="49">
        <f>IF(IFERROR(VLOOKUP(A232,$A$10:$I231,1,0),0)=0,"",VLOOKUP(A232,$A$10:$I231,7,0))</f>
        <v>45507</v>
      </c>
      <c r="H232" s="29"/>
      <c r="I232" s="29"/>
      <c r="J232" s="29"/>
      <c r="K232" s="24" t="s">
        <v>47</v>
      </c>
      <c r="L232" s="49">
        <v>45507</v>
      </c>
      <c r="M232" s="49">
        <v>45531</v>
      </c>
      <c r="N232" s="29">
        <f t="shared" si="12"/>
        <v>24</v>
      </c>
      <c r="O232" s="29"/>
      <c r="P232" t="s">
        <v>88</v>
      </c>
      <c r="Q232" t="s">
        <v>88</v>
      </c>
      <c r="R232" t="s">
        <v>88</v>
      </c>
      <c r="S232" t="s">
        <v>88</v>
      </c>
      <c r="T232" t="s">
        <v>88</v>
      </c>
      <c r="U232" t="s">
        <v>20</v>
      </c>
    </row>
    <row r="233" spans="1:21" x14ac:dyDescent="0.45">
      <c r="A233" s="29">
        <v>186837959</v>
      </c>
      <c r="B233" s="29" t="str">
        <f t="shared" si="11"/>
        <v>18.683.795-9</v>
      </c>
      <c r="C233" s="22" t="s">
        <v>38</v>
      </c>
      <c r="D233" s="29" t="str">
        <f>IF(IFERROR(VLOOKUP(A233,$A$10:$I232,1,0),0)=0,"",VLOOKUP(A233,$A$10:$I232,4,0))</f>
        <v>MUNOZ</v>
      </c>
      <c r="E233" s="29" t="str">
        <f>IF(IFERROR(VLOOKUP(A233,$A$10:$I232,1,0),0)=0,"",VLOOKUP(A233,$A$10:$I232,5,0))</f>
        <v>MEDINA</v>
      </c>
      <c r="F233" s="29" t="str">
        <f>IF(IFERROR(VLOOKUP(A233,$A$10:$I232,1,0),0)=0,"",VLOOKUP(A233,$A$10:$I232,6,0))</f>
        <v>FABIAN</v>
      </c>
      <c r="G233" s="49">
        <v>45502</v>
      </c>
      <c r="H233" s="49">
        <v>45515</v>
      </c>
      <c r="I233" s="29"/>
      <c r="J233" s="29"/>
      <c r="K233" s="24" t="s">
        <v>43</v>
      </c>
      <c r="L233" s="49">
        <v>45505</v>
      </c>
      <c r="M233" s="49">
        <v>45515</v>
      </c>
      <c r="N233" s="29">
        <f t="shared" si="12"/>
        <v>10</v>
      </c>
      <c r="O233" s="29"/>
      <c r="P233" t="s">
        <v>88</v>
      </c>
      <c r="Q233" t="s">
        <v>88</v>
      </c>
      <c r="R233" t="s">
        <v>88</v>
      </c>
      <c r="S233" t="s">
        <v>88</v>
      </c>
      <c r="T233" t="s">
        <v>88</v>
      </c>
      <c r="U233" t="s">
        <v>20</v>
      </c>
    </row>
    <row r="234" spans="1:21" x14ac:dyDescent="0.45">
      <c r="A234" s="29">
        <v>186837959</v>
      </c>
      <c r="B234" s="29" t="str">
        <f t="shared" si="11"/>
        <v>18.683.795-9</v>
      </c>
      <c r="C234" s="22" t="s">
        <v>38</v>
      </c>
      <c r="D234" s="29" t="str">
        <f>IF(IFERROR(VLOOKUP(A234,$A$10:$I233,1,0),0)=0,"",VLOOKUP(A234,$A$10:$I233,4,0))</f>
        <v>MUNOZ</v>
      </c>
      <c r="E234" s="29" t="str">
        <f>IF(IFERROR(VLOOKUP(A234,$A$10:$I233,1,0),0)=0,"",VLOOKUP(A234,$A$10:$I233,5,0))</f>
        <v>MEDINA</v>
      </c>
      <c r="F234" s="29" t="str">
        <f>IF(IFERROR(VLOOKUP(A234,$A$10:$I233,1,0),0)=0,"",VLOOKUP(A234,$A$10:$I233,6,0))</f>
        <v>FABIAN</v>
      </c>
      <c r="G234" s="49">
        <v>45502</v>
      </c>
      <c r="H234" s="49">
        <v>45515</v>
      </c>
      <c r="I234" s="29"/>
      <c r="J234" s="29"/>
      <c r="K234" s="24" t="s">
        <v>47</v>
      </c>
      <c r="L234" s="49">
        <v>45505</v>
      </c>
      <c r="M234" s="49">
        <v>45506</v>
      </c>
      <c r="N234" s="29">
        <f t="shared" si="12"/>
        <v>1</v>
      </c>
      <c r="O234" s="29"/>
      <c r="P234" t="s">
        <v>88</v>
      </c>
      <c r="Q234" t="s">
        <v>88</v>
      </c>
      <c r="R234" t="s">
        <v>88</v>
      </c>
      <c r="S234" t="s">
        <v>88</v>
      </c>
      <c r="T234" t="s">
        <v>88</v>
      </c>
      <c r="U234" t="s">
        <v>20</v>
      </c>
    </row>
    <row r="235" spans="1:21" x14ac:dyDescent="0.45">
      <c r="A235" s="29">
        <v>63024821</v>
      </c>
      <c r="B235" s="29" t="str">
        <f t="shared" si="11"/>
        <v>6.302.482-1</v>
      </c>
      <c r="C235" s="22" t="s">
        <v>38</v>
      </c>
      <c r="D235" s="29" t="s">
        <v>496</v>
      </c>
      <c r="E235" s="29" t="s">
        <v>873</v>
      </c>
      <c r="F235" s="29" t="s">
        <v>1381</v>
      </c>
      <c r="G235" s="49">
        <v>45505</v>
      </c>
      <c r="H235" s="49">
        <v>45514</v>
      </c>
      <c r="I235" s="29"/>
      <c r="J235" s="29"/>
      <c r="K235" s="24" t="s">
        <v>43</v>
      </c>
      <c r="L235" s="49">
        <v>45512</v>
      </c>
      <c r="M235" s="49">
        <v>45514</v>
      </c>
      <c r="N235" s="29">
        <f t="shared" si="12"/>
        <v>2</v>
      </c>
      <c r="O235" s="29"/>
      <c r="P235" t="s">
        <v>88</v>
      </c>
      <c r="Q235" t="s">
        <v>88</v>
      </c>
      <c r="R235" t="s">
        <v>88</v>
      </c>
      <c r="S235" t="s">
        <v>88</v>
      </c>
      <c r="T235" t="s">
        <v>88</v>
      </c>
      <c r="U235" t="s">
        <v>20</v>
      </c>
    </row>
    <row r="236" spans="1:21" x14ac:dyDescent="0.45">
      <c r="A236" s="29">
        <v>63024821</v>
      </c>
      <c r="B236" s="29" t="str">
        <f t="shared" si="11"/>
        <v>6.302.482-1</v>
      </c>
      <c r="C236" s="22" t="str">
        <f>IF(IFERROR(VLOOKUP(A236,$A$10:$I235,1,0),0)=0,"",VLOOKUP(A236,$A$10:$I235,3,0))</f>
        <v xml:space="preserve">Sala de cuidados intermedios </v>
      </c>
      <c r="D236" s="29" t="str">
        <f>IF(IFERROR(VLOOKUP(A236,$A$10:$I235,1,0),0)=0,"",VLOOKUP(A236,$A$10:$I235,4,0))</f>
        <v>ACUÑA</v>
      </c>
      <c r="E236" s="29" t="str">
        <f>IF(IFERROR(VLOOKUP(A236,$A$10:$I235,1,0),0)=0,"",VLOOKUP(A236,$A$10:$I235,5,0))</f>
        <v>ZAPATA</v>
      </c>
      <c r="F236" s="29" t="str">
        <f>IF(IFERROR(VLOOKUP(A236,$A$10:$I235,1,0),0)=0,"",VLOOKUP(A236,$A$10:$I235,6,0))</f>
        <v>MARLENE</v>
      </c>
      <c r="G236" s="49">
        <f>IF(IFERROR(VLOOKUP(A236,$A$10:$I235,1,0),0)=0,"",VLOOKUP(A236,$A$10:$I235,7,0))</f>
        <v>45505</v>
      </c>
      <c r="H236" s="49">
        <v>45514</v>
      </c>
      <c r="I236" s="29"/>
      <c r="J236" s="29"/>
      <c r="K236" s="24" t="s">
        <v>47</v>
      </c>
      <c r="L236" s="49">
        <v>45506</v>
      </c>
      <c r="M236" s="49">
        <v>45514</v>
      </c>
      <c r="N236" s="29">
        <f t="shared" si="12"/>
        <v>8</v>
      </c>
      <c r="O236" s="29"/>
      <c r="P236" t="s">
        <v>88</v>
      </c>
      <c r="Q236" t="s">
        <v>88</v>
      </c>
      <c r="R236" t="s">
        <v>88</v>
      </c>
      <c r="S236" t="s">
        <v>88</v>
      </c>
      <c r="T236" t="s">
        <v>88</v>
      </c>
      <c r="U236" t="s">
        <v>20</v>
      </c>
    </row>
    <row r="237" spans="1:21" x14ac:dyDescent="0.45">
      <c r="A237" s="29">
        <v>131284101</v>
      </c>
      <c r="B237" s="29" t="str">
        <f t="shared" ref="B237:B256" si="13">IF(LEN(A237)=8,MID(A237,1,1)&amp;"."&amp;MID(A237,2,3)&amp;"."&amp;MID(A237,5,3)&amp;"-"&amp;RIGHT(A237,1),IF(LEFT(RIGHT(A237,2),1)="-",MID(A237,1,1)&amp;"."&amp;MID(A237,2,3)&amp;"."&amp;MID(A237,5,3)&amp;"-"&amp;RIGHT(A237,1),MID(A237,1,2)&amp;"."&amp;MID(A237,3,3)&amp;"."&amp;MID(A237,6,3)&amp;"-"&amp;MID(A237,9,1)))</f>
        <v>13.128.410-1</v>
      </c>
      <c r="C237" s="22" t="s">
        <v>38</v>
      </c>
      <c r="D237" s="29" t="s">
        <v>810</v>
      </c>
      <c r="E237" s="29" t="s">
        <v>318</v>
      </c>
      <c r="F237" s="29" t="s">
        <v>798</v>
      </c>
      <c r="G237" s="49">
        <v>45525</v>
      </c>
      <c r="H237" s="49">
        <v>45534</v>
      </c>
      <c r="I237" s="29"/>
      <c r="J237" s="29" t="s">
        <v>24</v>
      </c>
      <c r="K237" s="24" t="s">
        <v>43</v>
      </c>
      <c r="L237" s="49">
        <v>45525</v>
      </c>
      <c r="M237" s="49">
        <v>45534</v>
      </c>
      <c r="N237" s="29">
        <f t="shared" ref="N237:N256" si="14">+M237-L237</f>
        <v>9</v>
      </c>
      <c r="O237" s="29"/>
      <c r="P237" t="s">
        <v>88</v>
      </c>
      <c r="Q237" t="s">
        <v>88</v>
      </c>
      <c r="R237" t="s">
        <v>88</v>
      </c>
      <c r="S237" t="s">
        <v>88</v>
      </c>
      <c r="T237" t="s">
        <v>88</v>
      </c>
      <c r="U237" t="s">
        <v>20</v>
      </c>
    </row>
    <row r="238" spans="1:21" x14ac:dyDescent="0.45">
      <c r="A238" s="29">
        <v>131284101</v>
      </c>
      <c r="B238" s="29" t="str">
        <f t="shared" si="13"/>
        <v>13.128.410-1</v>
      </c>
      <c r="C238" s="22" t="str">
        <f>IF(IFERROR(VLOOKUP(A238,$A$10:$I237,1,0),0)=0,"",VLOOKUP(A238,$A$10:$I237,3,0))</f>
        <v xml:space="preserve">Sala de cuidados intermedios </v>
      </c>
      <c r="D238" s="29" t="str">
        <f>IF(IFERROR(VLOOKUP(A238,$A$10:$I237,1,0),0)=0,"",VLOOKUP(A238,$A$10:$I237,4,0))</f>
        <v>CARTES</v>
      </c>
      <c r="E238" s="29" t="str">
        <f>IF(IFERROR(VLOOKUP(A238,$A$10:$I237,1,0),0)=0,"",VLOOKUP(A238,$A$10:$I237,5,0))</f>
        <v>VERA</v>
      </c>
      <c r="F238" s="29" t="str">
        <f>IF(IFERROR(VLOOKUP(A238,$A$10:$I237,1,0),0)=0,"",VLOOKUP(A238,$A$10:$I237,6,0))</f>
        <v>CLAUDIO</v>
      </c>
      <c r="G238" s="49">
        <f>IF(IFERROR(VLOOKUP(A238,$A$10:$I237,1,0),0)=0,"",VLOOKUP(A238,$A$10:$I237,7,0))</f>
        <v>45525</v>
      </c>
      <c r="H238" s="49">
        <v>45534</v>
      </c>
      <c r="I238" s="29"/>
      <c r="J238" s="29" t="s">
        <v>24</v>
      </c>
      <c r="K238" s="24" t="s">
        <v>47</v>
      </c>
      <c r="L238" s="49">
        <v>45525</v>
      </c>
      <c r="M238" s="49">
        <v>45528</v>
      </c>
      <c r="N238" s="29">
        <f t="shared" si="14"/>
        <v>3</v>
      </c>
      <c r="O238" s="29"/>
      <c r="P238" t="s">
        <v>88</v>
      </c>
      <c r="Q238" t="s">
        <v>88</v>
      </c>
      <c r="R238" t="s">
        <v>88</v>
      </c>
      <c r="S238" t="s">
        <v>88</v>
      </c>
      <c r="T238" t="s">
        <v>88</v>
      </c>
      <c r="U238" t="s">
        <v>20</v>
      </c>
    </row>
    <row r="239" spans="1:21" x14ac:dyDescent="0.45">
      <c r="A239" s="29">
        <v>43336606</v>
      </c>
      <c r="B239" s="29" t="str">
        <f t="shared" si="13"/>
        <v>4.333.660-6</v>
      </c>
      <c r="C239" s="22" t="s">
        <v>38</v>
      </c>
      <c r="D239" s="29" t="s">
        <v>248</v>
      </c>
      <c r="E239" s="29" t="s">
        <v>1382</v>
      </c>
      <c r="F239" s="29" t="s">
        <v>676</v>
      </c>
      <c r="G239" s="49">
        <v>45523</v>
      </c>
      <c r="H239" s="49">
        <v>45527</v>
      </c>
      <c r="I239" s="29"/>
      <c r="J239" s="29"/>
      <c r="K239" s="24" t="s">
        <v>43</v>
      </c>
      <c r="L239" s="49">
        <v>45523</v>
      </c>
      <c r="M239" s="49">
        <v>45527</v>
      </c>
      <c r="N239" s="29">
        <f t="shared" si="14"/>
        <v>4</v>
      </c>
      <c r="O239" s="29"/>
      <c r="P239" t="s">
        <v>88</v>
      </c>
      <c r="Q239" t="s">
        <v>88</v>
      </c>
      <c r="R239" t="s">
        <v>88</v>
      </c>
      <c r="S239" t="s">
        <v>88</v>
      </c>
      <c r="T239" t="s">
        <v>88</v>
      </c>
      <c r="U239" t="s">
        <v>20</v>
      </c>
    </row>
    <row r="240" spans="1:21" x14ac:dyDescent="0.45">
      <c r="A240" s="29">
        <v>43336606</v>
      </c>
      <c r="B240" s="29" t="str">
        <f t="shared" si="13"/>
        <v>4.333.660-6</v>
      </c>
      <c r="C240" s="22" t="str">
        <f>IF(IFERROR(VLOOKUP(A240,$A$10:$I239,1,0),0)=0,"",VLOOKUP(A240,$A$10:$I239,3,0))</f>
        <v xml:space="preserve">Sala de cuidados intermedios </v>
      </c>
      <c r="D240" s="29" t="str">
        <f>IF(IFERROR(VLOOKUP(A240,$A$10:$I239,1,0),0)=0,"",VLOOKUP(A240,$A$10:$I239,4,0))</f>
        <v>PINO</v>
      </c>
      <c r="E240" s="29" t="str">
        <f>IF(IFERROR(VLOOKUP(A240,$A$10:$I239,1,0),0)=0,"",VLOOKUP(A240,$A$10:$I239,5,0))</f>
        <v>VARGAS</v>
      </c>
      <c r="F240" s="29" t="str">
        <f>IF(IFERROR(VLOOKUP(A240,$A$10:$I239,1,0),0)=0,"",VLOOKUP(A240,$A$10:$I239,6,0))</f>
        <v>CARMEN</v>
      </c>
      <c r="G240" s="49">
        <f>IF(IFERROR(VLOOKUP(A240,$A$10:$I239,1,0),0)=0,"",VLOOKUP(A240,$A$10:$I239,7,0))</f>
        <v>45523</v>
      </c>
      <c r="H240" s="49">
        <v>45527</v>
      </c>
      <c r="I240" s="29"/>
      <c r="J240" s="29"/>
      <c r="K240" s="24" t="s">
        <v>47</v>
      </c>
      <c r="L240" s="49">
        <v>45523</v>
      </c>
      <c r="M240" s="49">
        <v>45527</v>
      </c>
      <c r="N240" s="29">
        <f t="shared" si="14"/>
        <v>4</v>
      </c>
      <c r="O240" s="29"/>
      <c r="P240" t="s">
        <v>88</v>
      </c>
      <c r="Q240" t="s">
        <v>88</v>
      </c>
      <c r="R240" t="s">
        <v>88</v>
      </c>
      <c r="S240" t="s">
        <v>88</v>
      </c>
      <c r="T240" t="s">
        <v>88</v>
      </c>
      <c r="U240" t="s">
        <v>20</v>
      </c>
    </row>
    <row r="241" spans="1:21" x14ac:dyDescent="0.45">
      <c r="A241" s="29">
        <v>77591737</v>
      </c>
      <c r="B241" s="29" t="str">
        <f t="shared" si="13"/>
        <v>7.759.173-7</v>
      </c>
      <c r="C241" s="22" t="s">
        <v>38</v>
      </c>
      <c r="D241" t="s">
        <v>1383</v>
      </c>
      <c r="E241" t="s">
        <v>697</v>
      </c>
      <c r="F241" t="s">
        <v>238</v>
      </c>
      <c r="G241" s="49">
        <v>45523</v>
      </c>
      <c r="H241" s="49">
        <v>45538</v>
      </c>
      <c r="I241" s="29"/>
      <c r="J241" s="29" t="s">
        <v>24</v>
      </c>
      <c r="K241" s="24" t="s">
        <v>43</v>
      </c>
      <c r="L241" s="49">
        <v>45523</v>
      </c>
      <c r="M241" s="49">
        <v>45535</v>
      </c>
      <c r="N241" s="29">
        <f t="shared" si="14"/>
        <v>12</v>
      </c>
      <c r="O241" s="29"/>
      <c r="P241" t="s">
        <v>88</v>
      </c>
      <c r="Q241" t="s">
        <v>88</v>
      </c>
      <c r="R241" t="s">
        <v>88</v>
      </c>
      <c r="S241" t="s">
        <v>88</v>
      </c>
      <c r="T241" t="s">
        <v>88</v>
      </c>
      <c r="U241" t="s">
        <v>20</v>
      </c>
    </row>
    <row r="242" spans="1:21" x14ac:dyDescent="0.45">
      <c r="A242" s="29">
        <v>77591737</v>
      </c>
      <c r="B242" s="29" t="str">
        <f t="shared" si="13"/>
        <v>7.759.173-7</v>
      </c>
      <c r="C242" s="22" t="str">
        <f>IF(IFERROR(VLOOKUP(A242,$A$10:$I241,1,0),0)=0,"",VLOOKUP(A242,$A$10:$I241,3,0))</f>
        <v xml:space="preserve">Sala de cuidados intermedios </v>
      </c>
      <c r="D242" s="29" t="str">
        <f>IF(IFERROR(VLOOKUP(A242,$A$10:$I241,1,0),0)=0,"",VLOOKUP(A242,$A$10:$I241,4,0))</f>
        <v>DEJAIFFE</v>
      </c>
      <c r="E242" s="29" t="str">
        <f>IF(IFERROR(VLOOKUP(A242,$A$10:$I241,1,0),0)=0,"",VLOOKUP(A242,$A$10:$I241,5,0))</f>
        <v>MOENA</v>
      </c>
      <c r="F242" s="29" t="str">
        <f>IF(IFERROR(VLOOKUP(A242,$A$10:$I241,1,0),0)=0,"",VLOOKUP(A242,$A$10:$I241,6,0))</f>
        <v>LUIS</v>
      </c>
      <c r="G242" s="49">
        <f>IF(IFERROR(VLOOKUP(A242,$A$10:$I241,1,0),0)=0,"",VLOOKUP(A242,$A$10:$I241,7,0))</f>
        <v>45523</v>
      </c>
      <c r="H242" s="49">
        <v>45538</v>
      </c>
      <c r="I242" s="29"/>
      <c r="J242" s="29"/>
      <c r="K242" s="24" t="s">
        <v>47</v>
      </c>
      <c r="L242" s="49">
        <v>45523</v>
      </c>
      <c r="M242" s="49">
        <v>45524</v>
      </c>
      <c r="N242" s="29">
        <f t="shared" si="14"/>
        <v>1</v>
      </c>
      <c r="O242" s="29"/>
      <c r="P242" t="s">
        <v>88</v>
      </c>
      <c r="Q242" t="s">
        <v>88</v>
      </c>
      <c r="R242" t="s">
        <v>88</v>
      </c>
      <c r="S242" t="s">
        <v>88</v>
      </c>
      <c r="T242" t="s">
        <v>88</v>
      </c>
      <c r="U242" t="s">
        <v>20</v>
      </c>
    </row>
    <row r="243" spans="1:21" x14ac:dyDescent="0.45">
      <c r="A243" s="29">
        <v>45007863</v>
      </c>
      <c r="B243" s="29" t="str">
        <f t="shared" si="13"/>
        <v>4.500.786-3</v>
      </c>
      <c r="C243" s="22" t="s">
        <v>38</v>
      </c>
      <c r="D243" s="29" t="s">
        <v>341</v>
      </c>
      <c r="E243" s="29" t="s">
        <v>1384</v>
      </c>
      <c r="F243" s="29" t="s">
        <v>1281</v>
      </c>
      <c r="G243" s="49">
        <v>45526</v>
      </c>
      <c r="H243" s="49">
        <v>45527</v>
      </c>
      <c r="I243" s="29"/>
      <c r="J243" s="29"/>
      <c r="K243" s="24" t="s">
        <v>43</v>
      </c>
      <c r="L243" s="49">
        <v>45526</v>
      </c>
      <c r="M243" s="49">
        <v>45527</v>
      </c>
      <c r="N243" s="29">
        <f t="shared" si="14"/>
        <v>1</v>
      </c>
      <c r="O243" s="29"/>
      <c r="P243" t="s">
        <v>88</v>
      </c>
      <c r="Q243" t="s">
        <v>88</v>
      </c>
      <c r="R243" t="s">
        <v>88</v>
      </c>
      <c r="S243" t="s">
        <v>88</v>
      </c>
      <c r="T243" t="s">
        <v>88</v>
      </c>
      <c r="U243" t="s">
        <v>20</v>
      </c>
    </row>
    <row r="244" spans="1:21" x14ac:dyDescent="0.45">
      <c r="A244" s="29">
        <v>119055156</v>
      </c>
      <c r="B244" s="29" t="str">
        <f t="shared" si="13"/>
        <v>11.905.515-6</v>
      </c>
      <c r="C244" s="22" t="s">
        <v>38</v>
      </c>
      <c r="D244" s="29" t="str">
        <f>IF(IFERROR(VLOOKUP(A244,$A$10:$I243,1,0),0)=0,"",VLOOKUP(A244,$A$10:$I243,4,0))</f>
        <v>ORTEGA</v>
      </c>
      <c r="E244" s="29" t="str">
        <f>IF(IFERROR(VLOOKUP(A244,$A$10:$I243,1,0),0)=0,"",VLOOKUP(A244,$A$10:$I243,5,0))</f>
        <v>ALARCON</v>
      </c>
      <c r="F244" s="29" t="str">
        <f>IF(IFERROR(VLOOKUP(A244,$A$10:$I243,1,0),0)=0,"",VLOOKUP(A244,$A$10:$I243,6,0))</f>
        <v>PAULINA</v>
      </c>
      <c r="G244" s="49">
        <v>45518</v>
      </c>
      <c r="H244" s="49">
        <v>45520</v>
      </c>
      <c r="I244" s="29"/>
      <c r="J244" s="29"/>
      <c r="K244" s="24" t="s">
        <v>43</v>
      </c>
      <c r="L244" s="49">
        <v>45518</v>
      </c>
      <c r="M244" s="49">
        <v>45520</v>
      </c>
      <c r="N244" s="29">
        <f t="shared" si="14"/>
        <v>2</v>
      </c>
      <c r="O244" s="29"/>
      <c r="P244" t="s">
        <v>88</v>
      </c>
      <c r="Q244" t="s">
        <v>88</v>
      </c>
      <c r="R244" t="s">
        <v>88</v>
      </c>
      <c r="S244" t="s">
        <v>88</v>
      </c>
      <c r="T244" t="s">
        <v>88</v>
      </c>
      <c r="U244" t="s">
        <v>20</v>
      </c>
    </row>
    <row r="245" spans="1:21" x14ac:dyDescent="0.45">
      <c r="A245" s="29">
        <v>119055156</v>
      </c>
      <c r="B245" s="29" t="str">
        <f t="shared" si="13"/>
        <v>11.905.515-6</v>
      </c>
      <c r="C245" s="22" t="s">
        <v>38</v>
      </c>
      <c r="D245" s="29" t="str">
        <f>IF(IFERROR(VLOOKUP(A245,$A$10:$I244,1,0),0)=0,"",VLOOKUP(A245,$A$10:$I244,4,0))</f>
        <v>ORTEGA</v>
      </c>
      <c r="E245" s="29" t="str">
        <f>IF(IFERROR(VLOOKUP(A245,$A$10:$I244,1,0),0)=0,"",VLOOKUP(A245,$A$10:$I244,5,0))</f>
        <v>ALARCON</v>
      </c>
      <c r="F245" s="29" t="str">
        <f>IF(IFERROR(VLOOKUP(A245,$A$10:$I244,1,0),0)=0,"",VLOOKUP(A245,$A$10:$I244,6,0))</f>
        <v>PAULINA</v>
      </c>
      <c r="G245" s="49">
        <v>45518</v>
      </c>
      <c r="H245" s="49">
        <v>45520</v>
      </c>
      <c r="I245" s="29"/>
      <c r="J245" s="29"/>
      <c r="K245" s="24" t="s">
        <v>47</v>
      </c>
      <c r="L245" s="49">
        <v>45518</v>
      </c>
      <c r="M245" s="49">
        <v>45520</v>
      </c>
      <c r="N245" s="29">
        <f t="shared" si="14"/>
        <v>2</v>
      </c>
      <c r="O245" s="29"/>
      <c r="P245" t="s">
        <v>88</v>
      </c>
      <c r="Q245" t="s">
        <v>88</v>
      </c>
      <c r="R245" t="s">
        <v>88</v>
      </c>
      <c r="S245" t="s">
        <v>88</v>
      </c>
      <c r="T245" t="s">
        <v>88</v>
      </c>
      <c r="U245" t="s">
        <v>20</v>
      </c>
    </row>
    <row r="246" spans="1:21" x14ac:dyDescent="0.45">
      <c r="A246" s="29" t="s">
        <v>1385</v>
      </c>
      <c r="B246" s="29" t="str">
        <f t="shared" si="13"/>
        <v>5.597.853-0</v>
      </c>
      <c r="C246" s="22" t="s">
        <v>38</v>
      </c>
      <c r="D246" s="29" t="s">
        <v>318</v>
      </c>
      <c r="E246" s="29" t="s">
        <v>993</v>
      </c>
      <c r="F246" s="29" t="s">
        <v>638</v>
      </c>
      <c r="G246" s="49">
        <v>45516</v>
      </c>
      <c r="H246" s="49">
        <v>45523</v>
      </c>
      <c r="I246" s="29"/>
      <c r="J246" s="29"/>
      <c r="K246" s="24" t="s">
        <v>43</v>
      </c>
      <c r="L246" s="49">
        <v>45516</v>
      </c>
      <c r="M246" s="49">
        <v>45523</v>
      </c>
      <c r="N246" s="29">
        <f t="shared" si="14"/>
        <v>7</v>
      </c>
      <c r="O246" s="29"/>
      <c r="P246" t="s">
        <v>88</v>
      </c>
      <c r="Q246" t="s">
        <v>88</v>
      </c>
      <c r="R246" t="s">
        <v>88</v>
      </c>
      <c r="S246" t="s">
        <v>88</v>
      </c>
      <c r="T246" t="s">
        <v>88</v>
      </c>
      <c r="U246" t="s">
        <v>20</v>
      </c>
    </row>
    <row r="247" spans="1:21" x14ac:dyDescent="0.45">
      <c r="A247" s="29" t="s">
        <v>1386</v>
      </c>
      <c r="B247" s="29" t="str">
        <f t="shared" si="13"/>
        <v>5.217.993-9</v>
      </c>
      <c r="C247" s="22" t="s">
        <v>38</v>
      </c>
      <c r="D247" s="29" t="s">
        <v>424</v>
      </c>
      <c r="E247" s="29" t="s">
        <v>1387</v>
      </c>
      <c r="F247" s="29" t="s">
        <v>392</v>
      </c>
      <c r="G247" s="49">
        <v>45518</v>
      </c>
      <c r="H247" s="49">
        <v>45523</v>
      </c>
      <c r="I247" s="29"/>
      <c r="J247" s="29"/>
      <c r="K247" s="24" t="s">
        <v>43</v>
      </c>
      <c r="L247" s="49">
        <v>45518</v>
      </c>
      <c r="M247" s="49">
        <v>45523</v>
      </c>
      <c r="N247" s="29">
        <f t="shared" si="14"/>
        <v>5</v>
      </c>
      <c r="O247" s="29"/>
      <c r="P247" t="s">
        <v>88</v>
      </c>
      <c r="Q247" t="s">
        <v>88</v>
      </c>
      <c r="R247" t="s">
        <v>88</v>
      </c>
      <c r="S247" t="s">
        <v>88</v>
      </c>
      <c r="T247" t="s">
        <v>88</v>
      </c>
      <c r="U247" t="s">
        <v>20</v>
      </c>
    </row>
    <row r="248" spans="1:21" x14ac:dyDescent="0.45">
      <c r="A248" s="29">
        <v>284458796</v>
      </c>
      <c r="B248" s="29" t="str">
        <f t="shared" si="13"/>
        <v>28.445.879-6</v>
      </c>
      <c r="C248" s="22" t="s">
        <v>10</v>
      </c>
      <c r="D248" s="29" t="str">
        <f>IF(IFERROR(VLOOKUP(A248,$A$10:$I247,1,0),0)=0,"",VLOOKUP(A248,$A$10:$I247,4,0))</f>
        <v>MEDINA</v>
      </c>
      <c r="E248" s="29" t="str">
        <f>IF(IFERROR(VLOOKUP(A248,$A$10:$I247,1,0),0)=0,"",VLOOKUP(A248,$A$10:$I247,5,0))</f>
        <v>LEPEZ</v>
      </c>
      <c r="F248" s="29" t="str">
        <f>IF(IFERROR(VLOOKUP(A248,$A$10:$I247,1,0),0)=0,"",VLOOKUP(A248,$A$10:$I247,6,0))</f>
        <v>NICOLAS</v>
      </c>
      <c r="G248" s="49">
        <v>45531</v>
      </c>
      <c r="H248" s="29"/>
      <c r="I248" s="29"/>
      <c r="J248" s="29"/>
      <c r="K248" s="24" t="s">
        <v>43</v>
      </c>
      <c r="L248" s="49">
        <v>45532</v>
      </c>
      <c r="M248" s="49">
        <v>45535</v>
      </c>
      <c r="N248" s="29">
        <f t="shared" si="14"/>
        <v>3</v>
      </c>
      <c r="O248" s="29"/>
      <c r="P248" t="s">
        <v>88</v>
      </c>
      <c r="Q248" t="s">
        <v>88</v>
      </c>
      <c r="R248" t="s">
        <v>88</v>
      </c>
      <c r="S248" t="s">
        <v>88</v>
      </c>
      <c r="T248" t="s">
        <v>88</v>
      </c>
      <c r="U248" t="s">
        <v>20</v>
      </c>
    </row>
    <row r="249" spans="1:21" x14ac:dyDescent="0.45">
      <c r="A249" s="29">
        <v>285023882</v>
      </c>
      <c r="B249" s="29" t="str">
        <f t="shared" si="13"/>
        <v>28.502.388-2</v>
      </c>
      <c r="C249" s="22" t="s">
        <v>16</v>
      </c>
      <c r="D249" s="29" t="s">
        <v>307</v>
      </c>
      <c r="E249" s="29" t="s">
        <v>435</v>
      </c>
      <c r="F249" s="29" t="s">
        <v>1388</v>
      </c>
      <c r="G249" s="49">
        <v>45509</v>
      </c>
      <c r="H249" s="29"/>
      <c r="I249" s="29"/>
      <c r="J249" s="29"/>
      <c r="K249" s="24" t="s">
        <v>35</v>
      </c>
      <c r="L249" s="49">
        <v>45509</v>
      </c>
      <c r="M249" s="49">
        <v>45516</v>
      </c>
      <c r="N249" s="29">
        <f t="shared" si="14"/>
        <v>7</v>
      </c>
      <c r="O249" s="29"/>
      <c r="P249" t="s">
        <v>88</v>
      </c>
      <c r="Q249" t="s">
        <v>88</v>
      </c>
      <c r="R249" t="s">
        <v>88</v>
      </c>
      <c r="S249" t="s">
        <v>88</v>
      </c>
      <c r="T249" t="s">
        <v>88</v>
      </c>
      <c r="U249" t="s">
        <v>20</v>
      </c>
    </row>
    <row r="250" spans="1:21" x14ac:dyDescent="0.45">
      <c r="A250" s="29">
        <v>285023882</v>
      </c>
      <c r="B250" s="29" t="str">
        <f t="shared" si="13"/>
        <v>28.502.388-2</v>
      </c>
      <c r="C250" s="22" t="str">
        <f>IF(IFERROR(VLOOKUP(A250,$A$10:$I249,1,0),0)=0,"",VLOOKUP(A250,$A$10:$I249,3,0))</f>
        <v>UCI neonatal</v>
      </c>
      <c r="D250" s="29" t="str">
        <f>IF(IFERROR(VLOOKUP(A250,$A$10:$I249,1,0),0)=0,"",VLOOKUP(A250,$A$10:$I249,4,0))</f>
        <v>ESCOBAR</v>
      </c>
      <c r="E250" s="29" t="str">
        <f>IF(IFERROR(VLOOKUP(A250,$A$10:$I249,1,0),0)=0,"",VLOOKUP(A250,$A$10:$I249,5,0))</f>
        <v>VALLEJOS</v>
      </c>
      <c r="F250" s="29" t="str">
        <f>IF(IFERROR(VLOOKUP(A250,$A$10:$I249,1,0),0)=0,"",VLOOKUP(A250,$A$10:$I249,6,0))</f>
        <v>EIDAN</v>
      </c>
      <c r="G250" s="49">
        <f>IF(IFERROR(VLOOKUP(A250,$A$10:$I249,1,0),0)=0,"",VLOOKUP(A250,$A$10:$I249,7,0))</f>
        <v>45509</v>
      </c>
      <c r="H250" s="29"/>
      <c r="I250" s="29"/>
      <c r="J250" s="29"/>
      <c r="K250" s="24" t="s">
        <v>39</v>
      </c>
      <c r="L250" s="49">
        <v>45509</v>
      </c>
      <c r="M250" s="49">
        <v>45516</v>
      </c>
      <c r="N250" s="29">
        <f t="shared" si="14"/>
        <v>7</v>
      </c>
      <c r="O250" s="29"/>
      <c r="P250" t="s">
        <v>88</v>
      </c>
      <c r="Q250" t="s">
        <v>88</v>
      </c>
      <c r="R250" t="s">
        <v>88</v>
      </c>
      <c r="S250" t="s">
        <v>88</v>
      </c>
      <c r="T250" t="s">
        <v>88</v>
      </c>
      <c r="U250" t="s">
        <v>20</v>
      </c>
    </row>
    <row r="251" spans="1:21" x14ac:dyDescent="0.45">
      <c r="A251" s="29">
        <v>285023882</v>
      </c>
      <c r="B251" s="29" t="str">
        <f t="shared" si="13"/>
        <v>28.502.388-2</v>
      </c>
      <c r="C251" s="22" t="str">
        <f>IF(IFERROR(VLOOKUP(A251,$A$10:$I250,1,0),0)=0,"",VLOOKUP(A251,$A$10:$I250,3,0))</f>
        <v>UCI neonatal</v>
      </c>
      <c r="D251" s="29" t="str">
        <f>IF(IFERROR(VLOOKUP(A251,$A$10:$I250,1,0),0)=0,"",VLOOKUP(A251,$A$10:$I250,4,0))</f>
        <v>ESCOBAR</v>
      </c>
      <c r="E251" s="29" t="str">
        <f>IF(IFERROR(VLOOKUP(A251,$A$10:$I250,1,0),0)=0,"",VLOOKUP(A251,$A$10:$I250,5,0))</f>
        <v>VALLEJOS</v>
      </c>
      <c r="F251" s="29" t="str">
        <f>IF(IFERROR(VLOOKUP(A251,$A$10:$I250,1,0),0)=0,"",VLOOKUP(A251,$A$10:$I250,6,0))</f>
        <v>EIDAN</v>
      </c>
      <c r="G251" s="49">
        <f>IF(IFERROR(VLOOKUP(A251,$A$10:$I250,1,0),0)=0,"",VLOOKUP(A251,$A$10:$I250,7,0))</f>
        <v>45509</v>
      </c>
      <c r="H251" s="29"/>
      <c r="I251" s="29"/>
      <c r="J251" s="29"/>
      <c r="K251" s="24" t="s">
        <v>55</v>
      </c>
      <c r="L251" s="49">
        <v>45509</v>
      </c>
      <c r="M251" s="49">
        <v>45518</v>
      </c>
      <c r="N251" s="29">
        <f t="shared" si="14"/>
        <v>9</v>
      </c>
      <c r="O251" s="29"/>
      <c r="P251" t="s">
        <v>88</v>
      </c>
      <c r="Q251" t="s">
        <v>88</v>
      </c>
      <c r="R251" t="s">
        <v>88</v>
      </c>
      <c r="S251" t="s">
        <v>88</v>
      </c>
      <c r="T251" t="s">
        <v>88</v>
      </c>
      <c r="U251" t="s">
        <v>20</v>
      </c>
    </row>
    <row r="252" spans="1:21" x14ac:dyDescent="0.45">
      <c r="A252" s="29">
        <v>285055342</v>
      </c>
      <c r="B252" s="29" t="str">
        <f t="shared" si="13"/>
        <v>28.505.534-2</v>
      </c>
      <c r="C252" s="22" t="s">
        <v>16</v>
      </c>
      <c r="D252" s="29" t="s">
        <v>1175</v>
      </c>
      <c r="E252" s="29" t="s">
        <v>236</v>
      </c>
      <c r="F252" s="29" t="s">
        <v>689</v>
      </c>
      <c r="G252" s="49">
        <v>45512</v>
      </c>
      <c r="H252" s="29"/>
      <c r="I252" s="29"/>
      <c r="J252" s="29"/>
      <c r="K252" s="24" t="s">
        <v>35</v>
      </c>
      <c r="L252" s="49">
        <v>45512</v>
      </c>
      <c r="M252" s="49">
        <v>45515</v>
      </c>
      <c r="N252" s="29">
        <f t="shared" si="14"/>
        <v>3</v>
      </c>
      <c r="O252" s="29"/>
      <c r="P252" t="s">
        <v>88</v>
      </c>
      <c r="Q252" t="s">
        <v>88</v>
      </c>
      <c r="R252" t="s">
        <v>88</v>
      </c>
      <c r="S252" t="s">
        <v>88</v>
      </c>
      <c r="T252" t="s">
        <v>88</v>
      </c>
      <c r="U252" t="s">
        <v>20</v>
      </c>
    </row>
    <row r="253" spans="1:21" x14ac:dyDescent="0.45">
      <c r="A253" s="29">
        <v>285055342</v>
      </c>
      <c r="B253" s="29" t="str">
        <f t="shared" si="13"/>
        <v>28.505.534-2</v>
      </c>
      <c r="C253" s="22" t="str">
        <f>IF(IFERROR(VLOOKUP(A253,$A$10:$I252,1,0),0)=0,"",VLOOKUP(A253,$A$10:$I252,3,0))</f>
        <v>UCI neonatal</v>
      </c>
      <c r="D253" s="29" t="str">
        <f>IF(IFERROR(VLOOKUP(A253,$A$10:$I252,1,0),0)=0,"",VLOOKUP(A253,$A$10:$I252,4,0))</f>
        <v>ASTUDILLO</v>
      </c>
      <c r="E253" s="29" t="str">
        <f>IF(IFERROR(VLOOKUP(A253,$A$10:$I252,1,0),0)=0,"",VLOOKUP(A253,$A$10:$I252,5,0))</f>
        <v>LARA</v>
      </c>
      <c r="F253" s="29" t="str">
        <f>IF(IFERROR(VLOOKUP(A253,$A$10:$I252,1,0),0)=0,"",VLOOKUP(A253,$A$10:$I252,6,0))</f>
        <v>LIAN</v>
      </c>
      <c r="G253" s="49">
        <f>IF(IFERROR(VLOOKUP(A253,$A$10:$I252,1,0),0)=0,"",VLOOKUP(A253,$A$10:$I252,7,0))</f>
        <v>45512</v>
      </c>
      <c r="H253" s="29"/>
      <c r="I253" s="29"/>
      <c r="J253" s="29"/>
      <c r="K253" s="24" t="s">
        <v>35</v>
      </c>
      <c r="L253" s="49">
        <v>45512</v>
      </c>
      <c r="M253" s="49">
        <v>45515</v>
      </c>
      <c r="N253" s="29">
        <f t="shared" si="14"/>
        <v>3</v>
      </c>
      <c r="O253" s="29"/>
      <c r="P253" t="s">
        <v>88</v>
      </c>
      <c r="Q253" t="s">
        <v>88</v>
      </c>
      <c r="R253" t="s">
        <v>88</v>
      </c>
      <c r="S253" t="s">
        <v>88</v>
      </c>
      <c r="T253" t="s">
        <v>88</v>
      </c>
      <c r="U253" t="s">
        <v>20</v>
      </c>
    </row>
    <row r="254" spans="1:21" x14ac:dyDescent="0.45">
      <c r="A254" s="29">
        <v>285055342</v>
      </c>
      <c r="B254" s="29" t="str">
        <f t="shared" si="13"/>
        <v>28.505.534-2</v>
      </c>
      <c r="C254" s="22" t="str">
        <f>IF(IFERROR(VLOOKUP(A254,$A$10:$I253,1,0),0)=0,"",VLOOKUP(A254,$A$10:$I253,3,0))</f>
        <v>UCI neonatal</v>
      </c>
      <c r="D254" s="29" t="str">
        <f>IF(IFERROR(VLOOKUP(A254,$A$10:$I253,1,0),0)=0,"",VLOOKUP(A254,$A$10:$I253,4,0))</f>
        <v>ASTUDILLO</v>
      </c>
      <c r="E254" s="29" t="str">
        <f>IF(IFERROR(VLOOKUP(A254,$A$10:$I253,1,0),0)=0,"",VLOOKUP(A254,$A$10:$I253,5,0))</f>
        <v>LARA</v>
      </c>
      <c r="F254" s="29" t="str">
        <f>IF(IFERROR(VLOOKUP(A254,$A$10:$I253,1,0),0)=0,"",VLOOKUP(A254,$A$10:$I253,6,0))</f>
        <v>LIAN</v>
      </c>
      <c r="G254" s="49">
        <f>IF(IFERROR(VLOOKUP(A254,$A$10:$I253,1,0),0)=0,"",VLOOKUP(A254,$A$10:$I253,7,0))</f>
        <v>45512</v>
      </c>
      <c r="H254" s="29"/>
      <c r="I254" s="29"/>
      <c r="J254" s="29"/>
      <c r="K254" s="24" t="s">
        <v>18</v>
      </c>
      <c r="L254" s="49">
        <v>45515</v>
      </c>
      <c r="M254" s="49">
        <v>45520</v>
      </c>
      <c r="N254" s="29">
        <f t="shared" si="14"/>
        <v>5</v>
      </c>
      <c r="O254" s="29"/>
      <c r="P254" t="s">
        <v>88</v>
      </c>
      <c r="Q254" t="s">
        <v>88</v>
      </c>
      <c r="R254" t="s">
        <v>88</v>
      </c>
      <c r="S254" t="s">
        <v>88</v>
      </c>
      <c r="T254" t="s">
        <v>88</v>
      </c>
      <c r="U254" t="s">
        <v>20</v>
      </c>
    </row>
    <row r="255" spans="1:21" x14ac:dyDescent="0.45">
      <c r="A255" s="29">
        <v>285116716</v>
      </c>
      <c r="B255" s="29" t="str">
        <f t="shared" si="13"/>
        <v>28.511.671-6</v>
      </c>
      <c r="C255" s="22" t="s">
        <v>16</v>
      </c>
      <c r="D255" s="29" t="s">
        <v>486</v>
      </c>
      <c r="E255" s="29" t="s">
        <v>704</v>
      </c>
      <c r="F255" s="29" t="s">
        <v>1260</v>
      </c>
      <c r="G255" s="49">
        <v>45519</v>
      </c>
      <c r="H255" s="29"/>
      <c r="I255" s="29"/>
      <c r="J255" s="29"/>
      <c r="K255" s="24" t="s">
        <v>18</v>
      </c>
      <c r="L255" s="49">
        <v>45525</v>
      </c>
      <c r="M255" s="49">
        <v>45534</v>
      </c>
      <c r="N255" s="29">
        <f t="shared" si="14"/>
        <v>9</v>
      </c>
      <c r="O255" s="29"/>
      <c r="P255" t="s">
        <v>88</v>
      </c>
      <c r="Q255" t="s">
        <v>88</v>
      </c>
      <c r="R255" t="s">
        <v>88</v>
      </c>
      <c r="S255" t="s">
        <v>88</v>
      </c>
      <c r="T255" t="s">
        <v>88</v>
      </c>
      <c r="U255" t="s">
        <v>20</v>
      </c>
    </row>
    <row r="256" spans="1:21" x14ac:dyDescent="0.45">
      <c r="A256" s="29" t="s">
        <v>1389</v>
      </c>
      <c r="B256" s="29" t="str">
        <f t="shared" si="13"/>
        <v>28.519.671-k</v>
      </c>
      <c r="C256" s="22" t="s">
        <v>16</v>
      </c>
      <c r="D256" s="29" t="s">
        <v>315</v>
      </c>
      <c r="E256" s="29" t="s">
        <v>488</v>
      </c>
      <c r="F256" s="29" t="s">
        <v>1390</v>
      </c>
      <c r="G256" s="49">
        <v>45530</v>
      </c>
      <c r="H256" s="29"/>
      <c r="I256" s="29"/>
      <c r="J256" s="29"/>
      <c r="K256" s="24" t="s">
        <v>55</v>
      </c>
      <c r="L256" s="49">
        <v>45530</v>
      </c>
      <c r="M256" s="49">
        <v>45535</v>
      </c>
      <c r="N256" s="29">
        <f t="shared" si="14"/>
        <v>5</v>
      </c>
      <c r="O256" s="29"/>
      <c r="P256" t="s">
        <v>88</v>
      </c>
      <c r="Q256" t="s">
        <v>88</v>
      </c>
      <c r="R256" t="s">
        <v>88</v>
      </c>
      <c r="S256" t="s">
        <v>88</v>
      </c>
      <c r="T256" t="s">
        <v>88</v>
      </c>
      <c r="U256" t="s">
        <v>20</v>
      </c>
    </row>
    <row r="257" spans="21:21" x14ac:dyDescent="0.45">
      <c r="U257">
        <f>COUNTIF(U8:U256,"si")</f>
        <v>3</v>
      </c>
    </row>
  </sheetData>
  <dataValidations count="2">
    <dataValidation allowBlank="1" sqref="N1:N7" xr:uid="{00000000-0002-0000-0900-000000000000}"/>
    <dataValidation allowBlank="1" showInputMessage="1" sqref="O1:O7" xr:uid="{00000000-0002-0000-0900-000001000000}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226"/>
  <sheetViews>
    <sheetView topLeftCell="A194" zoomScale="80" zoomScaleNormal="80" workbookViewId="0">
      <pane xSplit="2" topLeftCell="K1" activePane="topRight" state="frozen"/>
      <selection pane="topRight" activeCell="A153" sqref="A153"/>
    </sheetView>
  </sheetViews>
  <sheetFormatPr baseColWidth="10" defaultRowHeight="14.25" x14ac:dyDescent="0.45"/>
  <cols>
    <col min="1" max="1" width="11.46484375" style="125" customWidth="1"/>
    <col min="7" max="7" width="11.46484375" style="32" customWidth="1"/>
    <col min="11" max="11" width="21.53125" customWidth="1"/>
  </cols>
  <sheetData>
    <row r="1" spans="1:21" x14ac:dyDescent="0.45">
      <c r="A1" s="94" t="s">
        <v>215</v>
      </c>
      <c r="B1" s="1"/>
      <c r="C1" s="94"/>
      <c r="D1" s="1"/>
      <c r="E1" s="1"/>
      <c r="F1" s="1"/>
      <c r="G1" s="103"/>
      <c r="H1" s="1"/>
      <c r="I1" s="1"/>
      <c r="J1" s="2"/>
      <c r="K1" s="87"/>
      <c r="L1" s="103"/>
      <c r="M1" s="103"/>
      <c r="N1" s="1"/>
      <c r="O1" s="1"/>
    </row>
    <row r="2" spans="1:21" x14ac:dyDescent="0.45">
      <c r="A2" s="122"/>
      <c r="B2" s="3"/>
      <c r="C2" s="67"/>
      <c r="D2" s="3"/>
      <c r="E2" s="3"/>
      <c r="F2" s="3"/>
      <c r="G2" s="104"/>
      <c r="H2" s="3"/>
      <c r="I2" s="3"/>
      <c r="J2" s="54"/>
      <c r="K2" s="88"/>
      <c r="L2" s="104"/>
      <c r="M2" s="104"/>
      <c r="N2" s="3"/>
      <c r="O2" s="3"/>
    </row>
    <row r="3" spans="1:21" x14ac:dyDescent="0.45">
      <c r="A3" s="123" t="s">
        <v>216</v>
      </c>
      <c r="B3" s="6"/>
      <c r="C3" s="95" t="s">
        <v>22</v>
      </c>
      <c r="D3" s="6" t="s">
        <v>217</v>
      </c>
      <c r="E3" s="7" t="s">
        <v>1091</v>
      </c>
      <c r="F3" s="6" t="s">
        <v>218</v>
      </c>
      <c r="G3" s="105"/>
      <c r="H3" s="6" t="s">
        <v>219</v>
      </c>
      <c r="I3" s="7">
        <v>2024</v>
      </c>
      <c r="J3" s="55"/>
      <c r="K3" s="89"/>
      <c r="L3" s="112"/>
      <c r="M3" s="112"/>
      <c r="N3" s="6"/>
      <c r="O3" s="6"/>
    </row>
    <row r="4" spans="1:21" x14ac:dyDescent="0.45">
      <c r="A4" s="122"/>
      <c r="B4" s="3"/>
      <c r="C4" s="67"/>
      <c r="D4" s="3"/>
      <c r="E4" s="3"/>
      <c r="F4" s="3"/>
      <c r="G4" s="104"/>
      <c r="H4" s="3"/>
      <c r="I4" s="3"/>
      <c r="J4" s="54"/>
      <c r="K4" s="90"/>
      <c r="L4" s="104"/>
      <c r="M4" s="104"/>
      <c r="N4" s="3"/>
      <c r="O4" s="3"/>
    </row>
    <row r="5" spans="1:21" x14ac:dyDescent="0.45">
      <c r="A5" s="122"/>
      <c r="B5" s="3"/>
      <c r="C5" s="67"/>
      <c r="E5" s="3"/>
      <c r="F5" s="3"/>
      <c r="G5" s="104"/>
      <c r="H5" s="3"/>
      <c r="I5" s="3"/>
      <c r="J5" s="54"/>
      <c r="K5" s="90"/>
      <c r="L5" s="104"/>
      <c r="M5" s="104"/>
      <c r="N5" s="3"/>
      <c r="O5" s="3"/>
    </row>
    <row r="6" spans="1:21" ht="14.65" customHeight="1" thickBot="1" x14ac:dyDescent="0.5">
      <c r="A6" s="122"/>
      <c r="B6" s="3"/>
      <c r="C6" s="67"/>
      <c r="D6" s="3"/>
      <c r="E6" s="3"/>
      <c r="F6" s="3"/>
      <c r="G6" s="104"/>
      <c r="H6" s="3"/>
      <c r="I6" s="3"/>
      <c r="J6" s="54"/>
      <c r="K6" s="90"/>
      <c r="L6" s="104"/>
      <c r="M6" s="104"/>
      <c r="N6" s="3"/>
      <c r="O6" s="3"/>
    </row>
    <row r="7" spans="1:21" ht="28.5" customHeight="1" x14ac:dyDescent="0.45">
      <c r="A7" s="124" t="s">
        <v>220</v>
      </c>
      <c r="B7" s="11" t="s">
        <v>221</v>
      </c>
      <c r="C7" s="96" t="s">
        <v>222</v>
      </c>
      <c r="D7" s="11" t="s">
        <v>225</v>
      </c>
      <c r="E7" s="12" t="s">
        <v>223</v>
      </c>
      <c r="F7" s="12" t="s">
        <v>224</v>
      </c>
      <c r="G7" s="106" t="s">
        <v>226</v>
      </c>
      <c r="H7" s="12" t="s">
        <v>227</v>
      </c>
      <c r="I7" s="11" t="s">
        <v>4</v>
      </c>
      <c r="J7" s="86" t="s">
        <v>5</v>
      </c>
      <c r="K7" s="91" t="s">
        <v>3</v>
      </c>
      <c r="L7" s="106" t="s">
        <v>228</v>
      </c>
      <c r="M7" s="106" t="s">
        <v>229</v>
      </c>
      <c r="N7" s="14" t="s">
        <v>230</v>
      </c>
      <c r="O7" s="16" t="s">
        <v>7</v>
      </c>
      <c r="P7" s="127" t="s">
        <v>231</v>
      </c>
      <c r="Q7" s="127" t="s">
        <v>232</v>
      </c>
      <c r="R7" s="127" t="s">
        <v>233</v>
      </c>
      <c r="S7" s="127" t="s">
        <v>234</v>
      </c>
      <c r="T7" s="127" t="s">
        <v>235</v>
      </c>
      <c r="U7" s="127" t="s">
        <v>8</v>
      </c>
    </row>
    <row r="8" spans="1:21" x14ac:dyDescent="0.45">
      <c r="A8" s="29" t="s">
        <v>1391</v>
      </c>
      <c r="B8" s="29" t="str">
        <f t="shared" ref="B8:B20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5.731.089-8</v>
      </c>
      <c r="C8" s="22" t="s">
        <v>22</v>
      </c>
      <c r="D8" s="29" t="s">
        <v>481</v>
      </c>
      <c r="E8" s="29" t="s">
        <v>1090</v>
      </c>
      <c r="F8" s="29" t="s">
        <v>768</v>
      </c>
      <c r="G8" s="49">
        <v>45537</v>
      </c>
      <c r="H8" s="49">
        <v>45541</v>
      </c>
      <c r="I8" s="29"/>
      <c r="J8" s="29" t="s">
        <v>56</v>
      </c>
      <c r="K8" s="24" t="s">
        <v>43</v>
      </c>
      <c r="L8" s="49">
        <v>45537</v>
      </c>
      <c r="M8" s="49">
        <v>45541</v>
      </c>
      <c r="N8" s="29">
        <f t="shared" ref="N8:N39" si="1">+M8-L8</f>
        <v>4</v>
      </c>
      <c r="O8" s="29"/>
      <c r="P8" t="s">
        <v>88</v>
      </c>
      <c r="Q8" t="s">
        <v>88</v>
      </c>
      <c r="R8" t="s">
        <v>88</v>
      </c>
      <c r="S8" t="s">
        <v>88</v>
      </c>
      <c r="T8" t="s">
        <v>88</v>
      </c>
      <c r="U8" t="s">
        <v>20</v>
      </c>
    </row>
    <row r="9" spans="1:21" x14ac:dyDescent="0.45">
      <c r="A9" s="29" t="s">
        <v>1391</v>
      </c>
      <c r="B9" s="29" t="str">
        <f t="shared" si="0"/>
        <v>5.731.089-8</v>
      </c>
      <c r="C9" s="22" t="str">
        <f>IF(IFERROR(VLOOKUP(A9,$A8:$I$10,1,0),0)=0,"",VLOOKUP(A9,$A8:$I$10,3,0))</f>
        <v>UCI</v>
      </c>
      <c r="D9" s="29" t="str">
        <f>IF(IFERROR(VLOOKUP(A9,$A8:$I$10,1,0),0)=0,"",VLOOKUP(A9,$A8:$I$10,4,0))</f>
        <v>JUAN</v>
      </c>
      <c r="E9" s="29" t="str">
        <f>IF(IFERROR(VLOOKUP(A9,$A8:$I$10,1,0),0)=0,"",VLOOKUP(A9,$A8:$I$10,5,0))</f>
        <v>MIRANDA</v>
      </c>
      <c r="F9" s="29" t="str">
        <f>IF(IFERROR(VLOOKUP(A9,$A8:$I$10,1,0),0)=0,"",VLOOKUP(A9,$A8:$I$10,6,0))</f>
        <v>SUAZO</v>
      </c>
      <c r="G9" s="49">
        <f>IF(IFERROR(VLOOKUP(A9,$A8:$I$10,1,0),0)=0,"",VLOOKUP(A9,$A8:$I$10,7,0))</f>
        <v>45537</v>
      </c>
      <c r="H9" s="49">
        <v>45541</v>
      </c>
      <c r="I9" s="29"/>
      <c r="J9" s="29" t="s">
        <v>56</v>
      </c>
      <c r="K9" s="24" t="s">
        <v>47</v>
      </c>
      <c r="L9" s="49">
        <v>45537</v>
      </c>
      <c r="M9" s="49">
        <v>45541</v>
      </c>
      <c r="N9" s="29">
        <f t="shared" si="1"/>
        <v>4</v>
      </c>
      <c r="O9" s="29"/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20</v>
      </c>
    </row>
    <row r="10" spans="1:21" x14ac:dyDescent="0.45">
      <c r="A10" s="29">
        <v>221364171</v>
      </c>
      <c r="B10" s="29" t="str">
        <f t="shared" si="0"/>
        <v>22.136.417-1</v>
      </c>
      <c r="C10" s="22" t="s">
        <v>22</v>
      </c>
      <c r="D10" s="29" t="s">
        <v>560</v>
      </c>
      <c r="E10" s="29" t="s">
        <v>1368</v>
      </c>
      <c r="F10" s="29" t="s">
        <v>369</v>
      </c>
      <c r="G10" s="49">
        <v>45531</v>
      </c>
      <c r="H10" s="49">
        <v>45540</v>
      </c>
      <c r="I10" s="29"/>
      <c r="J10" s="29" t="s">
        <v>22</v>
      </c>
      <c r="K10" s="24" t="s">
        <v>43</v>
      </c>
      <c r="L10" s="49">
        <v>45536</v>
      </c>
      <c r="M10" s="49">
        <v>45540</v>
      </c>
      <c r="N10" s="29">
        <f t="shared" si="1"/>
        <v>4</v>
      </c>
      <c r="O10" s="29"/>
      <c r="P10" t="s">
        <v>88</v>
      </c>
      <c r="Q10" t="s">
        <v>88</v>
      </c>
      <c r="R10" t="s">
        <v>88</v>
      </c>
      <c r="S10" t="s">
        <v>88</v>
      </c>
      <c r="T10" t="s">
        <v>88</v>
      </c>
      <c r="U10" t="s">
        <v>20</v>
      </c>
    </row>
    <row r="11" spans="1:21" x14ac:dyDescent="0.45">
      <c r="A11" s="29">
        <v>221364171</v>
      </c>
      <c r="B11" s="29" t="str">
        <f t="shared" si="0"/>
        <v>22.136.417-1</v>
      </c>
      <c r="C11" s="22" t="str">
        <f>IF(IFERROR(VLOOKUP(A11,$A10:$I$10,1,0),0)=0,"",VLOOKUP(A11,$A10:$I$10,3,0))</f>
        <v>UCI</v>
      </c>
      <c r="D11" s="29" t="str">
        <f>IF(IFERROR(VLOOKUP(A11,$A10:$I$10,1,0),0)=0,"",VLOOKUP(A11,$A10:$I$10,4,0))</f>
        <v>MAURICIO</v>
      </c>
      <c r="E11" s="29" t="str">
        <f>IF(IFERROR(VLOOKUP(A11,$A10:$I$10,1,0),0)=0,"",VLOOKUP(A11,$A10:$I$10,5,0))</f>
        <v>ABURTO</v>
      </c>
      <c r="F11" s="29" t="str">
        <f>IF(IFERROR(VLOOKUP(A11,$A10:$I$10,1,0),0)=0,"",VLOOKUP(A11,$A10:$I$10,6,0))</f>
        <v>SEGUEL</v>
      </c>
      <c r="G11" s="49">
        <f>IF(IFERROR(VLOOKUP(A11,$A10:$I$10,1,0),0)=0,"",VLOOKUP(A11,$A10:$I$10,7,0))</f>
        <v>45531</v>
      </c>
      <c r="H11" s="49">
        <v>45540</v>
      </c>
      <c r="I11" s="29"/>
      <c r="J11" s="29" t="s">
        <v>22</v>
      </c>
      <c r="K11" s="24" t="s">
        <v>47</v>
      </c>
      <c r="L11" s="49">
        <v>45536</v>
      </c>
      <c r="M11" s="49">
        <v>45540</v>
      </c>
      <c r="N11" s="29">
        <f t="shared" si="1"/>
        <v>4</v>
      </c>
      <c r="O11" s="29"/>
      <c r="P11" t="s">
        <v>88</v>
      </c>
      <c r="Q11" t="s">
        <v>88</v>
      </c>
      <c r="R11" t="s">
        <v>88</v>
      </c>
      <c r="S11" t="s">
        <v>88</v>
      </c>
      <c r="T11" t="s">
        <v>88</v>
      </c>
      <c r="U11" t="s">
        <v>20</v>
      </c>
    </row>
    <row r="12" spans="1:21" x14ac:dyDescent="0.45">
      <c r="A12" s="29">
        <v>221364171</v>
      </c>
      <c r="B12" s="29" t="str">
        <f t="shared" si="0"/>
        <v>22.136.417-1</v>
      </c>
      <c r="C12" s="22" t="str">
        <f>IF(IFERROR(VLOOKUP(A12,$A$10:$I11,1,0),0)=0,"",VLOOKUP(A12,$A$10:$I11,3,0))</f>
        <v>UCI</v>
      </c>
      <c r="D12" s="29" t="str">
        <f>IF(IFERROR(VLOOKUP(A12,$A$10:$I11,1,0),0)=0,"",VLOOKUP(A12,$A$10:$I11,4,0))</f>
        <v>MAURICIO</v>
      </c>
      <c r="E12" s="29" t="str">
        <f>IF(IFERROR(VLOOKUP(A12,$A$10:$I11,1,0),0)=0,"",VLOOKUP(A12,$A$10:$I11,5,0))</f>
        <v>ABURTO</v>
      </c>
      <c r="F12" s="29" t="str">
        <f>IF(IFERROR(VLOOKUP(A12,$A$10:$I11,1,0),0)=0,"",VLOOKUP(A12,$A$10:$I11,6,0))</f>
        <v>SEGUEL</v>
      </c>
      <c r="G12" s="49">
        <f>IF(IFERROR(VLOOKUP(A12,$A$10:$I11,1,0),0)=0,"",VLOOKUP(A12,$A$10:$I11,7,0))</f>
        <v>45531</v>
      </c>
      <c r="H12" s="49">
        <v>45541</v>
      </c>
      <c r="I12" s="29"/>
      <c r="J12" s="29" t="s">
        <v>22</v>
      </c>
      <c r="K12" s="24" t="s">
        <v>55</v>
      </c>
      <c r="L12" s="49">
        <v>45536</v>
      </c>
      <c r="M12" s="49">
        <v>45539</v>
      </c>
      <c r="N12" s="29">
        <f t="shared" si="1"/>
        <v>3</v>
      </c>
      <c r="O12" s="29"/>
      <c r="P12" t="s">
        <v>88</v>
      </c>
      <c r="Q12" t="s">
        <v>88</v>
      </c>
      <c r="R12" t="s">
        <v>88</v>
      </c>
      <c r="S12" t="s">
        <v>88</v>
      </c>
      <c r="T12" t="s">
        <v>88</v>
      </c>
      <c r="U12" t="s">
        <v>20</v>
      </c>
    </row>
    <row r="13" spans="1:21" x14ac:dyDescent="0.45">
      <c r="A13" s="29">
        <v>115719033</v>
      </c>
      <c r="B13" s="29" t="str">
        <f t="shared" si="0"/>
        <v>11.571.903-3</v>
      </c>
      <c r="C13" s="22" t="s">
        <v>22</v>
      </c>
      <c r="D13" s="29" t="s">
        <v>348</v>
      </c>
      <c r="E13" s="29" t="s">
        <v>252</v>
      </c>
      <c r="F13" s="29" t="s">
        <v>869</v>
      </c>
      <c r="G13" s="49">
        <v>45537</v>
      </c>
      <c r="H13" s="49">
        <v>45540</v>
      </c>
      <c r="I13" s="29"/>
      <c r="J13" s="29" t="s">
        <v>40</v>
      </c>
      <c r="K13" s="24" t="s">
        <v>43</v>
      </c>
      <c r="L13" s="49">
        <v>45537</v>
      </c>
      <c r="M13" s="49">
        <v>45540</v>
      </c>
      <c r="N13" s="29">
        <f t="shared" si="1"/>
        <v>3</v>
      </c>
      <c r="O13" s="29"/>
      <c r="P13" t="s">
        <v>88</v>
      </c>
      <c r="Q13" t="s">
        <v>88</v>
      </c>
      <c r="R13" t="s">
        <v>88</v>
      </c>
      <c r="S13" t="s">
        <v>88</v>
      </c>
      <c r="T13" t="s">
        <v>88</v>
      </c>
      <c r="U13" t="s">
        <v>20</v>
      </c>
    </row>
    <row r="14" spans="1:21" x14ac:dyDescent="0.45">
      <c r="A14" s="29" t="s">
        <v>1392</v>
      </c>
      <c r="B14" s="29" t="str">
        <f t="shared" si="0"/>
        <v>6.335.952-1</v>
      </c>
      <c r="C14" s="22" t="s">
        <v>22</v>
      </c>
      <c r="D14" s="29" t="s">
        <v>1393</v>
      </c>
      <c r="E14" s="29" t="s">
        <v>1394</v>
      </c>
      <c r="F14" s="29" t="s">
        <v>496</v>
      </c>
      <c r="G14" s="49">
        <v>45536</v>
      </c>
      <c r="H14" s="49">
        <v>45538</v>
      </c>
      <c r="I14" s="29"/>
      <c r="J14" s="29"/>
      <c r="K14" s="24" t="s">
        <v>43</v>
      </c>
      <c r="L14" s="49">
        <v>45536</v>
      </c>
      <c r="M14" s="49">
        <v>45538</v>
      </c>
      <c r="N14" s="29">
        <f t="shared" si="1"/>
        <v>2</v>
      </c>
      <c r="O14" s="29"/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20</v>
      </c>
    </row>
    <row r="15" spans="1:21" x14ac:dyDescent="0.45">
      <c r="A15" s="29" t="s">
        <v>1392</v>
      </c>
      <c r="B15" s="29" t="str">
        <f t="shared" si="0"/>
        <v>6.335.952-1</v>
      </c>
      <c r="C15" s="22" t="str">
        <f>IF(IFERROR(VLOOKUP(A15,$A$10:$I14,1,0),0)=0,"",VLOOKUP(A15,$A$10:$I14,3,0))</f>
        <v>UCI</v>
      </c>
      <c r="D15" s="29" t="str">
        <f>IF(IFERROR(VLOOKUP(A15,$A$10:$I14,1,0),0)=0,"",VLOOKUP(A15,$A$10:$I14,4,0))</f>
        <v>GREGORIO</v>
      </c>
      <c r="E15" s="29" t="str">
        <f>IF(IFERROR(VLOOKUP(A15,$A$10:$I14,1,0),0)=0,"",VLOOKUP(A15,$A$10:$I14,5,0))</f>
        <v>ALDEA</v>
      </c>
      <c r="F15" s="29" t="str">
        <f>IF(IFERROR(VLOOKUP(A15,$A$10:$I14,1,0),0)=0,"",VLOOKUP(A15,$A$10:$I14,6,0))</f>
        <v>ACUÑA</v>
      </c>
      <c r="G15" s="49">
        <f>IF(IFERROR(VLOOKUP(A15,$A$10:$I14,1,0),0)=0,"",VLOOKUP(A15,$A$10:$I14,7,0))</f>
        <v>45536</v>
      </c>
      <c r="H15" s="49">
        <v>45538</v>
      </c>
      <c r="I15" s="29"/>
      <c r="J15" s="29"/>
      <c r="K15" s="24" t="s">
        <v>47</v>
      </c>
      <c r="L15" s="49">
        <v>45536</v>
      </c>
      <c r="M15" s="49">
        <v>45538</v>
      </c>
      <c r="N15" s="29">
        <f t="shared" si="1"/>
        <v>2</v>
      </c>
      <c r="O15" s="29"/>
      <c r="P15" t="s">
        <v>88</v>
      </c>
      <c r="Q15" t="s">
        <v>88</v>
      </c>
      <c r="R15" t="s">
        <v>88</v>
      </c>
      <c r="S15" t="s">
        <v>88</v>
      </c>
      <c r="T15" t="s">
        <v>88</v>
      </c>
      <c r="U15" t="s">
        <v>20</v>
      </c>
    </row>
    <row r="16" spans="1:21" x14ac:dyDescent="0.45">
      <c r="A16" s="29">
        <v>52920043</v>
      </c>
      <c r="B16" s="29" t="str">
        <f t="shared" si="0"/>
        <v>5.292.004-3</v>
      </c>
      <c r="C16" s="22" t="s">
        <v>22</v>
      </c>
      <c r="D16" s="29" t="s">
        <v>504</v>
      </c>
      <c r="E16" s="29" t="s">
        <v>670</v>
      </c>
      <c r="F16" s="29" t="s">
        <v>294</v>
      </c>
      <c r="G16" s="49">
        <v>45537</v>
      </c>
      <c r="H16" s="49">
        <v>45561</v>
      </c>
      <c r="I16" s="29"/>
      <c r="J16" s="29" t="s">
        <v>19</v>
      </c>
      <c r="K16" s="24" t="s">
        <v>43</v>
      </c>
      <c r="L16" s="49">
        <v>45537</v>
      </c>
      <c r="M16" s="49">
        <v>45553</v>
      </c>
      <c r="N16" s="29">
        <f t="shared" si="1"/>
        <v>16</v>
      </c>
      <c r="O16" s="29"/>
      <c r="P16" t="s">
        <v>88</v>
      </c>
      <c r="Q16" t="s">
        <v>88</v>
      </c>
      <c r="R16" t="s">
        <v>88</v>
      </c>
      <c r="S16" t="s">
        <v>88</v>
      </c>
      <c r="T16" t="s">
        <v>88</v>
      </c>
      <c r="U16" t="s">
        <v>20</v>
      </c>
    </row>
    <row r="17" spans="1:21" x14ac:dyDescent="0.45">
      <c r="A17" s="29">
        <v>52920043</v>
      </c>
      <c r="B17" s="29" t="str">
        <f t="shared" si="0"/>
        <v>5.292.004-3</v>
      </c>
      <c r="C17" s="22" t="str">
        <f>IF(IFERROR(VLOOKUP(A17,$A$10:$I16,1,0),0)=0,"",VLOOKUP(A17,$A$10:$I16,3,0))</f>
        <v>UCI</v>
      </c>
      <c r="D17" s="29" t="str">
        <f>IF(IFERROR(VLOOKUP(A17,$A$10:$I16,1,0),0)=0,"",VLOOKUP(A17,$A$10:$I16,4,0))</f>
        <v>PATRICIA</v>
      </c>
      <c r="E17" s="29" t="str">
        <f>IF(IFERROR(VLOOKUP(A17,$A$10:$I16,1,0),0)=0,"",VLOOKUP(A17,$A$10:$I16,5,0))</f>
        <v>VALENZUELA</v>
      </c>
      <c r="F17" s="29" t="str">
        <f>IF(IFERROR(VLOOKUP(A17,$A$10:$I16,1,0),0)=0,"",VLOOKUP(A17,$A$10:$I16,6,0))</f>
        <v>TAPIA</v>
      </c>
      <c r="G17" s="49">
        <f>IF(IFERROR(VLOOKUP(A17,$A$10:$I16,1,0),0)=0,"",VLOOKUP(A17,$A$10:$I16,7,0))</f>
        <v>45537</v>
      </c>
      <c r="H17" s="49">
        <v>45561</v>
      </c>
      <c r="I17" s="29"/>
      <c r="J17" s="29" t="s">
        <v>19</v>
      </c>
      <c r="K17" s="24" t="s">
        <v>47</v>
      </c>
      <c r="L17" s="49">
        <v>45537</v>
      </c>
      <c r="M17" s="49">
        <v>45561</v>
      </c>
      <c r="N17" s="29">
        <f t="shared" si="1"/>
        <v>24</v>
      </c>
      <c r="O17" s="29"/>
      <c r="P17" t="s">
        <v>88</v>
      </c>
      <c r="Q17" t="s">
        <v>88</v>
      </c>
      <c r="R17" t="s">
        <v>88</v>
      </c>
      <c r="S17" t="s">
        <v>88</v>
      </c>
      <c r="T17" t="s">
        <v>88</v>
      </c>
      <c r="U17" t="s">
        <v>20</v>
      </c>
    </row>
    <row r="18" spans="1:21" x14ac:dyDescent="0.45">
      <c r="A18" s="29">
        <v>52920043</v>
      </c>
      <c r="B18" s="29" t="str">
        <f t="shared" si="0"/>
        <v>5.292.004-3</v>
      </c>
      <c r="C18" s="22" t="str">
        <f>IF(IFERROR(VLOOKUP(A18,$A$10:$I17,1,0),0)=0,"",VLOOKUP(A18,$A$10:$I17,3,0))</f>
        <v>UCI</v>
      </c>
      <c r="D18" s="29" t="str">
        <f>IF(IFERROR(VLOOKUP(A18,$A$10:$I17,1,0),0)=0,"",VLOOKUP(A18,$A$10:$I17,4,0))</f>
        <v>PATRICIA</v>
      </c>
      <c r="E18" s="29" t="str">
        <f>IF(IFERROR(VLOOKUP(A18,$A$10:$I17,1,0),0)=0,"",VLOOKUP(A18,$A$10:$I17,5,0))</f>
        <v>VALENZUELA</v>
      </c>
      <c r="F18" s="29" t="str">
        <f>IF(IFERROR(VLOOKUP(A18,$A$10:$I17,1,0),0)=0,"",VLOOKUP(A18,$A$10:$I17,6,0))</f>
        <v>TAPIA</v>
      </c>
      <c r="G18" s="49">
        <f>IF(IFERROR(VLOOKUP(A18,$A$10:$I17,1,0),0)=0,"",VLOOKUP(A18,$A$10:$I17,7,0))</f>
        <v>45537</v>
      </c>
      <c r="H18" s="49">
        <v>45561</v>
      </c>
      <c r="I18" s="29"/>
      <c r="J18" s="29" t="s">
        <v>19</v>
      </c>
      <c r="K18" s="24" t="s">
        <v>55</v>
      </c>
      <c r="L18" s="49">
        <v>45537</v>
      </c>
      <c r="M18" s="49">
        <v>45561</v>
      </c>
      <c r="N18" s="29">
        <f t="shared" si="1"/>
        <v>24</v>
      </c>
      <c r="O18" s="29"/>
      <c r="P18" t="s">
        <v>88</v>
      </c>
      <c r="Q18" t="s">
        <v>88</v>
      </c>
      <c r="R18" t="s">
        <v>88</v>
      </c>
      <c r="S18" t="s">
        <v>88</v>
      </c>
      <c r="T18" t="s">
        <v>88</v>
      </c>
      <c r="U18" t="s">
        <v>20</v>
      </c>
    </row>
    <row r="19" spans="1:21" x14ac:dyDescent="0.45">
      <c r="A19" s="29">
        <v>56057803</v>
      </c>
      <c r="B19" s="29" t="str">
        <f t="shared" si="0"/>
        <v>5.605.780-3</v>
      </c>
      <c r="C19" s="22" t="s">
        <v>22</v>
      </c>
      <c r="D19" s="29" t="s">
        <v>854</v>
      </c>
      <c r="E19" s="29" t="s">
        <v>640</v>
      </c>
      <c r="F19" s="29" t="s">
        <v>266</v>
      </c>
      <c r="G19" s="49">
        <v>45517</v>
      </c>
      <c r="H19" s="49">
        <v>45539</v>
      </c>
      <c r="I19" s="29" t="s">
        <v>30</v>
      </c>
      <c r="J19" s="29" t="s">
        <v>22</v>
      </c>
      <c r="K19" s="24" t="s">
        <v>47</v>
      </c>
      <c r="L19" s="49">
        <v>45536</v>
      </c>
      <c r="M19" s="49">
        <v>45539</v>
      </c>
      <c r="N19" s="29">
        <f t="shared" si="1"/>
        <v>3</v>
      </c>
      <c r="O19" s="29"/>
      <c r="P19" t="s">
        <v>88</v>
      </c>
      <c r="Q19" t="s">
        <v>88</v>
      </c>
      <c r="R19" t="s">
        <v>88</v>
      </c>
      <c r="S19" t="s">
        <v>88</v>
      </c>
      <c r="T19" t="s">
        <v>88</v>
      </c>
      <c r="U19" t="s">
        <v>20</v>
      </c>
    </row>
    <row r="20" spans="1:21" x14ac:dyDescent="0.45">
      <c r="A20" s="29">
        <v>56057803</v>
      </c>
      <c r="B20" s="29" t="str">
        <f t="shared" si="0"/>
        <v>5.605.780-3</v>
      </c>
      <c r="C20" s="22" t="str">
        <f>IF(IFERROR(VLOOKUP(A20,$A$10:$I19,1,0),0)=0,"",VLOOKUP(A20,$A$10:$I19,3,0))</f>
        <v>UCI</v>
      </c>
      <c r="D20" s="29" t="str">
        <f>IF(IFERROR(VLOOKUP(A20,$A$10:$I19,1,0),0)=0,"",VLOOKUP(A20,$A$10:$I19,4,0))</f>
        <v>ESTER</v>
      </c>
      <c r="E20" s="29" t="str">
        <f>IF(IFERROR(VLOOKUP(A20,$A$10:$I19,1,0),0)=0,"",VLOOKUP(A20,$A$10:$I19,5,0))</f>
        <v>ORELLANA</v>
      </c>
      <c r="F20" s="29" t="str">
        <f>IF(IFERROR(VLOOKUP(A20,$A$10:$I19,1,0),0)=0,"",VLOOKUP(A20,$A$10:$I19,6,0))</f>
        <v>SOTO</v>
      </c>
      <c r="G20" s="49">
        <f>IF(IFERROR(VLOOKUP(A20,$A$10:$I19,1,0),0)=0,"",VLOOKUP(A20,$A$10:$I19,7,0))</f>
        <v>45517</v>
      </c>
      <c r="H20" s="49">
        <v>45539</v>
      </c>
      <c r="I20" s="29" t="s">
        <v>30</v>
      </c>
      <c r="J20" s="29"/>
      <c r="K20" s="24" t="s">
        <v>18</v>
      </c>
      <c r="L20" s="49">
        <v>45536</v>
      </c>
      <c r="M20" s="49">
        <v>45539</v>
      </c>
      <c r="N20" s="29">
        <f t="shared" si="1"/>
        <v>3</v>
      </c>
      <c r="O20" s="29"/>
      <c r="P20" t="s">
        <v>88</v>
      </c>
      <c r="Q20" t="s">
        <v>88</v>
      </c>
      <c r="R20" t="s">
        <v>88</v>
      </c>
      <c r="S20" t="s">
        <v>88</v>
      </c>
      <c r="T20" t="s">
        <v>88</v>
      </c>
      <c r="U20" t="s">
        <v>20</v>
      </c>
    </row>
    <row r="21" spans="1:21" x14ac:dyDescent="0.45">
      <c r="A21" s="29">
        <v>116630788</v>
      </c>
      <c r="B21" s="29" t="s">
        <v>1395</v>
      </c>
      <c r="C21" s="22" t="s">
        <v>22</v>
      </c>
      <c r="D21" s="29" t="s">
        <v>336</v>
      </c>
      <c r="E21" s="29" t="s">
        <v>315</v>
      </c>
      <c r="F21" s="29" t="s">
        <v>1287</v>
      </c>
      <c r="G21" s="49">
        <v>45505</v>
      </c>
      <c r="H21" s="49">
        <v>45538</v>
      </c>
      <c r="I21" s="29" t="s">
        <v>30</v>
      </c>
      <c r="J21" s="29" t="s">
        <v>22</v>
      </c>
      <c r="K21" s="24" t="s">
        <v>18</v>
      </c>
      <c r="L21" s="49">
        <v>45536</v>
      </c>
      <c r="M21" s="49">
        <v>45538</v>
      </c>
      <c r="N21" s="29">
        <f t="shared" si="1"/>
        <v>2</v>
      </c>
      <c r="O21" s="29"/>
      <c r="P21" t="s">
        <v>88</v>
      </c>
      <c r="Q21" t="s">
        <v>88</v>
      </c>
      <c r="R21" t="s">
        <v>88</v>
      </c>
      <c r="S21" t="s">
        <v>88</v>
      </c>
      <c r="T21" t="s">
        <v>88</v>
      </c>
      <c r="U21" t="s">
        <v>20</v>
      </c>
    </row>
    <row r="22" spans="1:21" x14ac:dyDescent="0.45">
      <c r="A22" s="29">
        <v>116630788</v>
      </c>
      <c r="B22" s="29" t="str">
        <f t="shared" ref="B22:B85" si="2">IF(LEN(A22)=8,MID(A22,1,1)&amp;"."&amp;MID(A22,2,3)&amp;"."&amp;MID(A22,5,3)&amp;"-"&amp;RIGHT(A22,1),IF(LEFT(RIGHT(A22,2),1)="-",MID(A22,1,1)&amp;"."&amp;MID(A22,2,3)&amp;"."&amp;MID(A22,5,3)&amp;"-"&amp;RIGHT(A22,1),MID(A22,1,2)&amp;"."&amp;MID(A22,3,3)&amp;"."&amp;MID(A22,6,3)&amp;"-"&amp;MID(A22,9,1)))</f>
        <v>11.663.078-8</v>
      </c>
      <c r="C22" s="22" t="str">
        <f>IF(IFERROR(VLOOKUP(A22,$A$10:$I21,1,0),0)=0,"",VLOOKUP(A22,$A$10:$I21,3,0))</f>
        <v>UCI</v>
      </c>
      <c r="D22" s="29" t="str">
        <f>IF(IFERROR(VLOOKUP(A22,$A$10:$I21,1,0),0)=0,"",VLOOKUP(A22,$A$10:$I21,4,0))</f>
        <v>ANA</v>
      </c>
      <c r="E22" s="29" t="str">
        <f>IF(IFERROR(VLOOKUP(A22,$A$10:$I21,1,0),0)=0,"",VLOOKUP(A22,$A$10:$I21,5,0))</f>
        <v>ARIAS</v>
      </c>
      <c r="F22" s="29" t="str">
        <f>IF(IFERROR(VLOOKUP(A22,$A$10:$I21,1,0),0)=0,"",VLOOKUP(A22,$A$10:$I21,6,0))</f>
        <v>ARANCIBIA</v>
      </c>
      <c r="G22" s="49">
        <f>IF(IFERROR(VLOOKUP(A22,$A$10:$I21,1,0),0)=0,"",VLOOKUP(A22,$A$10:$I21,7,0))</f>
        <v>45505</v>
      </c>
      <c r="H22" s="49">
        <v>45538</v>
      </c>
      <c r="I22" s="29" t="s">
        <v>30</v>
      </c>
      <c r="J22" s="29" t="s">
        <v>22</v>
      </c>
      <c r="K22" s="24" t="s">
        <v>47</v>
      </c>
      <c r="L22" s="49">
        <v>45536</v>
      </c>
      <c r="M22" s="49">
        <v>45538</v>
      </c>
      <c r="N22" s="29">
        <f t="shared" si="1"/>
        <v>2</v>
      </c>
      <c r="O22" s="29"/>
      <c r="P22" t="s">
        <v>88</v>
      </c>
      <c r="Q22" t="s">
        <v>88</v>
      </c>
      <c r="R22" t="s">
        <v>88</v>
      </c>
      <c r="S22" t="s">
        <v>88</v>
      </c>
      <c r="T22" t="s">
        <v>88</v>
      </c>
      <c r="U22" t="s">
        <v>20</v>
      </c>
    </row>
    <row r="23" spans="1:21" x14ac:dyDescent="0.45">
      <c r="A23" s="29">
        <v>116630788</v>
      </c>
      <c r="B23" s="29" t="str">
        <f t="shared" si="2"/>
        <v>11.663.078-8</v>
      </c>
      <c r="C23" s="22" t="str">
        <f>IF(IFERROR(VLOOKUP(A23,$A$10:$I22,1,0),0)=0,"",VLOOKUP(A23,$A$10:$I22,3,0))</f>
        <v>UCI</v>
      </c>
      <c r="D23" s="29" t="str">
        <f>IF(IFERROR(VLOOKUP(A23,$A$10:$I22,1,0),0)=0,"",VLOOKUP(A23,$A$10:$I22,4,0))</f>
        <v>ANA</v>
      </c>
      <c r="E23" s="29" t="str">
        <f>IF(IFERROR(VLOOKUP(A23,$A$10:$I22,1,0),0)=0,"",VLOOKUP(A23,$A$10:$I22,5,0))</f>
        <v>ARIAS</v>
      </c>
      <c r="F23" s="29" t="str">
        <f>IF(IFERROR(VLOOKUP(A23,$A$10:$I22,1,0),0)=0,"",VLOOKUP(A23,$A$10:$I22,6,0))</f>
        <v>ARANCIBIA</v>
      </c>
      <c r="G23" s="49">
        <f>IF(IFERROR(VLOOKUP(A23,$A$10:$I22,1,0),0)=0,"",VLOOKUP(A23,$A$10:$I22,7,0))</f>
        <v>45505</v>
      </c>
      <c r="H23" s="49">
        <v>45538</v>
      </c>
      <c r="I23" s="29" t="s">
        <v>30</v>
      </c>
      <c r="J23" s="29" t="s">
        <v>22</v>
      </c>
      <c r="K23" s="24" t="s">
        <v>55</v>
      </c>
      <c r="L23" s="49">
        <v>45536</v>
      </c>
      <c r="M23" s="49">
        <v>45538</v>
      </c>
      <c r="N23" s="29">
        <f t="shared" si="1"/>
        <v>2</v>
      </c>
      <c r="O23" s="29"/>
      <c r="P23" t="s">
        <v>88</v>
      </c>
      <c r="Q23" t="s">
        <v>88</v>
      </c>
      <c r="R23" t="s">
        <v>88</v>
      </c>
      <c r="S23" t="s">
        <v>88</v>
      </c>
      <c r="T23" t="s">
        <v>88</v>
      </c>
      <c r="U23" t="s">
        <v>20</v>
      </c>
    </row>
    <row r="24" spans="1:21" x14ac:dyDescent="0.45">
      <c r="A24" s="29">
        <v>35863494</v>
      </c>
      <c r="B24" s="29" t="str">
        <f t="shared" si="2"/>
        <v>3.586.349-4</v>
      </c>
      <c r="C24" s="22" t="s">
        <v>22</v>
      </c>
      <c r="D24" s="29" t="s">
        <v>1396</v>
      </c>
      <c r="E24" s="29" t="s">
        <v>1397</v>
      </c>
      <c r="F24" s="29" t="s">
        <v>657</v>
      </c>
      <c r="G24" s="49">
        <v>45534</v>
      </c>
      <c r="H24" s="49">
        <v>45538</v>
      </c>
      <c r="I24" s="29"/>
      <c r="J24" s="29"/>
      <c r="K24" s="24" t="s">
        <v>43</v>
      </c>
      <c r="L24" s="49">
        <v>45536</v>
      </c>
      <c r="M24" s="49">
        <v>45538</v>
      </c>
      <c r="N24" s="29">
        <f t="shared" si="1"/>
        <v>2</v>
      </c>
      <c r="O24" s="29"/>
      <c r="P24" t="s">
        <v>88</v>
      </c>
      <c r="Q24" t="s">
        <v>88</v>
      </c>
      <c r="R24" t="s">
        <v>88</v>
      </c>
      <c r="S24" t="s">
        <v>88</v>
      </c>
      <c r="T24" t="s">
        <v>88</v>
      </c>
      <c r="U24" t="s">
        <v>20</v>
      </c>
    </row>
    <row r="25" spans="1:21" x14ac:dyDescent="0.45">
      <c r="A25" s="29">
        <v>35863494</v>
      </c>
      <c r="B25" s="29" t="str">
        <f t="shared" si="2"/>
        <v>3.586.349-4</v>
      </c>
      <c r="C25" s="22" t="str">
        <f>IF(IFERROR(VLOOKUP(A25,$A$10:$I24,1,0),0)=0,"",VLOOKUP(A25,$A$10:$I24,3,0))</f>
        <v>UCI</v>
      </c>
      <c r="D25" s="29" t="str">
        <f>IF(IFERROR(VLOOKUP(A25,$A$10:$I24,1,0),0)=0,"",VLOOKUP(A25,$A$10:$I24,4,0))</f>
        <v>AMADOR</v>
      </c>
      <c r="E25" s="29" t="str">
        <f>IF(IFERROR(VLOOKUP(A25,$A$10:$I24,1,0),0)=0,"",VLOOKUP(A25,$A$10:$I24,5,0))</f>
        <v>GONZÁLEZ</v>
      </c>
      <c r="F25" s="29" t="str">
        <f>IF(IFERROR(VLOOKUP(A25,$A$10:$I24,1,0),0)=0,"",VLOOKUP(A25,$A$10:$I24,6,0))</f>
        <v>VIDAL</v>
      </c>
      <c r="G25" s="49">
        <f>IF(IFERROR(VLOOKUP(A25,$A$10:$I24,1,0),0)=0,"",VLOOKUP(A25,$A$10:$I24,7,0))</f>
        <v>45534</v>
      </c>
      <c r="H25" s="49">
        <v>45538</v>
      </c>
      <c r="I25" s="29"/>
      <c r="J25" s="29"/>
      <c r="K25" s="24" t="s">
        <v>47</v>
      </c>
      <c r="L25" s="49">
        <v>45536</v>
      </c>
      <c r="M25" s="49">
        <v>45538</v>
      </c>
      <c r="N25" s="29">
        <f t="shared" si="1"/>
        <v>2</v>
      </c>
      <c r="O25" s="29"/>
      <c r="P25" t="s">
        <v>88</v>
      </c>
      <c r="Q25" t="s">
        <v>88</v>
      </c>
      <c r="R25" t="s">
        <v>88</v>
      </c>
      <c r="S25" t="s">
        <v>88</v>
      </c>
      <c r="T25" t="s">
        <v>88</v>
      </c>
      <c r="U25" t="s">
        <v>20</v>
      </c>
    </row>
    <row r="26" spans="1:21" x14ac:dyDescent="0.45">
      <c r="A26" s="29">
        <v>144205081</v>
      </c>
      <c r="B26" s="29" t="str">
        <f t="shared" si="2"/>
        <v>14.420.508-1</v>
      </c>
      <c r="C26" s="22" t="s">
        <v>22</v>
      </c>
      <c r="D26" s="29" t="s">
        <v>638</v>
      </c>
      <c r="E26" s="29" t="s">
        <v>426</v>
      </c>
      <c r="F26" s="29" t="s">
        <v>323</v>
      </c>
      <c r="G26" s="49">
        <v>45533</v>
      </c>
      <c r="H26" s="29"/>
      <c r="I26" s="29" t="s">
        <v>46</v>
      </c>
      <c r="J26" s="29"/>
      <c r="K26" s="24" t="s">
        <v>43</v>
      </c>
      <c r="L26" s="49">
        <v>45536</v>
      </c>
      <c r="M26" s="49">
        <v>45565</v>
      </c>
      <c r="N26" s="29">
        <f t="shared" si="1"/>
        <v>29</v>
      </c>
      <c r="O26" s="29"/>
      <c r="P26" t="s">
        <v>96</v>
      </c>
      <c r="Q26" t="s">
        <v>88</v>
      </c>
      <c r="R26" t="s">
        <v>88</v>
      </c>
      <c r="S26" t="s">
        <v>88</v>
      </c>
      <c r="T26" t="s">
        <v>88</v>
      </c>
      <c r="U26" t="s">
        <v>20</v>
      </c>
    </row>
    <row r="27" spans="1:21" x14ac:dyDescent="0.45">
      <c r="A27" s="29">
        <v>144205081</v>
      </c>
      <c r="B27" s="29" t="str">
        <f t="shared" si="2"/>
        <v>14.420.508-1</v>
      </c>
      <c r="C27" s="22" t="str">
        <f>IF(IFERROR(VLOOKUP(A27,$A$10:$I26,1,0),0)=0,"",VLOOKUP(A27,$A$10:$I26,3,0))</f>
        <v>UCI</v>
      </c>
      <c r="D27" s="29" t="str">
        <f>IF(IFERROR(VLOOKUP(A27,$A$10:$I26,1,0),0)=0,"",VLOOKUP(A27,$A$10:$I26,4,0))</f>
        <v>CARLOS</v>
      </c>
      <c r="E27" s="29" t="str">
        <f>IF(IFERROR(VLOOKUP(A27,$A$10:$I26,1,0),0)=0,"",VLOOKUP(A27,$A$10:$I26,5,0))</f>
        <v>GODOY</v>
      </c>
      <c r="F27" s="29" t="str">
        <f>IF(IFERROR(VLOOKUP(A27,$A$10:$I26,1,0),0)=0,"",VLOOKUP(A27,$A$10:$I26,6,0))</f>
        <v>BASCUÑAN</v>
      </c>
      <c r="G27" s="49">
        <f>IF(IFERROR(VLOOKUP(A27,$A$10:$I26,1,0),0)=0,"",VLOOKUP(A27,$A$10:$I26,7,0))</f>
        <v>45533</v>
      </c>
      <c r="H27" s="29"/>
      <c r="I27" s="29" t="s">
        <v>46</v>
      </c>
      <c r="J27" s="29"/>
      <c r="K27" s="24" t="s">
        <v>47</v>
      </c>
      <c r="L27" s="49">
        <v>45536</v>
      </c>
      <c r="M27" s="49">
        <v>45565</v>
      </c>
      <c r="N27" s="29">
        <f t="shared" si="1"/>
        <v>29</v>
      </c>
      <c r="O27" s="29"/>
      <c r="P27" t="s">
        <v>88</v>
      </c>
      <c r="Q27" t="s">
        <v>88</v>
      </c>
      <c r="R27" t="s">
        <v>88</v>
      </c>
      <c r="S27" t="s">
        <v>88</v>
      </c>
      <c r="T27" t="s">
        <v>88</v>
      </c>
      <c r="U27" t="s">
        <v>20</v>
      </c>
    </row>
    <row r="28" spans="1:21" x14ac:dyDescent="0.45">
      <c r="A28" s="29">
        <v>144205081</v>
      </c>
      <c r="B28" s="29" t="str">
        <f t="shared" si="2"/>
        <v>14.420.508-1</v>
      </c>
      <c r="C28" s="22" t="str">
        <f>IF(IFERROR(VLOOKUP(A28,$A$10:$I27,1,0),0)=0,"",VLOOKUP(A28,$A$10:$I27,3,0))</f>
        <v>UCI</v>
      </c>
      <c r="D28" s="29" t="str">
        <f>IF(IFERROR(VLOOKUP(A28,$A$10:$I27,1,0),0)=0,"",VLOOKUP(A28,$A$10:$I27,4,0))</f>
        <v>CARLOS</v>
      </c>
      <c r="E28" s="29" t="str">
        <f>IF(IFERROR(VLOOKUP(A28,$A$10:$I27,1,0),0)=0,"",VLOOKUP(A28,$A$10:$I27,5,0))</f>
        <v>GODOY</v>
      </c>
      <c r="F28" s="29" t="str">
        <f>IF(IFERROR(VLOOKUP(A28,$A$10:$I27,1,0),0)=0,"",VLOOKUP(A28,$A$10:$I27,6,0))</f>
        <v>BASCUÑAN</v>
      </c>
      <c r="G28" s="49">
        <f>IF(IFERROR(VLOOKUP(A28,$A$10:$I27,1,0),0)=0,"",VLOOKUP(A28,$A$10:$I27,7,0))</f>
        <v>45533</v>
      </c>
      <c r="H28" s="29"/>
      <c r="I28" s="29" t="s">
        <v>46</v>
      </c>
      <c r="J28" s="29"/>
      <c r="K28" s="24" t="s">
        <v>55</v>
      </c>
      <c r="L28" s="49">
        <v>45536</v>
      </c>
      <c r="M28" s="49">
        <v>45565</v>
      </c>
      <c r="N28" s="29">
        <f t="shared" si="1"/>
        <v>29</v>
      </c>
      <c r="O28" s="29"/>
      <c r="P28" t="s">
        <v>88</v>
      </c>
      <c r="Q28" t="s">
        <v>88</v>
      </c>
      <c r="R28" t="s">
        <v>88</v>
      </c>
      <c r="S28" t="s">
        <v>88</v>
      </c>
      <c r="T28" t="s">
        <v>88</v>
      </c>
      <c r="U28" t="s">
        <v>20</v>
      </c>
    </row>
    <row r="29" spans="1:21" x14ac:dyDescent="0.45">
      <c r="A29" s="29">
        <v>82225668</v>
      </c>
      <c r="B29" s="29" t="str">
        <f t="shared" si="2"/>
        <v>8.222.566-8</v>
      </c>
      <c r="C29" s="22" t="s">
        <v>22</v>
      </c>
      <c r="D29" s="29" t="s">
        <v>1370</v>
      </c>
      <c r="E29" s="29" t="s">
        <v>375</v>
      </c>
      <c r="F29" s="29" t="s">
        <v>1369</v>
      </c>
      <c r="G29" s="49">
        <v>45532</v>
      </c>
      <c r="H29" s="49">
        <v>45547</v>
      </c>
      <c r="I29" s="29"/>
      <c r="J29" s="29" t="s">
        <v>19</v>
      </c>
      <c r="K29" s="24" t="s">
        <v>43</v>
      </c>
      <c r="L29" s="49">
        <v>45536</v>
      </c>
      <c r="M29" s="49">
        <v>45541</v>
      </c>
      <c r="N29" s="29">
        <f t="shared" si="1"/>
        <v>5</v>
      </c>
      <c r="O29" s="29"/>
      <c r="P29" t="s">
        <v>88</v>
      </c>
      <c r="Q29" t="s">
        <v>88</v>
      </c>
      <c r="R29" t="s">
        <v>88</v>
      </c>
      <c r="S29" t="s">
        <v>88</v>
      </c>
      <c r="T29" t="s">
        <v>88</v>
      </c>
      <c r="U29" t="s">
        <v>20</v>
      </c>
    </row>
    <row r="30" spans="1:21" x14ac:dyDescent="0.45">
      <c r="A30" s="29">
        <v>82225668</v>
      </c>
      <c r="B30" s="29" t="str">
        <f t="shared" si="2"/>
        <v>8.222.566-8</v>
      </c>
      <c r="C30" s="22" t="s">
        <v>22</v>
      </c>
      <c r="D30" s="29" t="s">
        <v>1370</v>
      </c>
      <c r="E30" s="29" t="s">
        <v>375</v>
      </c>
      <c r="F30" s="29" t="s">
        <v>1369</v>
      </c>
      <c r="G30" s="49">
        <v>45532</v>
      </c>
      <c r="H30" s="49">
        <v>45547</v>
      </c>
      <c r="I30" s="29"/>
      <c r="J30" s="29" t="s">
        <v>19</v>
      </c>
      <c r="K30" s="24" t="s">
        <v>43</v>
      </c>
      <c r="L30" s="49">
        <v>45541</v>
      </c>
      <c r="M30" s="49">
        <v>45547</v>
      </c>
      <c r="N30" s="29">
        <f t="shared" si="1"/>
        <v>6</v>
      </c>
      <c r="O30" s="29"/>
      <c r="P30" t="s">
        <v>88</v>
      </c>
      <c r="Q30" t="s">
        <v>88</v>
      </c>
      <c r="R30" t="s">
        <v>88</v>
      </c>
      <c r="S30" t="s">
        <v>88</v>
      </c>
      <c r="T30" t="s">
        <v>88</v>
      </c>
      <c r="U30" t="s">
        <v>20</v>
      </c>
    </row>
    <row r="31" spans="1:21" x14ac:dyDescent="0.45">
      <c r="A31" s="29">
        <v>82225668</v>
      </c>
      <c r="B31" s="29" t="str">
        <f t="shared" si="2"/>
        <v>8.222.566-8</v>
      </c>
      <c r="C31" s="22" t="str">
        <f>IF(IFERROR(VLOOKUP(A31,$A$10:$I29,1,0),0)=0,"",VLOOKUP(A31,$A$10:$I29,3,0))</f>
        <v>UCI</v>
      </c>
      <c r="D31" s="29" t="str">
        <f>IF(IFERROR(VLOOKUP(A31,$A$10:$I29,1,0),0)=0,"",VLOOKUP(A31,$A$10:$I29,4,0))</f>
        <v>IGNELIA</v>
      </c>
      <c r="E31" s="29" t="str">
        <f>IF(IFERROR(VLOOKUP(A31,$A$10:$I29,1,0),0)=0,"",VLOOKUP(A31,$A$10:$I29,5,0))</f>
        <v>CASTILLO</v>
      </c>
      <c r="F31" s="29" t="str">
        <f>IF(IFERROR(VLOOKUP(A31,$A$10:$I29,1,0),0)=0,"",VLOOKUP(A31,$A$10:$I29,6,0))</f>
        <v>MILLAR</v>
      </c>
      <c r="G31" s="49">
        <f>IF(IFERROR(VLOOKUP(A31,$A$10:$I29,1,0),0)=0,"",VLOOKUP(A31,$A$10:$I29,7,0))</f>
        <v>45532</v>
      </c>
      <c r="H31" s="49">
        <v>45547</v>
      </c>
      <c r="I31" s="29"/>
      <c r="J31" s="29" t="s">
        <v>19</v>
      </c>
      <c r="K31" s="24" t="s">
        <v>47</v>
      </c>
      <c r="L31" s="49">
        <v>45536</v>
      </c>
      <c r="M31" s="49">
        <v>45547</v>
      </c>
      <c r="N31" s="29">
        <f t="shared" si="1"/>
        <v>11</v>
      </c>
      <c r="O31" s="29"/>
      <c r="P31" t="s">
        <v>88</v>
      </c>
      <c r="Q31" t="s">
        <v>88</v>
      </c>
      <c r="R31" t="s">
        <v>88</v>
      </c>
      <c r="S31" t="s">
        <v>88</v>
      </c>
      <c r="T31" t="s">
        <v>88</v>
      </c>
      <c r="U31" t="s">
        <v>20</v>
      </c>
    </row>
    <row r="32" spans="1:21" x14ac:dyDescent="0.45">
      <c r="A32" s="29">
        <v>82225668</v>
      </c>
      <c r="B32" s="29" t="str">
        <f t="shared" si="2"/>
        <v>8.222.566-8</v>
      </c>
      <c r="C32" s="22" t="str">
        <f>IF(IFERROR(VLOOKUP(A32,$A$10:$I31,1,0),0)=0,"",VLOOKUP(A32,$A$10:$I31,3,0))</f>
        <v>UCI</v>
      </c>
      <c r="D32" s="29" t="str">
        <f>IF(IFERROR(VLOOKUP(A32,$A$10:$I31,1,0),0)=0,"",VLOOKUP(A32,$A$10:$I31,4,0))</f>
        <v>IGNELIA</v>
      </c>
      <c r="E32" s="29" t="str">
        <f>IF(IFERROR(VLOOKUP(A32,$A$10:$I31,1,0),0)=0,"",VLOOKUP(A32,$A$10:$I31,5,0))</f>
        <v>CASTILLO</v>
      </c>
      <c r="F32" s="29" t="str">
        <f>IF(IFERROR(VLOOKUP(A32,$A$10:$I31,1,0),0)=0,"",VLOOKUP(A32,$A$10:$I31,6,0))</f>
        <v>MILLAR</v>
      </c>
      <c r="G32" s="49">
        <f>IF(IFERROR(VLOOKUP(A32,$A$10:$I31,1,0),0)=0,"",VLOOKUP(A32,$A$10:$I31,7,0))</f>
        <v>45532</v>
      </c>
      <c r="H32" s="49">
        <v>45547</v>
      </c>
      <c r="I32" s="29"/>
      <c r="J32" s="29" t="s">
        <v>19</v>
      </c>
      <c r="K32" s="24" t="s">
        <v>55</v>
      </c>
      <c r="L32" s="49">
        <v>45536</v>
      </c>
      <c r="M32" s="49">
        <v>45547</v>
      </c>
      <c r="N32" s="29">
        <f t="shared" si="1"/>
        <v>11</v>
      </c>
      <c r="O32" s="29"/>
      <c r="P32" t="s">
        <v>88</v>
      </c>
      <c r="Q32" t="s">
        <v>88</v>
      </c>
      <c r="R32" t="s">
        <v>88</v>
      </c>
      <c r="S32" t="s">
        <v>88</v>
      </c>
      <c r="T32" t="s">
        <v>88</v>
      </c>
      <c r="U32" t="s">
        <v>20</v>
      </c>
    </row>
    <row r="33" spans="1:21" x14ac:dyDescent="0.45">
      <c r="A33" s="79">
        <v>89120039</v>
      </c>
      <c r="B33" s="29" t="str">
        <f t="shared" si="2"/>
        <v>8.912.003-9</v>
      </c>
      <c r="C33" s="22" t="s">
        <v>22</v>
      </c>
      <c r="D33" s="29" t="s">
        <v>348</v>
      </c>
      <c r="E33" s="29" t="s">
        <v>1373</v>
      </c>
      <c r="F33" s="29" t="s">
        <v>1169</v>
      </c>
      <c r="G33" s="49">
        <v>45537</v>
      </c>
      <c r="H33" s="29"/>
      <c r="I33" s="29" t="s">
        <v>22</v>
      </c>
      <c r="J33" s="29"/>
      <c r="K33" s="24" t="s">
        <v>18</v>
      </c>
      <c r="L33" s="49">
        <v>45537</v>
      </c>
      <c r="M33" s="49">
        <v>45540</v>
      </c>
      <c r="N33" s="29">
        <f t="shared" si="1"/>
        <v>3</v>
      </c>
      <c r="O33" s="29"/>
      <c r="P33" t="s">
        <v>88</v>
      </c>
      <c r="Q33" t="s">
        <v>88</v>
      </c>
      <c r="R33" t="s">
        <v>88</v>
      </c>
      <c r="S33" t="s">
        <v>88</v>
      </c>
      <c r="T33" t="s">
        <v>88</v>
      </c>
      <c r="U33" t="s">
        <v>20</v>
      </c>
    </row>
    <row r="34" spans="1:21" x14ac:dyDescent="0.45">
      <c r="A34" s="79">
        <v>89120039</v>
      </c>
      <c r="B34" s="29" t="str">
        <f t="shared" si="2"/>
        <v>8.912.003-9</v>
      </c>
      <c r="C34" s="22" t="str">
        <f>IF(IFERROR(VLOOKUP(A34,$A$10:$I33,1,0),0)=0,"",VLOOKUP(A34,$A$10:$I33,3,0))</f>
        <v>UCI</v>
      </c>
      <c r="D34" s="29" t="str">
        <f>IF(IFERROR(VLOOKUP(A34,$A$10:$I33,1,0),0)=0,"",VLOOKUP(A34,$A$10:$I33,4,0))</f>
        <v>MARIA</v>
      </c>
      <c r="E34" s="29" t="str">
        <f>IF(IFERROR(VLOOKUP(A34,$A$10:$I33,1,0),0)=0,"",VLOOKUP(A34,$A$10:$I33,5,0))</f>
        <v>MAYORGA</v>
      </c>
      <c r="F34" s="29" t="str">
        <f>IF(IFERROR(VLOOKUP(A34,$A$10:$I33,1,0),0)=0,"",VLOOKUP(A34,$A$10:$I33,6,0))</f>
        <v>ULLOA</v>
      </c>
      <c r="G34" s="49">
        <f>IF(IFERROR(VLOOKUP(A34,$A$10:$I33,1,0),0)=0,"",VLOOKUP(A34,$A$10:$I33,7,0))</f>
        <v>45537</v>
      </c>
      <c r="H34" s="29"/>
      <c r="I34" s="29"/>
      <c r="J34" s="29"/>
      <c r="K34" s="24" t="s">
        <v>47</v>
      </c>
      <c r="L34" s="49">
        <v>45537</v>
      </c>
      <c r="M34" s="49">
        <v>45540</v>
      </c>
      <c r="N34" s="29">
        <f t="shared" si="1"/>
        <v>3</v>
      </c>
      <c r="O34" s="29"/>
      <c r="P34" t="s">
        <v>88</v>
      </c>
      <c r="Q34" t="s">
        <v>88</v>
      </c>
      <c r="R34" t="s">
        <v>88</v>
      </c>
      <c r="S34" t="s">
        <v>88</v>
      </c>
      <c r="T34" t="s">
        <v>88</v>
      </c>
      <c r="U34" t="s">
        <v>20</v>
      </c>
    </row>
    <row r="35" spans="1:21" x14ac:dyDescent="0.45">
      <c r="A35" s="29" t="s">
        <v>1398</v>
      </c>
      <c r="B35" s="29" t="str">
        <f t="shared" si="2"/>
        <v>12.321.658-k</v>
      </c>
      <c r="C35" s="22" t="s">
        <v>46</v>
      </c>
      <c r="D35" s="29" t="s">
        <v>250</v>
      </c>
      <c r="E35" s="29" t="s">
        <v>673</v>
      </c>
      <c r="F35" s="29" t="s">
        <v>387</v>
      </c>
      <c r="G35" s="49">
        <v>45538</v>
      </c>
      <c r="H35" s="49">
        <v>45553</v>
      </c>
      <c r="I35" s="29"/>
      <c r="J35" s="29" t="s">
        <v>13</v>
      </c>
      <c r="K35" s="24" t="s">
        <v>47</v>
      </c>
      <c r="L35" s="49">
        <v>45536</v>
      </c>
      <c r="M35" s="49">
        <v>45552</v>
      </c>
      <c r="N35" s="29">
        <f t="shared" si="1"/>
        <v>16</v>
      </c>
      <c r="O35" s="29"/>
      <c r="P35" t="s">
        <v>88</v>
      </c>
      <c r="Q35" t="s">
        <v>88</v>
      </c>
      <c r="R35" t="s">
        <v>88</v>
      </c>
      <c r="S35" t="s">
        <v>88</v>
      </c>
      <c r="T35" t="s">
        <v>88</v>
      </c>
      <c r="U35" t="s">
        <v>20</v>
      </c>
    </row>
    <row r="36" spans="1:21" x14ac:dyDescent="0.45">
      <c r="A36" s="79">
        <v>101376184</v>
      </c>
      <c r="B36" s="29" t="str">
        <f t="shared" si="2"/>
        <v>10.137.618-4</v>
      </c>
      <c r="C36" s="22" t="s">
        <v>22</v>
      </c>
      <c r="D36" s="29" t="s">
        <v>738</v>
      </c>
      <c r="E36" s="29" t="s">
        <v>511</v>
      </c>
      <c r="F36" s="29" t="s">
        <v>902</v>
      </c>
      <c r="G36" s="49">
        <v>45527</v>
      </c>
      <c r="H36" s="49">
        <v>45552</v>
      </c>
      <c r="I36" s="29"/>
      <c r="J36" s="29" t="s">
        <v>24</v>
      </c>
      <c r="K36" s="24" t="s">
        <v>43</v>
      </c>
      <c r="L36" s="49">
        <v>45536</v>
      </c>
      <c r="M36" s="49">
        <v>45552</v>
      </c>
      <c r="N36" s="29">
        <f t="shared" si="1"/>
        <v>16</v>
      </c>
      <c r="O36" s="29"/>
      <c r="P36" t="s">
        <v>88</v>
      </c>
      <c r="Q36" t="s">
        <v>88</v>
      </c>
      <c r="R36" t="s">
        <v>88</v>
      </c>
      <c r="S36" t="s">
        <v>88</v>
      </c>
      <c r="T36" t="s">
        <v>88</v>
      </c>
      <c r="U36" t="s">
        <v>20</v>
      </c>
    </row>
    <row r="37" spans="1:21" x14ac:dyDescent="0.45">
      <c r="A37" s="79">
        <v>131324200</v>
      </c>
      <c r="B37" s="29" t="str">
        <f t="shared" si="2"/>
        <v>13.132.420-0</v>
      </c>
      <c r="C37" s="22" t="s">
        <v>22</v>
      </c>
      <c r="D37" s="29" t="s">
        <v>468</v>
      </c>
      <c r="E37" s="29" t="s">
        <v>946</v>
      </c>
      <c r="F37" s="29" t="s">
        <v>580</v>
      </c>
      <c r="G37" s="49">
        <v>45500</v>
      </c>
      <c r="H37" s="29"/>
      <c r="I37" s="29" t="s">
        <v>22</v>
      </c>
      <c r="J37" s="29"/>
      <c r="K37" s="24" t="s">
        <v>43</v>
      </c>
      <c r="L37" s="49">
        <v>45536</v>
      </c>
      <c r="M37" s="49">
        <v>45539</v>
      </c>
      <c r="N37" s="29">
        <f t="shared" si="1"/>
        <v>3</v>
      </c>
      <c r="O37" s="29"/>
      <c r="P37" t="s">
        <v>88</v>
      </c>
      <c r="Q37" t="s">
        <v>88</v>
      </c>
      <c r="R37" t="s">
        <v>88</v>
      </c>
      <c r="S37" t="s">
        <v>88</v>
      </c>
      <c r="T37" t="s">
        <v>88</v>
      </c>
      <c r="U37" t="s">
        <v>20</v>
      </c>
    </row>
    <row r="38" spans="1:21" x14ac:dyDescent="0.45">
      <c r="A38" s="79">
        <v>57606819</v>
      </c>
      <c r="B38" s="29" t="str">
        <f t="shared" si="2"/>
        <v>5.760.681-9</v>
      </c>
      <c r="C38" s="22" t="s">
        <v>22</v>
      </c>
      <c r="D38" s="29" t="s">
        <v>392</v>
      </c>
      <c r="E38" s="29" t="s">
        <v>427</v>
      </c>
      <c r="F38" s="29" t="s">
        <v>442</v>
      </c>
      <c r="G38" s="49">
        <v>45534</v>
      </c>
      <c r="H38" s="49">
        <v>45538</v>
      </c>
      <c r="I38" s="29"/>
      <c r="J38" s="29" t="s">
        <v>24</v>
      </c>
      <c r="K38" s="24" t="s">
        <v>43</v>
      </c>
      <c r="L38" s="49">
        <v>45536</v>
      </c>
      <c r="M38" s="49">
        <v>45538</v>
      </c>
      <c r="N38" s="29">
        <f t="shared" si="1"/>
        <v>2</v>
      </c>
      <c r="O38" s="29"/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20</v>
      </c>
    </row>
    <row r="39" spans="1:21" x14ac:dyDescent="0.45">
      <c r="A39" s="79">
        <v>57606819</v>
      </c>
      <c r="B39" s="29" t="str">
        <f t="shared" si="2"/>
        <v>5.760.681-9</v>
      </c>
      <c r="C39" s="22" t="str">
        <f>IF(IFERROR(VLOOKUP(A39,$A$10:$I38,1,0),0)=0,"",VLOOKUP(A39,$A$10:$I38,3,0))</f>
        <v>UCI</v>
      </c>
      <c r="D39" s="29" t="str">
        <f>IF(IFERROR(VLOOKUP(A39,$A$10:$I38,1,0),0)=0,"",VLOOKUP(A39,$A$10:$I38,4,0))</f>
        <v>SARA</v>
      </c>
      <c r="E39" s="29" t="str">
        <f>IF(IFERROR(VLOOKUP(A39,$A$10:$I38,1,0),0)=0,"",VLOOKUP(A39,$A$10:$I38,5,0))</f>
        <v>MOLINA</v>
      </c>
      <c r="F39" s="29" t="str">
        <f>IF(IFERROR(VLOOKUP(A39,$A$10:$I38,1,0),0)=0,"",VLOOKUP(A39,$A$10:$I38,6,0))</f>
        <v>FUENTEALBA</v>
      </c>
      <c r="G39" s="49">
        <f>IF(IFERROR(VLOOKUP(A39,$A$10:$I38,1,0),0)=0,"",VLOOKUP(A39,$A$10:$I38,7,0))</f>
        <v>45534</v>
      </c>
      <c r="H39" s="49">
        <v>45538</v>
      </c>
      <c r="I39" s="29"/>
      <c r="J39" s="29" t="s">
        <v>24</v>
      </c>
      <c r="K39" s="24" t="s">
        <v>47</v>
      </c>
      <c r="L39" s="49">
        <v>45536</v>
      </c>
      <c r="M39" s="49">
        <v>45538</v>
      </c>
      <c r="N39" s="29">
        <f t="shared" si="1"/>
        <v>2</v>
      </c>
      <c r="O39" s="29"/>
      <c r="P39" t="s">
        <v>88</v>
      </c>
      <c r="Q39" t="s">
        <v>88</v>
      </c>
      <c r="R39" t="s">
        <v>88</v>
      </c>
      <c r="S39" t="s">
        <v>88</v>
      </c>
      <c r="T39" t="s">
        <v>88</v>
      </c>
      <c r="U39" t="s">
        <v>20</v>
      </c>
    </row>
    <row r="40" spans="1:21" x14ac:dyDescent="0.45">
      <c r="A40" s="79">
        <v>107751629</v>
      </c>
      <c r="B40" s="29" t="str">
        <f t="shared" si="2"/>
        <v>10.775.162-9</v>
      </c>
      <c r="C40" s="22" t="s">
        <v>22</v>
      </c>
      <c r="D40" s="29" t="s">
        <v>452</v>
      </c>
      <c r="E40" s="29" t="s">
        <v>670</v>
      </c>
      <c r="F40" s="29" t="s">
        <v>1259</v>
      </c>
      <c r="G40" s="49">
        <v>45532</v>
      </c>
      <c r="H40" s="49">
        <v>45540</v>
      </c>
      <c r="I40" s="29"/>
      <c r="J40" s="29" t="s">
        <v>56</v>
      </c>
      <c r="K40" s="24" t="s">
        <v>18</v>
      </c>
      <c r="L40" s="49">
        <v>45536</v>
      </c>
      <c r="M40" s="49">
        <v>45540</v>
      </c>
      <c r="N40" s="29">
        <f t="shared" ref="N40:N71" si="3">+M40-L40</f>
        <v>4</v>
      </c>
      <c r="O40" s="29"/>
      <c r="P40" t="s">
        <v>98</v>
      </c>
      <c r="Q40" t="s">
        <v>88</v>
      </c>
      <c r="R40" t="s">
        <v>88</v>
      </c>
      <c r="S40" t="s">
        <v>88</v>
      </c>
      <c r="T40" t="s">
        <v>88</v>
      </c>
      <c r="U40" t="s">
        <v>14</v>
      </c>
    </row>
    <row r="41" spans="1:21" x14ac:dyDescent="0.45">
      <c r="A41" s="79">
        <v>107118209</v>
      </c>
      <c r="B41" s="29" t="str">
        <f t="shared" si="2"/>
        <v>10.711.820-9</v>
      </c>
      <c r="C41" s="22" t="s">
        <v>22</v>
      </c>
      <c r="D41" s="29" t="s">
        <v>944</v>
      </c>
      <c r="E41" s="29" t="s">
        <v>955</v>
      </c>
      <c r="F41" s="29" t="s">
        <v>328</v>
      </c>
      <c r="G41" s="49">
        <v>45526</v>
      </c>
      <c r="H41" s="49">
        <v>45550</v>
      </c>
      <c r="I41" s="29"/>
      <c r="J41" s="29" t="s">
        <v>46</v>
      </c>
      <c r="K41" s="24" t="s">
        <v>43</v>
      </c>
      <c r="L41" s="49">
        <v>45536</v>
      </c>
      <c r="M41" s="49">
        <v>45550</v>
      </c>
      <c r="N41" s="29">
        <f t="shared" si="3"/>
        <v>14</v>
      </c>
      <c r="O41" s="29"/>
      <c r="P41" t="s">
        <v>88</v>
      </c>
      <c r="Q41" t="s">
        <v>88</v>
      </c>
      <c r="R41" t="s">
        <v>88</v>
      </c>
      <c r="S41" t="s">
        <v>88</v>
      </c>
      <c r="T41" t="s">
        <v>88</v>
      </c>
      <c r="U41" t="s">
        <v>20</v>
      </c>
    </row>
    <row r="42" spans="1:21" x14ac:dyDescent="0.45">
      <c r="A42" s="79">
        <v>107118209</v>
      </c>
      <c r="B42" s="29" t="str">
        <f t="shared" si="2"/>
        <v>10.711.820-9</v>
      </c>
      <c r="C42" s="22" t="str">
        <f>IF(IFERROR(VLOOKUP(A42,$A$10:$I41,1,0),0)=0,"",VLOOKUP(A42,$A$10:$I41,3,0))</f>
        <v>UCI</v>
      </c>
      <c r="D42" s="29" t="str">
        <f>IF(IFERROR(VLOOKUP(A42,$A$10:$I41,1,0),0)=0,"",VLOOKUP(A42,$A$10:$I41,4,0))</f>
        <v>ELIANA</v>
      </c>
      <c r="E42" s="29" t="str">
        <f>IF(IFERROR(VLOOKUP(A42,$A$10:$I41,1,0),0)=0,"",VLOOKUP(A42,$A$10:$I41,5,0))</f>
        <v>DEFAUR</v>
      </c>
      <c r="F42" s="29" t="str">
        <f>IF(IFERROR(VLOOKUP(A42,$A$10:$I41,1,0),0)=0,"",VLOOKUP(A42,$A$10:$I41,6,0))</f>
        <v>GUTIERREZ</v>
      </c>
      <c r="G42" s="49">
        <f>IF(IFERROR(VLOOKUP(A42,$A$10:$I41,1,0),0)=0,"",VLOOKUP(A42,$A$10:$I41,7,0))</f>
        <v>45526</v>
      </c>
      <c r="H42" s="49">
        <v>45550</v>
      </c>
      <c r="I42" s="29"/>
      <c r="J42" s="29" t="s">
        <v>46</v>
      </c>
      <c r="K42" s="24" t="s">
        <v>47</v>
      </c>
      <c r="L42" s="49">
        <v>45536</v>
      </c>
      <c r="M42" s="49">
        <v>45544</v>
      </c>
      <c r="N42" s="29">
        <f t="shared" si="3"/>
        <v>8</v>
      </c>
      <c r="O42" s="29"/>
      <c r="P42" t="s">
        <v>88</v>
      </c>
      <c r="Q42" t="s">
        <v>88</v>
      </c>
      <c r="R42" t="s">
        <v>88</v>
      </c>
      <c r="S42" t="s">
        <v>88</v>
      </c>
      <c r="T42" t="s">
        <v>88</v>
      </c>
      <c r="U42" t="s">
        <v>20</v>
      </c>
    </row>
    <row r="43" spans="1:21" x14ac:dyDescent="0.45">
      <c r="A43" s="29">
        <v>284768574</v>
      </c>
      <c r="B43" s="29" t="str">
        <f t="shared" si="2"/>
        <v>28.476.857-4</v>
      </c>
      <c r="C43" s="22" t="s">
        <v>16</v>
      </c>
      <c r="D43" s="29" t="s">
        <v>947</v>
      </c>
      <c r="E43" s="29" t="s">
        <v>780</v>
      </c>
      <c r="F43" s="29" t="s">
        <v>328</v>
      </c>
      <c r="G43" s="49">
        <v>45476</v>
      </c>
      <c r="H43" s="29"/>
      <c r="I43" s="29"/>
      <c r="J43" s="29"/>
      <c r="K43" s="24" t="s">
        <v>18</v>
      </c>
      <c r="L43" s="49">
        <v>45537</v>
      </c>
      <c r="M43" s="49">
        <v>45565</v>
      </c>
      <c r="N43" s="29">
        <f t="shared" si="3"/>
        <v>28</v>
      </c>
      <c r="O43" s="29"/>
      <c r="P43" t="s">
        <v>88</v>
      </c>
      <c r="Q43" t="s">
        <v>88</v>
      </c>
      <c r="R43" t="s">
        <v>88</v>
      </c>
      <c r="S43" t="s">
        <v>88</v>
      </c>
      <c r="T43" t="s">
        <v>88</v>
      </c>
      <c r="U43" t="s">
        <v>20</v>
      </c>
    </row>
    <row r="44" spans="1:21" x14ac:dyDescent="0.45">
      <c r="A44" s="29">
        <v>284768574</v>
      </c>
      <c r="B44" s="29" t="str">
        <f t="shared" si="2"/>
        <v>28.476.857-4</v>
      </c>
      <c r="C44" s="22" t="s">
        <v>16</v>
      </c>
      <c r="D44" s="29" t="s">
        <v>947</v>
      </c>
      <c r="E44" s="29" t="s">
        <v>780</v>
      </c>
      <c r="F44" s="29" t="s">
        <v>328</v>
      </c>
      <c r="G44" s="49">
        <v>45476</v>
      </c>
      <c r="H44" s="29"/>
      <c r="I44" s="29"/>
      <c r="J44" s="29"/>
      <c r="K44" s="24" t="s">
        <v>55</v>
      </c>
      <c r="L44" s="49">
        <v>45536</v>
      </c>
      <c r="M44" s="49">
        <v>45559</v>
      </c>
      <c r="N44" s="29">
        <f t="shared" si="3"/>
        <v>23</v>
      </c>
      <c r="O44" s="29"/>
      <c r="P44" t="s">
        <v>88</v>
      </c>
      <c r="Q44" t="s">
        <v>88</v>
      </c>
      <c r="R44" t="s">
        <v>88</v>
      </c>
      <c r="S44" t="s">
        <v>88</v>
      </c>
      <c r="T44" t="s">
        <v>88</v>
      </c>
      <c r="U44" t="s">
        <v>20</v>
      </c>
    </row>
    <row r="45" spans="1:21" x14ac:dyDescent="0.45">
      <c r="A45" s="29">
        <v>285023882</v>
      </c>
      <c r="B45" s="29" t="str">
        <f t="shared" si="2"/>
        <v>28.502.388-2</v>
      </c>
      <c r="C45" s="22" t="s">
        <v>16</v>
      </c>
      <c r="D45" s="29" t="s">
        <v>1388</v>
      </c>
      <c r="E45" s="29" t="s">
        <v>307</v>
      </c>
      <c r="F45" s="29" t="s">
        <v>435</v>
      </c>
      <c r="G45" s="49">
        <v>45509</v>
      </c>
      <c r="H45" s="29"/>
      <c r="I45" s="29"/>
      <c r="J45" s="29"/>
      <c r="K45" s="24" t="s">
        <v>55</v>
      </c>
      <c r="L45" s="49">
        <v>45536</v>
      </c>
      <c r="M45" s="49">
        <v>45565</v>
      </c>
      <c r="N45" s="29">
        <f t="shared" si="3"/>
        <v>29</v>
      </c>
      <c r="O45" s="29"/>
      <c r="P45" t="s">
        <v>88</v>
      </c>
      <c r="Q45" t="s">
        <v>88</v>
      </c>
      <c r="R45" t="s">
        <v>88</v>
      </c>
      <c r="S45" t="s">
        <v>88</v>
      </c>
      <c r="T45" t="s">
        <v>88</v>
      </c>
      <c r="U45" t="s">
        <v>20</v>
      </c>
    </row>
    <row r="46" spans="1:21" x14ac:dyDescent="0.45">
      <c r="A46" s="29">
        <v>285023882</v>
      </c>
      <c r="B46" s="29" t="str">
        <f t="shared" si="2"/>
        <v>28.502.388-2</v>
      </c>
      <c r="C46" s="22" t="s">
        <v>16</v>
      </c>
      <c r="D46" s="29" t="s">
        <v>1388</v>
      </c>
      <c r="E46" s="29" t="s">
        <v>307</v>
      </c>
      <c r="F46" s="29" t="s">
        <v>435</v>
      </c>
      <c r="G46" s="49">
        <v>45509</v>
      </c>
      <c r="H46" s="29"/>
      <c r="I46" s="29"/>
      <c r="J46" s="29"/>
      <c r="K46" s="24" t="s">
        <v>18</v>
      </c>
      <c r="L46" s="49">
        <v>45538</v>
      </c>
      <c r="M46" s="49">
        <v>45552</v>
      </c>
      <c r="N46" s="29">
        <f t="shared" si="3"/>
        <v>14</v>
      </c>
      <c r="O46" s="29"/>
      <c r="P46" t="s">
        <v>88</v>
      </c>
      <c r="Q46" t="s">
        <v>88</v>
      </c>
      <c r="R46" t="s">
        <v>88</v>
      </c>
      <c r="S46" t="s">
        <v>88</v>
      </c>
      <c r="T46" t="s">
        <v>88</v>
      </c>
      <c r="U46" t="s">
        <v>20</v>
      </c>
    </row>
    <row r="47" spans="1:21" x14ac:dyDescent="0.45">
      <c r="A47" s="29">
        <v>115811355</v>
      </c>
      <c r="B47" s="29" t="str">
        <f t="shared" si="2"/>
        <v>11.581.135-5</v>
      </c>
      <c r="C47" s="22" t="s">
        <v>30</v>
      </c>
      <c r="D47" s="29" t="s">
        <v>508</v>
      </c>
      <c r="E47" s="29" t="s">
        <v>537</v>
      </c>
      <c r="F47" s="29" t="s">
        <v>640</v>
      </c>
      <c r="G47" s="49">
        <v>45533</v>
      </c>
      <c r="H47" s="49">
        <v>45546</v>
      </c>
      <c r="I47" s="29"/>
      <c r="J47" s="29"/>
      <c r="K47" s="24" t="s">
        <v>43</v>
      </c>
      <c r="L47" s="49">
        <v>45536</v>
      </c>
      <c r="M47" s="49">
        <v>45546</v>
      </c>
      <c r="N47" s="29">
        <f t="shared" si="3"/>
        <v>10</v>
      </c>
      <c r="O47" s="29"/>
      <c r="P47" t="s">
        <v>88</v>
      </c>
      <c r="Q47" t="s">
        <v>88</v>
      </c>
      <c r="R47" t="s">
        <v>88</v>
      </c>
      <c r="S47" t="s">
        <v>88</v>
      </c>
      <c r="T47" t="s">
        <v>88</v>
      </c>
      <c r="U47" t="s">
        <v>20</v>
      </c>
    </row>
    <row r="48" spans="1:21" x14ac:dyDescent="0.45">
      <c r="A48" s="29">
        <v>115811355</v>
      </c>
      <c r="B48" s="29" t="str">
        <f t="shared" si="2"/>
        <v>11.581.135-5</v>
      </c>
      <c r="C48" s="22" t="str">
        <f>IF(IFERROR(VLOOKUP(A48,$A$10:$I47,1,0),0)=0,"",VLOOKUP(A48,$A$10:$I47,3,0))</f>
        <v>UCO</v>
      </c>
      <c r="D48" s="29" t="str">
        <f>IF(IFERROR(VLOOKUP(A48,$A$10:$I47,1,0),0)=0,"",VLOOKUP(A48,$A$10:$I47,4,0))</f>
        <v>HUGO</v>
      </c>
      <c r="E48" s="29" t="str">
        <f>IF(IFERROR(VLOOKUP(A48,$A$10:$I47,1,0),0)=0,"",VLOOKUP(A48,$A$10:$I47,5,0))</f>
        <v>FLORES</v>
      </c>
      <c r="F48" s="29" t="str">
        <f>IF(IFERROR(VLOOKUP(A48,$A$10:$I47,1,0),0)=0,"",VLOOKUP(A48,$A$10:$I47,6,0))</f>
        <v>ORELLANA</v>
      </c>
      <c r="G48" s="49">
        <f>IF(IFERROR(VLOOKUP(A48,$A$10:$I47,1,0),0)=0,"",VLOOKUP(A48,$A$10:$I47,7,0))</f>
        <v>45533</v>
      </c>
      <c r="H48" s="49">
        <v>45546</v>
      </c>
      <c r="I48" s="29"/>
      <c r="J48" s="29"/>
      <c r="K48" s="24" t="s">
        <v>47</v>
      </c>
      <c r="L48" s="49">
        <v>45536</v>
      </c>
      <c r="M48" s="49">
        <v>45546</v>
      </c>
      <c r="N48" s="29">
        <f t="shared" si="3"/>
        <v>10</v>
      </c>
      <c r="O48" s="29"/>
      <c r="P48" t="s">
        <v>88</v>
      </c>
      <c r="Q48" t="s">
        <v>88</v>
      </c>
      <c r="R48" t="s">
        <v>88</v>
      </c>
      <c r="S48" t="s">
        <v>88</v>
      </c>
      <c r="T48" t="s">
        <v>88</v>
      </c>
      <c r="U48" t="s">
        <v>20</v>
      </c>
    </row>
    <row r="49" spans="1:21" x14ac:dyDescent="0.45">
      <c r="A49" s="29">
        <v>115811355</v>
      </c>
      <c r="B49" s="29" t="str">
        <f t="shared" si="2"/>
        <v>11.581.135-5</v>
      </c>
      <c r="C49" s="22" t="str">
        <f>IF(IFERROR(VLOOKUP(A49,$A$10:$I48,1,0),0)=0,"",VLOOKUP(A49,$A$10:$I48,3,0))</f>
        <v>UCO</v>
      </c>
      <c r="D49" s="29" t="str">
        <f>IF(IFERROR(VLOOKUP(A49,$A$10:$I48,1,0),0)=0,"",VLOOKUP(A49,$A$10:$I48,4,0))</f>
        <v>HUGO</v>
      </c>
      <c r="E49" s="29" t="str">
        <f>IF(IFERROR(VLOOKUP(A49,$A$10:$I48,1,0),0)=0,"",VLOOKUP(A49,$A$10:$I48,5,0))</f>
        <v>FLORES</v>
      </c>
      <c r="F49" s="29" t="str">
        <f>IF(IFERROR(VLOOKUP(A49,$A$10:$I48,1,0),0)=0,"",VLOOKUP(A49,$A$10:$I48,6,0))</f>
        <v>ORELLANA</v>
      </c>
      <c r="G49" s="49">
        <f>IF(IFERROR(VLOOKUP(A49,$A$10:$I48,1,0),0)=0,"",VLOOKUP(A49,$A$10:$I48,7,0))</f>
        <v>45533</v>
      </c>
      <c r="H49" s="49">
        <v>45546</v>
      </c>
      <c r="I49" s="29"/>
      <c r="J49" s="29"/>
      <c r="K49" s="24" t="s">
        <v>55</v>
      </c>
      <c r="L49" s="49">
        <v>45536</v>
      </c>
      <c r="M49" s="49">
        <v>45544</v>
      </c>
      <c r="N49" s="29">
        <f t="shared" si="3"/>
        <v>8</v>
      </c>
      <c r="O49" s="29"/>
      <c r="P49" t="s">
        <v>129</v>
      </c>
      <c r="Q49" t="s">
        <v>131</v>
      </c>
      <c r="R49" t="s">
        <v>88</v>
      </c>
      <c r="S49" t="s">
        <v>88</v>
      </c>
      <c r="T49" t="s">
        <v>88</v>
      </c>
      <c r="U49" t="s">
        <v>20</v>
      </c>
    </row>
    <row r="50" spans="1:21" x14ac:dyDescent="0.45">
      <c r="A50" s="29">
        <v>105090056</v>
      </c>
      <c r="B50" s="29" t="str">
        <f t="shared" si="2"/>
        <v>10.509.005-6</v>
      </c>
      <c r="C50" s="22" t="s">
        <v>30</v>
      </c>
      <c r="D50" s="29" t="s">
        <v>835</v>
      </c>
      <c r="E50" s="29" t="s">
        <v>1016</v>
      </c>
      <c r="F50" s="29" t="s">
        <v>1399</v>
      </c>
      <c r="G50" s="49">
        <v>45537</v>
      </c>
      <c r="H50" s="49">
        <v>45541</v>
      </c>
      <c r="I50" s="29"/>
      <c r="J50" s="29"/>
      <c r="K50" s="24" t="s">
        <v>43</v>
      </c>
      <c r="L50" s="49">
        <v>45537</v>
      </c>
      <c r="M50" s="49">
        <v>45540</v>
      </c>
      <c r="N50" s="29">
        <f t="shared" si="3"/>
        <v>3</v>
      </c>
      <c r="O50" s="29"/>
      <c r="P50" t="s">
        <v>88</v>
      </c>
      <c r="Q50" t="s">
        <v>88</v>
      </c>
      <c r="R50" t="s">
        <v>88</v>
      </c>
      <c r="S50" t="s">
        <v>88</v>
      </c>
      <c r="T50" t="s">
        <v>88</v>
      </c>
      <c r="U50" t="s">
        <v>20</v>
      </c>
    </row>
    <row r="51" spans="1:21" x14ac:dyDescent="0.45">
      <c r="A51" s="29">
        <v>105090056</v>
      </c>
      <c r="B51" s="29" t="str">
        <f t="shared" si="2"/>
        <v>10.509.005-6</v>
      </c>
      <c r="C51" s="22" t="str">
        <f>IF(IFERROR(VLOOKUP(A51,$A$10:$I50,1,0),0)=0,"",VLOOKUP(A51,$A$10:$I50,3,0))</f>
        <v>UCO</v>
      </c>
      <c r="D51" s="29" t="str">
        <f>IF(IFERROR(VLOOKUP(A51,$A$10:$I50,1,0),0)=0,"",VLOOKUP(A51,$A$10:$I50,4,0))</f>
        <v>ROBERTO</v>
      </c>
      <c r="E51" s="29" t="str">
        <f>IF(IFERROR(VLOOKUP(A51,$A$10:$I50,1,0),0)=0,"",VLOOKUP(A51,$A$10:$I50,5,0))</f>
        <v>PINILLA</v>
      </c>
      <c r="F51" s="29" t="str">
        <f>IF(IFERROR(VLOOKUP(A51,$A$10:$I50,1,0),0)=0,"",VLOOKUP(A51,$A$10:$I50,6,0))</f>
        <v>URRA</v>
      </c>
      <c r="G51" s="49">
        <f>IF(IFERROR(VLOOKUP(A51,$A$10:$I50,1,0),0)=0,"",VLOOKUP(A51,$A$10:$I50,7,0))</f>
        <v>45537</v>
      </c>
      <c r="H51" s="49">
        <v>45541</v>
      </c>
      <c r="I51" s="29"/>
      <c r="J51" s="29"/>
      <c r="K51" s="24" t="s">
        <v>47</v>
      </c>
      <c r="L51" s="49">
        <v>45537</v>
      </c>
      <c r="M51" s="49">
        <v>45539</v>
      </c>
      <c r="N51" s="29">
        <f t="shared" si="3"/>
        <v>2</v>
      </c>
      <c r="O51" s="29"/>
      <c r="P51" t="s">
        <v>88</v>
      </c>
      <c r="Q51" t="s">
        <v>88</v>
      </c>
      <c r="R51" t="s">
        <v>88</v>
      </c>
      <c r="S51" t="s">
        <v>88</v>
      </c>
      <c r="T51" t="s">
        <v>88</v>
      </c>
      <c r="U51" t="s">
        <v>20</v>
      </c>
    </row>
    <row r="52" spans="1:21" x14ac:dyDescent="0.45">
      <c r="A52" s="29">
        <v>63176249</v>
      </c>
      <c r="B52" s="29" t="str">
        <f t="shared" si="2"/>
        <v>6.317.624-9</v>
      </c>
      <c r="C52" s="22" t="s">
        <v>30</v>
      </c>
      <c r="D52" s="29" t="s">
        <v>506</v>
      </c>
      <c r="E52" s="29" t="s">
        <v>626</v>
      </c>
      <c r="F52" s="29" t="s">
        <v>924</v>
      </c>
      <c r="G52" s="49">
        <v>45537</v>
      </c>
      <c r="H52" s="29"/>
      <c r="I52" s="29"/>
      <c r="J52" s="29"/>
      <c r="K52" s="24" t="s">
        <v>43</v>
      </c>
      <c r="L52" s="49">
        <v>45537</v>
      </c>
      <c r="M52" s="49">
        <v>45539</v>
      </c>
      <c r="N52" s="29">
        <f t="shared" si="3"/>
        <v>2</v>
      </c>
      <c r="O52" s="29"/>
      <c r="P52" t="s">
        <v>88</v>
      </c>
      <c r="Q52" t="s">
        <v>88</v>
      </c>
      <c r="R52" t="s">
        <v>88</v>
      </c>
      <c r="S52" t="s">
        <v>88</v>
      </c>
      <c r="T52" t="s">
        <v>88</v>
      </c>
      <c r="U52" t="s">
        <v>20</v>
      </c>
    </row>
    <row r="53" spans="1:21" x14ac:dyDescent="0.45">
      <c r="A53" s="29">
        <v>63176249</v>
      </c>
      <c r="B53" s="29" t="str">
        <f t="shared" si="2"/>
        <v>6.317.624-9</v>
      </c>
      <c r="C53" s="22" t="str">
        <f>IF(IFERROR(VLOOKUP(A53,$A$10:$I52,1,0),0)=0,"",VLOOKUP(A53,$A$10:$I52,3,0))</f>
        <v>UCO</v>
      </c>
      <c r="D53" s="29" t="str">
        <f>IF(IFERROR(VLOOKUP(A53,$A$10:$I52,1,0),0)=0,"",VLOOKUP(A53,$A$10:$I52,4,0))</f>
        <v>RICARDO</v>
      </c>
      <c r="E53" s="29" t="str">
        <f>IF(IFERROR(VLOOKUP(A53,$A$10:$I52,1,0),0)=0,"",VLOOKUP(A53,$A$10:$I52,5,0))</f>
        <v>HIDALGO</v>
      </c>
      <c r="F53" s="29" t="str">
        <f>IF(IFERROR(VLOOKUP(A53,$A$10:$I52,1,0),0)=0,"",VLOOKUP(A53,$A$10:$I52,6,0))</f>
        <v>MORAGA</v>
      </c>
      <c r="G53" s="49">
        <f>IF(IFERROR(VLOOKUP(A53,$A$10:$I52,1,0),0)=0,"",VLOOKUP(A53,$A$10:$I52,7,0))</f>
        <v>45537</v>
      </c>
      <c r="H53" s="29"/>
      <c r="I53" s="29"/>
      <c r="J53" s="29"/>
      <c r="K53" s="24" t="s">
        <v>47</v>
      </c>
      <c r="L53" s="49">
        <v>45537</v>
      </c>
      <c r="M53" s="49">
        <v>45539</v>
      </c>
      <c r="N53" s="29">
        <f t="shared" si="3"/>
        <v>2</v>
      </c>
      <c r="O53" s="29"/>
      <c r="P53" t="s">
        <v>88</v>
      </c>
      <c r="Q53" t="s">
        <v>88</v>
      </c>
      <c r="R53" t="s">
        <v>88</v>
      </c>
      <c r="S53" t="s">
        <v>88</v>
      </c>
      <c r="T53" t="s">
        <v>88</v>
      </c>
      <c r="U53" t="s">
        <v>20</v>
      </c>
    </row>
    <row r="54" spans="1:21" x14ac:dyDescent="0.45">
      <c r="A54" s="29">
        <v>83074256</v>
      </c>
      <c r="B54" s="29" t="str">
        <f t="shared" si="2"/>
        <v>8.307.425-6</v>
      </c>
      <c r="C54" s="22" t="s">
        <v>30</v>
      </c>
      <c r="D54" s="29" t="s">
        <v>1317</v>
      </c>
      <c r="E54" s="29" t="s">
        <v>294</v>
      </c>
      <c r="F54" s="29" t="s">
        <v>636</v>
      </c>
      <c r="G54" s="49">
        <v>45524</v>
      </c>
      <c r="H54" s="49">
        <v>45538</v>
      </c>
      <c r="I54" s="29"/>
      <c r="J54" s="29" t="s">
        <v>22</v>
      </c>
      <c r="K54" s="24" t="s">
        <v>43</v>
      </c>
      <c r="L54" s="49">
        <v>45536</v>
      </c>
      <c r="M54" s="49">
        <v>45538</v>
      </c>
      <c r="N54" s="29">
        <f t="shared" si="3"/>
        <v>2</v>
      </c>
      <c r="O54" s="29"/>
      <c r="P54" t="s">
        <v>88</v>
      </c>
      <c r="Q54" t="s">
        <v>88</v>
      </c>
      <c r="R54" t="s">
        <v>88</v>
      </c>
      <c r="S54" t="s">
        <v>88</v>
      </c>
      <c r="T54" t="s">
        <v>88</v>
      </c>
      <c r="U54" t="s">
        <v>20</v>
      </c>
    </row>
    <row r="55" spans="1:21" x14ac:dyDescent="0.45">
      <c r="A55" s="29">
        <v>83074256</v>
      </c>
      <c r="B55" s="29" t="str">
        <f t="shared" si="2"/>
        <v>8.307.425-6</v>
      </c>
      <c r="C55" s="22" t="str">
        <f>IF(IFERROR(VLOOKUP(A55,$A$10:$I54,1,0),0)=0,"",VLOOKUP(A55,$A$10:$I54,3,0))</f>
        <v>UCO</v>
      </c>
      <c r="D55" s="29" t="str">
        <f>IF(IFERROR(VLOOKUP(A55,$A$10:$I54,1,0),0)=0,"",VLOOKUP(A55,$A$10:$I54,4,0))</f>
        <v>FABRICIANO</v>
      </c>
      <c r="E55" s="29" t="str">
        <f>IF(IFERROR(VLOOKUP(A55,$A$10:$I54,1,0),0)=0,"",VLOOKUP(A55,$A$10:$I54,5,0))</f>
        <v>TAPIA</v>
      </c>
      <c r="F55" s="29" t="str">
        <f>IF(IFERROR(VLOOKUP(A55,$A$10:$I54,1,0),0)=0,"",VLOOKUP(A55,$A$10:$I54,6,0))</f>
        <v>BRAVO</v>
      </c>
      <c r="G55" s="49">
        <f>IF(IFERROR(VLOOKUP(A55,$A$10:$I54,1,0),0)=0,"",VLOOKUP(A55,$A$10:$I54,7,0))</f>
        <v>45524</v>
      </c>
      <c r="H55" s="49">
        <v>45538</v>
      </c>
      <c r="I55" s="29"/>
      <c r="J55" s="29" t="s">
        <v>22</v>
      </c>
      <c r="K55" s="24" t="s">
        <v>47</v>
      </c>
      <c r="L55" s="49">
        <v>45536</v>
      </c>
      <c r="M55" s="49">
        <v>45538</v>
      </c>
      <c r="N55" s="29">
        <f t="shared" si="3"/>
        <v>2</v>
      </c>
      <c r="O55" s="29"/>
      <c r="P55" t="s">
        <v>88</v>
      </c>
      <c r="Q55" t="s">
        <v>88</v>
      </c>
      <c r="R55" t="s">
        <v>88</v>
      </c>
      <c r="S55" t="s">
        <v>88</v>
      </c>
      <c r="T55" t="s">
        <v>88</v>
      </c>
      <c r="U55" t="s">
        <v>20</v>
      </c>
    </row>
    <row r="56" spans="1:21" x14ac:dyDescent="0.45">
      <c r="A56" s="29">
        <v>83074256</v>
      </c>
      <c r="B56" s="29" t="str">
        <f t="shared" si="2"/>
        <v>8.307.425-6</v>
      </c>
      <c r="C56" s="22" t="str">
        <f>IF(IFERROR(VLOOKUP(A56,$A$10:$I55,1,0),0)=0,"",VLOOKUP(A56,$A$10:$I55,3,0))</f>
        <v>UCO</v>
      </c>
      <c r="D56" s="29" t="str">
        <f>IF(IFERROR(VLOOKUP(A56,$A$10:$I55,1,0),0)=0,"",VLOOKUP(A56,$A$10:$I55,4,0))</f>
        <v>FABRICIANO</v>
      </c>
      <c r="E56" s="29" t="str">
        <f>IF(IFERROR(VLOOKUP(A56,$A$10:$I55,1,0),0)=0,"",VLOOKUP(A56,$A$10:$I55,5,0))</f>
        <v>TAPIA</v>
      </c>
      <c r="F56" s="29" t="str">
        <f>IF(IFERROR(VLOOKUP(A56,$A$10:$I55,1,0),0)=0,"",VLOOKUP(A56,$A$10:$I55,6,0))</f>
        <v>BRAVO</v>
      </c>
      <c r="G56" s="49">
        <f>IF(IFERROR(VLOOKUP(A56,$A$10:$I55,1,0),0)=0,"",VLOOKUP(A56,$A$10:$I55,7,0))</f>
        <v>45524</v>
      </c>
      <c r="H56" s="49">
        <v>45538</v>
      </c>
      <c r="I56" s="29"/>
      <c r="J56" s="29" t="s">
        <v>22</v>
      </c>
      <c r="K56" s="24" t="s">
        <v>55</v>
      </c>
      <c r="L56" s="49">
        <v>45536</v>
      </c>
      <c r="M56" s="49">
        <v>45538</v>
      </c>
      <c r="N56" s="29">
        <f t="shared" si="3"/>
        <v>2</v>
      </c>
      <c r="O56" s="29"/>
      <c r="P56" t="s">
        <v>132</v>
      </c>
      <c r="Q56" t="s">
        <v>88</v>
      </c>
      <c r="R56" t="s">
        <v>88</v>
      </c>
      <c r="S56" t="s">
        <v>88</v>
      </c>
      <c r="T56" t="s">
        <v>88</v>
      </c>
      <c r="U56" t="s">
        <v>14</v>
      </c>
    </row>
    <row r="57" spans="1:21" x14ac:dyDescent="0.45">
      <c r="A57" s="29">
        <v>114187178</v>
      </c>
      <c r="B57" s="29" t="str">
        <f t="shared" si="2"/>
        <v>11.418.717-8</v>
      </c>
      <c r="C57" s="22" t="s">
        <v>30</v>
      </c>
      <c r="D57" s="29" t="s">
        <v>1089</v>
      </c>
      <c r="E57" s="29" t="s">
        <v>412</v>
      </c>
      <c r="F57" s="29" t="s">
        <v>384</v>
      </c>
      <c r="G57" s="49">
        <v>45534</v>
      </c>
      <c r="H57" s="29"/>
      <c r="I57" s="29"/>
      <c r="J57" s="29"/>
      <c r="K57" s="24" t="s">
        <v>35</v>
      </c>
      <c r="L57" s="49">
        <v>45536</v>
      </c>
      <c r="M57" s="49">
        <v>45539</v>
      </c>
      <c r="N57" s="29">
        <f t="shared" si="3"/>
        <v>3</v>
      </c>
      <c r="O57" s="29"/>
      <c r="P57" t="s">
        <v>88</v>
      </c>
      <c r="Q57" t="s">
        <v>88</v>
      </c>
      <c r="R57" t="s">
        <v>88</v>
      </c>
      <c r="S57" t="s">
        <v>88</v>
      </c>
      <c r="T57" t="s">
        <v>88</v>
      </c>
      <c r="U57" t="s">
        <v>20</v>
      </c>
    </row>
    <row r="58" spans="1:21" x14ac:dyDescent="0.45">
      <c r="A58" s="29">
        <v>100823314</v>
      </c>
      <c r="B58" s="29" t="str">
        <f t="shared" si="2"/>
        <v>10.082.331-4</v>
      </c>
      <c r="C58" s="22" t="s">
        <v>46</v>
      </c>
      <c r="D58" s="29" t="s">
        <v>1350</v>
      </c>
      <c r="E58" s="29" t="s">
        <v>310</v>
      </c>
      <c r="F58" s="29" t="s">
        <v>1265</v>
      </c>
      <c r="G58" s="49">
        <v>45530</v>
      </c>
      <c r="H58" s="29"/>
      <c r="I58" s="29"/>
      <c r="J58" s="29"/>
      <c r="K58" s="24" t="s">
        <v>18</v>
      </c>
      <c r="L58" s="49">
        <v>45550</v>
      </c>
      <c r="M58" s="49">
        <v>45565</v>
      </c>
      <c r="N58" s="29">
        <f t="shared" si="3"/>
        <v>15</v>
      </c>
      <c r="O58" s="29"/>
      <c r="P58" t="s">
        <v>88</v>
      </c>
      <c r="Q58" t="s">
        <v>88</v>
      </c>
      <c r="R58" t="s">
        <v>88</v>
      </c>
      <c r="S58" t="s">
        <v>88</v>
      </c>
      <c r="T58" t="s">
        <v>88</v>
      </c>
      <c r="U58" t="s">
        <v>20</v>
      </c>
    </row>
    <row r="59" spans="1:21" x14ac:dyDescent="0.45">
      <c r="A59" s="29">
        <v>57310898</v>
      </c>
      <c r="B59" s="29" t="str">
        <f t="shared" si="2"/>
        <v>5.731.089-8</v>
      </c>
      <c r="C59" s="22" t="s">
        <v>22</v>
      </c>
      <c r="D59" s="29" t="s">
        <v>481</v>
      </c>
      <c r="E59" s="29" t="s">
        <v>1090</v>
      </c>
      <c r="F59" s="29" t="s">
        <v>768</v>
      </c>
      <c r="G59" s="49">
        <v>45537</v>
      </c>
      <c r="H59" s="49">
        <v>45541</v>
      </c>
      <c r="I59" s="29"/>
      <c r="J59" s="29"/>
      <c r="K59" s="24" t="s">
        <v>43</v>
      </c>
      <c r="L59" s="49">
        <v>45537</v>
      </c>
      <c r="M59" s="49">
        <v>45541</v>
      </c>
      <c r="N59" s="29">
        <f t="shared" si="3"/>
        <v>4</v>
      </c>
      <c r="O59" s="29"/>
      <c r="P59" t="s">
        <v>88</v>
      </c>
      <c r="Q59" t="s">
        <v>88</v>
      </c>
      <c r="R59" t="s">
        <v>88</v>
      </c>
      <c r="S59" t="s">
        <v>88</v>
      </c>
      <c r="T59" t="s">
        <v>88</v>
      </c>
      <c r="U59" t="s">
        <v>20</v>
      </c>
    </row>
    <row r="60" spans="1:21" x14ac:dyDescent="0.45">
      <c r="A60" s="29">
        <v>57310898</v>
      </c>
      <c r="B60" s="29" t="str">
        <f t="shared" si="2"/>
        <v>5.731.089-8</v>
      </c>
      <c r="C60" s="22" t="str">
        <f>IF(IFERROR(VLOOKUP(A60,$A$10:$I59,1,0),0)=0,"",VLOOKUP(A60,$A$10:$I59,3,0))</f>
        <v>UCI</v>
      </c>
      <c r="D60" s="29" t="str">
        <f>IF(IFERROR(VLOOKUP(A60,$A$10:$I59,1,0),0)=0,"",VLOOKUP(A60,$A$10:$I59,4,0))</f>
        <v>JUAN</v>
      </c>
      <c r="E60" s="29" t="str">
        <f>IF(IFERROR(VLOOKUP(A60,$A$10:$I59,1,0),0)=0,"",VLOOKUP(A60,$A$10:$I59,5,0))</f>
        <v>MIRANDA</v>
      </c>
      <c r="F60" s="29" t="str">
        <f>IF(IFERROR(VLOOKUP(A60,$A$10:$I59,1,0),0)=0,"",VLOOKUP(A60,$A$10:$I59,6,0))</f>
        <v>SUAZO</v>
      </c>
      <c r="G60" s="49">
        <f>IF(IFERROR(VLOOKUP(A60,$A$10:$I59,1,0),0)=0,"",VLOOKUP(A60,$A$10:$I59,7,0))</f>
        <v>45537</v>
      </c>
      <c r="H60" s="49">
        <v>45541</v>
      </c>
      <c r="I60" s="29"/>
      <c r="J60" s="29"/>
      <c r="K60" s="24" t="s">
        <v>47</v>
      </c>
      <c r="L60" s="49">
        <v>45537</v>
      </c>
      <c r="M60" s="49">
        <v>45541</v>
      </c>
      <c r="N60" s="29">
        <f t="shared" si="3"/>
        <v>4</v>
      </c>
      <c r="O60" s="29"/>
      <c r="P60" t="s">
        <v>88</v>
      </c>
      <c r="Q60" t="s">
        <v>88</v>
      </c>
      <c r="R60" t="s">
        <v>88</v>
      </c>
      <c r="S60" t="s">
        <v>88</v>
      </c>
      <c r="T60" t="s">
        <v>88</v>
      </c>
      <c r="U60" t="s">
        <v>20</v>
      </c>
    </row>
    <row r="61" spans="1:21" x14ac:dyDescent="0.45">
      <c r="A61" s="29">
        <v>57310898</v>
      </c>
      <c r="B61" s="29" t="str">
        <f t="shared" si="2"/>
        <v>5.731.089-8</v>
      </c>
      <c r="C61" s="22" t="str">
        <f>IF(IFERROR(VLOOKUP(A61,$A$10:$I60,1,0),0)=0,"",VLOOKUP(A61,$A$10:$I60,3,0))</f>
        <v>UCI</v>
      </c>
      <c r="D61" s="29" t="str">
        <f>IF(IFERROR(VLOOKUP(A61,$A$10:$I60,1,0),0)=0,"",VLOOKUP(A61,$A$10:$I60,4,0))</f>
        <v>JUAN</v>
      </c>
      <c r="E61" s="29" t="str">
        <f>IF(IFERROR(VLOOKUP(A61,$A$10:$I60,1,0),0)=0,"",VLOOKUP(A61,$A$10:$I60,5,0))</f>
        <v>MIRANDA</v>
      </c>
      <c r="F61" s="29" t="str">
        <f>IF(IFERROR(VLOOKUP(A61,$A$10:$I60,1,0),0)=0,"",VLOOKUP(A61,$A$10:$I60,6,0))</f>
        <v>SUAZO</v>
      </c>
      <c r="G61" s="49">
        <f>IF(IFERROR(VLOOKUP(A61,$A$10:$I60,1,0),0)=0,"",VLOOKUP(A61,$A$10:$I60,7,0))</f>
        <v>45537</v>
      </c>
      <c r="H61" s="49">
        <v>45541</v>
      </c>
      <c r="I61" s="29"/>
      <c r="J61" s="29"/>
      <c r="K61" s="24" t="s">
        <v>55</v>
      </c>
      <c r="L61" s="49">
        <v>45537</v>
      </c>
      <c r="M61" s="49">
        <v>45539</v>
      </c>
      <c r="N61" s="29">
        <f t="shared" si="3"/>
        <v>2</v>
      </c>
      <c r="O61" s="29"/>
      <c r="P61" t="s">
        <v>88</v>
      </c>
      <c r="Q61" t="s">
        <v>88</v>
      </c>
      <c r="R61" t="s">
        <v>88</v>
      </c>
      <c r="S61" t="s">
        <v>88</v>
      </c>
      <c r="T61" t="s">
        <v>88</v>
      </c>
      <c r="U61" t="s">
        <v>20</v>
      </c>
    </row>
    <row r="62" spans="1:21" x14ac:dyDescent="0.45">
      <c r="A62" s="29">
        <v>158202298</v>
      </c>
      <c r="B62" s="29" t="str">
        <f t="shared" si="2"/>
        <v>15.820.229-8</v>
      </c>
      <c r="C62" s="22" t="s">
        <v>22</v>
      </c>
      <c r="D62" s="29" t="s">
        <v>250</v>
      </c>
      <c r="E62" s="29" t="s">
        <v>1373</v>
      </c>
      <c r="F62" s="29" t="s">
        <v>817</v>
      </c>
      <c r="G62" s="49">
        <v>45540</v>
      </c>
      <c r="H62" s="49">
        <v>45543</v>
      </c>
      <c r="I62" s="29"/>
      <c r="J62" s="29"/>
      <c r="K62" s="24" t="s">
        <v>43</v>
      </c>
      <c r="L62" s="49">
        <v>45540</v>
      </c>
      <c r="M62" s="49">
        <v>45543</v>
      </c>
      <c r="N62" s="29">
        <f t="shared" si="3"/>
        <v>3</v>
      </c>
      <c r="O62" s="29"/>
      <c r="P62" t="s">
        <v>88</v>
      </c>
      <c r="Q62" t="s">
        <v>88</v>
      </c>
      <c r="R62" t="s">
        <v>88</v>
      </c>
      <c r="S62" t="s">
        <v>88</v>
      </c>
      <c r="T62" t="s">
        <v>88</v>
      </c>
      <c r="U62" t="s">
        <v>20</v>
      </c>
    </row>
    <row r="63" spans="1:21" x14ac:dyDescent="0.45">
      <c r="A63" s="29">
        <v>158202298</v>
      </c>
      <c r="B63" s="29" t="str">
        <f t="shared" si="2"/>
        <v>15.820.229-8</v>
      </c>
      <c r="C63" s="22" t="str">
        <f>IF(IFERROR(VLOOKUP(A63,$A$10:$I62,1,0),0)=0,"",VLOOKUP(A63,$A$10:$I62,3,0))</f>
        <v>UCI</v>
      </c>
      <c r="D63" s="29" t="str">
        <f>IF(IFERROR(VLOOKUP(A63,$A$10:$I62,1,0),0)=0,"",VLOOKUP(A63,$A$10:$I62,4,0))</f>
        <v>JOSE</v>
      </c>
      <c r="E63" s="29" t="str">
        <f>IF(IFERROR(VLOOKUP(A63,$A$10:$I62,1,0),0)=0,"",VLOOKUP(A63,$A$10:$I62,5,0))</f>
        <v>MAYORGA</v>
      </c>
      <c r="F63" s="29" t="str">
        <f>IF(IFERROR(VLOOKUP(A63,$A$10:$I62,1,0),0)=0,"",VLOOKUP(A63,$A$10:$I62,6,0))</f>
        <v>ACOSTA</v>
      </c>
      <c r="G63" s="49">
        <f>IF(IFERROR(VLOOKUP(A63,$A$10:$I62,1,0),0)=0,"",VLOOKUP(A63,$A$10:$I62,7,0))</f>
        <v>45540</v>
      </c>
      <c r="H63" s="49">
        <v>45543</v>
      </c>
      <c r="I63" s="29"/>
      <c r="J63" s="29" t="s">
        <v>24</v>
      </c>
      <c r="K63" s="24" t="s">
        <v>47</v>
      </c>
      <c r="L63" s="49">
        <v>45540</v>
      </c>
      <c r="M63" s="49">
        <v>45543</v>
      </c>
      <c r="N63" s="29">
        <f t="shared" si="3"/>
        <v>3</v>
      </c>
      <c r="O63" s="29"/>
      <c r="P63" t="s">
        <v>88</v>
      </c>
      <c r="Q63" t="s">
        <v>88</v>
      </c>
      <c r="R63" t="s">
        <v>88</v>
      </c>
      <c r="S63" t="s">
        <v>88</v>
      </c>
      <c r="T63" t="s">
        <v>88</v>
      </c>
      <c r="U63" t="s">
        <v>20</v>
      </c>
    </row>
    <row r="64" spans="1:21" x14ac:dyDescent="0.45">
      <c r="A64" s="29">
        <v>158202298</v>
      </c>
      <c r="B64" s="29" t="str">
        <f t="shared" si="2"/>
        <v>15.820.229-8</v>
      </c>
      <c r="C64" s="22" t="str">
        <f>IF(IFERROR(VLOOKUP(A64,$A$10:$I63,1,0),0)=0,"",VLOOKUP(A64,$A$10:$I63,3,0))</f>
        <v>UCI</v>
      </c>
      <c r="D64" s="29" t="str">
        <f>IF(IFERROR(VLOOKUP(A64,$A$10:$I63,1,0),0)=0,"",VLOOKUP(A64,$A$10:$I63,4,0))</f>
        <v>JOSE</v>
      </c>
      <c r="E64" s="29" t="str">
        <f>IF(IFERROR(VLOOKUP(A64,$A$10:$I63,1,0),0)=0,"",VLOOKUP(A64,$A$10:$I63,5,0))</f>
        <v>MAYORGA</v>
      </c>
      <c r="F64" s="29" t="str">
        <f>IF(IFERROR(VLOOKUP(A64,$A$10:$I63,1,0),0)=0,"",VLOOKUP(A64,$A$10:$I63,6,0))</f>
        <v>ACOSTA</v>
      </c>
      <c r="G64" s="49">
        <f>IF(IFERROR(VLOOKUP(A64,$A$10:$I63,1,0),0)=0,"",VLOOKUP(A64,$A$10:$I63,7,0))</f>
        <v>45540</v>
      </c>
      <c r="H64" s="49">
        <v>45543</v>
      </c>
      <c r="I64" s="29"/>
      <c r="J64" s="29"/>
      <c r="K64" s="24" t="s">
        <v>55</v>
      </c>
      <c r="L64" s="49">
        <v>45540</v>
      </c>
      <c r="M64" s="49">
        <v>45542</v>
      </c>
      <c r="N64" s="29">
        <f t="shared" si="3"/>
        <v>2</v>
      </c>
      <c r="O64" s="29"/>
      <c r="P64" t="s">
        <v>88</v>
      </c>
      <c r="Q64" t="s">
        <v>88</v>
      </c>
      <c r="R64" t="s">
        <v>88</v>
      </c>
      <c r="S64" t="s">
        <v>88</v>
      </c>
      <c r="T64" t="s">
        <v>88</v>
      </c>
      <c r="U64" t="s">
        <v>20</v>
      </c>
    </row>
    <row r="65" spans="1:21" x14ac:dyDescent="0.45">
      <c r="A65" s="29">
        <v>50613704</v>
      </c>
      <c r="B65" s="29" t="str">
        <f t="shared" si="2"/>
        <v>5.061.370-4</v>
      </c>
      <c r="C65" s="22" t="s">
        <v>22</v>
      </c>
      <c r="D65" s="29" t="s">
        <v>601</v>
      </c>
      <c r="E65" s="29" t="s">
        <v>498</v>
      </c>
      <c r="F65" s="29" t="s">
        <v>352</v>
      </c>
      <c r="G65" s="49">
        <v>45539</v>
      </c>
      <c r="H65" s="49">
        <v>45545</v>
      </c>
      <c r="I65" s="29"/>
      <c r="J65" s="29" t="s">
        <v>66</v>
      </c>
      <c r="K65" s="24" t="s">
        <v>43</v>
      </c>
      <c r="L65" s="49">
        <v>45539</v>
      </c>
      <c r="M65" s="49">
        <v>45545</v>
      </c>
      <c r="N65" s="29">
        <f t="shared" si="3"/>
        <v>6</v>
      </c>
      <c r="O65" s="29"/>
      <c r="P65" t="s">
        <v>88</v>
      </c>
      <c r="Q65" t="s">
        <v>88</v>
      </c>
      <c r="R65" t="s">
        <v>88</v>
      </c>
      <c r="S65" t="s">
        <v>88</v>
      </c>
      <c r="T65" t="s">
        <v>88</v>
      </c>
      <c r="U65" t="s">
        <v>20</v>
      </c>
    </row>
    <row r="66" spans="1:21" x14ac:dyDescent="0.45">
      <c r="A66" s="29">
        <v>50613704</v>
      </c>
      <c r="B66" s="29" t="str">
        <f t="shared" si="2"/>
        <v>5.061.370-4</v>
      </c>
      <c r="C66" s="22" t="str">
        <f>IF(IFERROR(VLOOKUP(A66,$A$10:$I65,1,0),0)=0,"",VLOOKUP(A66,$A$10:$I65,3,0))</f>
        <v>UCI</v>
      </c>
      <c r="D66" s="29" t="str">
        <f>IF(IFERROR(VLOOKUP(A66,$A$10:$I65,1,0),0)=0,"",VLOOKUP(A66,$A$10:$I65,4,0))</f>
        <v>FRANCISCO</v>
      </c>
      <c r="E66" s="29" t="str">
        <f>IF(IFERROR(VLOOKUP(A66,$A$10:$I65,1,0),0)=0,"",VLOOKUP(A66,$A$10:$I65,5,0))</f>
        <v>TOLEDO</v>
      </c>
      <c r="F66" s="29" t="str">
        <f>IF(IFERROR(VLOOKUP(A66,$A$10:$I65,1,0),0)=0,"",VLOOKUP(A66,$A$10:$I65,6,0))</f>
        <v>CONTRERAS</v>
      </c>
      <c r="G66" s="49">
        <f>IF(IFERROR(VLOOKUP(A66,$A$10:$I65,1,0),0)=0,"",VLOOKUP(A66,$A$10:$I65,7,0))</f>
        <v>45539</v>
      </c>
      <c r="H66" s="49">
        <v>45545</v>
      </c>
      <c r="I66" s="29"/>
      <c r="J66" s="29" t="s">
        <v>66</v>
      </c>
      <c r="K66" s="24" t="s">
        <v>47</v>
      </c>
      <c r="L66" s="49">
        <v>45539</v>
      </c>
      <c r="M66" s="49">
        <v>45545</v>
      </c>
      <c r="N66" s="29">
        <f t="shared" si="3"/>
        <v>6</v>
      </c>
      <c r="O66" s="29"/>
      <c r="P66" t="s">
        <v>88</v>
      </c>
      <c r="Q66" t="s">
        <v>88</v>
      </c>
      <c r="R66" t="s">
        <v>88</v>
      </c>
      <c r="S66" t="s">
        <v>88</v>
      </c>
      <c r="T66" t="s">
        <v>88</v>
      </c>
      <c r="U66" t="s">
        <v>20</v>
      </c>
    </row>
    <row r="67" spans="1:21" x14ac:dyDescent="0.45">
      <c r="A67" s="29">
        <v>50613704</v>
      </c>
      <c r="B67" s="29" t="str">
        <f t="shared" si="2"/>
        <v>5.061.370-4</v>
      </c>
      <c r="C67" s="22" t="str">
        <f>IF(IFERROR(VLOOKUP(A67,$A$10:$I66,1,0),0)=0,"",VLOOKUP(A67,$A$10:$I66,3,0))</f>
        <v>UCI</v>
      </c>
      <c r="D67" s="29" t="str">
        <f>IF(IFERROR(VLOOKUP(A67,$A$10:$I66,1,0),0)=0,"",VLOOKUP(A67,$A$10:$I66,4,0))</f>
        <v>FRANCISCO</v>
      </c>
      <c r="E67" s="29" t="str">
        <f>IF(IFERROR(VLOOKUP(A67,$A$10:$I66,1,0),0)=0,"",VLOOKUP(A67,$A$10:$I66,5,0))</f>
        <v>TOLEDO</v>
      </c>
      <c r="F67" s="29" t="str">
        <f>IF(IFERROR(VLOOKUP(A67,$A$10:$I66,1,0),0)=0,"",VLOOKUP(A67,$A$10:$I66,6,0))</f>
        <v>CONTRERAS</v>
      </c>
      <c r="G67" s="49">
        <f>IF(IFERROR(VLOOKUP(A67,$A$10:$I66,1,0),0)=0,"",VLOOKUP(A67,$A$10:$I66,7,0))</f>
        <v>45539</v>
      </c>
      <c r="H67" s="49">
        <v>45545</v>
      </c>
      <c r="I67" s="29"/>
      <c r="J67" s="29" t="s">
        <v>66</v>
      </c>
      <c r="K67" s="24" t="s">
        <v>55</v>
      </c>
      <c r="L67" s="49">
        <v>45539</v>
      </c>
      <c r="M67" s="49">
        <v>45543</v>
      </c>
      <c r="N67" s="29">
        <f t="shared" si="3"/>
        <v>4</v>
      </c>
      <c r="O67" s="29"/>
      <c r="P67" t="s">
        <v>88</v>
      </c>
      <c r="Q67" t="s">
        <v>88</v>
      </c>
      <c r="R67" t="s">
        <v>88</v>
      </c>
      <c r="S67" t="s">
        <v>88</v>
      </c>
      <c r="T67" t="s">
        <v>88</v>
      </c>
      <c r="U67" t="s">
        <v>20</v>
      </c>
    </row>
    <row r="68" spans="1:21" x14ac:dyDescent="0.45">
      <c r="A68" s="29" t="s">
        <v>1400</v>
      </c>
      <c r="B68" s="29" t="str">
        <f t="shared" si="2"/>
        <v>6.750.674-k</v>
      </c>
      <c r="C68" s="22" t="s">
        <v>22</v>
      </c>
      <c r="D68" t="s">
        <v>1401</v>
      </c>
      <c r="E68" t="s">
        <v>1402</v>
      </c>
      <c r="F68" t="s">
        <v>1403</v>
      </c>
      <c r="G68" s="49">
        <v>45540</v>
      </c>
      <c r="H68" s="49">
        <v>45544</v>
      </c>
      <c r="I68" s="29"/>
      <c r="J68" s="29"/>
      <c r="K68" s="24" t="s">
        <v>43</v>
      </c>
      <c r="L68" s="49">
        <v>45540</v>
      </c>
      <c r="M68" s="49">
        <v>45544</v>
      </c>
      <c r="N68" s="29">
        <f t="shared" si="3"/>
        <v>4</v>
      </c>
      <c r="O68" s="29"/>
      <c r="P68" t="s">
        <v>88</v>
      </c>
      <c r="Q68" t="s">
        <v>88</v>
      </c>
      <c r="R68" t="s">
        <v>88</v>
      </c>
      <c r="S68" t="s">
        <v>88</v>
      </c>
      <c r="T68" t="s">
        <v>88</v>
      </c>
      <c r="U68" t="s">
        <v>20</v>
      </c>
    </row>
    <row r="69" spans="1:21" x14ac:dyDescent="0.45">
      <c r="A69" s="29" t="s">
        <v>1400</v>
      </c>
      <c r="B69" s="29" t="str">
        <f t="shared" si="2"/>
        <v>6.750.674-k</v>
      </c>
      <c r="C69" s="22" t="str">
        <f>IF(IFERROR(VLOOKUP(A69,$A$10:$I68,1,0),0)=0,"",VLOOKUP(A69,$A$10:$I68,3,0))</f>
        <v>UCI</v>
      </c>
      <c r="D69" s="29" t="str">
        <f>IF(IFERROR(VLOOKUP(A69,$A$10:$I68,1,0),0)=0,"",VLOOKUP(A69,$A$10:$I68,4,0))</f>
        <v>Edith</v>
      </c>
      <c r="E69" s="29" t="str">
        <f>IF(IFERROR(VLOOKUP(A69,$A$10:$I68,1,0),0)=0,"",VLOOKUP(A69,$A$10:$I68,5,0))</f>
        <v>Arce</v>
      </c>
      <c r="F69" s="29" t="str">
        <f>IF(IFERROR(VLOOKUP(A69,$A$10:$I68,1,0),0)=0,"",VLOOKUP(A69,$A$10:$I68,6,0))</f>
        <v>Espinoza</v>
      </c>
      <c r="G69" s="49">
        <f>IF(IFERROR(VLOOKUP(A69,$A$10:$I68,1,0),0)=0,"",VLOOKUP(A69,$A$10:$I68,7,0))</f>
        <v>45540</v>
      </c>
      <c r="H69" s="49">
        <v>45544</v>
      </c>
      <c r="I69" s="29"/>
      <c r="J69" s="29"/>
      <c r="K69" s="24" t="s">
        <v>47</v>
      </c>
      <c r="L69" s="49">
        <v>45540</v>
      </c>
      <c r="M69" s="49">
        <v>45544</v>
      </c>
      <c r="N69" s="29">
        <f t="shared" si="3"/>
        <v>4</v>
      </c>
      <c r="O69" s="29"/>
      <c r="P69" t="s">
        <v>88</v>
      </c>
      <c r="Q69" t="s">
        <v>88</v>
      </c>
      <c r="R69" t="s">
        <v>88</v>
      </c>
      <c r="S69" t="s">
        <v>88</v>
      </c>
      <c r="T69" t="s">
        <v>88</v>
      </c>
      <c r="U69" t="s">
        <v>20</v>
      </c>
    </row>
    <row r="70" spans="1:21" x14ac:dyDescent="0.45">
      <c r="A70" s="29" t="s">
        <v>1400</v>
      </c>
      <c r="B70" s="29" t="str">
        <f t="shared" si="2"/>
        <v>6.750.674-k</v>
      </c>
      <c r="C70" s="22" t="str">
        <f>IF(IFERROR(VLOOKUP(A70,$A$10:$I69,1,0),0)=0,"",VLOOKUP(A70,$A$10:$I69,3,0))</f>
        <v>UCI</v>
      </c>
      <c r="D70" s="29" t="str">
        <f>IF(IFERROR(VLOOKUP(A70,$A$10:$I69,1,0),0)=0,"",VLOOKUP(A70,$A$10:$I69,4,0))</f>
        <v>Edith</v>
      </c>
      <c r="E70" s="29" t="str">
        <f>IF(IFERROR(VLOOKUP(A70,$A$10:$I69,1,0),0)=0,"",VLOOKUP(A70,$A$10:$I69,5,0))</f>
        <v>Arce</v>
      </c>
      <c r="F70" s="29" t="str">
        <f>IF(IFERROR(VLOOKUP(A70,$A$10:$I69,1,0),0)=0,"",VLOOKUP(A70,$A$10:$I69,6,0))</f>
        <v>Espinoza</v>
      </c>
      <c r="G70" s="49">
        <f>IF(IFERROR(VLOOKUP(A70,$A$10:$I69,1,0),0)=0,"",VLOOKUP(A70,$A$10:$I69,7,0))</f>
        <v>45540</v>
      </c>
      <c r="H70" s="49">
        <v>45544</v>
      </c>
      <c r="I70" s="29"/>
      <c r="J70" s="29"/>
      <c r="K70" s="24" t="s">
        <v>55</v>
      </c>
      <c r="L70" s="49">
        <v>45540</v>
      </c>
      <c r="M70" s="49">
        <v>45541</v>
      </c>
      <c r="N70" s="29">
        <f t="shared" si="3"/>
        <v>1</v>
      </c>
      <c r="O70" s="29"/>
      <c r="P70" t="s">
        <v>88</v>
      </c>
      <c r="Q70" t="s">
        <v>88</v>
      </c>
      <c r="R70" t="s">
        <v>88</v>
      </c>
      <c r="S70" t="s">
        <v>88</v>
      </c>
      <c r="T70" t="s">
        <v>88</v>
      </c>
      <c r="U70" t="s">
        <v>20</v>
      </c>
    </row>
    <row r="71" spans="1:21" x14ac:dyDescent="0.45">
      <c r="A71" s="29">
        <v>58023779</v>
      </c>
      <c r="B71" s="29" t="str">
        <f t="shared" si="2"/>
        <v>5.802.377-9</v>
      </c>
      <c r="C71" s="22" t="s">
        <v>22</v>
      </c>
      <c r="D71" s="29" t="s">
        <v>974</v>
      </c>
      <c r="E71" s="29" t="s">
        <v>1399</v>
      </c>
      <c r="F71" s="29" t="s">
        <v>1397</v>
      </c>
      <c r="G71" s="49">
        <v>45539</v>
      </c>
      <c r="H71" s="49">
        <v>45548</v>
      </c>
      <c r="I71" s="29"/>
      <c r="J71" s="29"/>
      <c r="K71" s="24" t="s">
        <v>43</v>
      </c>
      <c r="L71" s="49">
        <v>45540</v>
      </c>
      <c r="M71" s="49">
        <v>45548</v>
      </c>
      <c r="N71" s="29">
        <f t="shared" si="3"/>
        <v>8</v>
      </c>
      <c r="O71" s="29"/>
      <c r="P71" t="s">
        <v>88</v>
      </c>
      <c r="Q71" t="s">
        <v>88</v>
      </c>
      <c r="R71" t="s">
        <v>88</v>
      </c>
      <c r="S71" t="s">
        <v>88</v>
      </c>
      <c r="T71" t="s">
        <v>88</v>
      </c>
      <c r="U71" t="s">
        <v>20</v>
      </c>
    </row>
    <row r="72" spans="1:21" x14ac:dyDescent="0.45">
      <c r="A72" s="29">
        <v>58023779</v>
      </c>
      <c r="B72" s="29" t="str">
        <f t="shared" si="2"/>
        <v>5.802.377-9</v>
      </c>
      <c r="C72" s="22" t="str">
        <f>IF(IFERROR(VLOOKUP(A72,$A$10:$I71,1,0),0)=0,"",VLOOKUP(A72,$A$10:$I71,3,0))</f>
        <v>UCI</v>
      </c>
      <c r="D72" s="29" t="str">
        <f>IF(IFERROR(VLOOKUP(A72,$A$10:$I71,1,0),0)=0,"",VLOOKUP(A72,$A$10:$I71,4,0))</f>
        <v>JOSÉ</v>
      </c>
      <c r="E72" s="29" t="str">
        <f>IF(IFERROR(VLOOKUP(A72,$A$10:$I71,1,0),0)=0,"",VLOOKUP(A72,$A$10:$I71,5,0))</f>
        <v>URRA</v>
      </c>
      <c r="F72" s="29" t="str">
        <f>IF(IFERROR(VLOOKUP(A72,$A$10:$I71,1,0),0)=0,"",VLOOKUP(A72,$A$10:$I71,6,0))</f>
        <v>GONZÁLEZ</v>
      </c>
      <c r="G72" s="49">
        <f>IF(IFERROR(VLOOKUP(A72,$A$10:$I71,1,0),0)=0,"",VLOOKUP(A72,$A$10:$I71,7,0))</f>
        <v>45539</v>
      </c>
      <c r="H72" s="49">
        <v>45548</v>
      </c>
      <c r="I72" s="29"/>
      <c r="J72" s="29"/>
      <c r="K72" s="24" t="s">
        <v>47</v>
      </c>
      <c r="L72" s="49">
        <v>45540</v>
      </c>
      <c r="M72" s="49">
        <v>45548</v>
      </c>
      <c r="N72" s="29">
        <f t="shared" ref="N72:N94" si="4">+M72-L72</f>
        <v>8</v>
      </c>
      <c r="O72" s="29"/>
      <c r="P72" t="s">
        <v>88</v>
      </c>
      <c r="Q72" t="s">
        <v>88</v>
      </c>
      <c r="R72" t="s">
        <v>88</v>
      </c>
      <c r="S72" t="s">
        <v>88</v>
      </c>
      <c r="T72" t="s">
        <v>88</v>
      </c>
      <c r="U72" t="s">
        <v>20</v>
      </c>
    </row>
    <row r="73" spans="1:21" x14ac:dyDescent="0.45">
      <c r="A73" s="29">
        <v>58023779</v>
      </c>
      <c r="B73" s="29" t="str">
        <f t="shared" si="2"/>
        <v>5.802.377-9</v>
      </c>
      <c r="C73" s="22" t="str">
        <f>IF(IFERROR(VLOOKUP(A73,$A$10:$I72,1,0),0)=0,"",VLOOKUP(A73,$A$10:$I72,3,0))</f>
        <v>UCI</v>
      </c>
      <c r="D73" s="29" t="str">
        <f>IF(IFERROR(VLOOKUP(A73,$A$10:$I72,1,0),0)=0,"",VLOOKUP(A73,$A$10:$I72,4,0))</f>
        <v>JOSÉ</v>
      </c>
      <c r="E73" s="29" t="str">
        <f>IF(IFERROR(VLOOKUP(A73,$A$10:$I72,1,0),0)=0,"",VLOOKUP(A73,$A$10:$I72,5,0))</f>
        <v>URRA</v>
      </c>
      <c r="F73" s="29" t="str">
        <f>IF(IFERROR(VLOOKUP(A73,$A$10:$I72,1,0),0)=0,"",VLOOKUP(A73,$A$10:$I72,6,0))</f>
        <v>GONZÁLEZ</v>
      </c>
      <c r="G73" s="49">
        <f>IF(IFERROR(VLOOKUP(A73,$A$10:$I72,1,0),0)=0,"",VLOOKUP(A73,$A$10:$I72,7,0))</f>
        <v>45539</v>
      </c>
      <c r="H73" s="49">
        <v>45548</v>
      </c>
      <c r="I73" s="29"/>
      <c r="J73" s="29" t="s">
        <v>24</v>
      </c>
      <c r="K73" s="24" t="s">
        <v>55</v>
      </c>
      <c r="L73" s="49">
        <v>45540</v>
      </c>
      <c r="M73" s="49">
        <v>45545</v>
      </c>
      <c r="N73" s="29">
        <f t="shared" si="4"/>
        <v>5</v>
      </c>
      <c r="O73" s="29"/>
      <c r="P73" t="s">
        <v>88</v>
      </c>
      <c r="Q73" t="s">
        <v>88</v>
      </c>
      <c r="R73" t="s">
        <v>88</v>
      </c>
      <c r="S73" t="s">
        <v>88</v>
      </c>
      <c r="T73" t="s">
        <v>88</v>
      </c>
      <c r="U73" t="s">
        <v>20</v>
      </c>
    </row>
    <row r="74" spans="1:21" x14ac:dyDescent="0.45">
      <c r="A74" s="29">
        <v>142737868</v>
      </c>
      <c r="B74" s="29" t="str">
        <f t="shared" si="2"/>
        <v>14.273.786-8</v>
      </c>
      <c r="C74" s="22" t="s">
        <v>22</v>
      </c>
      <c r="D74" s="29" t="s">
        <v>481</v>
      </c>
      <c r="E74" s="29" t="s">
        <v>378</v>
      </c>
      <c r="F74" s="29" t="s">
        <v>1081</v>
      </c>
      <c r="G74" s="49">
        <v>45539</v>
      </c>
      <c r="H74" s="49">
        <v>45544</v>
      </c>
      <c r="I74" s="29"/>
      <c r="J74" s="29" t="s">
        <v>26</v>
      </c>
      <c r="K74" s="24" t="s">
        <v>43</v>
      </c>
      <c r="L74" s="49">
        <v>45539</v>
      </c>
      <c r="M74" s="49">
        <v>45543</v>
      </c>
      <c r="N74" s="29">
        <f t="shared" si="4"/>
        <v>4</v>
      </c>
      <c r="O74" s="29"/>
      <c r="P74" t="s">
        <v>88</v>
      </c>
      <c r="Q74" t="s">
        <v>88</v>
      </c>
      <c r="R74" t="s">
        <v>88</v>
      </c>
      <c r="S74" t="s">
        <v>88</v>
      </c>
      <c r="T74" t="s">
        <v>88</v>
      </c>
      <c r="U74" t="s">
        <v>20</v>
      </c>
    </row>
    <row r="75" spans="1:21" x14ac:dyDescent="0.45">
      <c r="A75" s="29">
        <v>142737868</v>
      </c>
      <c r="B75" s="29" t="str">
        <f t="shared" si="2"/>
        <v>14.273.786-8</v>
      </c>
      <c r="C75" s="22" t="str">
        <f>IF(IFERROR(VLOOKUP(A75,$A$10:$I74,1,0),0)=0,"",VLOOKUP(A75,$A$10:$I74,3,0))</f>
        <v>UCI</v>
      </c>
      <c r="D75" s="29" t="str">
        <f>IF(IFERROR(VLOOKUP(A75,$A$10:$I74,1,0),0)=0,"",VLOOKUP(A75,$A$10:$I74,4,0))</f>
        <v>JUAN</v>
      </c>
      <c r="E75" s="29" t="str">
        <f>IF(IFERROR(VLOOKUP(A75,$A$10:$I74,1,0),0)=0,"",VLOOKUP(A75,$A$10:$I74,5,0))</f>
        <v>QUEZADA</v>
      </c>
      <c r="F75" s="29" t="str">
        <f>IF(IFERROR(VLOOKUP(A75,$A$10:$I74,1,0),0)=0,"",VLOOKUP(A75,$A$10:$I74,6,0))</f>
        <v>VALDEBENITO</v>
      </c>
      <c r="G75" s="49">
        <f>IF(IFERROR(VLOOKUP(A75,$A$10:$I74,1,0),0)=0,"",VLOOKUP(A75,$A$10:$I74,7,0))</f>
        <v>45539</v>
      </c>
      <c r="H75" s="49">
        <v>45544</v>
      </c>
      <c r="I75" s="29"/>
      <c r="J75" s="29" t="s">
        <v>26</v>
      </c>
      <c r="K75" s="24" t="s">
        <v>47</v>
      </c>
      <c r="L75" s="49">
        <v>45539</v>
      </c>
      <c r="M75" s="49">
        <v>45543</v>
      </c>
      <c r="N75" s="29">
        <f t="shared" si="4"/>
        <v>4</v>
      </c>
      <c r="O75" s="29"/>
      <c r="P75" t="s">
        <v>88</v>
      </c>
      <c r="Q75" t="s">
        <v>88</v>
      </c>
      <c r="R75" t="s">
        <v>88</v>
      </c>
      <c r="S75" t="s">
        <v>88</v>
      </c>
      <c r="T75" t="s">
        <v>88</v>
      </c>
      <c r="U75" t="s">
        <v>20</v>
      </c>
    </row>
    <row r="76" spans="1:21" x14ac:dyDescent="0.45">
      <c r="A76" s="29">
        <v>142737868</v>
      </c>
      <c r="B76" s="29" t="str">
        <f t="shared" si="2"/>
        <v>14.273.786-8</v>
      </c>
      <c r="C76" s="22" t="str">
        <f>IF(IFERROR(VLOOKUP(A76,$A$10:$I75,1,0),0)=0,"",VLOOKUP(A76,$A$10:$I75,3,0))</f>
        <v>UCI</v>
      </c>
      <c r="D76" s="29" t="str">
        <f>IF(IFERROR(VLOOKUP(A76,$A$10:$I75,1,0),0)=0,"",VLOOKUP(A76,$A$10:$I75,4,0))</f>
        <v>JUAN</v>
      </c>
      <c r="E76" s="29" t="str">
        <f>IF(IFERROR(VLOOKUP(A76,$A$10:$I75,1,0),0)=0,"",VLOOKUP(A76,$A$10:$I75,5,0))</f>
        <v>QUEZADA</v>
      </c>
      <c r="F76" s="29" t="str">
        <f>IF(IFERROR(VLOOKUP(A76,$A$10:$I75,1,0),0)=0,"",VLOOKUP(A76,$A$10:$I75,6,0))</f>
        <v>VALDEBENITO</v>
      </c>
      <c r="G76" s="49">
        <f>IF(IFERROR(VLOOKUP(A76,$A$10:$I75,1,0),0)=0,"",VLOOKUP(A76,$A$10:$I75,7,0))</f>
        <v>45539</v>
      </c>
      <c r="H76" s="49">
        <v>45544</v>
      </c>
      <c r="I76" s="29"/>
      <c r="J76" s="29" t="s">
        <v>26</v>
      </c>
      <c r="K76" s="24" t="s">
        <v>55</v>
      </c>
      <c r="L76" s="49">
        <v>45539</v>
      </c>
      <c r="M76" s="49">
        <v>45542</v>
      </c>
      <c r="N76" s="29">
        <f t="shared" si="4"/>
        <v>3</v>
      </c>
      <c r="O76" s="29"/>
      <c r="P76" t="s">
        <v>88</v>
      </c>
      <c r="Q76" t="s">
        <v>88</v>
      </c>
      <c r="R76" t="s">
        <v>88</v>
      </c>
      <c r="S76" t="s">
        <v>88</v>
      </c>
      <c r="T76" t="s">
        <v>88</v>
      </c>
      <c r="U76" t="s">
        <v>20</v>
      </c>
    </row>
    <row r="77" spans="1:21" x14ac:dyDescent="0.45">
      <c r="A77" s="29">
        <v>99858176</v>
      </c>
      <c r="B77" s="29" t="str">
        <f t="shared" si="2"/>
        <v>9.985.817-6</v>
      </c>
      <c r="C77" s="22" t="s">
        <v>22</v>
      </c>
      <c r="D77" s="29" t="s">
        <v>763</v>
      </c>
      <c r="E77" s="29" t="s">
        <v>341</v>
      </c>
      <c r="F77" s="29" t="s">
        <v>391</v>
      </c>
      <c r="G77" s="49">
        <v>45538</v>
      </c>
      <c r="H77" s="49">
        <v>45543</v>
      </c>
      <c r="I77" s="29"/>
      <c r="J77" s="29" t="s">
        <v>22</v>
      </c>
      <c r="K77" s="24" t="s">
        <v>43</v>
      </c>
      <c r="L77" s="49">
        <v>45538</v>
      </c>
      <c r="M77" s="49">
        <v>45543</v>
      </c>
      <c r="N77" s="29">
        <f t="shared" si="4"/>
        <v>5</v>
      </c>
      <c r="O77" s="29"/>
      <c r="P77" t="s">
        <v>88</v>
      </c>
      <c r="Q77" t="s">
        <v>88</v>
      </c>
      <c r="R77" t="s">
        <v>88</v>
      </c>
      <c r="S77" t="s">
        <v>88</v>
      </c>
      <c r="T77" t="s">
        <v>88</v>
      </c>
      <c r="U77" t="s">
        <v>20</v>
      </c>
    </row>
    <row r="78" spans="1:21" x14ac:dyDescent="0.45">
      <c r="A78" s="79">
        <v>72604857</v>
      </c>
      <c r="B78" s="29" t="str">
        <f t="shared" si="2"/>
        <v>7.260.485-7</v>
      </c>
      <c r="C78" s="22" t="s">
        <v>22</v>
      </c>
      <c r="D78" s="29" t="s">
        <v>1086</v>
      </c>
      <c r="E78" s="29" t="s">
        <v>1084</v>
      </c>
      <c r="F78" s="29" t="s">
        <v>1084</v>
      </c>
      <c r="G78" s="49">
        <v>45540</v>
      </c>
      <c r="H78" s="49">
        <v>45542</v>
      </c>
      <c r="I78" s="29" t="s">
        <v>22</v>
      </c>
      <c r="J78" s="29" t="s">
        <v>22</v>
      </c>
      <c r="K78" s="24" t="s">
        <v>43</v>
      </c>
      <c r="L78" s="49">
        <v>45540</v>
      </c>
      <c r="M78" s="49">
        <v>45542</v>
      </c>
      <c r="N78" s="29">
        <f t="shared" si="4"/>
        <v>2</v>
      </c>
      <c r="O78" s="29"/>
      <c r="P78" t="s">
        <v>88</v>
      </c>
      <c r="Q78" t="s">
        <v>88</v>
      </c>
      <c r="R78" t="s">
        <v>88</v>
      </c>
      <c r="S78" t="s">
        <v>88</v>
      </c>
      <c r="T78" t="s">
        <v>88</v>
      </c>
      <c r="U78" t="s">
        <v>20</v>
      </c>
    </row>
    <row r="79" spans="1:21" x14ac:dyDescent="0.45">
      <c r="A79" s="79">
        <v>72604857</v>
      </c>
      <c r="B79" s="29" t="str">
        <f t="shared" si="2"/>
        <v>7.260.485-7</v>
      </c>
      <c r="C79" s="22" t="str">
        <f>IF(IFERROR(VLOOKUP(A79,$A$10:$I78,1,0),0)=0,"",VLOOKUP(A79,$A$10:$I78,3,0))</f>
        <v>UCI</v>
      </c>
      <c r="D79" s="29" t="str">
        <f>IF(IFERROR(VLOOKUP(A79,$A$10:$I78,1,0),0)=0,"",VLOOKUP(A79,$A$10:$I78,4,0))</f>
        <v>ALFONSO</v>
      </c>
      <c r="E79" s="29" t="str">
        <f>IF(IFERROR(VLOOKUP(A79,$A$10:$I78,1,0),0)=0,"",VLOOKUP(A79,$A$10:$I78,5,0))</f>
        <v>DAROCH</v>
      </c>
      <c r="F79" s="29" t="str">
        <f>IF(IFERROR(VLOOKUP(A79,$A$10:$I78,1,0),0)=0,"",VLOOKUP(A79,$A$10:$I78,6,0))</f>
        <v>DAROCH</v>
      </c>
      <c r="G79" s="49">
        <f>IF(IFERROR(VLOOKUP(A79,$A$10:$I78,1,0),0)=0,"",VLOOKUP(A79,$A$10:$I78,7,0))</f>
        <v>45540</v>
      </c>
      <c r="H79" s="49">
        <v>45542</v>
      </c>
      <c r="I79" s="29"/>
      <c r="J79" s="29"/>
      <c r="K79" s="24" t="s">
        <v>47</v>
      </c>
      <c r="L79" s="49">
        <v>45540</v>
      </c>
      <c r="M79" s="49">
        <v>45542</v>
      </c>
      <c r="N79" s="29">
        <f t="shared" si="4"/>
        <v>2</v>
      </c>
      <c r="O79" s="29"/>
      <c r="P79" t="s">
        <v>88</v>
      </c>
      <c r="Q79" t="s">
        <v>88</v>
      </c>
      <c r="R79" t="s">
        <v>88</v>
      </c>
      <c r="S79" t="s">
        <v>88</v>
      </c>
      <c r="T79" t="s">
        <v>88</v>
      </c>
      <c r="U79" t="s">
        <v>20</v>
      </c>
    </row>
    <row r="80" spans="1:21" x14ac:dyDescent="0.45">
      <c r="A80" s="79">
        <v>101376184</v>
      </c>
      <c r="B80" s="29" t="str">
        <f t="shared" si="2"/>
        <v>10.137.618-4</v>
      </c>
      <c r="C80" s="22" t="str">
        <f>IF(IFERROR(VLOOKUP(A80,$A$10:$I79,1,0),0)=0,"",VLOOKUP(A80,$A$10:$I79,3,0))</f>
        <v>UCI</v>
      </c>
      <c r="D80" s="29" t="str">
        <f>IF(IFERROR(VLOOKUP(A80,$A$10:$I79,1,0),0)=0,"",VLOOKUP(A80,$A$10:$I79,4,0))</f>
        <v>MARGARITA</v>
      </c>
      <c r="E80" s="29" t="str">
        <f>IF(IFERROR(VLOOKUP(A80,$A$10:$I79,1,0),0)=0,"",VLOOKUP(A80,$A$10:$I79,5,0))</f>
        <v>FRANCO</v>
      </c>
      <c r="F80" s="29" t="str">
        <f>IF(IFERROR(VLOOKUP(A80,$A$10:$I79,1,0),0)=0,"",VLOOKUP(A80,$A$10:$I79,6,0))</f>
        <v>RAMIREZ</v>
      </c>
      <c r="G80" s="49">
        <f>IF(IFERROR(VLOOKUP(A80,$A$10:$I79,1,0),0)=0,"",VLOOKUP(A80,$A$10:$I79,7,0))</f>
        <v>45527</v>
      </c>
      <c r="H80" s="49">
        <v>45552</v>
      </c>
      <c r="I80" s="29"/>
      <c r="J80" s="29" t="s">
        <v>24</v>
      </c>
      <c r="K80" s="24" t="s">
        <v>47</v>
      </c>
      <c r="L80" s="49">
        <v>45536</v>
      </c>
      <c r="M80" s="49">
        <v>45543</v>
      </c>
      <c r="N80" s="29">
        <f t="shared" si="4"/>
        <v>7</v>
      </c>
      <c r="O80" s="29"/>
      <c r="P80" t="s">
        <v>88</v>
      </c>
      <c r="Q80" t="s">
        <v>88</v>
      </c>
      <c r="R80" t="s">
        <v>88</v>
      </c>
      <c r="S80" t="s">
        <v>88</v>
      </c>
      <c r="T80" t="s">
        <v>88</v>
      </c>
      <c r="U80" t="s">
        <v>20</v>
      </c>
    </row>
    <row r="81" spans="1:21" x14ac:dyDescent="0.45">
      <c r="A81" s="79">
        <v>116630788</v>
      </c>
      <c r="B81" s="29" t="str">
        <f t="shared" si="2"/>
        <v>11.663.078-8</v>
      </c>
      <c r="C81" s="22" t="s">
        <v>22</v>
      </c>
      <c r="D81" s="29" t="str">
        <f>IF(IFERROR(VLOOKUP(A81,$A$10:$I80,1,0),0)=0,"",VLOOKUP(A81,$A$10:$I80,4,0))</f>
        <v>ANA</v>
      </c>
      <c r="E81" s="29" t="str">
        <f>IF(IFERROR(VLOOKUP(A81,$A$10:$I80,1,0),0)=0,"",VLOOKUP(A81,$A$10:$I80,5,0))</f>
        <v>ARIAS</v>
      </c>
      <c r="F81" s="29" t="str">
        <f>IF(IFERROR(VLOOKUP(A81,$A$10:$I80,1,0),0)=0,"",VLOOKUP(A81,$A$10:$I80,6,0))</f>
        <v>ARANCIBIA</v>
      </c>
      <c r="G81" s="49">
        <v>45538</v>
      </c>
      <c r="H81" s="29"/>
      <c r="I81" s="29" t="s">
        <v>22</v>
      </c>
      <c r="J81" s="29"/>
      <c r="K81" s="24" t="s">
        <v>18</v>
      </c>
      <c r="L81" s="49">
        <v>45538</v>
      </c>
      <c r="M81" s="49">
        <v>45565</v>
      </c>
      <c r="N81" s="29">
        <f t="shared" si="4"/>
        <v>27</v>
      </c>
      <c r="O81" s="29"/>
      <c r="P81" t="s">
        <v>88</v>
      </c>
      <c r="Q81" t="s">
        <v>88</v>
      </c>
      <c r="R81" t="s">
        <v>88</v>
      </c>
      <c r="S81" t="s">
        <v>88</v>
      </c>
      <c r="T81" t="s">
        <v>88</v>
      </c>
      <c r="U81" t="s">
        <v>20</v>
      </c>
    </row>
    <row r="82" spans="1:21" x14ac:dyDescent="0.45">
      <c r="A82" s="79">
        <v>116630788</v>
      </c>
      <c r="B82" s="29" t="str">
        <f t="shared" si="2"/>
        <v>11.663.078-8</v>
      </c>
      <c r="C82" s="22" t="s">
        <v>22</v>
      </c>
      <c r="D82" s="29" t="str">
        <f>IF(IFERROR(VLOOKUP(A82,$A$10:$I81,1,0),0)=0,"",VLOOKUP(A82,$A$10:$I81,4,0))</f>
        <v>ANA</v>
      </c>
      <c r="E82" s="29" t="str">
        <f>IF(IFERROR(VLOOKUP(A82,$A$10:$I81,1,0),0)=0,"",VLOOKUP(A82,$A$10:$I81,5,0))</f>
        <v>ARIAS</v>
      </c>
      <c r="F82" s="29" t="str">
        <f>IF(IFERROR(VLOOKUP(A82,$A$10:$I81,1,0),0)=0,"",VLOOKUP(A82,$A$10:$I81,6,0))</f>
        <v>ARANCIBIA</v>
      </c>
      <c r="G82" s="49">
        <v>45538</v>
      </c>
      <c r="H82" s="29"/>
      <c r="I82" s="29" t="s">
        <v>22</v>
      </c>
      <c r="J82" s="29"/>
      <c r="K82" s="24" t="s">
        <v>55</v>
      </c>
      <c r="L82" s="49">
        <v>45538</v>
      </c>
      <c r="M82" s="49">
        <v>45565</v>
      </c>
      <c r="N82" s="29">
        <f t="shared" si="4"/>
        <v>27</v>
      </c>
      <c r="O82" s="29"/>
      <c r="P82" t="s">
        <v>88</v>
      </c>
      <c r="Q82" t="s">
        <v>88</v>
      </c>
      <c r="R82" t="s">
        <v>88</v>
      </c>
      <c r="S82" t="s">
        <v>88</v>
      </c>
      <c r="T82" t="s">
        <v>88</v>
      </c>
      <c r="U82" t="s">
        <v>20</v>
      </c>
    </row>
    <row r="83" spans="1:21" x14ac:dyDescent="0.45">
      <c r="A83" s="79">
        <v>119855047</v>
      </c>
      <c r="B83" s="29" t="str">
        <f t="shared" si="2"/>
        <v>11.985.504-7</v>
      </c>
      <c r="C83" s="22" t="s">
        <v>22</v>
      </c>
      <c r="D83" s="29" t="s">
        <v>793</v>
      </c>
      <c r="E83" s="29" t="s">
        <v>318</v>
      </c>
      <c r="F83" s="29" t="s">
        <v>1287</v>
      </c>
      <c r="G83" s="49">
        <v>45539</v>
      </c>
      <c r="H83" s="49">
        <v>45543</v>
      </c>
      <c r="I83" s="29"/>
      <c r="J83" s="29"/>
      <c r="K83" s="24" t="s">
        <v>43</v>
      </c>
      <c r="L83" s="49">
        <v>45539</v>
      </c>
      <c r="M83" s="49">
        <v>45543</v>
      </c>
      <c r="N83" s="29">
        <f t="shared" si="4"/>
        <v>4</v>
      </c>
      <c r="O83" s="29"/>
      <c r="P83" t="s">
        <v>88</v>
      </c>
      <c r="Q83" t="s">
        <v>88</v>
      </c>
      <c r="R83" t="s">
        <v>88</v>
      </c>
      <c r="S83" t="s">
        <v>88</v>
      </c>
      <c r="T83" t="s">
        <v>88</v>
      </c>
      <c r="U83" t="s">
        <v>20</v>
      </c>
    </row>
    <row r="84" spans="1:21" x14ac:dyDescent="0.45">
      <c r="A84" s="79">
        <v>119855047</v>
      </c>
      <c r="B84" s="29" t="str">
        <f t="shared" si="2"/>
        <v>11.985.504-7</v>
      </c>
      <c r="C84" s="22" t="str">
        <f>IF(IFERROR(VLOOKUP(A84,$A$10:$I83,1,0),0)=0,"",VLOOKUP(A84,$A$10:$I83,3,0))</f>
        <v>UCI</v>
      </c>
      <c r="D84" s="29" t="str">
        <f>IF(IFERROR(VLOOKUP(A84,$A$10:$I83,1,0),0)=0,"",VLOOKUP(A84,$A$10:$I83,4,0))</f>
        <v>MIGUEL</v>
      </c>
      <c r="E84" s="29" t="str">
        <f>IF(IFERROR(VLOOKUP(A84,$A$10:$I83,1,0),0)=0,"",VLOOKUP(A84,$A$10:$I83,5,0))</f>
        <v>VERA</v>
      </c>
      <c r="F84" s="29" t="str">
        <f>IF(IFERROR(VLOOKUP(A84,$A$10:$I83,1,0),0)=0,"",VLOOKUP(A84,$A$10:$I83,6,0))</f>
        <v>ARANCIBIA</v>
      </c>
      <c r="G84" s="49">
        <f>IF(IFERROR(VLOOKUP(A84,$A$10:$I83,1,0),0)=0,"",VLOOKUP(A84,$A$10:$I83,7,0))</f>
        <v>45539</v>
      </c>
      <c r="H84" s="49">
        <v>45539</v>
      </c>
      <c r="I84" s="29"/>
      <c r="J84" s="29"/>
      <c r="K84" s="24" t="s">
        <v>47</v>
      </c>
      <c r="L84" s="49">
        <v>45540</v>
      </c>
      <c r="M84" s="49">
        <v>45543</v>
      </c>
      <c r="N84" s="29">
        <f t="shared" si="4"/>
        <v>3</v>
      </c>
      <c r="O84" s="29"/>
      <c r="P84" t="s">
        <v>88</v>
      </c>
      <c r="Q84" t="s">
        <v>88</v>
      </c>
      <c r="R84" t="s">
        <v>88</v>
      </c>
      <c r="S84" t="s">
        <v>88</v>
      </c>
      <c r="T84" t="s">
        <v>88</v>
      </c>
      <c r="U84" t="s">
        <v>20</v>
      </c>
    </row>
    <row r="85" spans="1:21" x14ac:dyDescent="0.45">
      <c r="A85" s="79">
        <v>154885617</v>
      </c>
      <c r="B85" s="29" t="str">
        <f t="shared" si="2"/>
        <v>15.488.561-7</v>
      </c>
      <c r="C85" s="22" t="s">
        <v>22</v>
      </c>
      <c r="D85" s="29" t="s">
        <v>1404</v>
      </c>
      <c r="E85" s="29" t="s">
        <v>278</v>
      </c>
      <c r="F85" s="29" t="s">
        <v>583</v>
      </c>
      <c r="G85" s="49">
        <v>45540</v>
      </c>
      <c r="H85" s="49">
        <v>45544</v>
      </c>
      <c r="I85" s="29"/>
      <c r="J85" s="29"/>
      <c r="K85" s="24" t="s">
        <v>43</v>
      </c>
      <c r="L85" s="49">
        <v>45540</v>
      </c>
      <c r="M85" s="49">
        <v>45544</v>
      </c>
      <c r="N85" s="29">
        <f t="shared" si="4"/>
        <v>4</v>
      </c>
      <c r="O85" s="29"/>
      <c r="P85" t="s">
        <v>88</v>
      </c>
      <c r="Q85" t="s">
        <v>88</v>
      </c>
      <c r="R85" t="s">
        <v>88</v>
      </c>
      <c r="S85" t="s">
        <v>88</v>
      </c>
      <c r="T85" t="s">
        <v>88</v>
      </c>
      <c r="U85" t="s">
        <v>20</v>
      </c>
    </row>
    <row r="86" spans="1:21" x14ac:dyDescent="0.45">
      <c r="A86" s="79">
        <v>154885617</v>
      </c>
      <c r="B86" s="29" t="str">
        <f t="shared" ref="B86:B149" si="5">IF(LEN(A86)=8,MID(A86,1,1)&amp;"."&amp;MID(A86,2,3)&amp;"."&amp;MID(A86,5,3)&amp;"-"&amp;RIGHT(A86,1),IF(LEFT(RIGHT(A86,2),1)="-",MID(A86,1,1)&amp;"."&amp;MID(A86,2,3)&amp;"."&amp;MID(A86,5,3)&amp;"-"&amp;RIGHT(A86,1),MID(A86,1,2)&amp;"."&amp;MID(A86,3,3)&amp;"."&amp;MID(A86,6,3)&amp;"-"&amp;MID(A86,9,1)))</f>
        <v>15.488.561-7</v>
      </c>
      <c r="C86" s="22" t="str">
        <f>IF(IFERROR(VLOOKUP(A86,$A$10:$I85,1,0),0)=0,"",VLOOKUP(A86,$A$10:$I85,3,0))</f>
        <v>UCI</v>
      </c>
      <c r="D86" s="29" t="str">
        <f>IF(IFERROR(VLOOKUP(A86,$A$10:$I85,1,0),0)=0,"",VLOOKUP(A86,$A$10:$I85,4,0))</f>
        <v>ESTEFANY</v>
      </c>
      <c r="E86" s="29" t="str">
        <f>IF(IFERROR(VLOOKUP(A86,$A$10:$I85,1,0),0)=0,"",VLOOKUP(A86,$A$10:$I85,5,0))</f>
        <v>RIVAS</v>
      </c>
      <c r="F86" s="29" t="str">
        <f>IF(IFERROR(VLOOKUP(A86,$A$10:$I85,1,0),0)=0,"",VLOOKUP(A86,$A$10:$I85,6,0))</f>
        <v>ALVAREZ</v>
      </c>
      <c r="G86" s="49">
        <f>IF(IFERROR(VLOOKUP(A86,$A$10:$I85,1,0),0)=0,"",VLOOKUP(A86,$A$10:$I85,7,0))</f>
        <v>45540</v>
      </c>
      <c r="H86" s="49">
        <v>45544</v>
      </c>
      <c r="I86" s="29"/>
      <c r="J86" s="29"/>
      <c r="K86" s="24" t="s">
        <v>47</v>
      </c>
      <c r="L86" s="49">
        <v>45540</v>
      </c>
      <c r="M86" s="49">
        <v>45544</v>
      </c>
      <c r="N86" s="29">
        <f t="shared" si="4"/>
        <v>4</v>
      </c>
      <c r="O86" s="29"/>
      <c r="P86" t="s">
        <v>88</v>
      </c>
      <c r="Q86" t="s">
        <v>88</v>
      </c>
      <c r="R86" t="s">
        <v>88</v>
      </c>
      <c r="S86" t="s">
        <v>88</v>
      </c>
      <c r="T86" t="s">
        <v>88</v>
      </c>
      <c r="U86" t="s">
        <v>20</v>
      </c>
    </row>
    <row r="87" spans="1:21" x14ac:dyDescent="0.45">
      <c r="A87" s="79">
        <v>36016965</v>
      </c>
      <c r="B87" s="29" t="str">
        <f t="shared" si="5"/>
        <v>3.601.696-5</v>
      </c>
      <c r="C87" s="22" t="s">
        <v>22</v>
      </c>
      <c r="D87" s="29" t="s">
        <v>409</v>
      </c>
      <c r="E87" s="29" t="s">
        <v>424</v>
      </c>
      <c r="F87" s="29" t="s">
        <v>902</v>
      </c>
      <c r="G87" s="49">
        <v>45540</v>
      </c>
      <c r="H87" s="49">
        <v>45542</v>
      </c>
      <c r="I87" s="29" t="s">
        <v>22</v>
      </c>
      <c r="J87" s="29" t="s">
        <v>56</v>
      </c>
      <c r="K87" s="24" t="s">
        <v>43</v>
      </c>
      <c r="L87" s="49">
        <v>45540</v>
      </c>
      <c r="M87" s="49">
        <v>45542</v>
      </c>
      <c r="N87" s="29">
        <f t="shared" si="4"/>
        <v>2</v>
      </c>
      <c r="O87" s="29"/>
      <c r="P87" t="s">
        <v>88</v>
      </c>
      <c r="Q87" t="s">
        <v>88</v>
      </c>
      <c r="R87" t="s">
        <v>88</v>
      </c>
      <c r="S87" t="s">
        <v>88</v>
      </c>
      <c r="T87" t="s">
        <v>88</v>
      </c>
      <c r="U87" t="s">
        <v>20</v>
      </c>
    </row>
    <row r="88" spans="1:21" x14ac:dyDescent="0.45">
      <c r="A88" s="79">
        <v>56057803</v>
      </c>
      <c r="B88" s="29" t="str">
        <f t="shared" si="5"/>
        <v>5.605.780-3</v>
      </c>
      <c r="C88" s="22" t="s">
        <v>22</v>
      </c>
      <c r="D88" s="29" t="str">
        <f>IF(IFERROR(VLOOKUP(A88,$A$10:$I87,1,0),0)=0,"",VLOOKUP(A88,$A$10:$I87,4,0))</f>
        <v>ESTER</v>
      </c>
      <c r="E88" s="29" t="str">
        <f>IF(IFERROR(VLOOKUP(A88,$A$10:$I87,1,0),0)=0,"",VLOOKUP(A88,$A$10:$I87,5,0))</f>
        <v>ORELLANA</v>
      </c>
      <c r="F88" s="29" t="str">
        <f>IF(IFERROR(VLOOKUP(A88,$A$10:$I87,1,0),0)=0,"",VLOOKUP(A88,$A$10:$I87,6,0))</f>
        <v>SOTO</v>
      </c>
      <c r="G88" s="49">
        <v>45539</v>
      </c>
      <c r="H88" s="49">
        <v>45548</v>
      </c>
      <c r="I88" s="29"/>
      <c r="J88" s="29"/>
      <c r="K88" s="24" t="s">
        <v>18</v>
      </c>
      <c r="L88" s="49">
        <v>45540</v>
      </c>
      <c r="M88" s="49">
        <v>45548</v>
      </c>
      <c r="N88" s="29">
        <f t="shared" si="4"/>
        <v>8</v>
      </c>
      <c r="O88" s="29"/>
      <c r="P88" t="s">
        <v>88</v>
      </c>
      <c r="Q88" t="s">
        <v>88</v>
      </c>
      <c r="R88" t="s">
        <v>88</v>
      </c>
      <c r="S88" t="s">
        <v>88</v>
      </c>
      <c r="T88" t="s">
        <v>88</v>
      </c>
      <c r="U88" t="s">
        <v>20</v>
      </c>
    </row>
    <row r="89" spans="1:21" x14ac:dyDescent="0.45">
      <c r="A89" s="79">
        <v>56057803</v>
      </c>
      <c r="B89" s="29" t="str">
        <f t="shared" si="5"/>
        <v>5.605.780-3</v>
      </c>
      <c r="C89" s="22" t="s">
        <v>22</v>
      </c>
      <c r="D89" s="29" t="str">
        <f>IF(IFERROR(VLOOKUP(A89,$A$10:$I88,1,0),0)=0,"",VLOOKUP(A89,$A$10:$I88,4,0))</f>
        <v>ESTER</v>
      </c>
      <c r="E89" s="29" t="str">
        <f>IF(IFERROR(VLOOKUP(A89,$A$10:$I88,1,0),0)=0,"",VLOOKUP(A89,$A$10:$I88,5,0))</f>
        <v>ORELLANA</v>
      </c>
      <c r="F89" s="29" t="str">
        <f>IF(IFERROR(VLOOKUP(A89,$A$10:$I88,1,0),0)=0,"",VLOOKUP(A89,$A$10:$I88,6,0))</f>
        <v>SOTO</v>
      </c>
      <c r="G89" s="49">
        <v>45539</v>
      </c>
      <c r="H89" s="49">
        <v>45548</v>
      </c>
      <c r="I89" s="29"/>
      <c r="J89" s="29"/>
      <c r="K89" s="24" t="s">
        <v>47</v>
      </c>
      <c r="L89" s="49">
        <v>45540</v>
      </c>
      <c r="M89" s="49">
        <v>45548</v>
      </c>
      <c r="N89" s="29">
        <f t="shared" si="4"/>
        <v>8</v>
      </c>
      <c r="O89" s="29"/>
      <c r="P89" t="s">
        <v>88</v>
      </c>
      <c r="Q89" t="s">
        <v>88</v>
      </c>
      <c r="R89" t="s">
        <v>88</v>
      </c>
      <c r="S89" t="s">
        <v>88</v>
      </c>
      <c r="T89" t="s">
        <v>88</v>
      </c>
      <c r="U89" t="s">
        <v>20</v>
      </c>
    </row>
    <row r="90" spans="1:21" x14ac:dyDescent="0.45">
      <c r="A90" s="79">
        <v>221364171</v>
      </c>
      <c r="B90" s="29" t="str">
        <f t="shared" si="5"/>
        <v>22.136.417-1</v>
      </c>
      <c r="C90" s="22" t="s">
        <v>22</v>
      </c>
      <c r="D90" s="29" t="s">
        <v>560</v>
      </c>
      <c r="E90" s="29" t="s">
        <v>1368</v>
      </c>
      <c r="F90" s="29" t="s">
        <v>369</v>
      </c>
      <c r="G90" s="49">
        <v>45540</v>
      </c>
      <c r="H90" s="49">
        <v>45545</v>
      </c>
      <c r="I90" s="29"/>
      <c r="J90" s="29" t="s">
        <v>56</v>
      </c>
      <c r="K90" s="24" t="s">
        <v>43</v>
      </c>
      <c r="L90" s="49">
        <v>45540</v>
      </c>
      <c r="M90" s="49">
        <v>45545</v>
      </c>
      <c r="N90" s="29">
        <f t="shared" si="4"/>
        <v>5</v>
      </c>
      <c r="O90" s="29"/>
      <c r="P90" t="s">
        <v>88</v>
      </c>
      <c r="Q90" t="s">
        <v>88</v>
      </c>
      <c r="R90" t="s">
        <v>88</v>
      </c>
      <c r="S90" t="s">
        <v>88</v>
      </c>
      <c r="T90" t="s">
        <v>88</v>
      </c>
      <c r="U90" t="s">
        <v>20</v>
      </c>
    </row>
    <row r="91" spans="1:21" x14ac:dyDescent="0.45">
      <c r="A91" s="29">
        <v>285309239</v>
      </c>
      <c r="B91" s="29" t="str">
        <f t="shared" si="5"/>
        <v>28.530.923-9</v>
      </c>
      <c r="C91" s="22" t="s">
        <v>16</v>
      </c>
      <c r="D91" s="29" t="s">
        <v>1405</v>
      </c>
      <c r="E91" s="29" t="s">
        <v>1406</v>
      </c>
      <c r="F91" s="29" t="s">
        <v>1225</v>
      </c>
      <c r="G91" s="49">
        <v>45542</v>
      </c>
      <c r="H91" s="29"/>
      <c r="I91" s="29"/>
      <c r="J91" s="29"/>
      <c r="K91" s="24" t="s">
        <v>18</v>
      </c>
      <c r="L91" s="49">
        <v>45542</v>
      </c>
      <c r="M91" s="49">
        <v>45549</v>
      </c>
      <c r="N91" s="29">
        <f t="shared" si="4"/>
        <v>7</v>
      </c>
      <c r="O91" s="29"/>
      <c r="P91" t="s">
        <v>88</v>
      </c>
      <c r="Q91" t="s">
        <v>88</v>
      </c>
      <c r="R91" t="s">
        <v>88</v>
      </c>
      <c r="S91" t="s">
        <v>88</v>
      </c>
      <c r="T91" t="s">
        <v>88</v>
      </c>
      <c r="U91" t="s">
        <v>20</v>
      </c>
    </row>
    <row r="92" spans="1:21" x14ac:dyDescent="0.45">
      <c r="A92" s="29">
        <v>56057803</v>
      </c>
      <c r="B92" s="29" t="str">
        <f t="shared" si="5"/>
        <v>5.605.780-3</v>
      </c>
      <c r="C92" s="22" t="s">
        <v>46</v>
      </c>
      <c r="D92" s="29" t="str">
        <f>IF(IFERROR(VLOOKUP(A92,$A$10:$I91,1,0),0)=0,"",VLOOKUP(A92,$A$10:$I91,4,0))</f>
        <v>ESTER</v>
      </c>
      <c r="E92" s="29" t="str">
        <f>IF(IFERROR(VLOOKUP(A92,$A$10:$I91,1,0),0)=0,"",VLOOKUP(A92,$A$10:$I91,5,0))</f>
        <v>ORELLANA</v>
      </c>
      <c r="F92" s="29" t="str">
        <f>IF(IFERROR(VLOOKUP(A92,$A$10:$I91,1,0),0)=0,"",VLOOKUP(A92,$A$10:$I91,6,0))</f>
        <v>SOTO</v>
      </c>
      <c r="G92" s="49">
        <v>45548</v>
      </c>
      <c r="H92" s="49">
        <v>45555</v>
      </c>
      <c r="I92" s="29"/>
      <c r="J92" s="29" t="s">
        <v>13</v>
      </c>
      <c r="K92" s="24" t="s">
        <v>18</v>
      </c>
      <c r="L92" s="49">
        <v>45548</v>
      </c>
      <c r="M92" s="49">
        <v>45555</v>
      </c>
      <c r="N92" s="29">
        <f t="shared" si="4"/>
        <v>7</v>
      </c>
      <c r="O92" s="29"/>
      <c r="P92" t="s">
        <v>88</v>
      </c>
      <c r="Q92" t="s">
        <v>88</v>
      </c>
      <c r="R92" t="s">
        <v>88</v>
      </c>
      <c r="S92" t="s">
        <v>88</v>
      </c>
      <c r="T92" t="s">
        <v>88</v>
      </c>
      <c r="U92" t="s">
        <v>20</v>
      </c>
    </row>
    <row r="93" spans="1:21" x14ac:dyDescent="0.45">
      <c r="A93" s="29">
        <v>56057803</v>
      </c>
      <c r="B93" s="29" t="str">
        <f t="shared" si="5"/>
        <v>5.605.780-3</v>
      </c>
      <c r="C93" s="22" t="s">
        <v>46</v>
      </c>
      <c r="D93" s="29" t="str">
        <f>IF(IFERROR(VLOOKUP(A93,$A$10:$I92,1,0),0)=0,"",VLOOKUP(A93,$A$10:$I92,4,0))</f>
        <v>ESTER</v>
      </c>
      <c r="E93" s="29" t="str">
        <f>IF(IFERROR(VLOOKUP(A93,$A$10:$I92,1,0),0)=0,"",VLOOKUP(A93,$A$10:$I92,5,0))</f>
        <v>ORELLANA</v>
      </c>
      <c r="F93" s="29" t="str">
        <f>IF(IFERROR(VLOOKUP(A93,$A$10:$I92,1,0),0)=0,"",VLOOKUP(A93,$A$10:$I92,6,0))</f>
        <v>SOTO</v>
      </c>
      <c r="G93" s="49">
        <v>45548</v>
      </c>
      <c r="H93" s="49">
        <v>45555</v>
      </c>
      <c r="I93" s="29"/>
      <c r="J93" s="29" t="s">
        <v>13</v>
      </c>
      <c r="K93" s="24" t="s">
        <v>47</v>
      </c>
      <c r="L93" s="49">
        <v>45548</v>
      </c>
      <c r="M93" s="49">
        <v>45555</v>
      </c>
      <c r="N93" s="29">
        <f t="shared" si="4"/>
        <v>7</v>
      </c>
      <c r="O93" s="29"/>
      <c r="P93" t="s">
        <v>88</v>
      </c>
      <c r="Q93" t="s">
        <v>88</v>
      </c>
      <c r="R93" t="s">
        <v>88</v>
      </c>
      <c r="S93" t="s">
        <v>88</v>
      </c>
      <c r="T93" t="s">
        <v>88</v>
      </c>
      <c r="U93" t="s">
        <v>20</v>
      </c>
    </row>
    <row r="94" spans="1:21" x14ac:dyDescent="0.45">
      <c r="A94" s="29">
        <v>95688098</v>
      </c>
      <c r="B94" s="29" t="str">
        <f t="shared" si="5"/>
        <v>9.568.809-8</v>
      </c>
      <c r="C94" s="22" t="s">
        <v>46</v>
      </c>
      <c r="D94" s="121" t="s">
        <v>1407</v>
      </c>
      <c r="E94" s="29" t="s">
        <v>384</v>
      </c>
      <c r="F94" s="29" t="s">
        <v>670</v>
      </c>
      <c r="G94" s="49">
        <v>45534</v>
      </c>
      <c r="H94" s="49"/>
      <c r="I94" s="29"/>
      <c r="J94" s="29"/>
      <c r="K94" s="24" t="s">
        <v>43</v>
      </c>
      <c r="L94" s="49">
        <v>45541</v>
      </c>
      <c r="M94" s="49">
        <v>45560</v>
      </c>
      <c r="N94" s="29">
        <f t="shared" si="4"/>
        <v>19</v>
      </c>
      <c r="O94" s="29" t="s">
        <v>14</v>
      </c>
      <c r="P94" t="s">
        <v>88</v>
      </c>
      <c r="Q94" t="s">
        <v>88</v>
      </c>
      <c r="R94" t="s">
        <v>88</v>
      </c>
      <c r="S94" t="s">
        <v>88</v>
      </c>
      <c r="T94" t="s">
        <v>88</v>
      </c>
      <c r="U94" t="s">
        <v>20</v>
      </c>
    </row>
    <row r="95" spans="1:21" x14ac:dyDescent="0.45">
      <c r="A95" s="29">
        <v>95688098</v>
      </c>
      <c r="B95" s="29" t="str">
        <f t="shared" si="5"/>
        <v>9.568.809-8</v>
      </c>
      <c r="C95" s="22" t="s">
        <v>46</v>
      </c>
      <c r="D95" s="121" t="s">
        <v>1407</v>
      </c>
      <c r="E95" s="29" t="s">
        <v>384</v>
      </c>
      <c r="F95" s="29" t="s">
        <v>670</v>
      </c>
      <c r="G95" s="49">
        <v>45534</v>
      </c>
      <c r="H95" s="49"/>
      <c r="I95" s="29"/>
      <c r="J95" s="29"/>
      <c r="K95" s="24"/>
      <c r="L95" s="49">
        <v>45541</v>
      </c>
      <c r="M95" s="49">
        <v>45560</v>
      </c>
      <c r="N95" s="29"/>
      <c r="O95" s="29"/>
      <c r="P95" t="s">
        <v>120</v>
      </c>
      <c r="Q95" t="s">
        <v>88</v>
      </c>
      <c r="R95" t="s">
        <v>88</v>
      </c>
      <c r="S95" t="s">
        <v>88</v>
      </c>
      <c r="T95" t="s">
        <v>88</v>
      </c>
      <c r="U95" t="s">
        <v>20</v>
      </c>
    </row>
    <row r="96" spans="1:21" s="3" customFormat="1" x14ac:dyDescent="0.45">
      <c r="A96" s="83">
        <v>159922936</v>
      </c>
      <c r="B96" s="83" t="str">
        <f t="shared" si="5"/>
        <v>15.992.293-6</v>
      </c>
      <c r="C96" s="39" t="s">
        <v>46</v>
      </c>
      <c r="D96" s="83" t="s">
        <v>344</v>
      </c>
      <c r="E96" s="83" t="s">
        <v>344</v>
      </c>
      <c r="F96" s="83" t="s">
        <v>380</v>
      </c>
      <c r="G96" s="120">
        <v>45433</v>
      </c>
      <c r="H96" s="83"/>
      <c r="I96" s="83"/>
      <c r="J96" s="83"/>
      <c r="K96" s="40" t="s">
        <v>43</v>
      </c>
      <c r="L96" s="120">
        <v>45544</v>
      </c>
      <c r="M96" s="120">
        <v>45560</v>
      </c>
      <c r="N96" s="83">
        <f t="shared" ref="N96:N127" si="6">+M96-L96</f>
        <v>16</v>
      </c>
      <c r="O96" s="83"/>
      <c r="P96" t="s">
        <v>88</v>
      </c>
      <c r="Q96" t="s">
        <v>88</v>
      </c>
      <c r="R96" t="s">
        <v>88</v>
      </c>
      <c r="S96" t="s">
        <v>88</v>
      </c>
      <c r="T96" t="s">
        <v>88</v>
      </c>
      <c r="U96" t="s">
        <v>20</v>
      </c>
    </row>
    <row r="97" spans="1:21" x14ac:dyDescent="0.45">
      <c r="A97" s="29">
        <v>53054234</v>
      </c>
      <c r="B97" s="29" t="str">
        <f t="shared" si="5"/>
        <v>5.305.423-4</v>
      </c>
      <c r="C97" s="22" t="s">
        <v>46</v>
      </c>
      <c r="D97" s="29" t="s">
        <v>484</v>
      </c>
      <c r="E97" s="29" t="s">
        <v>690</v>
      </c>
      <c r="F97" s="29" t="s">
        <v>1222</v>
      </c>
      <c r="G97" s="49">
        <v>45534</v>
      </c>
      <c r="H97" s="49">
        <v>45552</v>
      </c>
      <c r="I97" s="29"/>
      <c r="J97" s="29" t="s">
        <v>24</v>
      </c>
      <c r="K97" s="24" t="s">
        <v>43</v>
      </c>
      <c r="L97" s="49">
        <v>45543</v>
      </c>
      <c r="M97" s="49">
        <v>45552</v>
      </c>
      <c r="N97" s="29">
        <f t="shared" si="6"/>
        <v>9</v>
      </c>
      <c r="O97" s="29"/>
      <c r="P97" t="s">
        <v>88</v>
      </c>
      <c r="Q97" t="s">
        <v>88</v>
      </c>
      <c r="R97" t="s">
        <v>88</v>
      </c>
      <c r="S97" t="s">
        <v>88</v>
      </c>
      <c r="T97" t="s">
        <v>88</v>
      </c>
      <c r="U97" t="s">
        <v>20</v>
      </c>
    </row>
    <row r="98" spans="1:21" x14ac:dyDescent="0.45">
      <c r="A98" s="29">
        <v>114467294</v>
      </c>
      <c r="B98" s="29" t="str">
        <f t="shared" si="5"/>
        <v>11.446.729-4</v>
      </c>
      <c r="C98" s="22" t="s">
        <v>46</v>
      </c>
      <c r="D98" s="29" t="s">
        <v>738</v>
      </c>
      <c r="E98" s="29" t="s">
        <v>241</v>
      </c>
      <c r="F98" s="29" t="s">
        <v>393</v>
      </c>
      <c r="G98" s="49">
        <v>45549</v>
      </c>
      <c r="H98" s="49">
        <v>45553</v>
      </c>
      <c r="I98" s="29"/>
      <c r="J98" s="29" t="s">
        <v>13</v>
      </c>
      <c r="K98" s="24" t="s">
        <v>47</v>
      </c>
      <c r="L98" s="49">
        <v>45545</v>
      </c>
      <c r="M98" s="49">
        <v>45553</v>
      </c>
      <c r="N98" s="29">
        <f t="shared" si="6"/>
        <v>8</v>
      </c>
      <c r="O98" s="29"/>
      <c r="P98" t="s">
        <v>88</v>
      </c>
      <c r="Q98" t="s">
        <v>88</v>
      </c>
      <c r="R98" t="s">
        <v>88</v>
      </c>
      <c r="S98" t="s">
        <v>88</v>
      </c>
      <c r="T98" t="s">
        <v>88</v>
      </c>
      <c r="U98" t="s">
        <v>20</v>
      </c>
    </row>
    <row r="99" spans="1:21" x14ac:dyDescent="0.45">
      <c r="A99" s="29">
        <v>114467294</v>
      </c>
      <c r="B99" s="29" t="str">
        <f t="shared" si="5"/>
        <v>11.446.729-4</v>
      </c>
      <c r="C99" s="22" t="str">
        <f>IF(IFERROR(VLOOKUP(A99,$A$10:$I98,1,0),0)=0,"",VLOOKUP(A99,$A$10:$I98,3,0))</f>
        <v>Pensionado</v>
      </c>
      <c r="D99" s="29" t="str">
        <f>IF(IFERROR(VLOOKUP(A99,$A$10:$I98,1,0),0)=0,"",VLOOKUP(A99,$A$10:$I98,4,0))</f>
        <v>MARGARITA</v>
      </c>
      <c r="E99" s="29" t="str">
        <f>IF(IFERROR(VLOOKUP(A99,$A$10:$I98,1,0),0)=0,"",VLOOKUP(A99,$A$10:$I98,5,0))</f>
        <v>FUENTES</v>
      </c>
      <c r="F99" s="29" t="str">
        <f>IF(IFERROR(VLOOKUP(A99,$A$10:$I98,1,0),0)=0,"",VLOOKUP(A99,$A$10:$I98,6,0))</f>
        <v>FERNANDEZ</v>
      </c>
      <c r="G99" s="49">
        <f>IF(IFERROR(VLOOKUP(A99,$A$10:$I98,1,0),0)=0,"",VLOOKUP(A99,$A$10:$I98,7,0))</f>
        <v>45549</v>
      </c>
      <c r="H99" s="49">
        <v>45553</v>
      </c>
      <c r="I99" s="29"/>
      <c r="J99" s="29"/>
      <c r="K99" s="24" t="s">
        <v>18</v>
      </c>
      <c r="L99" s="49">
        <v>45549</v>
      </c>
      <c r="M99" s="49">
        <v>45553</v>
      </c>
      <c r="N99" s="29">
        <f t="shared" si="6"/>
        <v>4</v>
      </c>
      <c r="O99" s="29"/>
      <c r="P99" t="s">
        <v>88</v>
      </c>
      <c r="Q99" t="s">
        <v>88</v>
      </c>
      <c r="R99" t="s">
        <v>88</v>
      </c>
      <c r="S99" t="s">
        <v>88</v>
      </c>
      <c r="T99" t="s">
        <v>88</v>
      </c>
      <c r="U99" t="s">
        <v>20</v>
      </c>
    </row>
    <row r="100" spans="1:21" x14ac:dyDescent="0.45">
      <c r="A100" s="29">
        <v>284458795</v>
      </c>
      <c r="B100" s="29" t="str">
        <f t="shared" si="5"/>
        <v>28.445.879-5</v>
      </c>
      <c r="C100" s="22" t="s">
        <v>10</v>
      </c>
      <c r="D100" s="29" t="s">
        <v>524</v>
      </c>
      <c r="E100" s="29" t="s">
        <v>461</v>
      </c>
      <c r="F100" s="29" t="s">
        <v>1115</v>
      </c>
      <c r="G100" s="49">
        <v>45531</v>
      </c>
      <c r="H100" s="29"/>
      <c r="I100" s="29" t="s">
        <v>16</v>
      </c>
      <c r="J100" s="29"/>
      <c r="K100" s="24" t="s">
        <v>39</v>
      </c>
      <c r="L100" s="49">
        <v>45536</v>
      </c>
      <c r="M100" s="49">
        <v>45565</v>
      </c>
      <c r="N100" s="29">
        <f t="shared" si="6"/>
        <v>29</v>
      </c>
      <c r="O100" s="29"/>
      <c r="P100" t="s">
        <v>88</v>
      </c>
      <c r="Q100" t="s">
        <v>88</v>
      </c>
      <c r="R100" t="s">
        <v>88</v>
      </c>
      <c r="S100" t="s">
        <v>88</v>
      </c>
      <c r="T100" t="s">
        <v>88</v>
      </c>
      <c r="U100" t="s">
        <v>20</v>
      </c>
    </row>
    <row r="101" spans="1:21" x14ac:dyDescent="0.45">
      <c r="A101" s="29">
        <v>72662296</v>
      </c>
      <c r="B101" s="29" t="str">
        <f t="shared" si="5"/>
        <v>7.266.229-6</v>
      </c>
      <c r="C101" s="22" t="s">
        <v>30</v>
      </c>
      <c r="D101" s="29" t="s">
        <v>1408</v>
      </c>
      <c r="E101" s="29" t="s">
        <v>1175</v>
      </c>
      <c r="F101" s="29" t="s">
        <v>1409</v>
      </c>
      <c r="G101" s="49">
        <v>45547</v>
      </c>
      <c r="H101" s="49">
        <v>45553</v>
      </c>
      <c r="I101" s="29"/>
      <c r="J101" s="29"/>
      <c r="K101" s="24" t="s">
        <v>43</v>
      </c>
      <c r="L101" s="49">
        <v>45547</v>
      </c>
      <c r="M101" s="49">
        <v>45553</v>
      </c>
      <c r="N101" s="29">
        <f t="shared" si="6"/>
        <v>6</v>
      </c>
      <c r="O101" s="29"/>
      <c r="P101" t="s">
        <v>88</v>
      </c>
      <c r="Q101" t="s">
        <v>88</v>
      </c>
      <c r="R101" t="s">
        <v>88</v>
      </c>
      <c r="S101" t="s">
        <v>88</v>
      </c>
      <c r="T101" t="s">
        <v>88</v>
      </c>
      <c r="U101" t="s">
        <v>20</v>
      </c>
    </row>
    <row r="102" spans="1:21" x14ac:dyDescent="0.45">
      <c r="A102" s="29">
        <v>103110831</v>
      </c>
      <c r="B102" s="29" t="str">
        <f t="shared" si="5"/>
        <v>10.311.083-1</v>
      </c>
      <c r="C102" s="22" t="s">
        <v>30</v>
      </c>
      <c r="D102" s="29" t="s">
        <v>474</v>
      </c>
      <c r="E102" s="29" t="s">
        <v>613</v>
      </c>
      <c r="F102" s="29" t="s">
        <v>367</v>
      </c>
      <c r="G102" s="49">
        <v>45546</v>
      </c>
      <c r="H102" s="49">
        <v>45552</v>
      </c>
      <c r="I102" s="29"/>
      <c r="J102" s="29"/>
      <c r="K102" s="24" t="s">
        <v>43</v>
      </c>
      <c r="L102" s="49">
        <v>45546</v>
      </c>
      <c r="M102" s="49">
        <v>45552</v>
      </c>
      <c r="N102" s="29">
        <f t="shared" si="6"/>
        <v>6</v>
      </c>
      <c r="O102" s="29"/>
      <c r="P102" t="s">
        <v>88</v>
      </c>
      <c r="Q102" t="s">
        <v>88</v>
      </c>
      <c r="R102" t="s">
        <v>88</v>
      </c>
      <c r="S102" t="s">
        <v>88</v>
      </c>
      <c r="T102" t="s">
        <v>88</v>
      </c>
      <c r="U102" t="s">
        <v>20</v>
      </c>
    </row>
    <row r="103" spans="1:21" x14ac:dyDescent="0.45">
      <c r="A103" s="29">
        <v>74578950</v>
      </c>
      <c r="B103" s="29" t="str">
        <f t="shared" si="5"/>
        <v>7.457.895-0</v>
      </c>
      <c r="C103" s="22" t="s">
        <v>30</v>
      </c>
      <c r="D103" s="29" t="s">
        <v>1410</v>
      </c>
      <c r="E103" s="29" t="s">
        <v>266</v>
      </c>
      <c r="F103" s="29" t="s">
        <v>266</v>
      </c>
      <c r="G103" s="49">
        <v>45549</v>
      </c>
      <c r="H103" s="49">
        <v>45551</v>
      </c>
      <c r="I103" s="29"/>
      <c r="J103" s="29" t="s">
        <v>24</v>
      </c>
      <c r="K103" s="24" t="s">
        <v>43</v>
      </c>
      <c r="L103" s="49">
        <v>45549</v>
      </c>
      <c r="M103" s="49">
        <v>45551</v>
      </c>
      <c r="N103" s="29">
        <f t="shared" si="6"/>
        <v>2</v>
      </c>
      <c r="O103" s="29"/>
      <c r="P103" t="s">
        <v>88</v>
      </c>
      <c r="Q103" t="s">
        <v>88</v>
      </c>
      <c r="R103" t="s">
        <v>88</v>
      </c>
      <c r="S103" t="s">
        <v>88</v>
      </c>
      <c r="T103" t="s">
        <v>88</v>
      </c>
      <c r="U103" t="s">
        <v>20</v>
      </c>
    </row>
    <row r="104" spans="1:21" x14ac:dyDescent="0.45">
      <c r="A104" s="29">
        <v>98469729</v>
      </c>
      <c r="B104" s="29" t="str">
        <f t="shared" si="5"/>
        <v>9.846.972-9</v>
      </c>
      <c r="C104" s="22" t="s">
        <v>30</v>
      </c>
      <c r="D104" s="29" t="s">
        <v>271</v>
      </c>
      <c r="E104" s="29" t="s">
        <v>252</v>
      </c>
      <c r="F104" s="29" t="s">
        <v>252</v>
      </c>
      <c r="G104" s="49">
        <v>45544</v>
      </c>
      <c r="H104" s="49">
        <v>45555</v>
      </c>
      <c r="I104" s="29"/>
      <c r="J104" s="29" t="s">
        <v>13</v>
      </c>
      <c r="K104" s="24" t="s">
        <v>43</v>
      </c>
      <c r="L104" s="49">
        <v>45544</v>
      </c>
      <c r="M104" s="49">
        <v>45555</v>
      </c>
      <c r="N104" s="29">
        <f t="shared" si="6"/>
        <v>11</v>
      </c>
      <c r="O104" s="29"/>
      <c r="P104" t="s">
        <v>88</v>
      </c>
      <c r="Q104" t="s">
        <v>88</v>
      </c>
      <c r="R104" t="s">
        <v>88</v>
      </c>
      <c r="S104" t="s">
        <v>88</v>
      </c>
      <c r="T104" t="s">
        <v>88</v>
      </c>
      <c r="U104" t="s">
        <v>20</v>
      </c>
    </row>
    <row r="105" spans="1:21" x14ac:dyDescent="0.45">
      <c r="A105" s="29">
        <v>98469729</v>
      </c>
      <c r="B105" s="29" t="str">
        <f t="shared" si="5"/>
        <v>9.846.972-9</v>
      </c>
      <c r="C105" s="22" t="s">
        <v>30</v>
      </c>
      <c r="D105" s="29" t="s">
        <v>271</v>
      </c>
      <c r="E105" s="29" t="s">
        <v>252</v>
      </c>
      <c r="F105" s="29" t="s">
        <v>252</v>
      </c>
      <c r="G105" s="49">
        <v>45544</v>
      </c>
      <c r="H105" s="49">
        <v>45555</v>
      </c>
      <c r="I105" s="29"/>
      <c r="J105" s="29" t="s">
        <v>13</v>
      </c>
      <c r="K105" s="24" t="s">
        <v>47</v>
      </c>
      <c r="L105" s="49">
        <v>45544</v>
      </c>
      <c r="M105" s="49">
        <v>45550</v>
      </c>
      <c r="N105" s="29">
        <f t="shared" si="6"/>
        <v>6</v>
      </c>
      <c r="O105" s="29"/>
      <c r="P105" t="s">
        <v>88</v>
      </c>
      <c r="Q105" t="s">
        <v>88</v>
      </c>
      <c r="R105" t="s">
        <v>88</v>
      </c>
      <c r="S105" t="s">
        <v>88</v>
      </c>
      <c r="T105" t="s">
        <v>88</v>
      </c>
      <c r="U105" t="s">
        <v>20</v>
      </c>
    </row>
    <row r="106" spans="1:21" x14ac:dyDescent="0.45">
      <c r="A106" s="29">
        <v>98469729</v>
      </c>
      <c r="B106" s="29" t="str">
        <f t="shared" si="5"/>
        <v>9.846.972-9</v>
      </c>
      <c r="C106" s="22" t="s">
        <v>30</v>
      </c>
      <c r="D106" s="29" t="s">
        <v>271</v>
      </c>
      <c r="E106" s="29" t="s">
        <v>252</v>
      </c>
      <c r="F106" s="29" t="s">
        <v>252</v>
      </c>
      <c r="G106" s="49">
        <v>45544</v>
      </c>
      <c r="H106" s="49">
        <v>45555</v>
      </c>
      <c r="I106" s="29"/>
      <c r="J106" s="29" t="s">
        <v>13</v>
      </c>
      <c r="K106" s="24" t="s">
        <v>55</v>
      </c>
      <c r="L106" s="49">
        <v>45544</v>
      </c>
      <c r="M106" s="49">
        <v>45547</v>
      </c>
      <c r="N106" s="29">
        <f t="shared" si="6"/>
        <v>3</v>
      </c>
      <c r="O106" s="29"/>
      <c r="P106" t="s">
        <v>88</v>
      </c>
      <c r="Q106" t="s">
        <v>88</v>
      </c>
      <c r="R106" t="s">
        <v>88</v>
      </c>
      <c r="S106" t="s">
        <v>88</v>
      </c>
      <c r="T106" t="s">
        <v>88</v>
      </c>
      <c r="U106" t="s">
        <v>20</v>
      </c>
    </row>
    <row r="107" spans="1:21" x14ac:dyDescent="0.45">
      <c r="A107" s="29">
        <v>102509234</v>
      </c>
      <c r="B107" s="29" t="str">
        <f t="shared" si="5"/>
        <v>10.250.923-4</v>
      </c>
      <c r="C107" s="22" t="s">
        <v>30</v>
      </c>
      <c r="D107" s="29" t="s">
        <v>518</v>
      </c>
      <c r="E107" s="29" t="s">
        <v>313</v>
      </c>
      <c r="F107" s="29" t="s">
        <v>1411</v>
      </c>
      <c r="G107" s="49">
        <v>45548</v>
      </c>
      <c r="H107" s="49">
        <v>45551</v>
      </c>
      <c r="I107" s="29"/>
      <c r="J107" s="29" t="s">
        <v>24</v>
      </c>
      <c r="K107" s="24" t="s">
        <v>43</v>
      </c>
      <c r="L107" s="49">
        <v>45548</v>
      </c>
      <c r="M107" s="49">
        <v>45551</v>
      </c>
      <c r="N107" s="29">
        <f t="shared" si="6"/>
        <v>3</v>
      </c>
      <c r="O107" s="29"/>
      <c r="P107" t="s">
        <v>88</v>
      </c>
      <c r="Q107" t="s">
        <v>88</v>
      </c>
      <c r="R107" t="s">
        <v>88</v>
      </c>
      <c r="S107" t="s">
        <v>88</v>
      </c>
      <c r="T107" t="s">
        <v>88</v>
      </c>
      <c r="U107" t="s">
        <v>20</v>
      </c>
    </row>
    <row r="108" spans="1:21" x14ac:dyDescent="0.45">
      <c r="A108" s="79">
        <v>58023779</v>
      </c>
      <c r="B108" s="29" t="str">
        <f t="shared" si="5"/>
        <v>5.802.377-9</v>
      </c>
      <c r="C108" s="22" t="s">
        <v>22</v>
      </c>
      <c r="D108" s="29" t="str">
        <f>IF(IFERROR(VLOOKUP(A108,$A$10:$I107,1,0),0)=0,"",VLOOKUP(A108,$A$10:$I107,4,0))</f>
        <v>JOSÉ</v>
      </c>
      <c r="E108" s="29" t="str">
        <f>IF(IFERROR(VLOOKUP(A108,$A$10:$I107,1,0),0)=0,"",VLOOKUP(A108,$A$10:$I107,5,0))</f>
        <v>URRA</v>
      </c>
      <c r="F108" s="29" t="str">
        <f>IF(IFERROR(VLOOKUP(A108,$A$10:$I107,1,0),0)=0,"",VLOOKUP(A108,$A$10:$I107,6,0))</f>
        <v>GONZÁLEZ</v>
      </c>
      <c r="G108" s="49">
        <v>45548</v>
      </c>
      <c r="H108" s="49">
        <v>45551</v>
      </c>
      <c r="I108" s="29"/>
      <c r="J108" s="29" t="s">
        <v>24</v>
      </c>
      <c r="K108" s="24" t="s">
        <v>43</v>
      </c>
      <c r="L108" s="49">
        <v>45548</v>
      </c>
      <c r="M108" s="49">
        <v>45551</v>
      </c>
      <c r="N108" s="29">
        <f t="shared" si="6"/>
        <v>3</v>
      </c>
      <c r="O108" s="29"/>
      <c r="P108" t="s">
        <v>88</v>
      </c>
      <c r="Q108" t="s">
        <v>88</v>
      </c>
      <c r="R108" t="s">
        <v>88</v>
      </c>
      <c r="S108" t="s">
        <v>88</v>
      </c>
      <c r="T108" t="s">
        <v>88</v>
      </c>
      <c r="U108" t="s">
        <v>20</v>
      </c>
    </row>
    <row r="109" spans="1:21" x14ac:dyDescent="0.45">
      <c r="A109" s="79" t="s">
        <v>1412</v>
      </c>
      <c r="B109" s="29" t="str">
        <f t="shared" si="5"/>
        <v>9.738.472-k</v>
      </c>
      <c r="C109" s="22" t="s">
        <v>22</v>
      </c>
      <c r="D109" s="29" t="s">
        <v>271</v>
      </c>
      <c r="E109" s="29" t="s">
        <v>1313</v>
      </c>
      <c r="F109" s="29" t="s">
        <v>363</v>
      </c>
      <c r="G109" s="49">
        <v>45547</v>
      </c>
      <c r="H109" s="49">
        <v>45551</v>
      </c>
      <c r="I109" s="29"/>
      <c r="J109" s="29"/>
      <c r="K109" s="24" t="s">
        <v>43</v>
      </c>
      <c r="L109" s="49">
        <v>45547</v>
      </c>
      <c r="M109" s="49">
        <v>45550</v>
      </c>
      <c r="N109" s="29">
        <f t="shared" si="6"/>
        <v>3</v>
      </c>
      <c r="O109" s="29"/>
      <c r="P109" t="s">
        <v>88</v>
      </c>
      <c r="Q109" t="s">
        <v>88</v>
      </c>
      <c r="R109" t="s">
        <v>88</v>
      </c>
      <c r="S109" t="s">
        <v>88</v>
      </c>
      <c r="T109" t="s">
        <v>88</v>
      </c>
      <c r="U109" t="s">
        <v>20</v>
      </c>
    </row>
    <row r="110" spans="1:21" x14ac:dyDescent="0.45">
      <c r="A110" s="79" t="s">
        <v>1412</v>
      </c>
      <c r="B110" s="29" t="str">
        <f t="shared" si="5"/>
        <v>9.738.472-k</v>
      </c>
      <c r="C110" s="22" t="str">
        <f>IF(IFERROR(VLOOKUP(A110,$A$10:$I109,1,0),0)=0,"",VLOOKUP(A110,$A$10:$I109,3,0))</f>
        <v>UCI</v>
      </c>
      <c r="D110" s="29" t="str">
        <f>IF(IFERROR(VLOOKUP(A110,$A$10:$I109,1,0),0)=0,"",VLOOKUP(A110,$A$10:$I109,4,0))</f>
        <v>MANUEL</v>
      </c>
      <c r="E110" s="29" t="str">
        <f>IF(IFERROR(VLOOKUP(A110,$A$10:$I109,1,0),0)=0,"",VLOOKUP(A110,$A$10:$I109,5,0))</f>
        <v>ROJAS</v>
      </c>
      <c r="F110" s="29" t="str">
        <f>IF(IFERROR(VLOOKUP(A110,$A$10:$I109,1,0),0)=0,"",VLOOKUP(A110,$A$10:$I109,6,0))</f>
        <v>DIAZ</v>
      </c>
      <c r="G110" s="49">
        <f>IF(IFERROR(VLOOKUP(A110,$A$10:$I109,1,0),0)=0,"",VLOOKUP(A110,$A$10:$I109,7,0))</f>
        <v>45547</v>
      </c>
      <c r="H110" s="49">
        <v>45551</v>
      </c>
      <c r="I110" s="29"/>
      <c r="J110" s="29"/>
      <c r="K110" s="24" t="s">
        <v>47</v>
      </c>
      <c r="L110" s="49">
        <v>45547</v>
      </c>
      <c r="M110" s="49">
        <v>45550</v>
      </c>
      <c r="N110" s="29">
        <f t="shared" si="6"/>
        <v>3</v>
      </c>
      <c r="O110" s="29"/>
      <c r="P110" t="s">
        <v>88</v>
      </c>
      <c r="Q110" t="s">
        <v>88</v>
      </c>
      <c r="R110" t="s">
        <v>88</v>
      </c>
      <c r="S110" t="s">
        <v>88</v>
      </c>
      <c r="T110" t="s">
        <v>88</v>
      </c>
      <c r="U110" t="s">
        <v>20</v>
      </c>
    </row>
    <row r="111" spans="1:21" x14ac:dyDescent="0.45">
      <c r="A111" s="79" t="s">
        <v>1413</v>
      </c>
      <c r="B111" s="29" t="str">
        <f t="shared" si="5"/>
        <v>11.291.532-K</v>
      </c>
      <c r="C111" s="22" t="s">
        <v>22</v>
      </c>
      <c r="D111" s="29" t="s">
        <v>1414</v>
      </c>
      <c r="E111" s="29" t="s">
        <v>384</v>
      </c>
      <c r="F111" s="29" t="s">
        <v>902</v>
      </c>
      <c r="G111" s="49">
        <v>45549</v>
      </c>
      <c r="H111" s="49">
        <v>45552</v>
      </c>
      <c r="I111" s="29"/>
      <c r="J111" s="29"/>
      <c r="K111" s="24" t="s">
        <v>43</v>
      </c>
      <c r="L111" s="49">
        <v>45549</v>
      </c>
      <c r="M111" s="49">
        <v>45552</v>
      </c>
      <c r="N111" s="29">
        <f t="shared" si="6"/>
        <v>3</v>
      </c>
      <c r="O111" s="29"/>
      <c r="P111" t="s">
        <v>88</v>
      </c>
      <c r="Q111" t="s">
        <v>88</v>
      </c>
      <c r="R111" t="s">
        <v>88</v>
      </c>
      <c r="S111" t="s">
        <v>88</v>
      </c>
      <c r="T111" t="s">
        <v>88</v>
      </c>
      <c r="U111" t="s">
        <v>20</v>
      </c>
    </row>
    <row r="112" spans="1:21" x14ac:dyDescent="0.45">
      <c r="A112" s="79">
        <v>116630788</v>
      </c>
      <c r="B112" s="29" t="str">
        <f t="shared" si="5"/>
        <v>11.663.078-8</v>
      </c>
      <c r="C112" s="22" t="s">
        <v>22</v>
      </c>
      <c r="D112" s="29" t="str">
        <f>IF(IFERROR(VLOOKUP(A112,$A$10:$I111,1,0),0)=0,"",VLOOKUP(A112,$A$10:$I111,4,0))</f>
        <v>ANA</v>
      </c>
      <c r="E112" s="29" t="str">
        <f>IF(IFERROR(VLOOKUP(A112,$A$10:$I111,1,0),0)=0,"",VLOOKUP(A112,$A$10:$I111,5,0))</f>
        <v>ARIAS</v>
      </c>
      <c r="F112" s="29" t="str">
        <f>IF(IFERROR(VLOOKUP(A112,$A$10:$I111,1,0),0)=0,"",VLOOKUP(A112,$A$10:$I111,6,0))</f>
        <v>ARANCIBIA</v>
      </c>
      <c r="G112" s="49">
        <v>45538</v>
      </c>
      <c r="H112" s="29"/>
      <c r="I112" s="29" t="s">
        <v>22</v>
      </c>
      <c r="J112" s="29"/>
      <c r="K112" s="24" t="s">
        <v>47</v>
      </c>
      <c r="L112" s="49">
        <v>45538</v>
      </c>
      <c r="M112" s="49">
        <v>45565</v>
      </c>
      <c r="N112" s="29">
        <f t="shared" si="6"/>
        <v>27</v>
      </c>
      <c r="O112" s="29"/>
      <c r="P112" t="s">
        <v>88</v>
      </c>
      <c r="Q112" t="s">
        <v>88</v>
      </c>
      <c r="R112" t="s">
        <v>88</v>
      </c>
      <c r="S112" t="s">
        <v>88</v>
      </c>
      <c r="T112" t="s">
        <v>88</v>
      </c>
      <c r="U112" t="s">
        <v>20</v>
      </c>
    </row>
    <row r="113" spans="1:21" x14ac:dyDescent="0.45">
      <c r="A113" s="79">
        <v>127323275</v>
      </c>
      <c r="B113" s="29" t="str">
        <f t="shared" si="5"/>
        <v>12.732.327-5</v>
      </c>
      <c r="C113" s="22" t="s">
        <v>22</v>
      </c>
      <c r="D113" s="29" t="s">
        <v>629</v>
      </c>
      <c r="E113" s="29" t="s">
        <v>1415</v>
      </c>
      <c r="F113" s="29" t="s">
        <v>288</v>
      </c>
      <c r="G113" s="49">
        <v>45545</v>
      </c>
      <c r="H113" s="29"/>
      <c r="I113" s="29"/>
      <c r="J113" s="29" t="s">
        <v>56</v>
      </c>
      <c r="K113" s="24" t="s">
        <v>43</v>
      </c>
      <c r="L113" s="49">
        <v>45545</v>
      </c>
      <c r="M113" s="49">
        <v>45559</v>
      </c>
      <c r="N113" s="29">
        <f t="shared" si="6"/>
        <v>14</v>
      </c>
      <c r="O113" s="29"/>
      <c r="P113" t="s">
        <v>88</v>
      </c>
      <c r="Q113" t="s">
        <v>88</v>
      </c>
      <c r="R113" t="s">
        <v>88</v>
      </c>
      <c r="S113" t="s">
        <v>88</v>
      </c>
      <c r="T113" t="s">
        <v>88</v>
      </c>
      <c r="U113" t="s">
        <v>20</v>
      </c>
    </row>
    <row r="114" spans="1:21" x14ac:dyDescent="0.45">
      <c r="A114" s="79">
        <v>127323275</v>
      </c>
      <c r="B114" s="29" t="str">
        <f t="shared" si="5"/>
        <v>12.732.327-5</v>
      </c>
      <c r="C114" s="22" t="s">
        <v>22</v>
      </c>
      <c r="D114" s="29" t="s">
        <v>629</v>
      </c>
      <c r="E114" s="29" t="s">
        <v>1415</v>
      </c>
      <c r="F114" s="29" t="s">
        <v>288</v>
      </c>
      <c r="G114" s="49">
        <v>45545</v>
      </c>
      <c r="H114" s="29"/>
      <c r="I114" s="29"/>
      <c r="J114" s="29" t="s">
        <v>56</v>
      </c>
      <c r="K114" s="24" t="s">
        <v>18</v>
      </c>
      <c r="L114" s="49">
        <v>45559</v>
      </c>
      <c r="M114" s="49">
        <v>45562</v>
      </c>
      <c r="N114" s="29">
        <f t="shared" si="6"/>
        <v>3</v>
      </c>
      <c r="O114" s="29"/>
      <c r="P114" t="s">
        <v>88</v>
      </c>
      <c r="Q114" t="s">
        <v>88</v>
      </c>
      <c r="R114" t="s">
        <v>88</v>
      </c>
      <c r="S114" t="s">
        <v>88</v>
      </c>
      <c r="T114" t="s">
        <v>88</v>
      </c>
      <c r="U114" t="s">
        <v>20</v>
      </c>
    </row>
    <row r="115" spans="1:21" x14ac:dyDescent="0.45">
      <c r="A115" s="79">
        <v>60969558</v>
      </c>
      <c r="B115" s="29" t="str">
        <f t="shared" si="5"/>
        <v>6.096.955-8</v>
      </c>
      <c r="C115" s="22" t="s">
        <v>22</v>
      </c>
      <c r="D115" s="29" t="s">
        <v>782</v>
      </c>
      <c r="E115" s="29" t="s">
        <v>1416</v>
      </c>
      <c r="F115" s="29" t="s">
        <v>1269</v>
      </c>
      <c r="G115" s="49">
        <v>45549</v>
      </c>
      <c r="H115" s="49">
        <v>45551</v>
      </c>
      <c r="I115" s="29"/>
      <c r="J115" s="29" t="s">
        <v>22</v>
      </c>
      <c r="K115" s="24" t="s">
        <v>43</v>
      </c>
      <c r="L115" s="49">
        <v>45549</v>
      </c>
      <c r="M115" s="49">
        <v>45551</v>
      </c>
      <c r="N115" s="29">
        <f t="shared" si="6"/>
        <v>2</v>
      </c>
      <c r="O115" s="29"/>
      <c r="P115" t="s">
        <v>88</v>
      </c>
      <c r="Q115" t="s">
        <v>88</v>
      </c>
      <c r="R115" t="s">
        <v>88</v>
      </c>
      <c r="S115" t="s">
        <v>88</v>
      </c>
      <c r="T115" t="s">
        <v>88</v>
      </c>
      <c r="U115" t="s">
        <v>20</v>
      </c>
    </row>
    <row r="116" spans="1:21" x14ac:dyDescent="0.45">
      <c r="A116" s="79">
        <v>60969558</v>
      </c>
      <c r="B116" s="29" t="str">
        <f t="shared" si="5"/>
        <v>6.096.955-8</v>
      </c>
      <c r="C116" s="22" t="str">
        <f>IF(IFERROR(VLOOKUP(A116,$A$10:$I115,1,0),0)=0,"",VLOOKUP(A116,$A$10:$I115,3,0))</f>
        <v>UCI</v>
      </c>
      <c r="D116" s="29" t="str">
        <f>IF(IFERROR(VLOOKUP(A116,$A$10:$I115,1,0),0)=0,"",VLOOKUP(A116,$A$10:$I115,4,0))</f>
        <v>TERESA</v>
      </c>
      <c r="E116" s="29" t="str">
        <f>IF(IFERROR(VLOOKUP(A116,$A$10:$I115,1,0),0)=0,"",VLOOKUP(A116,$A$10:$I115,5,0))</f>
        <v>ARRATIA</v>
      </c>
      <c r="F116" s="29" t="str">
        <f>IF(IFERROR(VLOOKUP(A116,$A$10:$I115,1,0),0)=0,"",VLOOKUP(A116,$A$10:$I115,6,0))</f>
        <v>SANZANA</v>
      </c>
      <c r="G116" s="49">
        <f>IF(IFERROR(VLOOKUP(A116,$A$10:$I115,1,0),0)=0,"",VLOOKUP(A116,$A$10:$I115,7,0))</f>
        <v>45549</v>
      </c>
      <c r="H116" s="49">
        <v>45551</v>
      </c>
      <c r="I116" s="29"/>
      <c r="J116" s="29" t="s">
        <v>22</v>
      </c>
      <c r="K116" s="24" t="s">
        <v>47</v>
      </c>
      <c r="L116" s="49">
        <v>45549</v>
      </c>
      <c r="M116" s="49">
        <v>45551</v>
      </c>
      <c r="N116" s="29">
        <f t="shared" si="6"/>
        <v>2</v>
      </c>
      <c r="O116" s="29"/>
      <c r="P116" t="s">
        <v>88</v>
      </c>
      <c r="Q116" t="s">
        <v>88</v>
      </c>
      <c r="R116" t="s">
        <v>88</v>
      </c>
      <c r="S116" t="s">
        <v>88</v>
      </c>
      <c r="T116" t="s">
        <v>88</v>
      </c>
      <c r="U116" t="s">
        <v>20</v>
      </c>
    </row>
    <row r="117" spans="1:21" x14ac:dyDescent="0.45">
      <c r="A117" s="79">
        <v>115811355</v>
      </c>
      <c r="B117" s="29" t="str">
        <f t="shared" si="5"/>
        <v>11.581.135-5</v>
      </c>
      <c r="C117" s="22" t="s">
        <v>22</v>
      </c>
      <c r="D117" s="29" t="str">
        <f>IF(IFERROR(VLOOKUP(A117,$A$10:$I116,1,0),0)=0,"",VLOOKUP(A117,$A$10:$I116,4,0))</f>
        <v>HUGO</v>
      </c>
      <c r="E117" s="29" t="str">
        <f>IF(IFERROR(VLOOKUP(A117,$A$10:$I116,1,0),0)=0,"",VLOOKUP(A117,$A$10:$I116,5,0))</f>
        <v>FLORES</v>
      </c>
      <c r="F117" s="29" t="str">
        <f>IF(IFERROR(VLOOKUP(A117,$A$10:$I116,1,0),0)=0,"",VLOOKUP(A117,$A$10:$I116,6,0))</f>
        <v>ORELLANA</v>
      </c>
      <c r="G117" s="49">
        <v>45546</v>
      </c>
      <c r="H117" s="49">
        <v>45552</v>
      </c>
      <c r="I117" s="29"/>
      <c r="J117" s="29" t="s">
        <v>24</v>
      </c>
      <c r="K117" s="24" t="s">
        <v>43</v>
      </c>
      <c r="L117" s="49">
        <v>45546</v>
      </c>
      <c r="M117" s="49">
        <v>45552</v>
      </c>
      <c r="N117" s="29">
        <f t="shared" si="6"/>
        <v>6</v>
      </c>
      <c r="O117" s="29"/>
      <c r="P117" t="s">
        <v>88</v>
      </c>
      <c r="Q117" t="s">
        <v>88</v>
      </c>
      <c r="R117" t="s">
        <v>88</v>
      </c>
      <c r="S117" t="s">
        <v>88</v>
      </c>
      <c r="T117" t="s">
        <v>88</v>
      </c>
      <c r="U117" t="s">
        <v>20</v>
      </c>
    </row>
    <row r="118" spans="1:21" x14ac:dyDescent="0.45">
      <c r="A118" s="79">
        <v>115811355</v>
      </c>
      <c r="B118" s="29" t="str">
        <f t="shared" si="5"/>
        <v>11.581.135-5</v>
      </c>
      <c r="C118" s="22" t="s">
        <v>22</v>
      </c>
      <c r="D118" s="29" t="str">
        <f>IF(IFERROR(VLOOKUP(A118,$A$10:$I117,1,0),0)=0,"",VLOOKUP(A118,$A$10:$I117,4,0))</f>
        <v>HUGO</v>
      </c>
      <c r="E118" s="29" t="str">
        <f>IF(IFERROR(VLOOKUP(A118,$A$10:$I117,1,0),0)=0,"",VLOOKUP(A118,$A$10:$I117,5,0))</f>
        <v>FLORES</v>
      </c>
      <c r="F118" s="29" t="str">
        <f>IF(IFERROR(VLOOKUP(A118,$A$10:$I117,1,0),0)=0,"",VLOOKUP(A118,$A$10:$I117,6,0))</f>
        <v>ORELLANA</v>
      </c>
      <c r="G118" s="49">
        <v>45546</v>
      </c>
      <c r="H118" s="49">
        <v>45552</v>
      </c>
      <c r="I118" s="29"/>
      <c r="J118" s="29" t="s">
        <v>24</v>
      </c>
      <c r="K118" s="24" t="s">
        <v>47</v>
      </c>
      <c r="L118" s="49">
        <v>45546</v>
      </c>
      <c r="M118" s="49">
        <v>45552</v>
      </c>
      <c r="N118" s="29">
        <f t="shared" si="6"/>
        <v>6</v>
      </c>
      <c r="O118" s="29"/>
      <c r="P118" t="s">
        <v>88</v>
      </c>
      <c r="Q118" t="s">
        <v>88</v>
      </c>
      <c r="R118" t="s">
        <v>88</v>
      </c>
      <c r="S118" t="s">
        <v>88</v>
      </c>
      <c r="T118" t="s">
        <v>88</v>
      </c>
      <c r="U118" t="s">
        <v>20</v>
      </c>
    </row>
    <row r="119" spans="1:21" x14ac:dyDescent="0.45">
      <c r="A119" s="29">
        <v>79111589</v>
      </c>
      <c r="B119" s="29" t="str">
        <f t="shared" si="5"/>
        <v>7.911.158-9</v>
      </c>
      <c r="C119" s="22" t="s">
        <v>38</v>
      </c>
      <c r="D119" s="29" t="s">
        <v>250</v>
      </c>
      <c r="E119" s="29" t="s">
        <v>315</v>
      </c>
      <c r="F119" s="29" t="s">
        <v>970</v>
      </c>
      <c r="G119" s="49">
        <v>45549</v>
      </c>
      <c r="H119" s="49">
        <v>45558</v>
      </c>
      <c r="I119" s="29" t="s">
        <v>24</v>
      </c>
      <c r="J119" s="29" t="s">
        <v>24</v>
      </c>
      <c r="K119" s="24" t="s">
        <v>43</v>
      </c>
      <c r="L119" s="49">
        <v>45549</v>
      </c>
      <c r="M119" s="49">
        <v>45558</v>
      </c>
      <c r="N119" s="29">
        <f t="shared" si="6"/>
        <v>9</v>
      </c>
      <c r="O119" s="29"/>
      <c r="P119" t="s">
        <v>88</v>
      </c>
      <c r="Q119" t="s">
        <v>88</v>
      </c>
      <c r="R119" t="s">
        <v>88</v>
      </c>
      <c r="S119" t="s">
        <v>88</v>
      </c>
      <c r="T119" t="s">
        <v>88</v>
      </c>
      <c r="U119" t="s">
        <v>20</v>
      </c>
    </row>
    <row r="120" spans="1:21" x14ac:dyDescent="0.45">
      <c r="A120" s="29">
        <v>79111589</v>
      </c>
      <c r="B120" s="29" t="str">
        <f t="shared" si="5"/>
        <v>7.911.158-9</v>
      </c>
      <c r="C120" s="22" t="str">
        <f>IF(IFERROR(VLOOKUP(A120,$A$10:$I119,1,0),0)=0,"",VLOOKUP(A120,$A$10:$I119,3,0))</f>
        <v xml:space="preserve">Sala de cuidados intermedios </v>
      </c>
      <c r="D120" s="29" t="str">
        <f>IF(IFERROR(VLOOKUP(A120,$A$10:$I119,1,0),0)=0,"",VLOOKUP(A120,$A$10:$I119,4,0))</f>
        <v>JOSE</v>
      </c>
      <c r="E120" s="29" t="str">
        <f>IF(IFERROR(VLOOKUP(A120,$A$10:$I119,1,0),0)=0,"",VLOOKUP(A120,$A$10:$I119,5,0))</f>
        <v>ARIAS</v>
      </c>
      <c r="F120" s="29" t="str">
        <f>IF(IFERROR(VLOOKUP(A120,$A$10:$I119,1,0),0)=0,"",VLOOKUP(A120,$A$10:$I119,6,0))</f>
        <v>COFRE</v>
      </c>
      <c r="G120" s="49">
        <f>IF(IFERROR(VLOOKUP(A120,$A$10:$I119,1,0),0)=0,"",VLOOKUP(A120,$A$10:$I119,7,0))</f>
        <v>45549</v>
      </c>
      <c r="H120" s="49">
        <v>45558</v>
      </c>
      <c r="I120" s="29" t="s">
        <v>24</v>
      </c>
      <c r="J120" s="29" t="s">
        <v>24</v>
      </c>
      <c r="K120" s="24" t="s">
        <v>47</v>
      </c>
      <c r="L120" s="49">
        <v>45549</v>
      </c>
      <c r="M120" s="49">
        <v>45554</v>
      </c>
      <c r="N120" s="29">
        <f t="shared" si="6"/>
        <v>5</v>
      </c>
      <c r="O120" s="29"/>
      <c r="P120" t="s">
        <v>88</v>
      </c>
      <c r="Q120" t="s">
        <v>88</v>
      </c>
      <c r="R120" t="s">
        <v>88</v>
      </c>
      <c r="S120" t="s">
        <v>88</v>
      </c>
      <c r="T120" t="s">
        <v>88</v>
      </c>
      <c r="U120" t="s">
        <v>20</v>
      </c>
    </row>
    <row r="121" spans="1:21" x14ac:dyDescent="0.45">
      <c r="A121" s="29" t="s">
        <v>1417</v>
      </c>
      <c r="B121" s="29" t="str">
        <f t="shared" si="5"/>
        <v>5.822.362-k</v>
      </c>
      <c r="C121" s="22" t="s">
        <v>38</v>
      </c>
      <c r="D121" s="29" t="s">
        <v>238</v>
      </c>
      <c r="E121" s="29" t="s">
        <v>964</v>
      </c>
      <c r="F121" s="29" t="s">
        <v>788</v>
      </c>
      <c r="G121" s="49">
        <v>45547</v>
      </c>
      <c r="H121" s="49">
        <v>45551</v>
      </c>
      <c r="I121" s="29"/>
      <c r="J121" s="29"/>
      <c r="K121" s="24" t="s">
        <v>47</v>
      </c>
      <c r="L121" s="49">
        <v>45547</v>
      </c>
      <c r="M121" s="49">
        <v>45551</v>
      </c>
      <c r="N121" s="29">
        <f t="shared" si="6"/>
        <v>4</v>
      </c>
      <c r="O121" s="29"/>
      <c r="P121" t="s">
        <v>88</v>
      </c>
      <c r="Q121" t="s">
        <v>88</v>
      </c>
      <c r="R121" t="s">
        <v>88</v>
      </c>
      <c r="S121" t="s">
        <v>88</v>
      </c>
      <c r="T121" t="s">
        <v>88</v>
      </c>
      <c r="U121" t="s">
        <v>20</v>
      </c>
    </row>
    <row r="122" spans="1:21" x14ac:dyDescent="0.45">
      <c r="A122" s="29" t="s">
        <v>1418</v>
      </c>
      <c r="B122" s="29" t="str">
        <f t="shared" si="5"/>
        <v>9.282.683-K</v>
      </c>
      <c r="C122" s="22" t="s">
        <v>38</v>
      </c>
      <c r="D122" s="29" t="s">
        <v>419</v>
      </c>
      <c r="E122" s="29" t="s">
        <v>559</v>
      </c>
      <c r="F122" s="29" t="s">
        <v>342</v>
      </c>
      <c r="G122" s="49">
        <v>45547</v>
      </c>
      <c r="H122" s="49">
        <v>45551</v>
      </c>
      <c r="I122" s="29"/>
      <c r="J122" s="29"/>
      <c r="K122" s="24" t="s">
        <v>43</v>
      </c>
      <c r="L122" s="49">
        <v>45548</v>
      </c>
      <c r="M122" s="49">
        <v>45551</v>
      </c>
      <c r="N122" s="29">
        <f t="shared" si="6"/>
        <v>3</v>
      </c>
      <c r="O122" s="29"/>
      <c r="P122" t="s">
        <v>88</v>
      </c>
      <c r="Q122" t="s">
        <v>88</v>
      </c>
      <c r="R122" t="s">
        <v>88</v>
      </c>
      <c r="S122" t="s">
        <v>88</v>
      </c>
      <c r="T122" t="s">
        <v>88</v>
      </c>
      <c r="U122" t="s">
        <v>20</v>
      </c>
    </row>
    <row r="123" spans="1:21" x14ac:dyDescent="0.45">
      <c r="A123" s="29">
        <v>198364746</v>
      </c>
      <c r="B123" s="29" t="str">
        <f t="shared" si="5"/>
        <v>19.836.474-6</v>
      </c>
      <c r="C123" s="22" t="s">
        <v>38</v>
      </c>
      <c r="D123" s="29" t="s">
        <v>238</v>
      </c>
      <c r="E123" s="29" t="s">
        <v>1097</v>
      </c>
      <c r="F123" s="29" t="s">
        <v>1306</v>
      </c>
      <c r="G123" s="49">
        <v>45549</v>
      </c>
      <c r="H123" s="49">
        <v>45554</v>
      </c>
      <c r="I123" s="29"/>
      <c r="J123" s="29"/>
      <c r="K123" s="24" t="s">
        <v>47</v>
      </c>
      <c r="L123" s="49">
        <v>45549</v>
      </c>
      <c r="M123" s="49">
        <v>45554</v>
      </c>
      <c r="N123" s="29">
        <f t="shared" si="6"/>
        <v>5</v>
      </c>
      <c r="O123" s="29"/>
      <c r="P123" t="s">
        <v>88</v>
      </c>
      <c r="Q123" t="s">
        <v>88</v>
      </c>
      <c r="R123" t="s">
        <v>88</v>
      </c>
      <c r="S123" t="s">
        <v>88</v>
      </c>
      <c r="T123" t="s">
        <v>88</v>
      </c>
      <c r="U123" t="s">
        <v>20</v>
      </c>
    </row>
    <row r="124" spans="1:21" x14ac:dyDescent="0.45">
      <c r="A124" s="29">
        <v>47258278</v>
      </c>
      <c r="B124" s="29" t="str">
        <f t="shared" si="5"/>
        <v>4.725.827-8</v>
      </c>
      <c r="C124" s="22" t="s">
        <v>22</v>
      </c>
      <c r="D124" s="29" t="s">
        <v>311</v>
      </c>
      <c r="E124" s="29" t="s">
        <v>677</v>
      </c>
      <c r="F124" s="29" t="s">
        <v>352</v>
      </c>
      <c r="G124" s="49">
        <v>45546</v>
      </c>
      <c r="H124" s="49">
        <v>45551</v>
      </c>
      <c r="I124" s="29"/>
      <c r="J124" s="29" t="s">
        <v>26</v>
      </c>
      <c r="K124" s="24" t="s">
        <v>43</v>
      </c>
      <c r="L124" s="49">
        <v>45546</v>
      </c>
      <c r="M124" s="49">
        <v>45551</v>
      </c>
      <c r="N124" s="29">
        <f t="shared" si="6"/>
        <v>5</v>
      </c>
      <c r="O124" s="29"/>
      <c r="P124" t="s">
        <v>88</v>
      </c>
      <c r="Q124" t="s">
        <v>88</v>
      </c>
      <c r="R124" t="s">
        <v>88</v>
      </c>
      <c r="S124" t="s">
        <v>88</v>
      </c>
      <c r="T124" t="s">
        <v>88</v>
      </c>
      <c r="U124" t="s">
        <v>20</v>
      </c>
    </row>
    <row r="125" spans="1:21" x14ac:dyDescent="0.45">
      <c r="A125" s="29">
        <v>47258278</v>
      </c>
      <c r="B125" s="29" t="str">
        <f t="shared" si="5"/>
        <v>4.725.827-8</v>
      </c>
      <c r="C125" s="22" t="str">
        <f>IF(IFERROR(VLOOKUP(A125,$A$10:$I124,1,0),0)=0,"",VLOOKUP(A125,$A$10:$I124,3,0))</f>
        <v>UCI</v>
      </c>
      <c r="D125" s="29" t="str">
        <f>IF(IFERROR(VLOOKUP(A125,$A$10:$I124,1,0),0)=0,"",VLOOKUP(A125,$A$10:$I124,4,0))</f>
        <v>ALICIA</v>
      </c>
      <c r="E125" s="29" t="str">
        <f>IF(IFERROR(VLOOKUP(A125,$A$10:$I124,1,0),0)=0,"",VLOOKUP(A125,$A$10:$I124,5,0))</f>
        <v>MARDONES</v>
      </c>
      <c r="F125" s="29" t="str">
        <f>IF(IFERROR(VLOOKUP(A125,$A$10:$I124,1,0),0)=0,"",VLOOKUP(A125,$A$10:$I124,6,0))</f>
        <v>CONTRERAS</v>
      </c>
      <c r="G125" s="49">
        <f>IF(IFERROR(VLOOKUP(A125,$A$10:$I124,1,0),0)=0,"",VLOOKUP(A125,$A$10:$I124,7,0))</f>
        <v>45546</v>
      </c>
      <c r="H125" s="49">
        <v>45551</v>
      </c>
      <c r="I125" s="29"/>
      <c r="J125" s="29" t="s">
        <v>26</v>
      </c>
      <c r="K125" s="24" t="s">
        <v>47</v>
      </c>
      <c r="L125" s="49">
        <v>45546</v>
      </c>
      <c r="M125" s="49">
        <v>45551</v>
      </c>
      <c r="N125" s="29">
        <f t="shared" si="6"/>
        <v>5</v>
      </c>
      <c r="O125" s="29"/>
      <c r="P125" t="s">
        <v>88</v>
      </c>
      <c r="Q125" t="s">
        <v>88</v>
      </c>
      <c r="R125" t="s">
        <v>88</v>
      </c>
      <c r="S125" t="s">
        <v>88</v>
      </c>
      <c r="T125" t="s">
        <v>88</v>
      </c>
      <c r="U125" t="s">
        <v>20</v>
      </c>
    </row>
    <row r="126" spans="1:21" x14ac:dyDescent="0.45">
      <c r="A126" s="29">
        <v>63277746</v>
      </c>
      <c r="B126" s="29" t="str">
        <f t="shared" si="5"/>
        <v>6.327.774-6</v>
      </c>
      <c r="C126" s="22" t="s">
        <v>22</v>
      </c>
      <c r="D126" s="29" t="s">
        <v>279</v>
      </c>
      <c r="E126" s="29" t="s">
        <v>241</v>
      </c>
      <c r="F126" s="29" t="s">
        <v>723</v>
      </c>
      <c r="G126" s="49">
        <v>45550</v>
      </c>
      <c r="H126" s="49">
        <v>45552</v>
      </c>
      <c r="I126" s="29"/>
      <c r="J126" s="29" t="s">
        <v>24</v>
      </c>
      <c r="K126" s="24" t="s">
        <v>43</v>
      </c>
      <c r="L126" s="49">
        <v>45550</v>
      </c>
      <c r="M126" s="49">
        <v>45552</v>
      </c>
      <c r="N126" s="29">
        <f t="shared" si="6"/>
        <v>2</v>
      </c>
      <c r="O126" s="29"/>
      <c r="P126" t="s">
        <v>88</v>
      </c>
      <c r="Q126" t="s">
        <v>88</v>
      </c>
      <c r="R126" t="s">
        <v>88</v>
      </c>
      <c r="S126" t="s">
        <v>88</v>
      </c>
      <c r="T126" t="s">
        <v>88</v>
      </c>
      <c r="U126" t="s">
        <v>20</v>
      </c>
    </row>
    <row r="127" spans="1:21" x14ac:dyDescent="0.45">
      <c r="A127" s="29">
        <v>63277746</v>
      </c>
      <c r="B127" s="29" t="str">
        <f t="shared" si="5"/>
        <v>6.327.774-6</v>
      </c>
      <c r="C127" s="22" t="str">
        <f>IF(IFERROR(VLOOKUP(A127,$A$10:$I126,1,0),0)=0,"",VLOOKUP(A127,$A$10:$I126,3,0))</f>
        <v>UCI</v>
      </c>
      <c r="D127" s="29" t="str">
        <f>IF(IFERROR(VLOOKUP(A127,$A$10:$I126,1,0),0)=0,"",VLOOKUP(A127,$A$10:$I126,4,0))</f>
        <v>SILVIA</v>
      </c>
      <c r="E127" s="29" t="str">
        <f>IF(IFERROR(VLOOKUP(A127,$A$10:$I126,1,0),0)=0,"",VLOOKUP(A127,$A$10:$I126,5,0))</f>
        <v>FUENTES</v>
      </c>
      <c r="F127" s="29" t="str">
        <f>IF(IFERROR(VLOOKUP(A127,$A$10:$I126,1,0),0)=0,"",VLOOKUP(A127,$A$10:$I126,6,0))</f>
        <v>PALMA</v>
      </c>
      <c r="G127" s="49">
        <f>IF(IFERROR(VLOOKUP(A127,$A$10:$I126,1,0),0)=0,"",VLOOKUP(A127,$A$10:$I126,7,0))</f>
        <v>45550</v>
      </c>
      <c r="H127" s="49">
        <v>45552</v>
      </c>
      <c r="I127" s="29"/>
      <c r="J127" s="29" t="s">
        <v>24</v>
      </c>
      <c r="K127" s="24" t="s">
        <v>47</v>
      </c>
      <c r="L127" s="49">
        <v>45550</v>
      </c>
      <c r="M127" s="49">
        <v>45552</v>
      </c>
      <c r="N127" s="29">
        <f t="shared" si="6"/>
        <v>2</v>
      </c>
      <c r="O127" s="29"/>
      <c r="P127" t="s">
        <v>88</v>
      </c>
      <c r="Q127" t="s">
        <v>88</v>
      </c>
      <c r="R127" t="s">
        <v>88</v>
      </c>
      <c r="S127" t="s">
        <v>88</v>
      </c>
      <c r="T127" t="s">
        <v>88</v>
      </c>
      <c r="U127" t="s">
        <v>20</v>
      </c>
    </row>
    <row r="128" spans="1:21" x14ac:dyDescent="0.45">
      <c r="A128" s="29">
        <v>119845009</v>
      </c>
      <c r="B128" s="29" t="str">
        <f t="shared" si="5"/>
        <v>11.984.500-9</v>
      </c>
      <c r="C128" s="22" t="s">
        <v>22</v>
      </c>
      <c r="D128" s="29" t="s">
        <v>793</v>
      </c>
      <c r="E128" s="29" t="s">
        <v>345</v>
      </c>
      <c r="F128" s="29" t="s">
        <v>347</v>
      </c>
      <c r="G128" s="49">
        <v>45550</v>
      </c>
      <c r="H128" s="49">
        <v>45552</v>
      </c>
      <c r="I128" s="29"/>
      <c r="J128" s="29" t="s">
        <v>56</v>
      </c>
      <c r="K128" s="24" t="s">
        <v>43</v>
      </c>
      <c r="L128" s="49">
        <v>45550</v>
      </c>
      <c r="M128" s="49">
        <v>45552</v>
      </c>
      <c r="N128" s="29">
        <f t="shared" ref="N128:N151" si="7">+M128-L128</f>
        <v>2</v>
      </c>
      <c r="O128" s="29"/>
      <c r="P128" t="s">
        <v>88</v>
      </c>
      <c r="Q128" t="s">
        <v>88</v>
      </c>
      <c r="R128" t="s">
        <v>88</v>
      </c>
      <c r="S128" t="s">
        <v>88</v>
      </c>
      <c r="T128" t="s">
        <v>88</v>
      </c>
      <c r="U128" t="s">
        <v>20</v>
      </c>
    </row>
    <row r="129" spans="1:21" x14ac:dyDescent="0.45">
      <c r="A129" s="29">
        <v>119845009</v>
      </c>
      <c r="B129" s="29" t="str">
        <f t="shared" si="5"/>
        <v>11.984.500-9</v>
      </c>
      <c r="C129" s="22" t="str">
        <f>IF(IFERROR(VLOOKUP(A129,$A$10:$I128,1,0),0)=0,"",VLOOKUP(A129,$A$10:$I128,3,0))</f>
        <v>UCI</v>
      </c>
      <c r="D129" s="29" t="str">
        <f>IF(IFERROR(VLOOKUP(A129,$A$10:$I128,1,0),0)=0,"",VLOOKUP(A129,$A$10:$I128,4,0))</f>
        <v>MIGUEL</v>
      </c>
      <c r="E129" s="29" t="str">
        <f>IF(IFERROR(VLOOKUP(A129,$A$10:$I128,1,0),0)=0,"",VLOOKUP(A129,$A$10:$I128,5,0))</f>
        <v>LEAL</v>
      </c>
      <c r="F129" s="29" t="str">
        <f>IF(IFERROR(VLOOKUP(A129,$A$10:$I128,1,0),0)=0,"",VLOOKUP(A129,$A$10:$I128,6,0))</f>
        <v>SAAVEDRA</v>
      </c>
      <c r="G129" s="49">
        <f>IF(IFERROR(VLOOKUP(A129,$A$10:$I128,1,0),0)=0,"",VLOOKUP(A129,$A$10:$I128,7,0))</f>
        <v>45550</v>
      </c>
      <c r="H129" s="49">
        <v>45552</v>
      </c>
      <c r="I129" s="29"/>
      <c r="J129" s="29" t="s">
        <v>56</v>
      </c>
      <c r="K129" s="24" t="s">
        <v>47</v>
      </c>
      <c r="L129" s="49">
        <v>45550</v>
      </c>
      <c r="M129" s="49">
        <v>45552</v>
      </c>
      <c r="N129" s="29">
        <f t="shared" si="7"/>
        <v>2</v>
      </c>
      <c r="O129" s="29"/>
      <c r="P129" t="s">
        <v>88</v>
      </c>
      <c r="Q129" t="s">
        <v>88</v>
      </c>
      <c r="R129" t="s">
        <v>88</v>
      </c>
      <c r="S129" t="s">
        <v>88</v>
      </c>
      <c r="T129" t="s">
        <v>88</v>
      </c>
      <c r="U129" t="s">
        <v>20</v>
      </c>
    </row>
    <row r="130" spans="1:21" x14ac:dyDescent="0.45">
      <c r="A130" s="29">
        <v>95076793</v>
      </c>
      <c r="B130" s="29" t="str">
        <f t="shared" si="5"/>
        <v>9.507.679-3</v>
      </c>
      <c r="C130" s="22" t="s">
        <v>22</v>
      </c>
      <c r="D130" s="29" t="s">
        <v>1419</v>
      </c>
      <c r="E130" s="29" t="s">
        <v>285</v>
      </c>
      <c r="F130" s="29" t="s">
        <v>285</v>
      </c>
      <c r="G130" s="49">
        <v>45550</v>
      </c>
      <c r="H130" s="49">
        <v>45552</v>
      </c>
      <c r="I130" s="29"/>
      <c r="J130" s="29"/>
      <c r="K130" s="24" t="s">
        <v>43</v>
      </c>
      <c r="L130" s="49">
        <v>45550</v>
      </c>
      <c r="M130" s="49">
        <v>45552</v>
      </c>
      <c r="N130" s="29">
        <f t="shared" si="7"/>
        <v>2</v>
      </c>
      <c r="O130" s="29"/>
      <c r="P130" t="s">
        <v>88</v>
      </c>
      <c r="Q130" t="s">
        <v>88</v>
      </c>
      <c r="R130" t="s">
        <v>88</v>
      </c>
      <c r="S130" t="s">
        <v>88</v>
      </c>
      <c r="T130" t="s">
        <v>88</v>
      </c>
      <c r="U130" t="s">
        <v>20</v>
      </c>
    </row>
    <row r="131" spans="1:21" x14ac:dyDescent="0.45">
      <c r="A131" s="29">
        <v>95076793</v>
      </c>
      <c r="B131" s="29" t="str">
        <f t="shared" si="5"/>
        <v>9.507.679-3</v>
      </c>
      <c r="C131" s="22" t="str">
        <f>IF(IFERROR(VLOOKUP(A131,$A$10:$I130,1,0),0)=0,"",VLOOKUP(A131,$A$10:$I130,3,0))</f>
        <v>UCI</v>
      </c>
      <c r="D131" s="29" t="str">
        <f>IF(IFERROR(VLOOKUP(A131,$A$10:$I130,1,0),0)=0,"",VLOOKUP(A131,$A$10:$I130,4,0))</f>
        <v>LEONEL</v>
      </c>
      <c r="E131" s="29" t="str">
        <f>IF(IFERROR(VLOOKUP(A131,$A$10:$I130,1,0),0)=0,"",VLOOKUP(A131,$A$10:$I130,5,0))</f>
        <v>JARA</v>
      </c>
      <c r="F131" s="29" t="str">
        <f>IF(IFERROR(VLOOKUP(A131,$A$10:$I130,1,0),0)=0,"",VLOOKUP(A131,$A$10:$I130,6,0))</f>
        <v>JARA</v>
      </c>
      <c r="G131" s="49">
        <f>IF(IFERROR(VLOOKUP(A131,$A$10:$I130,1,0),0)=0,"",VLOOKUP(A131,$A$10:$I130,7,0))</f>
        <v>45550</v>
      </c>
      <c r="H131" s="49">
        <v>45552</v>
      </c>
      <c r="I131" s="29"/>
      <c r="J131" s="29"/>
      <c r="K131" s="24" t="s">
        <v>47</v>
      </c>
      <c r="L131" s="49">
        <v>45550</v>
      </c>
      <c r="M131" s="49">
        <v>45552</v>
      </c>
      <c r="N131" s="29">
        <f t="shared" si="7"/>
        <v>2</v>
      </c>
      <c r="O131" s="29"/>
      <c r="P131" t="s">
        <v>88</v>
      </c>
      <c r="Q131" t="s">
        <v>88</v>
      </c>
      <c r="R131" t="s">
        <v>88</v>
      </c>
      <c r="S131" t="s">
        <v>88</v>
      </c>
      <c r="T131" t="s">
        <v>88</v>
      </c>
      <c r="U131" t="s">
        <v>20</v>
      </c>
    </row>
    <row r="132" spans="1:21" x14ac:dyDescent="0.45">
      <c r="A132" s="29">
        <v>131064047</v>
      </c>
      <c r="B132" s="29" t="str">
        <f t="shared" si="5"/>
        <v>13.106.404-7</v>
      </c>
      <c r="C132" s="22" t="s">
        <v>22</v>
      </c>
      <c r="D132" s="29" t="s">
        <v>1420</v>
      </c>
      <c r="E132" s="29" t="s">
        <v>1421</v>
      </c>
      <c r="F132" s="29" t="s">
        <v>1422</v>
      </c>
      <c r="G132" s="49">
        <v>45548</v>
      </c>
      <c r="H132" s="49">
        <v>45551</v>
      </c>
      <c r="I132" s="29"/>
      <c r="J132" s="29" t="s">
        <v>22</v>
      </c>
      <c r="K132" s="24" t="s">
        <v>43</v>
      </c>
      <c r="L132" s="49">
        <v>45548</v>
      </c>
      <c r="M132" s="49">
        <v>45551</v>
      </c>
      <c r="N132" s="29">
        <f t="shared" si="7"/>
        <v>3</v>
      </c>
      <c r="O132" s="29"/>
      <c r="P132" t="s">
        <v>88</v>
      </c>
      <c r="Q132" t="s">
        <v>88</v>
      </c>
      <c r="R132" t="s">
        <v>88</v>
      </c>
      <c r="S132" t="s">
        <v>88</v>
      </c>
      <c r="T132" t="s">
        <v>88</v>
      </c>
      <c r="U132" t="s">
        <v>20</v>
      </c>
    </row>
    <row r="133" spans="1:21" x14ac:dyDescent="0.45">
      <c r="A133" s="29">
        <v>131064047</v>
      </c>
      <c r="B133" s="29" t="str">
        <f t="shared" si="5"/>
        <v>13.106.404-7</v>
      </c>
      <c r="C133" s="22" t="str">
        <f>IF(IFERROR(VLOOKUP(A133,$A$10:$I132,1,0),0)=0,"",VLOOKUP(A133,$A$10:$I132,3,0))</f>
        <v>UCI</v>
      </c>
      <c r="D133" s="29" t="str">
        <f>IF(IFERROR(VLOOKUP(A133,$A$10:$I132,1,0),0)=0,"",VLOOKUP(A133,$A$10:$I132,4,0))</f>
        <v>GABRIEL</v>
      </c>
      <c r="E133" s="29" t="str">
        <f>IF(IFERROR(VLOOKUP(A133,$A$10:$I132,1,0),0)=0,"",VLOOKUP(A133,$A$10:$I132,5,0))</f>
        <v>ANTILEF</v>
      </c>
      <c r="F133" s="29" t="str">
        <f>IF(IFERROR(VLOOKUP(A133,$A$10:$I132,1,0),0)=0,"",VLOOKUP(A133,$A$10:$I132,6,0))</f>
        <v>PAREDES</v>
      </c>
      <c r="G133" s="49">
        <f>IF(IFERROR(VLOOKUP(A133,$A$10:$I132,1,0),0)=0,"",VLOOKUP(A133,$A$10:$I132,7,0))</f>
        <v>45548</v>
      </c>
      <c r="H133" s="49">
        <v>45551</v>
      </c>
      <c r="I133" s="29"/>
      <c r="J133" s="29" t="s">
        <v>22</v>
      </c>
      <c r="K133" s="24" t="s">
        <v>47</v>
      </c>
      <c r="L133" s="49">
        <v>45548</v>
      </c>
      <c r="M133" s="49">
        <v>45551</v>
      </c>
      <c r="N133" s="29">
        <f t="shared" si="7"/>
        <v>3</v>
      </c>
      <c r="O133" s="29"/>
      <c r="P133" t="s">
        <v>88</v>
      </c>
      <c r="Q133" t="s">
        <v>88</v>
      </c>
      <c r="R133" t="s">
        <v>88</v>
      </c>
      <c r="S133" t="s">
        <v>88</v>
      </c>
      <c r="T133" t="s">
        <v>88</v>
      </c>
      <c r="U133" t="s">
        <v>20</v>
      </c>
    </row>
    <row r="134" spans="1:21" x14ac:dyDescent="0.45">
      <c r="A134" s="29" t="s">
        <v>1423</v>
      </c>
      <c r="B134" s="29" t="str">
        <f t="shared" si="5"/>
        <v>9.229.854-k</v>
      </c>
      <c r="C134" s="22" t="s">
        <v>22</v>
      </c>
      <c r="D134" s="29" t="s">
        <v>370</v>
      </c>
      <c r="E134" s="29" t="s">
        <v>1424</v>
      </c>
      <c r="F134" s="29" t="s">
        <v>1425</v>
      </c>
      <c r="G134" s="49">
        <v>45552</v>
      </c>
      <c r="H134" s="49">
        <v>45562</v>
      </c>
      <c r="I134" s="29"/>
      <c r="J134" s="29" t="s">
        <v>19</v>
      </c>
      <c r="K134" s="24" t="s">
        <v>43</v>
      </c>
      <c r="L134" s="49">
        <v>45552</v>
      </c>
      <c r="M134" s="49">
        <v>45562</v>
      </c>
      <c r="N134" s="29">
        <f t="shared" si="7"/>
        <v>10</v>
      </c>
      <c r="O134" s="29"/>
      <c r="P134" t="s">
        <v>88</v>
      </c>
      <c r="Q134" t="s">
        <v>88</v>
      </c>
      <c r="R134" t="s">
        <v>88</v>
      </c>
      <c r="S134" t="s">
        <v>88</v>
      </c>
      <c r="T134" t="s">
        <v>88</v>
      </c>
      <c r="U134" t="s">
        <v>20</v>
      </c>
    </row>
    <row r="135" spans="1:21" x14ac:dyDescent="0.45">
      <c r="A135" s="29" t="s">
        <v>1423</v>
      </c>
      <c r="B135" s="29" t="str">
        <f t="shared" si="5"/>
        <v>9.229.854-k</v>
      </c>
      <c r="C135" s="22" t="str">
        <f>IF(IFERROR(VLOOKUP(A135,$A$10:$I134,1,0),0)=0,"",VLOOKUP(A135,$A$10:$I134,3,0))</f>
        <v>UCI</v>
      </c>
      <c r="D135" s="29" t="str">
        <f>IF(IFERROR(VLOOKUP(A135,$A$10:$I134,1,0),0)=0,"",VLOOKUP(A135,$A$10:$I134,4,0))</f>
        <v>GERMAN</v>
      </c>
      <c r="E135" s="29" t="str">
        <f>IF(IFERROR(VLOOKUP(A135,$A$10:$I134,1,0),0)=0,"",VLOOKUP(A135,$A$10:$I134,5,0))</f>
        <v xml:space="preserve">CIFUENTES </v>
      </c>
      <c r="F135" s="29" t="str">
        <f>IF(IFERROR(VLOOKUP(A135,$A$10:$I134,1,0),0)=0,"",VLOOKUP(A135,$A$10:$I134,6,0))</f>
        <v>BURDILES</v>
      </c>
      <c r="G135" s="49">
        <f>IF(IFERROR(VLOOKUP(A135,$A$10:$I134,1,0),0)=0,"",VLOOKUP(A135,$A$10:$I134,7,0))</f>
        <v>45552</v>
      </c>
      <c r="H135" s="49">
        <v>45562</v>
      </c>
      <c r="I135" s="29"/>
      <c r="J135" s="29" t="s">
        <v>19</v>
      </c>
      <c r="K135" s="24" t="s">
        <v>47</v>
      </c>
      <c r="L135" s="49">
        <v>45552</v>
      </c>
      <c r="M135" s="49">
        <v>45562</v>
      </c>
      <c r="N135" s="29">
        <f t="shared" si="7"/>
        <v>10</v>
      </c>
      <c r="O135" s="29"/>
      <c r="P135" t="s">
        <v>88</v>
      </c>
      <c r="Q135" t="s">
        <v>88</v>
      </c>
      <c r="R135" t="s">
        <v>88</v>
      </c>
      <c r="S135" t="s">
        <v>88</v>
      </c>
      <c r="T135" t="s">
        <v>88</v>
      </c>
      <c r="U135" t="s">
        <v>20</v>
      </c>
    </row>
    <row r="136" spans="1:21" x14ac:dyDescent="0.45">
      <c r="A136" s="29" t="s">
        <v>1423</v>
      </c>
      <c r="B136" s="29" t="str">
        <f t="shared" si="5"/>
        <v>9.229.854-k</v>
      </c>
      <c r="C136" s="22" t="str">
        <f>IF(IFERROR(VLOOKUP(A136,$A$10:$I135,1,0),0)=0,"",VLOOKUP(A136,$A$10:$I135,3,0))</f>
        <v>UCI</v>
      </c>
      <c r="D136" s="29" t="str">
        <f>IF(IFERROR(VLOOKUP(A136,$A$10:$I135,1,0),0)=0,"",VLOOKUP(A136,$A$10:$I135,4,0))</f>
        <v>GERMAN</v>
      </c>
      <c r="E136" s="29" t="str">
        <f>IF(IFERROR(VLOOKUP(A136,$A$10:$I135,1,0),0)=0,"",VLOOKUP(A136,$A$10:$I135,5,0))</f>
        <v xml:space="preserve">CIFUENTES </v>
      </c>
      <c r="F136" s="29" t="str">
        <f>IF(IFERROR(VLOOKUP(A136,$A$10:$I135,1,0),0)=0,"",VLOOKUP(A136,$A$10:$I135,6,0))</f>
        <v>BURDILES</v>
      </c>
      <c r="G136" s="49">
        <f>IF(IFERROR(VLOOKUP(A136,$A$10:$I135,1,0),0)=0,"",VLOOKUP(A136,$A$10:$I135,7,0))</f>
        <v>45552</v>
      </c>
      <c r="H136" s="49">
        <v>45562</v>
      </c>
      <c r="I136" s="29"/>
      <c r="J136" s="29" t="s">
        <v>19</v>
      </c>
      <c r="K136" s="24" t="s">
        <v>55</v>
      </c>
      <c r="L136" s="49">
        <v>45552</v>
      </c>
      <c r="M136" s="49">
        <v>45562</v>
      </c>
      <c r="N136" s="29">
        <f t="shared" si="7"/>
        <v>10</v>
      </c>
      <c r="O136" s="29"/>
      <c r="P136" t="s">
        <v>88</v>
      </c>
      <c r="Q136" t="s">
        <v>88</v>
      </c>
      <c r="R136" t="s">
        <v>88</v>
      </c>
      <c r="S136" t="s">
        <v>88</v>
      </c>
      <c r="T136" t="s">
        <v>88</v>
      </c>
      <c r="U136" t="s">
        <v>20</v>
      </c>
    </row>
    <row r="137" spans="1:21" x14ac:dyDescent="0.45">
      <c r="A137" s="29">
        <v>76055661</v>
      </c>
      <c r="B137" s="29" t="str">
        <f t="shared" si="5"/>
        <v>7.605.566-1</v>
      </c>
      <c r="C137" s="22" t="s">
        <v>22</v>
      </c>
      <c r="D137" s="29" t="s">
        <v>629</v>
      </c>
      <c r="E137" s="29" t="s">
        <v>1147</v>
      </c>
      <c r="F137" s="29" t="s">
        <v>574</v>
      </c>
      <c r="G137" s="49">
        <v>45551</v>
      </c>
      <c r="H137" s="29"/>
      <c r="I137" s="29"/>
      <c r="J137" s="29"/>
      <c r="K137" s="24" t="s">
        <v>43</v>
      </c>
      <c r="L137" s="49">
        <v>45551</v>
      </c>
      <c r="M137" s="49">
        <v>45565</v>
      </c>
      <c r="N137" s="29">
        <f t="shared" si="7"/>
        <v>14</v>
      </c>
      <c r="O137" s="29"/>
      <c r="P137" t="s">
        <v>88</v>
      </c>
      <c r="Q137" t="s">
        <v>88</v>
      </c>
      <c r="R137" t="s">
        <v>88</v>
      </c>
      <c r="S137" t="s">
        <v>88</v>
      </c>
      <c r="T137" t="s">
        <v>88</v>
      </c>
      <c r="U137" t="s">
        <v>20</v>
      </c>
    </row>
    <row r="138" spans="1:21" x14ac:dyDescent="0.45">
      <c r="A138" s="29">
        <v>76055661</v>
      </c>
      <c r="B138" s="29" t="str">
        <f t="shared" si="5"/>
        <v>7.605.566-1</v>
      </c>
      <c r="C138" s="22" t="str">
        <f>IF(IFERROR(VLOOKUP(A138,$A$10:$I137,1,0),0)=0,"",VLOOKUP(A138,$A$10:$I137,3,0))</f>
        <v>UCI</v>
      </c>
      <c r="D138" s="29" t="str">
        <f>IF(IFERROR(VLOOKUP(A138,$A$10:$I137,1,0),0)=0,"",VLOOKUP(A138,$A$10:$I137,4,0))</f>
        <v>MARIO</v>
      </c>
      <c r="E138" s="29" t="str">
        <f>IF(IFERROR(VLOOKUP(A138,$A$10:$I137,1,0),0)=0,"",VLOOKUP(A138,$A$10:$I137,5,0))</f>
        <v>MONSALVEZ</v>
      </c>
      <c r="F138" s="29" t="str">
        <f>IF(IFERROR(VLOOKUP(A138,$A$10:$I137,1,0),0)=0,"",VLOOKUP(A138,$A$10:$I137,6,0))</f>
        <v>NOVOA</v>
      </c>
      <c r="G138" s="49">
        <f>IF(IFERROR(VLOOKUP(A138,$A$10:$I137,1,0),0)=0,"",VLOOKUP(A138,$A$10:$I137,7,0))</f>
        <v>45551</v>
      </c>
      <c r="H138" s="29"/>
      <c r="I138" s="29"/>
      <c r="J138" s="29"/>
      <c r="K138" s="24" t="s">
        <v>47</v>
      </c>
      <c r="L138" s="49">
        <v>45551</v>
      </c>
      <c r="M138" s="49">
        <v>45565</v>
      </c>
      <c r="N138" s="29">
        <f t="shared" si="7"/>
        <v>14</v>
      </c>
      <c r="O138" s="29"/>
      <c r="P138" t="s">
        <v>88</v>
      </c>
      <c r="Q138" t="s">
        <v>88</v>
      </c>
      <c r="R138" t="s">
        <v>88</v>
      </c>
      <c r="S138" t="s">
        <v>88</v>
      </c>
      <c r="T138" t="s">
        <v>88</v>
      </c>
      <c r="U138" t="s">
        <v>20</v>
      </c>
    </row>
    <row r="139" spans="1:21" x14ac:dyDescent="0.45">
      <c r="A139" s="29">
        <v>76055661</v>
      </c>
      <c r="B139" s="29" t="str">
        <f t="shared" si="5"/>
        <v>7.605.566-1</v>
      </c>
      <c r="C139" s="22" t="str">
        <f>IF(IFERROR(VLOOKUP(A139,$A$10:$I138,1,0),0)=0,"",VLOOKUP(A139,$A$10:$I138,3,0))</f>
        <v>UCI</v>
      </c>
      <c r="D139" s="29" t="str">
        <f>IF(IFERROR(VLOOKUP(A139,$A$10:$I138,1,0),0)=0,"",VLOOKUP(A139,$A$10:$I138,4,0))</f>
        <v>MARIO</v>
      </c>
      <c r="E139" s="29" t="str">
        <f>IF(IFERROR(VLOOKUP(A139,$A$10:$I138,1,0),0)=0,"",VLOOKUP(A139,$A$10:$I138,5,0))</f>
        <v>MONSALVEZ</v>
      </c>
      <c r="F139" s="29" t="str">
        <f>IF(IFERROR(VLOOKUP(A139,$A$10:$I138,1,0),0)=0,"",VLOOKUP(A139,$A$10:$I138,6,0))</f>
        <v>NOVOA</v>
      </c>
      <c r="G139" s="49">
        <f>IF(IFERROR(VLOOKUP(A139,$A$10:$I138,1,0),0)=0,"",VLOOKUP(A139,$A$10:$I138,7,0))</f>
        <v>45551</v>
      </c>
      <c r="H139" s="29"/>
      <c r="I139" s="29"/>
      <c r="J139" s="29"/>
      <c r="K139" s="24" t="s">
        <v>55</v>
      </c>
      <c r="L139" s="49">
        <v>45551</v>
      </c>
      <c r="M139" s="49">
        <v>45562</v>
      </c>
      <c r="N139" s="29">
        <f t="shared" si="7"/>
        <v>11</v>
      </c>
      <c r="O139" s="29"/>
      <c r="P139" t="s">
        <v>88</v>
      </c>
      <c r="Q139" t="s">
        <v>88</v>
      </c>
      <c r="R139" t="s">
        <v>88</v>
      </c>
      <c r="S139" t="s">
        <v>88</v>
      </c>
      <c r="T139" t="s">
        <v>88</v>
      </c>
      <c r="U139" t="s">
        <v>20</v>
      </c>
    </row>
    <row r="140" spans="1:21" x14ac:dyDescent="0.45">
      <c r="A140" s="29">
        <v>52920043</v>
      </c>
      <c r="B140" s="29" t="str">
        <f t="shared" si="5"/>
        <v>5.292.004-3</v>
      </c>
      <c r="C140" s="22" t="str">
        <f>IF(IFERROR(VLOOKUP(A140,$A$10:$I139,1,0),0)=0,"",VLOOKUP(A140,$A$10:$I139,3,0))</f>
        <v>UCI</v>
      </c>
      <c r="D140" s="29" t="str">
        <f>IF(IFERROR(VLOOKUP(A140,$A$10:$I139,1,0),0)=0,"",VLOOKUP(A140,$A$10:$I139,4,0))</f>
        <v>PATRICIA</v>
      </c>
      <c r="E140" s="29" t="str">
        <f>IF(IFERROR(VLOOKUP(A140,$A$10:$I139,1,0),0)=0,"",VLOOKUP(A140,$A$10:$I139,5,0))</f>
        <v>VALENZUELA</v>
      </c>
      <c r="F140" s="29" t="str">
        <f>IF(IFERROR(VLOOKUP(A140,$A$10:$I139,1,0),0)=0,"",VLOOKUP(A140,$A$10:$I139,6,0))</f>
        <v>TAPIA</v>
      </c>
      <c r="G140" s="49">
        <f>IF(IFERROR(VLOOKUP(A140,$A$10:$I139,1,0),0)=0,"",VLOOKUP(A140,$A$10:$I139,7,0))</f>
        <v>45537</v>
      </c>
      <c r="H140" s="49">
        <v>45561</v>
      </c>
      <c r="I140" s="29"/>
      <c r="J140" s="29" t="s">
        <v>19</v>
      </c>
      <c r="K140" s="24" t="s">
        <v>18</v>
      </c>
      <c r="L140" s="49">
        <v>45553</v>
      </c>
      <c r="M140" s="49">
        <v>45561</v>
      </c>
      <c r="N140" s="29">
        <f t="shared" si="7"/>
        <v>8</v>
      </c>
      <c r="O140" s="29"/>
      <c r="P140" t="s">
        <v>88</v>
      </c>
      <c r="Q140" t="s">
        <v>88</v>
      </c>
      <c r="R140" t="s">
        <v>88</v>
      </c>
      <c r="S140" t="s">
        <v>88</v>
      </c>
      <c r="T140" t="s">
        <v>88</v>
      </c>
      <c r="U140" t="s">
        <v>20</v>
      </c>
    </row>
    <row r="141" spans="1:21" x14ac:dyDescent="0.45">
      <c r="A141" s="29">
        <v>88160185</v>
      </c>
      <c r="B141" s="29" t="str">
        <f t="shared" si="5"/>
        <v>8.816.018-5</v>
      </c>
      <c r="C141" s="22" t="s">
        <v>22</v>
      </c>
      <c r="D141" s="29" t="s">
        <v>462</v>
      </c>
      <c r="E141" s="29" t="s">
        <v>461</v>
      </c>
      <c r="F141" s="29" t="s">
        <v>339</v>
      </c>
      <c r="G141" s="49">
        <v>45557</v>
      </c>
      <c r="H141" s="49">
        <v>45563</v>
      </c>
      <c r="I141" s="29"/>
      <c r="J141" s="29" t="s">
        <v>19</v>
      </c>
      <c r="K141" s="24" t="s">
        <v>43</v>
      </c>
      <c r="L141" s="49">
        <v>45557</v>
      </c>
      <c r="M141" s="49">
        <v>45563</v>
      </c>
      <c r="N141" s="29">
        <f t="shared" si="7"/>
        <v>6</v>
      </c>
      <c r="O141" s="29"/>
      <c r="P141" t="s">
        <v>88</v>
      </c>
      <c r="Q141" t="s">
        <v>88</v>
      </c>
      <c r="R141" t="s">
        <v>88</v>
      </c>
      <c r="S141" t="s">
        <v>88</v>
      </c>
      <c r="T141" t="s">
        <v>88</v>
      </c>
      <c r="U141" t="s">
        <v>20</v>
      </c>
    </row>
    <row r="142" spans="1:21" x14ac:dyDescent="0.45">
      <c r="A142" s="29">
        <v>88160185</v>
      </c>
      <c r="B142" s="29" t="str">
        <f t="shared" si="5"/>
        <v>8.816.018-5</v>
      </c>
      <c r="C142" s="22" t="str">
        <f>IF(IFERROR(VLOOKUP(A142,$A$10:$I141,1,0),0)=0,"",VLOOKUP(A142,$A$10:$I141,3,0))</f>
        <v>UCI</v>
      </c>
      <c r="D142" s="29" t="str">
        <f>IF(IFERROR(VLOOKUP(A142,$A$10:$I141,1,0),0)=0,"",VLOOKUP(A142,$A$10:$I141,4,0))</f>
        <v>FABIOLA</v>
      </c>
      <c r="E142" s="29" t="str">
        <f>IF(IFERROR(VLOOKUP(A142,$A$10:$I141,1,0),0)=0,"",VLOOKUP(A142,$A$10:$I141,5,0))</f>
        <v>MEDINA</v>
      </c>
      <c r="F142" s="29" t="str">
        <f>IF(IFERROR(VLOOKUP(A142,$A$10:$I141,1,0),0)=0,"",VLOOKUP(A142,$A$10:$I141,6,0))</f>
        <v>ESPINOZA</v>
      </c>
      <c r="G142" s="49">
        <f>IF(IFERROR(VLOOKUP(A142,$A$10:$I141,1,0),0)=0,"",VLOOKUP(A142,$A$10:$I141,7,0))</f>
        <v>45557</v>
      </c>
      <c r="H142" s="49">
        <v>45563</v>
      </c>
      <c r="I142" s="29"/>
      <c r="J142" s="29" t="s">
        <v>19</v>
      </c>
      <c r="K142" s="24" t="s">
        <v>47</v>
      </c>
      <c r="L142" s="49">
        <v>45557</v>
      </c>
      <c r="M142" s="49">
        <v>45563</v>
      </c>
      <c r="N142" s="29">
        <f t="shared" si="7"/>
        <v>6</v>
      </c>
      <c r="O142" s="29"/>
      <c r="P142" t="s">
        <v>88</v>
      </c>
      <c r="Q142" t="s">
        <v>88</v>
      </c>
      <c r="R142" t="s">
        <v>88</v>
      </c>
      <c r="S142" t="s">
        <v>88</v>
      </c>
      <c r="T142" t="s">
        <v>88</v>
      </c>
      <c r="U142" t="s">
        <v>20</v>
      </c>
    </row>
    <row r="143" spans="1:21" x14ac:dyDescent="0.45">
      <c r="A143" s="29">
        <v>88160185</v>
      </c>
      <c r="B143" s="29" t="str">
        <f t="shared" si="5"/>
        <v>8.816.018-5</v>
      </c>
      <c r="C143" s="22" t="str">
        <f>IF(IFERROR(VLOOKUP(A143,$A$10:$I142,1,0),0)=0,"",VLOOKUP(A143,$A$10:$I142,3,0))</f>
        <v>UCI</v>
      </c>
      <c r="D143" s="29" t="str">
        <f>IF(IFERROR(VLOOKUP(A143,$A$10:$I142,1,0),0)=0,"",VLOOKUP(A143,$A$10:$I142,4,0))</f>
        <v>FABIOLA</v>
      </c>
      <c r="E143" s="29" t="str">
        <f>IF(IFERROR(VLOOKUP(A143,$A$10:$I142,1,0),0)=0,"",VLOOKUP(A143,$A$10:$I142,5,0))</f>
        <v>MEDINA</v>
      </c>
      <c r="F143" s="29" t="str">
        <f>IF(IFERROR(VLOOKUP(A143,$A$10:$I142,1,0),0)=0,"",VLOOKUP(A143,$A$10:$I142,6,0))</f>
        <v>ESPINOZA</v>
      </c>
      <c r="G143" s="49">
        <f>IF(IFERROR(VLOOKUP(A143,$A$10:$I142,1,0),0)=0,"",VLOOKUP(A143,$A$10:$I142,7,0))</f>
        <v>45557</v>
      </c>
      <c r="H143" s="49">
        <v>45563</v>
      </c>
      <c r="I143" s="29"/>
      <c r="J143" s="29" t="s">
        <v>19</v>
      </c>
      <c r="K143" s="24" t="s">
        <v>55</v>
      </c>
      <c r="L143" s="49">
        <v>45557</v>
      </c>
      <c r="M143" s="49">
        <v>45563</v>
      </c>
      <c r="N143" s="29">
        <f t="shared" si="7"/>
        <v>6</v>
      </c>
      <c r="O143" s="29"/>
      <c r="P143" t="s">
        <v>88</v>
      </c>
      <c r="Q143" t="s">
        <v>88</v>
      </c>
      <c r="R143" t="s">
        <v>88</v>
      </c>
      <c r="S143" t="s">
        <v>88</v>
      </c>
      <c r="T143" t="s">
        <v>88</v>
      </c>
      <c r="U143" t="s">
        <v>20</v>
      </c>
    </row>
    <row r="144" spans="1:21" x14ac:dyDescent="0.45">
      <c r="A144" s="29">
        <v>92894819</v>
      </c>
      <c r="B144" s="29" t="str">
        <f t="shared" si="5"/>
        <v>9.289.481-9</v>
      </c>
      <c r="C144" s="22" t="s">
        <v>22</v>
      </c>
      <c r="D144" t="s">
        <v>406</v>
      </c>
      <c r="E144" t="s">
        <v>387</v>
      </c>
      <c r="F144" t="s">
        <v>1422</v>
      </c>
      <c r="G144" s="49">
        <v>45558</v>
      </c>
      <c r="H144" s="49">
        <v>45571</v>
      </c>
      <c r="I144" s="29"/>
      <c r="J144" s="29" t="s">
        <v>19</v>
      </c>
      <c r="K144" s="24" t="s">
        <v>43</v>
      </c>
      <c r="L144" s="49">
        <v>45558</v>
      </c>
      <c r="M144" s="49">
        <v>45565</v>
      </c>
      <c r="N144" s="29">
        <f t="shared" si="7"/>
        <v>7</v>
      </c>
      <c r="O144" s="29"/>
      <c r="P144" t="s">
        <v>88</v>
      </c>
      <c r="Q144" t="s">
        <v>88</v>
      </c>
      <c r="R144" t="s">
        <v>88</v>
      </c>
      <c r="S144" t="s">
        <v>88</v>
      </c>
      <c r="T144" t="s">
        <v>88</v>
      </c>
      <c r="U144" t="s">
        <v>20</v>
      </c>
    </row>
    <row r="145" spans="1:21" x14ac:dyDescent="0.45">
      <c r="A145" s="29">
        <v>92894819</v>
      </c>
      <c r="B145" s="29" t="str">
        <f t="shared" si="5"/>
        <v>9.289.481-9</v>
      </c>
      <c r="C145" s="22" t="str">
        <f>IF(IFERROR(VLOOKUP(A145,$A$10:$I144,1,0),0)=0,"",VLOOKUP(A145,$A$10:$I144,3,0))</f>
        <v>UCI</v>
      </c>
      <c r="D145" s="29" t="str">
        <f>IF(IFERROR(VLOOKUP(A145,$A$10:$I144,1,0),0)=0,"",VLOOKUP(A145,$A$10:$I144,4,0))</f>
        <v>ERNESTO</v>
      </c>
      <c r="E145" s="29" t="str">
        <f>IF(IFERROR(VLOOKUP(A145,$A$10:$I144,1,0),0)=0,"",VLOOKUP(A145,$A$10:$I144,5,0))</f>
        <v>SANHUEZA</v>
      </c>
      <c r="F145" s="29" t="str">
        <f>IF(IFERROR(VLOOKUP(A145,$A$10:$I144,1,0),0)=0,"",VLOOKUP(A145,$A$10:$I144,6,0))</f>
        <v>PAREDES</v>
      </c>
      <c r="G145" s="49">
        <f>IF(IFERROR(VLOOKUP(A145,$A$10:$I144,1,0),0)=0,"",VLOOKUP(A145,$A$10:$I144,7,0))</f>
        <v>45558</v>
      </c>
      <c r="H145" s="49">
        <v>45571</v>
      </c>
      <c r="I145" s="29"/>
      <c r="J145" s="29" t="s">
        <v>19</v>
      </c>
      <c r="K145" s="24" t="s">
        <v>47</v>
      </c>
      <c r="L145" s="49">
        <v>45558</v>
      </c>
      <c r="M145" s="49">
        <v>45565</v>
      </c>
      <c r="N145" s="29">
        <f t="shared" si="7"/>
        <v>7</v>
      </c>
      <c r="O145" s="29"/>
      <c r="P145" t="s">
        <v>88</v>
      </c>
      <c r="Q145" t="s">
        <v>88</v>
      </c>
      <c r="R145" t="s">
        <v>88</v>
      </c>
      <c r="S145" t="s">
        <v>88</v>
      </c>
      <c r="T145" t="s">
        <v>88</v>
      </c>
      <c r="U145" t="s">
        <v>20</v>
      </c>
    </row>
    <row r="146" spans="1:21" x14ac:dyDescent="0.45">
      <c r="A146" s="29">
        <v>92894819</v>
      </c>
      <c r="B146" s="29" t="str">
        <f t="shared" si="5"/>
        <v>9.289.481-9</v>
      </c>
      <c r="C146" s="22" t="str">
        <f>IF(IFERROR(VLOOKUP(A146,$A$10:$I145,1,0),0)=0,"",VLOOKUP(A146,$A$10:$I145,3,0))</f>
        <v>UCI</v>
      </c>
      <c r="D146" s="29" t="str">
        <f>IF(IFERROR(VLOOKUP(A146,$A$10:$I145,1,0),0)=0,"",VLOOKUP(A146,$A$10:$I145,4,0))</f>
        <v>ERNESTO</v>
      </c>
      <c r="E146" s="29" t="str">
        <f>IF(IFERROR(VLOOKUP(A146,$A$10:$I145,1,0),0)=0,"",VLOOKUP(A146,$A$10:$I145,5,0))</f>
        <v>SANHUEZA</v>
      </c>
      <c r="F146" s="29" t="str">
        <f>IF(IFERROR(VLOOKUP(A146,$A$10:$I145,1,0),0)=0,"",VLOOKUP(A146,$A$10:$I145,6,0))</f>
        <v>PAREDES</v>
      </c>
      <c r="G146" s="49">
        <f>IF(IFERROR(VLOOKUP(A146,$A$10:$I145,1,0),0)=0,"",VLOOKUP(A146,$A$10:$I145,7,0))</f>
        <v>45558</v>
      </c>
      <c r="H146" s="49">
        <v>45571</v>
      </c>
      <c r="I146" s="29"/>
      <c r="J146" s="29" t="s">
        <v>19</v>
      </c>
      <c r="K146" s="24" t="s">
        <v>55</v>
      </c>
      <c r="L146" s="49">
        <v>45558</v>
      </c>
      <c r="M146" s="49">
        <v>45565</v>
      </c>
      <c r="N146" s="29">
        <f t="shared" si="7"/>
        <v>7</v>
      </c>
      <c r="O146" s="29"/>
      <c r="P146" t="s">
        <v>88</v>
      </c>
      <c r="Q146" t="s">
        <v>88</v>
      </c>
      <c r="R146" t="s">
        <v>88</v>
      </c>
      <c r="S146" t="s">
        <v>88</v>
      </c>
      <c r="T146" t="s">
        <v>88</v>
      </c>
      <c r="U146" t="s">
        <v>20</v>
      </c>
    </row>
    <row r="147" spans="1:21" x14ac:dyDescent="0.45">
      <c r="A147" s="29">
        <v>156161985</v>
      </c>
      <c r="B147" s="29" t="str">
        <f t="shared" si="5"/>
        <v>15.616.198-5</v>
      </c>
      <c r="C147" s="22" t="s">
        <v>22</v>
      </c>
      <c r="D147" s="29" t="s">
        <v>672</v>
      </c>
      <c r="E147" s="29" t="s">
        <v>520</v>
      </c>
      <c r="F147" s="29" t="s">
        <v>325</v>
      </c>
      <c r="G147" s="49">
        <v>45557</v>
      </c>
      <c r="H147" s="49">
        <v>45559</v>
      </c>
      <c r="I147" s="29"/>
      <c r="J147" s="29"/>
      <c r="K147" s="24" t="s">
        <v>43</v>
      </c>
      <c r="L147" s="49">
        <v>45557</v>
      </c>
      <c r="M147" s="49">
        <v>45559</v>
      </c>
      <c r="N147" s="29">
        <f t="shared" si="7"/>
        <v>2</v>
      </c>
      <c r="O147" s="29"/>
      <c r="P147" t="s">
        <v>88</v>
      </c>
      <c r="Q147" t="s">
        <v>88</v>
      </c>
      <c r="R147" t="s">
        <v>88</v>
      </c>
      <c r="S147" t="s">
        <v>88</v>
      </c>
      <c r="T147" t="s">
        <v>88</v>
      </c>
      <c r="U147" t="s">
        <v>20</v>
      </c>
    </row>
    <row r="148" spans="1:21" x14ac:dyDescent="0.45">
      <c r="A148" s="29">
        <v>156161985</v>
      </c>
      <c r="B148" s="29" t="str">
        <f t="shared" si="5"/>
        <v>15.616.198-5</v>
      </c>
      <c r="C148" s="22" t="str">
        <f>IF(IFERROR(VLOOKUP(A148,$A$10:$I147,1,0),0)=0,"",VLOOKUP(A148,$A$10:$I147,3,0))</f>
        <v>UCI</v>
      </c>
      <c r="D148" s="29" t="str">
        <f>IF(IFERROR(VLOOKUP(A148,$A$10:$I147,1,0),0)=0,"",VLOOKUP(A148,$A$10:$I147,4,0))</f>
        <v>KAREN</v>
      </c>
      <c r="E148" s="29" t="str">
        <f>IF(IFERROR(VLOOKUP(A148,$A$10:$I147,1,0),0)=0,"",VLOOKUP(A148,$A$10:$I147,5,0))</f>
        <v>DURAN</v>
      </c>
      <c r="F148" s="29" t="str">
        <f>IF(IFERROR(VLOOKUP(A148,$A$10:$I147,1,0),0)=0,"",VLOOKUP(A148,$A$10:$I147,6,0))</f>
        <v>GARCIA</v>
      </c>
      <c r="G148" s="49">
        <f>IF(IFERROR(VLOOKUP(A148,$A$10:$I147,1,0),0)=0,"",VLOOKUP(A148,$A$10:$I147,7,0))</f>
        <v>45557</v>
      </c>
      <c r="H148" s="49">
        <v>45559</v>
      </c>
      <c r="I148" s="29"/>
      <c r="J148" s="29"/>
      <c r="K148" s="24" t="s">
        <v>47</v>
      </c>
      <c r="L148" s="49">
        <v>45558</v>
      </c>
      <c r="M148" s="49">
        <v>45559</v>
      </c>
      <c r="N148" s="29">
        <f t="shared" si="7"/>
        <v>1</v>
      </c>
      <c r="O148" s="29"/>
      <c r="P148" t="s">
        <v>88</v>
      </c>
      <c r="Q148" t="s">
        <v>88</v>
      </c>
      <c r="R148" t="s">
        <v>88</v>
      </c>
      <c r="S148" t="s">
        <v>88</v>
      </c>
      <c r="T148" t="s">
        <v>88</v>
      </c>
      <c r="U148" t="s">
        <v>20</v>
      </c>
    </row>
    <row r="149" spans="1:21" x14ac:dyDescent="0.45">
      <c r="A149" s="79">
        <v>96511418</v>
      </c>
      <c r="B149" s="29" t="str">
        <f t="shared" si="5"/>
        <v>9.651.141-8</v>
      </c>
      <c r="C149" s="22" t="s">
        <v>22</v>
      </c>
      <c r="D149" s="29" t="s">
        <v>1426</v>
      </c>
      <c r="E149" s="29" t="s">
        <v>575</v>
      </c>
      <c r="F149" s="29" t="s">
        <v>980</v>
      </c>
      <c r="G149" s="49">
        <v>45551</v>
      </c>
      <c r="H149" s="49">
        <v>45560</v>
      </c>
      <c r="I149" s="29"/>
      <c r="J149" s="29"/>
      <c r="K149" s="24" t="s">
        <v>43</v>
      </c>
      <c r="L149" s="49">
        <v>45551</v>
      </c>
      <c r="M149" s="49">
        <v>45560</v>
      </c>
      <c r="N149" s="29">
        <f t="shared" si="7"/>
        <v>9</v>
      </c>
      <c r="O149" s="29"/>
      <c r="P149" t="s">
        <v>88</v>
      </c>
      <c r="Q149" t="s">
        <v>88</v>
      </c>
      <c r="R149" t="s">
        <v>88</v>
      </c>
      <c r="S149" t="s">
        <v>88</v>
      </c>
      <c r="T149" t="s">
        <v>88</v>
      </c>
      <c r="U149" t="s">
        <v>20</v>
      </c>
    </row>
    <row r="150" spans="1:21" x14ac:dyDescent="0.45">
      <c r="A150" s="79">
        <v>131064047</v>
      </c>
      <c r="B150" s="29" t="str">
        <f t="shared" ref="B150:B213" si="8">IF(LEN(A150)=8,MID(A150,1,1)&amp;"."&amp;MID(A150,2,3)&amp;"."&amp;MID(A150,5,3)&amp;"-"&amp;RIGHT(A150,1),IF(LEFT(RIGHT(A150,2),1)="-",MID(A150,1,1)&amp;"."&amp;MID(A150,2,3)&amp;"."&amp;MID(A150,5,3)&amp;"-"&amp;RIGHT(A150,1),MID(A150,1,2)&amp;"."&amp;MID(A150,3,3)&amp;"."&amp;MID(A150,6,3)&amp;"-"&amp;MID(A150,9,1)))</f>
        <v>13.106.404-7</v>
      </c>
      <c r="C150" s="22" t="s">
        <v>22</v>
      </c>
      <c r="D150" s="29" t="str">
        <f>IF(IFERROR(VLOOKUP(A150,$A$10:$I149,1,0),0)=0,"",VLOOKUP(A150,$A$10:$I149,4,0))</f>
        <v>GABRIEL</v>
      </c>
      <c r="E150" s="29" t="str">
        <f>IF(IFERROR(VLOOKUP(A150,$A$10:$I149,1,0),0)=0,"",VLOOKUP(A150,$A$10:$I149,5,0))</f>
        <v>ANTILEF</v>
      </c>
      <c r="F150" s="29" t="str">
        <f>IF(IFERROR(VLOOKUP(A150,$A$10:$I149,1,0),0)=0,"",VLOOKUP(A150,$A$10:$I149,6,0))</f>
        <v>PAREDES</v>
      </c>
      <c r="G150" s="49">
        <v>45551</v>
      </c>
      <c r="H150" s="49">
        <v>45563</v>
      </c>
      <c r="I150" s="29" t="s">
        <v>22</v>
      </c>
      <c r="J150" s="29" t="s">
        <v>24</v>
      </c>
      <c r="K150" s="24" t="s">
        <v>43</v>
      </c>
      <c r="L150" s="49">
        <v>45551</v>
      </c>
      <c r="M150" s="49">
        <v>45563</v>
      </c>
      <c r="N150" s="29">
        <f t="shared" si="7"/>
        <v>12</v>
      </c>
      <c r="O150" s="29"/>
      <c r="P150" t="s">
        <v>121</v>
      </c>
      <c r="Q150" t="s">
        <v>88</v>
      </c>
      <c r="R150" t="s">
        <v>88</v>
      </c>
      <c r="S150" t="s">
        <v>88</v>
      </c>
      <c r="T150" t="s">
        <v>88</v>
      </c>
      <c r="U150" t="s">
        <v>14</v>
      </c>
    </row>
    <row r="151" spans="1:21" x14ac:dyDescent="0.45">
      <c r="A151" s="79">
        <v>131064047</v>
      </c>
      <c r="B151" s="29" t="str">
        <f t="shared" si="8"/>
        <v>13.106.404-7</v>
      </c>
      <c r="C151" s="22" t="s">
        <v>22</v>
      </c>
      <c r="D151" s="29" t="str">
        <f>IF(IFERROR(VLOOKUP(A151,$A$10:$I150,1,0),0)=0,"",VLOOKUP(A151,$A$10:$I150,4,0))</f>
        <v>GABRIEL</v>
      </c>
      <c r="E151" s="29" t="str">
        <f>IF(IFERROR(VLOOKUP(A151,$A$10:$I150,1,0),0)=0,"",VLOOKUP(A151,$A$10:$I150,5,0))</f>
        <v>ANTILEF</v>
      </c>
      <c r="F151" s="29" t="str">
        <f>IF(IFERROR(VLOOKUP(A151,$A$10:$I150,1,0),0)=0,"",VLOOKUP(A151,$A$10:$I150,6,0))</f>
        <v>PAREDES</v>
      </c>
      <c r="G151" s="49">
        <v>45551</v>
      </c>
      <c r="H151" s="49">
        <v>45563</v>
      </c>
      <c r="I151" s="29"/>
      <c r="J151" s="29" t="s">
        <v>24</v>
      </c>
      <c r="K151" s="24" t="s">
        <v>47</v>
      </c>
      <c r="L151" s="49">
        <v>45555</v>
      </c>
      <c r="M151" s="49">
        <v>45561</v>
      </c>
      <c r="N151" s="29">
        <f t="shared" si="7"/>
        <v>6</v>
      </c>
      <c r="O151" s="29"/>
      <c r="P151" t="s">
        <v>88</v>
      </c>
      <c r="Q151" t="s">
        <v>88</v>
      </c>
      <c r="R151" t="s">
        <v>88</v>
      </c>
      <c r="S151" t="s">
        <v>88</v>
      </c>
      <c r="T151" t="s">
        <v>88</v>
      </c>
      <c r="U151" t="s">
        <v>20</v>
      </c>
    </row>
    <row r="152" spans="1:21" x14ac:dyDescent="0.45">
      <c r="A152" s="79">
        <v>131064047</v>
      </c>
      <c r="B152" s="29" t="str">
        <f t="shared" si="8"/>
        <v>13.106.404-7</v>
      </c>
      <c r="C152" s="22" t="s">
        <v>22</v>
      </c>
      <c r="D152" s="29" t="str">
        <f>IF(IFERROR(VLOOKUP(A152,$A$10:$I151,1,0),0)=0,"",VLOOKUP(A152,$A$10:$I151,4,0))</f>
        <v>GABRIEL</v>
      </c>
      <c r="E152" s="29" t="str">
        <f>IF(IFERROR(VLOOKUP(A152,$A$10:$I151,1,0),0)=0,"",VLOOKUP(A152,$A$10:$I151,5,0))</f>
        <v>ANTILEF</v>
      </c>
      <c r="F152" s="29" t="str">
        <f>IF(IFERROR(VLOOKUP(A152,$A$10:$I151,1,0),0)=0,"",VLOOKUP(A152,$A$10:$I151,6,0))</f>
        <v>PAREDES</v>
      </c>
      <c r="G152" s="49">
        <v>45551</v>
      </c>
      <c r="H152" s="49">
        <v>45563</v>
      </c>
      <c r="I152" s="29"/>
      <c r="J152" s="29" t="s">
        <v>24</v>
      </c>
      <c r="K152" s="24"/>
      <c r="L152" s="49">
        <v>45555</v>
      </c>
      <c r="M152" s="49">
        <v>45561</v>
      </c>
      <c r="N152" s="29"/>
      <c r="O152" s="29"/>
      <c r="P152" t="s">
        <v>88</v>
      </c>
      <c r="Q152" t="s">
        <v>88</v>
      </c>
      <c r="R152" t="s">
        <v>88</v>
      </c>
      <c r="S152" t="s">
        <v>88</v>
      </c>
      <c r="T152" t="s">
        <v>88</v>
      </c>
      <c r="U152" t="s">
        <v>20</v>
      </c>
    </row>
    <row r="153" spans="1:21" x14ac:dyDescent="0.45">
      <c r="A153" s="79">
        <v>131064047</v>
      </c>
      <c r="B153" s="29" t="str">
        <f t="shared" si="8"/>
        <v>13.106.404-7</v>
      </c>
      <c r="C153" s="22" t="s">
        <v>22</v>
      </c>
      <c r="D153" s="29" t="str">
        <f>IF(IFERROR(VLOOKUP(A153,$A$10:$I152,1,0),0)=0,"",VLOOKUP(A153,$A$10:$I152,4,0))</f>
        <v>GABRIEL</v>
      </c>
      <c r="E153" s="29" t="str">
        <f>IF(IFERROR(VLOOKUP(A153,$A$10:$I152,1,0),0)=0,"",VLOOKUP(A153,$A$10:$I152,5,0))</f>
        <v>ANTILEF</v>
      </c>
      <c r="F153" s="29" t="str">
        <f>IF(IFERROR(VLOOKUP(A153,$A$10:$I152,1,0),0)=0,"",VLOOKUP(A153,$A$10:$I152,6,0))</f>
        <v>PAREDES</v>
      </c>
      <c r="G153" s="49">
        <v>45551</v>
      </c>
      <c r="H153" s="49">
        <v>45563</v>
      </c>
      <c r="I153" s="29"/>
      <c r="J153" s="29"/>
      <c r="K153" s="24"/>
      <c r="L153" s="49">
        <v>45555</v>
      </c>
      <c r="M153" s="49">
        <v>45561</v>
      </c>
      <c r="N153" s="29"/>
      <c r="O153" s="29"/>
      <c r="P153" t="s">
        <v>120</v>
      </c>
      <c r="Q153" t="s">
        <v>88</v>
      </c>
      <c r="R153" t="s">
        <v>88</v>
      </c>
      <c r="S153" t="s">
        <v>88</v>
      </c>
      <c r="T153" t="s">
        <v>88</v>
      </c>
      <c r="U153" t="s">
        <v>20</v>
      </c>
    </row>
    <row r="154" spans="1:21" x14ac:dyDescent="0.45">
      <c r="A154" s="79">
        <v>64103180</v>
      </c>
      <c r="B154" s="29" t="str">
        <f t="shared" si="8"/>
        <v>6.410.318-0</v>
      </c>
      <c r="C154" s="22" t="s">
        <v>22</v>
      </c>
      <c r="D154" s="29" t="s">
        <v>238</v>
      </c>
      <c r="E154" s="29" t="s">
        <v>675</v>
      </c>
      <c r="F154" s="29" t="s">
        <v>422</v>
      </c>
      <c r="G154" s="49">
        <v>45557</v>
      </c>
      <c r="H154" s="49">
        <v>45561</v>
      </c>
      <c r="I154" s="29"/>
      <c r="J154" s="29"/>
      <c r="K154" s="24" t="s">
        <v>43</v>
      </c>
      <c r="L154" s="49">
        <v>45557</v>
      </c>
      <c r="M154" s="49">
        <v>45561</v>
      </c>
      <c r="N154" s="29">
        <f t="shared" ref="N154:N185" si="9">+M154-L154</f>
        <v>4</v>
      </c>
      <c r="O154" s="29"/>
      <c r="P154" t="s">
        <v>88</v>
      </c>
      <c r="Q154" t="s">
        <v>88</v>
      </c>
      <c r="R154" t="s">
        <v>88</v>
      </c>
      <c r="S154" t="s">
        <v>88</v>
      </c>
      <c r="T154" t="s">
        <v>88</v>
      </c>
      <c r="U154" t="s">
        <v>20</v>
      </c>
    </row>
    <row r="155" spans="1:21" x14ac:dyDescent="0.45">
      <c r="A155" s="79">
        <v>64103180</v>
      </c>
      <c r="B155" s="29" t="str">
        <f t="shared" si="8"/>
        <v>6.410.318-0</v>
      </c>
      <c r="C155" s="22" t="str">
        <f>IF(IFERROR(VLOOKUP(A155,$A$10:$I154,1,0),0)=0,"",VLOOKUP(A155,$A$10:$I154,3,0))</f>
        <v>UCI</v>
      </c>
      <c r="D155" s="29" t="str">
        <f>IF(IFERROR(VLOOKUP(A155,$A$10:$I154,1,0),0)=0,"",VLOOKUP(A155,$A$10:$I154,4,0))</f>
        <v>LUIS</v>
      </c>
      <c r="E155" s="29" t="str">
        <f>IF(IFERROR(VLOOKUP(A155,$A$10:$I154,1,0),0)=0,"",VLOOKUP(A155,$A$10:$I154,5,0))</f>
        <v>SANDOVAL</v>
      </c>
      <c r="F155" s="29" t="str">
        <f>IF(IFERROR(VLOOKUP(A155,$A$10:$I154,1,0),0)=0,"",VLOOKUP(A155,$A$10:$I154,6,0))</f>
        <v>TORRES</v>
      </c>
      <c r="G155" s="49">
        <f>IF(IFERROR(VLOOKUP(A155,$A$10:$I154,1,0),0)=0,"",VLOOKUP(A155,$A$10:$I154,7,0))</f>
        <v>45557</v>
      </c>
      <c r="H155" s="49">
        <v>45561</v>
      </c>
      <c r="I155" s="29"/>
      <c r="J155" s="29"/>
      <c r="K155" s="24" t="s">
        <v>47</v>
      </c>
      <c r="L155" s="49">
        <v>45557</v>
      </c>
      <c r="M155" s="49">
        <v>45561</v>
      </c>
      <c r="N155" s="29">
        <f t="shared" si="9"/>
        <v>4</v>
      </c>
      <c r="O155" s="29"/>
      <c r="P155" t="s">
        <v>88</v>
      </c>
      <c r="Q155" t="s">
        <v>88</v>
      </c>
      <c r="R155" t="s">
        <v>88</v>
      </c>
      <c r="S155" t="s">
        <v>88</v>
      </c>
      <c r="T155" t="s">
        <v>88</v>
      </c>
      <c r="U155" t="s">
        <v>20</v>
      </c>
    </row>
    <row r="156" spans="1:21" x14ac:dyDescent="0.45">
      <c r="A156" s="79" t="s">
        <v>1427</v>
      </c>
      <c r="B156" s="29" t="str">
        <f t="shared" si="8"/>
        <v>8.011.060-k</v>
      </c>
      <c r="C156" s="22" t="s">
        <v>22</v>
      </c>
      <c r="D156" s="29" t="s">
        <v>1428</v>
      </c>
      <c r="E156" s="29" t="s">
        <v>285</v>
      </c>
      <c r="F156" s="29" t="s">
        <v>266</v>
      </c>
      <c r="G156" s="49">
        <v>45551</v>
      </c>
      <c r="H156" s="49">
        <v>45560</v>
      </c>
      <c r="I156" s="29"/>
      <c r="J156" s="29"/>
      <c r="K156" s="24" t="s">
        <v>43</v>
      </c>
      <c r="L156" s="49">
        <v>45551</v>
      </c>
      <c r="M156" s="49">
        <v>45560</v>
      </c>
      <c r="N156" s="29">
        <f t="shared" si="9"/>
        <v>9</v>
      </c>
      <c r="O156" s="29"/>
      <c r="P156" t="s">
        <v>88</v>
      </c>
      <c r="Q156" t="s">
        <v>88</v>
      </c>
      <c r="R156" t="s">
        <v>88</v>
      </c>
      <c r="S156" t="s">
        <v>88</v>
      </c>
      <c r="T156" t="s">
        <v>88</v>
      </c>
      <c r="U156" t="s">
        <v>20</v>
      </c>
    </row>
    <row r="157" spans="1:21" x14ac:dyDescent="0.45">
      <c r="A157" s="79">
        <v>101974375</v>
      </c>
      <c r="B157" s="29" t="str">
        <f t="shared" si="8"/>
        <v>10.197.437-5</v>
      </c>
      <c r="C157" s="22" t="s">
        <v>22</v>
      </c>
      <c r="D157" s="29" t="s">
        <v>238</v>
      </c>
      <c r="E157" s="29" t="s">
        <v>1112</v>
      </c>
      <c r="F157" s="29" t="s">
        <v>646</v>
      </c>
      <c r="G157" s="49">
        <v>45558</v>
      </c>
      <c r="H157" s="29"/>
      <c r="I157" s="29" t="s">
        <v>22</v>
      </c>
      <c r="J157" s="29"/>
      <c r="K157" s="24" t="s">
        <v>43</v>
      </c>
      <c r="L157" s="49">
        <v>45558</v>
      </c>
      <c r="M157" s="49">
        <v>45562</v>
      </c>
      <c r="N157" s="29">
        <f t="shared" si="9"/>
        <v>4</v>
      </c>
      <c r="O157" s="29"/>
      <c r="P157" t="s">
        <v>88</v>
      </c>
      <c r="Q157" t="s">
        <v>88</v>
      </c>
      <c r="R157" t="s">
        <v>88</v>
      </c>
      <c r="S157" t="s">
        <v>88</v>
      </c>
      <c r="T157" t="s">
        <v>88</v>
      </c>
      <c r="U157" t="s">
        <v>20</v>
      </c>
    </row>
    <row r="158" spans="1:21" x14ac:dyDescent="0.45">
      <c r="A158" s="29">
        <v>38625500</v>
      </c>
      <c r="B158" s="29" t="str">
        <f t="shared" si="8"/>
        <v>3.862.550-0</v>
      </c>
      <c r="C158" s="22" t="s">
        <v>30</v>
      </c>
      <c r="D158" s="29" t="s">
        <v>738</v>
      </c>
      <c r="E158" s="29" t="s">
        <v>378</v>
      </c>
      <c r="F158" s="29" t="s">
        <v>378</v>
      </c>
      <c r="G158" s="49">
        <v>45553</v>
      </c>
      <c r="H158" s="49">
        <v>45559</v>
      </c>
      <c r="I158" s="29"/>
      <c r="J158" s="29"/>
      <c r="K158" s="24" t="s">
        <v>43</v>
      </c>
      <c r="L158" s="49">
        <v>45553</v>
      </c>
      <c r="M158" s="49">
        <v>45559</v>
      </c>
      <c r="N158" s="29">
        <f t="shared" si="9"/>
        <v>6</v>
      </c>
      <c r="O158" s="29"/>
      <c r="P158" t="s">
        <v>88</v>
      </c>
      <c r="Q158" t="s">
        <v>88</v>
      </c>
      <c r="R158" t="s">
        <v>88</v>
      </c>
      <c r="S158" t="s">
        <v>88</v>
      </c>
      <c r="T158" t="s">
        <v>88</v>
      </c>
      <c r="U158" t="s">
        <v>20</v>
      </c>
    </row>
    <row r="159" spans="1:21" x14ac:dyDescent="0.45">
      <c r="A159" s="29">
        <v>92915662</v>
      </c>
      <c r="B159" s="29" t="str">
        <f t="shared" si="8"/>
        <v>9.291.566-2</v>
      </c>
      <c r="C159" s="22" t="s">
        <v>30</v>
      </c>
      <c r="D159" s="29" t="s">
        <v>1043</v>
      </c>
      <c r="E159" s="29" t="s">
        <v>444</v>
      </c>
      <c r="F159" s="29" t="s">
        <v>241</v>
      </c>
      <c r="G159" s="49">
        <v>45555</v>
      </c>
      <c r="H159" s="49">
        <v>45561</v>
      </c>
      <c r="I159" s="29"/>
      <c r="J159" s="29"/>
      <c r="K159" s="24" t="s">
        <v>43</v>
      </c>
      <c r="L159" s="49">
        <v>45555</v>
      </c>
      <c r="M159" s="49">
        <v>45561</v>
      </c>
      <c r="N159" s="29">
        <f t="shared" si="9"/>
        <v>6</v>
      </c>
      <c r="O159" s="29"/>
      <c r="P159" t="s">
        <v>88</v>
      </c>
      <c r="Q159" t="s">
        <v>88</v>
      </c>
      <c r="R159" t="s">
        <v>88</v>
      </c>
      <c r="S159" t="s">
        <v>88</v>
      </c>
      <c r="T159" t="s">
        <v>88</v>
      </c>
      <c r="U159" t="s">
        <v>20</v>
      </c>
    </row>
    <row r="160" spans="1:21" x14ac:dyDescent="0.45">
      <c r="A160" s="29">
        <v>92915662</v>
      </c>
      <c r="B160" s="29" t="str">
        <f t="shared" si="8"/>
        <v>9.291.566-2</v>
      </c>
      <c r="C160" s="22" t="str">
        <f>IF(IFERROR(VLOOKUP(A160,$A$10:$I159,1,0),0)=0,"",VLOOKUP(A160,$A$10:$I159,3,0))</f>
        <v>UCO</v>
      </c>
      <c r="D160" s="29" t="str">
        <f>IF(IFERROR(VLOOKUP(A160,$A$10:$I159,1,0),0)=0,"",VLOOKUP(A160,$A$10:$I159,4,0))</f>
        <v>DAVID</v>
      </c>
      <c r="E160" s="29" t="str">
        <f>IF(IFERROR(VLOOKUP(A160,$A$10:$I159,1,0),0)=0,"",VLOOKUP(A160,$A$10:$I159,5,0))</f>
        <v>CABRERA</v>
      </c>
      <c r="F160" s="29" t="str">
        <f>IF(IFERROR(VLOOKUP(A160,$A$10:$I159,1,0),0)=0,"",VLOOKUP(A160,$A$10:$I159,6,0))</f>
        <v>FUENTES</v>
      </c>
      <c r="G160" s="49">
        <f>IF(IFERROR(VLOOKUP(A160,$A$10:$I159,1,0),0)=0,"",VLOOKUP(A160,$A$10:$I159,7,0))</f>
        <v>45555</v>
      </c>
      <c r="H160" s="29"/>
      <c r="I160" s="29"/>
      <c r="J160" s="29"/>
      <c r="K160" s="24" t="s">
        <v>47</v>
      </c>
      <c r="L160" s="49">
        <v>45555</v>
      </c>
      <c r="M160" s="49">
        <v>45561</v>
      </c>
      <c r="N160" s="29">
        <f t="shared" si="9"/>
        <v>6</v>
      </c>
      <c r="O160" s="29"/>
      <c r="P160" t="s">
        <v>88</v>
      </c>
      <c r="Q160" t="s">
        <v>88</v>
      </c>
      <c r="R160" t="s">
        <v>88</v>
      </c>
      <c r="S160" t="s">
        <v>88</v>
      </c>
      <c r="T160" t="s">
        <v>88</v>
      </c>
      <c r="U160" t="s">
        <v>20</v>
      </c>
    </row>
    <row r="161" spans="1:21" x14ac:dyDescent="0.45">
      <c r="A161" s="29" t="s">
        <v>1429</v>
      </c>
      <c r="B161" s="29" t="str">
        <f t="shared" si="8"/>
        <v>5.000.100-8</v>
      </c>
      <c r="C161" s="22" t="s">
        <v>30</v>
      </c>
      <c r="D161" s="29" t="s">
        <v>654</v>
      </c>
      <c r="E161" s="29" t="s">
        <v>387</v>
      </c>
      <c r="F161" s="29" t="s">
        <v>536</v>
      </c>
      <c r="G161" s="49">
        <v>45558</v>
      </c>
      <c r="H161" s="49">
        <v>45560</v>
      </c>
      <c r="I161" s="29"/>
      <c r="J161" s="29"/>
      <c r="K161" s="24" t="s">
        <v>43</v>
      </c>
      <c r="L161" s="49">
        <v>45558</v>
      </c>
      <c r="M161" s="49">
        <v>45560</v>
      </c>
      <c r="N161" s="29">
        <f t="shared" si="9"/>
        <v>2</v>
      </c>
      <c r="O161" s="29"/>
      <c r="P161" t="s">
        <v>88</v>
      </c>
      <c r="Q161" t="s">
        <v>88</v>
      </c>
      <c r="R161" t="s">
        <v>88</v>
      </c>
      <c r="S161" t="s">
        <v>88</v>
      </c>
      <c r="T161" t="s">
        <v>88</v>
      </c>
      <c r="U161" t="s">
        <v>20</v>
      </c>
    </row>
    <row r="162" spans="1:21" x14ac:dyDescent="0.45">
      <c r="A162" s="29" t="s">
        <v>1429</v>
      </c>
      <c r="B162" s="29" t="str">
        <f t="shared" si="8"/>
        <v>5.000.100-8</v>
      </c>
      <c r="C162" s="22" t="str">
        <f>IF(IFERROR(VLOOKUP(A162,$A$10:$I161,1,0),0)=0,"",VLOOKUP(A162,$A$10:$I161,3,0))</f>
        <v>UCO</v>
      </c>
      <c r="D162" s="29" t="str">
        <f>IF(IFERROR(VLOOKUP(A162,$A$10:$I161,1,0),0)=0,"",VLOOKUP(A162,$A$10:$I161,4,0))</f>
        <v>SERGIO</v>
      </c>
      <c r="E162" s="29" t="str">
        <f>IF(IFERROR(VLOOKUP(A162,$A$10:$I161,1,0),0)=0,"",VLOOKUP(A162,$A$10:$I161,5,0))</f>
        <v>SANHUEZA</v>
      </c>
      <c r="F162" s="29" t="str">
        <f>IF(IFERROR(VLOOKUP(A162,$A$10:$I161,1,0),0)=0,"",VLOOKUP(A162,$A$10:$I161,6,0))</f>
        <v>RIQUELME</v>
      </c>
      <c r="G162" s="49">
        <f>IF(IFERROR(VLOOKUP(A162,$A$10:$I161,1,0),0)=0,"",VLOOKUP(A162,$A$10:$I161,7,0))</f>
        <v>45558</v>
      </c>
      <c r="H162" s="49">
        <v>45560</v>
      </c>
      <c r="I162" s="29"/>
      <c r="J162" s="29"/>
      <c r="K162" s="24" t="s">
        <v>47</v>
      </c>
      <c r="L162" s="49">
        <v>45558</v>
      </c>
      <c r="M162" s="49">
        <v>45560</v>
      </c>
      <c r="N162" s="29">
        <f t="shared" si="9"/>
        <v>2</v>
      </c>
      <c r="O162" s="29"/>
      <c r="P162" t="s">
        <v>88</v>
      </c>
      <c r="Q162" t="s">
        <v>88</v>
      </c>
      <c r="R162" t="s">
        <v>88</v>
      </c>
      <c r="S162" t="s">
        <v>88</v>
      </c>
      <c r="T162" t="s">
        <v>88</v>
      </c>
      <c r="U162" t="s">
        <v>20</v>
      </c>
    </row>
    <row r="163" spans="1:21" x14ac:dyDescent="0.45">
      <c r="A163" s="29">
        <v>68763517</v>
      </c>
      <c r="B163" s="29" t="str">
        <f t="shared" si="8"/>
        <v>6.876.351-7</v>
      </c>
      <c r="C163" s="22" t="s">
        <v>30</v>
      </c>
      <c r="D163" s="29" t="s">
        <v>925</v>
      </c>
      <c r="E163" s="29" t="s">
        <v>1337</v>
      </c>
      <c r="F163" s="29" t="s">
        <v>303</v>
      </c>
      <c r="G163" s="49">
        <v>45555</v>
      </c>
      <c r="H163" s="49">
        <v>45559</v>
      </c>
      <c r="I163" s="29"/>
      <c r="J163" s="29"/>
      <c r="K163" s="24" t="s">
        <v>43</v>
      </c>
      <c r="L163" s="49">
        <v>45555</v>
      </c>
      <c r="M163" s="49">
        <v>45559</v>
      </c>
      <c r="N163" s="29">
        <f t="shared" si="9"/>
        <v>4</v>
      </c>
      <c r="O163" s="29"/>
      <c r="P163" t="s">
        <v>88</v>
      </c>
      <c r="Q163" t="s">
        <v>88</v>
      </c>
      <c r="R163" t="s">
        <v>88</v>
      </c>
      <c r="S163" t="s">
        <v>88</v>
      </c>
      <c r="T163" t="s">
        <v>88</v>
      </c>
      <c r="U163" t="s">
        <v>20</v>
      </c>
    </row>
    <row r="164" spans="1:21" x14ac:dyDescent="0.45">
      <c r="A164" s="29">
        <v>68763517</v>
      </c>
      <c r="B164" s="29" t="str">
        <f t="shared" si="8"/>
        <v>6.876.351-7</v>
      </c>
      <c r="C164" s="22" t="str">
        <f>IF(IFERROR(VLOOKUP(A164,$A$10:$I163,1,0),0)=0,"",VLOOKUP(A164,$A$10:$I163,3,0))</f>
        <v>UCO</v>
      </c>
      <c r="D164" s="29" t="str">
        <f>IF(IFERROR(VLOOKUP(A164,$A$10:$I163,1,0),0)=0,"",VLOOKUP(A164,$A$10:$I163,4,0))</f>
        <v>ENRIQUE</v>
      </c>
      <c r="E164" s="29" t="str">
        <f>IF(IFERROR(VLOOKUP(A164,$A$10:$I163,1,0),0)=0,"",VLOOKUP(A164,$A$10:$I163,5,0))</f>
        <v>BARRERA</v>
      </c>
      <c r="F164" s="29" t="str">
        <f>IF(IFERROR(VLOOKUP(A164,$A$10:$I163,1,0),0)=0,"",VLOOKUP(A164,$A$10:$I163,6,0))</f>
        <v>PEÑA</v>
      </c>
      <c r="G164" s="49">
        <f>IF(IFERROR(VLOOKUP(A164,$A$10:$I163,1,0),0)=0,"",VLOOKUP(A164,$A$10:$I163,7,0))</f>
        <v>45555</v>
      </c>
      <c r="H164" s="49">
        <v>45559</v>
      </c>
      <c r="I164" s="29"/>
      <c r="J164" s="29"/>
      <c r="K164" s="24" t="s">
        <v>47</v>
      </c>
      <c r="L164" s="49">
        <v>45555</v>
      </c>
      <c r="M164" s="49">
        <v>45559</v>
      </c>
      <c r="N164" s="29">
        <f t="shared" si="9"/>
        <v>4</v>
      </c>
      <c r="O164" s="29"/>
      <c r="P164" t="s">
        <v>88</v>
      </c>
      <c r="Q164" t="s">
        <v>88</v>
      </c>
      <c r="R164" t="s">
        <v>88</v>
      </c>
      <c r="S164" t="s">
        <v>88</v>
      </c>
      <c r="T164" t="s">
        <v>88</v>
      </c>
      <c r="U164" t="s">
        <v>20</v>
      </c>
    </row>
    <row r="165" spans="1:21" x14ac:dyDescent="0.45">
      <c r="A165" s="29" t="s">
        <v>1430</v>
      </c>
      <c r="B165" s="29" t="str">
        <f t="shared" si="8"/>
        <v>1.196.752-5</v>
      </c>
      <c r="C165" s="22" t="s">
        <v>30</v>
      </c>
      <c r="D165" s="29" t="s">
        <v>250</v>
      </c>
      <c r="E165" s="29" t="s">
        <v>675</v>
      </c>
      <c r="F165" s="29" t="s">
        <v>1031</v>
      </c>
      <c r="G165" s="49">
        <v>45558</v>
      </c>
      <c r="H165" s="49">
        <v>45560</v>
      </c>
      <c r="I165" s="29"/>
      <c r="J165" s="29"/>
      <c r="K165" s="24" t="s">
        <v>43</v>
      </c>
      <c r="L165" s="49">
        <v>45558</v>
      </c>
      <c r="M165" s="49">
        <v>45560</v>
      </c>
      <c r="N165" s="29">
        <f t="shared" si="9"/>
        <v>2</v>
      </c>
      <c r="O165" s="29"/>
      <c r="P165" t="s">
        <v>88</v>
      </c>
      <c r="Q165" t="s">
        <v>88</v>
      </c>
      <c r="R165" t="s">
        <v>88</v>
      </c>
      <c r="S165" t="s">
        <v>88</v>
      </c>
      <c r="T165" t="s">
        <v>88</v>
      </c>
      <c r="U165" t="s">
        <v>20</v>
      </c>
    </row>
    <row r="166" spans="1:21" x14ac:dyDescent="0.45">
      <c r="A166" s="29" t="s">
        <v>1430</v>
      </c>
      <c r="B166" s="29" t="str">
        <f t="shared" si="8"/>
        <v>1.196.752-5</v>
      </c>
      <c r="C166" s="22" t="str">
        <f>IF(IFERROR(VLOOKUP(A166,$A$10:$I165,1,0),0)=0,"",VLOOKUP(A166,$A$10:$I165,3,0))</f>
        <v>UCO</v>
      </c>
      <c r="D166" s="29" t="str">
        <f>IF(IFERROR(VLOOKUP(A166,$A$10:$I165,1,0),0)=0,"",VLOOKUP(A166,$A$10:$I165,4,0))</f>
        <v>JOSE</v>
      </c>
      <c r="E166" s="29" t="str">
        <f>IF(IFERROR(VLOOKUP(A166,$A$10:$I165,1,0),0)=0,"",VLOOKUP(A166,$A$10:$I165,5,0))</f>
        <v>SANDOVAL</v>
      </c>
      <c r="F166" s="29" t="str">
        <f>IF(IFERROR(VLOOKUP(A166,$A$10:$I165,1,0),0)=0,"",VLOOKUP(A166,$A$10:$I165,6,0))</f>
        <v>MARIN</v>
      </c>
      <c r="G166" s="49">
        <f>IF(IFERROR(VLOOKUP(A166,$A$10:$I165,1,0),0)=0,"",VLOOKUP(A166,$A$10:$I165,7,0))</f>
        <v>45558</v>
      </c>
      <c r="H166" s="49">
        <v>45560</v>
      </c>
      <c r="I166" s="29"/>
      <c r="J166" s="29"/>
      <c r="K166" s="24" t="s">
        <v>47</v>
      </c>
      <c r="L166" s="49">
        <v>45558</v>
      </c>
      <c r="M166" s="49">
        <v>45560</v>
      </c>
      <c r="N166" s="29">
        <f t="shared" si="9"/>
        <v>2</v>
      </c>
      <c r="O166" s="29"/>
      <c r="P166" t="s">
        <v>88</v>
      </c>
      <c r="Q166" t="s">
        <v>88</v>
      </c>
      <c r="R166" t="s">
        <v>88</v>
      </c>
      <c r="S166" t="s">
        <v>88</v>
      </c>
      <c r="T166" t="s">
        <v>88</v>
      </c>
      <c r="U166" t="s">
        <v>20</v>
      </c>
    </row>
    <row r="167" spans="1:21" x14ac:dyDescent="0.45">
      <c r="A167" s="29">
        <v>58577669</v>
      </c>
      <c r="B167" s="29" t="str">
        <f t="shared" si="8"/>
        <v>5.857.766-9</v>
      </c>
      <c r="C167" s="22" t="s">
        <v>22</v>
      </c>
      <c r="D167" s="29" t="s">
        <v>654</v>
      </c>
      <c r="E167" s="29" t="s">
        <v>1431</v>
      </c>
      <c r="F167" s="29" t="s">
        <v>856</v>
      </c>
      <c r="G167" s="49">
        <v>45542</v>
      </c>
      <c r="H167" s="49">
        <v>45545</v>
      </c>
      <c r="I167" s="29"/>
      <c r="J167" s="29"/>
      <c r="K167" s="24" t="s">
        <v>43</v>
      </c>
      <c r="L167" s="49">
        <v>45542</v>
      </c>
      <c r="M167" s="49">
        <v>45545</v>
      </c>
      <c r="N167" s="29">
        <f t="shared" si="9"/>
        <v>3</v>
      </c>
      <c r="O167" s="29"/>
      <c r="P167" t="s">
        <v>88</v>
      </c>
      <c r="Q167" t="s">
        <v>88</v>
      </c>
      <c r="R167" t="s">
        <v>88</v>
      </c>
      <c r="S167" t="s">
        <v>88</v>
      </c>
      <c r="T167" t="s">
        <v>88</v>
      </c>
      <c r="U167" t="s">
        <v>20</v>
      </c>
    </row>
    <row r="168" spans="1:21" x14ac:dyDescent="0.45">
      <c r="A168" s="29">
        <v>58577669</v>
      </c>
      <c r="B168" s="29" t="str">
        <f t="shared" si="8"/>
        <v>5.857.766-9</v>
      </c>
      <c r="C168" s="22" t="str">
        <f>IF(IFERROR(VLOOKUP(A168,$A$10:$I167,1,0),0)=0,"",VLOOKUP(A168,$A$10:$I167,3,0))</f>
        <v>UCI</v>
      </c>
      <c r="D168" s="29" t="str">
        <f>IF(IFERROR(VLOOKUP(A168,$A$10:$I167,1,0),0)=0,"",VLOOKUP(A168,$A$10:$I167,4,0))</f>
        <v>SERGIO</v>
      </c>
      <c r="E168" s="29" t="str">
        <f>IF(IFERROR(VLOOKUP(A168,$A$10:$I167,1,0),0)=0,"",VLOOKUP(A168,$A$10:$I167,5,0))</f>
        <v>ALARCÓN</v>
      </c>
      <c r="F168" s="29" t="str">
        <f>IF(IFERROR(VLOOKUP(A168,$A$10:$I167,1,0),0)=0,"",VLOOKUP(A168,$A$10:$I167,6,0))</f>
        <v>VILLABLANCA</v>
      </c>
      <c r="G168" s="49">
        <f>IF(IFERROR(VLOOKUP(A168,$A$10:$I167,1,0),0)=0,"",VLOOKUP(A168,$A$10:$I167,7,0))</f>
        <v>45542</v>
      </c>
      <c r="H168" s="49">
        <v>45545</v>
      </c>
      <c r="I168" s="29"/>
      <c r="J168" s="29"/>
      <c r="K168" s="24" t="s">
        <v>47</v>
      </c>
      <c r="L168" s="49">
        <v>45542</v>
      </c>
      <c r="M168" s="49">
        <v>45545</v>
      </c>
      <c r="N168" s="29">
        <f t="shared" si="9"/>
        <v>3</v>
      </c>
      <c r="O168" s="29"/>
      <c r="P168" t="s">
        <v>88</v>
      </c>
      <c r="Q168" t="s">
        <v>88</v>
      </c>
      <c r="R168" t="s">
        <v>88</v>
      </c>
      <c r="S168" t="s">
        <v>88</v>
      </c>
      <c r="T168" t="s">
        <v>88</v>
      </c>
      <c r="U168" t="s">
        <v>20</v>
      </c>
    </row>
    <row r="169" spans="1:21" x14ac:dyDescent="0.45">
      <c r="A169" t="s">
        <v>1432</v>
      </c>
      <c r="B169" s="29" t="str">
        <f t="shared" si="8"/>
        <v>9.174.336-1</v>
      </c>
      <c r="C169" s="22" t="s">
        <v>22</v>
      </c>
      <c r="D169" s="29" t="s">
        <v>336</v>
      </c>
      <c r="E169" s="29" t="s">
        <v>1044</v>
      </c>
      <c r="F169" s="29" t="s">
        <v>391</v>
      </c>
      <c r="G169" s="49">
        <v>45542</v>
      </c>
      <c r="H169" s="49">
        <v>45545</v>
      </c>
      <c r="I169" s="29"/>
      <c r="J169" s="29"/>
      <c r="K169" s="24" t="s">
        <v>43</v>
      </c>
      <c r="L169" s="49">
        <v>45542</v>
      </c>
      <c r="M169" s="49">
        <v>45545</v>
      </c>
      <c r="N169" s="29">
        <f t="shared" si="9"/>
        <v>3</v>
      </c>
      <c r="O169" s="29"/>
      <c r="P169" t="s">
        <v>88</v>
      </c>
      <c r="Q169" t="s">
        <v>88</v>
      </c>
      <c r="R169" t="s">
        <v>88</v>
      </c>
      <c r="S169" t="s">
        <v>88</v>
      </c>
      <c r="T169" t="s">
        <v>88</v>
      </c>
      <c r="U169" t="s">
        <v>20</v>
      </c>
    </row>
    <row r="170" spans="1:21" x14ac:dyDescent="0.45">
      <c r="A170" s="79">
        <v>101376184</v>
      </c>
      <c r="B170" s="29" t="str">
        <f t="shared" si="8"/>
        <v>10.137.618-4</v>
      </c>
      <c r="C170" s="22" t="str">
        <f>IF(IFERROR(VLOOKUP(A170,$A$10:$I169,1,0),0)=0,"",VLOOKUP(A170,$A$10:$I169,3,0))</f>
        <v>UCI</v>
      </c>
      <c r="D170" s="29" t="str">
        <f>IF(IFERROR(VLOOKUP(A170,$A$10:$I169,1,0),0)=0,"",VLOOKUP(A170,$A$10:$I169,4,0))</f>
        <v>MARGARITA</v>
      </c>
      <c r="E170" s="29" t="str">
        <f>IF(IFERROR(VLOOKUP(A170,$A$10:$I169,1,0),0)=0,"",VLOOKUP(A170,$A$10:$I169,5,0))</f>
        <v>FRANCO</v>
      </c>
      <c r="F170" s="29" t="str">
        <f>IF(IFERROR(VLOOKUP(A170,$A$10:$I169,1,0),0)=0,"",VLOOKUP(A170,$A$10:$I169,6,0))</f>
        <v>RAMIREZ</v>
      </c>
      <c r="G170" s="49">
        <f>IF(IFERROR(VLOOKUP(A170,$A$10:$I169,1,0),0)=0,"",VLOOKUP(A170,$A$10:$I169,7,0))</f>
        <v>45527</v>
      </c>
      <c r="H170" s="49">
        <v>45552</v>
      </c>
      <c r="I170" s="29"/>
      <c r="J170" s="29" t="s">
        <v>24</v>
      </c>
      <c r="K170" s="24" t="s">
        <v>47</v>
      </c>
      <c r="L170" s="49">
        <v>45543</v>
      </c>
      <c r="M170" s="49">
        <v>45552</v>
      </c>
      <c r="N170" s="29">
        <f t="shared" si="9"/>
        <v>9</v>
      </c>
      <c r="O170" s="29"/>
      <c r="P170" t="s">
        <v>88</v>
      </c>
      <c r="Q170" t="s">
        <v>88</v>
      </c>
      <c r="R170" t="s">
        <v>88</v>
      </c>
      <c r="S170" t="s">
        <v>88</v>
      </c>
      <c r="T170" t="s">
        <v>88</v>
      </c>
      <c r="U170" t="s">
        <v>20</v>
      </c>
    </row>
    <row r="171" spans="1:21" x14ac:dyDescent="0.45">
      <c r="A171" s="79" t="s">
        <v>1400</v>
      </c>
      <c r="B171" s="29" t="str">
        <f t="shared" si="8"/>
        <v>6.750.674-k</v>
      </c>
      <c r="C171" s="22" t="s">
        <v>22</v>
      </c>
      <c r="D171" s="29" t="str">
        <f>IF(IFERROR(VLOOKUP(A171,$A$10:$I170,1,0),0)=0,"",VLOOKUP(A171,$A$10:$I170,4,0))</f>
        <v>Edith</v>
      </c>
      <c r="E171" s="29" t="str">
        <f>IF(IFERROR(VLOOKUP(A171,$A$10:$I170,1,0),0)=0,"",VLOOKUP(A171,$A$10:$I170,5,0))</f>
        <v>Arce</v>
      </c>
      <c r="F171" s="29" t="str">
        <f>IF(IFERROR(VLOOKUP(A171,$A$10:$I170,1,0),0)=0,"",VLOOKUP(A171,$A$10:$I170,6,0))</f>
        <v>Espinoza</v>
      </c>
      <c r="G171" s="49">
        <v>45544</v>
      </c>
      <c r="H171" s="49">
        <v>45546</v>
      </c>
      <c r="I171" s="29"/>
      <c r="J171" s="29" t="s">
        <v>22</v>
      </c>
      <c r="K171" s="24" t="s">
        <v>43</v>
      </c>
      <c r="L171" s="49">
        <v>45544</v>
      </c>
      <c r="M171" s="49">
        <v>45546</v>
      </c>
      <c r="N171" s="29">
        <f t="shared" si="9"/>
        <v>2</v>
      </c>
      <c r="O171" s="29"/>
      <c r="P171" t="s">
        <v>88</v>
      </c>
      <c r="Q171" t="s">
        <v>88</v>
      </c>
      <c r="R171" t="s">
        <v>88</v>
      </c>
      <c r="S171" t="s">
        <v>88</v>
      </c>
      <c r="T171" t="s">
        <v>88</v>
      </c>
      <c r="U171" t="s">
        <v>20</v>
      </c>
    </row>
    <row r="172" spans="1:21" x14ac:dyDescent="0.45">
      <c r="A172" s="125" t="s">
        <v>1433</v>
      </c>
      <c r="B172" s="29" t="str">
        <f t="shared" si="8"/>
        <v>6.891.066-8</v>
      </c>
      <c r="C172" s="22" t="s">
        <v>22</v>
      </c>
      <c r="D172" t="s">
        <v>305</v>
      </c>
      <c r="E172" t="s">
        <v>1399</v>
      </c>
      <c r="F172" t="s">
        <v>240</v>
      </c>
      <c r="G172" s="49">
        <v>45543</v>
      </c>
      <c r="H172" s="49">
        <v>45515</v>
      </c>
      <c r="I172" s="29"/>
      <c r="J172" s="29" t="s">
        <v>56</v>
      </c>
      <c r="K172" s="24" t="s">
        <v>43</v>
      </c>
      <c r="L172" s="49">
        <v>45543</v>
      </c>
      <c r="M172" s="49">
        <v>45546</v>
      </c>
      <c r="N172" s="29">
        <f t="shared" si="9"/>
        <v>3</v>
      </c>
      <c r="O172" s="29"/>
      <c r="P172" t="s">
        <v>88</v>
      </c>
      <c r="Q172" t="s">
        <v>88</v>
      </c>
      <c r="R172" t="s">
        <v>88</v>
      </c>
      <c r="S172" t="s">
        <v>88</v>
      </c>
      <c r="T172" t="s">
        <v>88</v>
      </c>
      <c r="U172" t="s">
        <v>20</v>
      </c>
    </row>
    <row r="173" spans="1:21" x14ac:dyDescent="0.45">
      <c r="A173" s="125" t="s">
        <v>1433</v>
      </c>
      <c r="B173" s="29" t="str">
        <f t="shared" si="8"/>
        <v>6.891.066-8</v>
      </c>
      <c r="C173" s="22" t="str">
        <f>IF(IFERROR(VLOOKUP(A173,$A$10:$I172,1,0),0)=0,"",VLOOKUP(A173,$A$10:$I172,3,0))</f>
        <v>UCI</v>
      </c>
      <c r="D173" s="29" t="str">
        <f>IF(IFERROR(VLOOKUP(A173,$A$10:$I172,1,0),0)=0,"",VLOOKUP(A173,$A$10:$I172,4,0))</f>
        <v>BERTA</v>
      </c>
      <c r="E173" s="29" t="str">
        <f>IF(IFERROR(VLOOKUP(A173,$A$10:$I172,1,0),0)=0,"",VLOOKUP(A173,$A$10:$I172,5,0))</f>
        <v>URRA</v>
      </c>
      <c r="F173" s="29" t="str">
        <f>IF(IFERROR(VLOOKUP(A173,$A$10:$I172,1,0),0)=0,"",VLOOKUP(A173,$A$10:$I172,6,0))</f>
        <v>MARTINEZ</v>
      </c>
      <c r="G173" s="49">
        <f>IF(IFERROR(VLOOKUP(A173,$A$10:$I172,1,0),0)=0,"",VLOOKUP(A173,$A$10:$I172,7,0))</f>
        <v>45543</v>
      </c>
      <c r="H173" s="49">
        <v>45515</v>
      </c>
      <c r="I173" s="29"/>
      <c r="J173" s="29" t="s">
        <v>56</v>
      </c>
      <c r="K173" s="24" t="s">
        <v>47</v>
      </c>
      <c r="L173" s="49">
        <v>45543</v>
      </c>
      <c r="M173" s="49">
        <v>45545</v>
      </c>
      <c r="N173" s="29">
        <f t="shared" si="9"/>
        <v>2</v>
      </c>
      <c r="O173" s="29"/>
      <c r="P173" t="s">
        <v>88</v>
      </c>
      <c r="Q173" t="s">
        <v>88</v>
      </c>
      <c r="R173" t="s">
        <v>88</v>
      </c>
      <c r="S173" t="s">
        <v>88</v>
      </c>
      <c r="T173" t="s">
        <v>88</v>
      </c>
      <c r="U173" t="s">
        <v>20</v>
      </c>
    </row>
    <row r="174" spans="1:21" x14ac:dyDescent="0.45">
      <c r="A174" s="29">
        <v>131064047</v>
      </c>
      <c r="B174" s="29" t="str">
        <f t="shared" si="8"/>
        <v>13.106.404-7</v>
      </c>
      <c r="C174" s="22" t="s">
        <v>30</v>
      </c>
      <c r="D174" s="29" t="str">
        <f>IF(IFERROR(VLOOKUP(A174,$A$10:$I173,1,0),0)=0,"",VLOOKUP(A174,$A$10:$I173,4,0))</f>
        <v>GABRIEL</v>
      </c>
      <c r="E174" s="29" t="str">
        <f>IF(IFERROR(VLOOKUP(A174,$A$10:$I173,1,0),0)=0,"",VLOOKUP(A174,$A$10:$I173,5,0))</f>
        <v>ANTILEF</v>
      </c>
      <c r="F174" s="29" t="str">
        <f>IF(IFERROR(VLOOKUP(A174,$A$10:$I173,1,0),0)=0,"",VLOOKUP(A174,$A$10:$I173,6,0))</f>
        <v>PAREDES</v>
      </c>
      <c r="G174" s="49">
        <v>45541</v>
      </c>
      <c r="H174" s="49">
        <v>45548</v>
      </c>
      <c r="I174" s="29"/>
      <c r="J174" s="29" t="s">
        <v>22</v>
      </c>
      <c r="K174" s="24" t="s">
        <v>43</v>
      </c>
      <c r="L174" s="49">
        <v>45541</v>
      </c>
      <c r="M174" s="49">
        <v>45548</v>
      </c>
      <c r="N174" s="29">
        <f t="shared" si="9"/>
        <v>7</v>
      </c>
      <c r="O174" s="29"/>
      <c r="P174" t="s">
        <v>88</v>
      </c>
      <c r="Q174" t="s">
        <v>88</v>
      </c>
      <c r="R174" t="s">
        <v>88</v>
      </c>
      <c r="S174" t="s">
        <v>88</v>
      </c>
      <c r="T174" t="s">
        <v>88</v>
      </c>
      <c r="U174" t="s">
        <v>20</v>
      </c>
    </row>
    <row r="175" spans="1:21" x14ac:dyDescent="0.45">
      <c r="A175" s="29">
        <v>131064047</v>
      </c>
      <c r="B175" s="29" t="str">
        <f t="shared" si="8"/>
        <v>13.106.404-7</v>
      </c>
      <c r="C175" s="22" t="s">
        <v>30</v>
      </c>
      <c r="D175" s="29" t="str">
        <f>IF(IFERROR(VLOOKUP(A175,$A$10:$I174,1,0),0)=0,"",VLOOKUP(A175,$A$10:$I174,4,0))</f>
        <v>GABRIEL</v>
      </c>
      <c r="E175" s="29" t="str">
        <f>IF(IFERROR(VLOOKUP(A175,$A$10:$I174,1,0),0)=0,"",VLOOKUP(A175,$A$10:$I174,5,0))</f>
        <v>ANTILEF</v>
      </c>
      <c r="F175" s="29" t="str">
        <f>IF(IFERROR(VLOOKUP(A175,$A$10:$I174,1,0),0)=0,"",VLOOKUP(A175,$A$10:$I174,6,0))</f>
        <v>PAREDES</v>
      </c>
      <c r="G175" s="49">
        <v>45541</v>
      </c>
      <c r="H175" s="49">
        <v>45548</v>
      </c>
      <c r="I175" s="29"/>
      <c r="J175" s="29" t="s">
        <v>22</v>
      </c>
      <c r="K175" s="24" t="s">
        <v>47</v>
      </c>
      <c r="L175" s="49">
        <v>45541</v>
      </c>
      <c r="M175" s="49">
        <v>45548</v>
      </c>
      <c r="N175" s="29">
        <f t="shared" si="9"/>
        <v>7</v>
      </c>
      <c r="O175" s="29"/>
      <c r="P175" t="s">
        <v>88</v>
      </c>
      <c r="Q175" t="s">
        <v>88</v>
      </c>
      <c r="R175" t="s">
        <v>88</v>
      </c>
      <c r="S175" t="s">
        <v>88</v>
      </c>
      <c r="T175" t="s">
        <v>88</v>
      </c>
      <c r="U175" t="s">
        <v>20</v>
      </c>
    </row>
    <row r="176" spans="1:21" x14ac:dyDescent="0.45">
      <c r="A176" s="29">
        <v>131064047</v>
      </c>
      <c r="B176" s="29" t="str">
        <f t="shared" si="8"/>
        <v>13.106.404-7</v>
      </c>
      <c r="C176" s="22" t="s">
        <v>30</v>
      </c>
      <c r="D176" s="29" t="str">
        <f>IF(IFERROR(VLOOKUP(A176,$A$10:$I175,1,0),0)=0,"",VLOOKUP(A176,$A$10:$I175,4,0))</f>
        <v>GABRIEL</v>
      </c>
      <c r="E176" s="29" t="str">
        <f>IF(IFERROR(VLOOKUP(A176,$A$10:$I175,1,0),0)=0,"",VLOOKUP(A176,$A$10:$I175,5,0))</f>
        <v>ANTILEF</v>
      </c>
      <c r="F176" s="29" t="str">
        <f>IF(IFERROR(VLOOKUP(A176,$A$10:$I175,1,0),0)=0,"",VLOOKUP(A176,$A$10:$I175,6,0))</f>
        <v>PAREDES</v>
      </c>
      <c r="G176" s="49">
        <v>45541</v>
      </c>
      <c r="H176" s="49">
        <v>45548</v>
      </c>
      <c r="I176" s="29"/>
      <c r="J176" s="29" t="s">
        <v>22</v>
      </c>
      <c r="K176" s="24" t="s">
        <v>55</v>
      </c>
      <c r="L176" s="49">
        <v>45541</v>
      </c>
      <c r="M176" s="49">
        <v>45548</v>
      </c>
      <c r="N176" s="29">
        <f t="shared" si="9"/>
        <v>7</v>
      </c>
      <c r="O176" s="29"/>
      <c r="P176" t="s">
        <v>88</v>
      </c>
      <c r="Q176" t="s">
        <v>88</v>
      </c>
      <c r="R176" t="s">
        <v>88</v>
      </c>
      <c r="S176" t="s">
        <v>88</v>
      </c>
      <c r="T176" t="s">
        <v>88</v>
      </c>
      <c r="U176" t="s">
        <v>20</v>
      </c>
    </row>
    <row r="177" spans="1:21" x14ac:dyDescent="0.45">
      <c r="A177" s="29" t="s">
        <v>1434</v>
      </c>
      <c r="B177" s="29" t="str">
        <f t="shared" si="8"/>
        <v xml:space="preserve">	6.703.807-k</v>
      </c>
      <c r="C177" s="22" t="s">
        <v>46</v>
      </c>
      <c r="D177" s="29" t="s">
        <v>1435</v>
      </c>
      <c r="E177" s="29" t="s">
        <v>1298</v>
      </c>
      <c r="F177" s="29" t="s">
        <v>873</v>
      </c>
      <c r="G177" s="49">
        <v>45528</v>
      </c>
      <c r="H177" s="49">
        <v>45547</v>
      </c>
      <c r="I177" s="29"/>
      <c r="J177" s="29" t="s">
        <v>13</v>
      </c>
      <c r="K177" s="24" t="s">
        <v>43</v>
      </c>
      <c r="L177" s="49">
        <v>45536</v>
      </c>
      <c r="M177" s="49">
        <v>45547</v>
      </c>
      <c r="N177" s="29">
        <f t="shared" si="9"/>
        <v>11</v>
      </c>
      <c r="O177" s="29"/>
      <c r="P177" t="s">
        <v>88</v>
      </c>
      <c r="Q177" t="s">
        <v>88</v>
      </c>
      <c r="R177" t="s">
        <v>88</v>
      </c>
      <c r="S177" t="s">
        <v>88</v>
      </c>
      <c r="T177" t="s">
        <v>88</v>
      </c>
      <c r="U177" t="s">
        <v>20</v>
      </c>
    </row>
    <row r="178" spans="1:21" x14ac:dyDescent="0.45">
      <c r="A178" s="29">
        <v>63973831</v>
      </c>
      <c r="B178" s="29" t="str">
        <f t="shared" si="8"/>
        <v>6.397.383-1</v>
      </c>
      <c r="C178" s="22" t="s">
        <v>46</v>
      </c>
      <c r="D178" s="29" t="s">
        <v>279</v>
      </c>
      <c r="E178" s="29" t="s">
        <v>439</v>
      </c>
      <c r="F178" s="29" t="s">
        <v>842</v>
      </c>
      <c r="G178" s="49">
        <v>45536</v>
      </c>
      <c r="H178" s="49">
        <v>45544</v>
      </c>
      <c r="I178" s="29"/>
      <c r="J178" s="29" t="s">
        <v>13</v>
      </c>
      <c r="K178" s="24" t="s">
        <v>47</v>
      </c>
      <c r="L178" s="49">
        <v>45537</v>
      </c>
      <c r="M178" s="49">
        <v>45544</v>
      </c>
      <c r="N178" s="29">
        <f t="shared" si="9"/>
        <v>7</v>
      </c>
      <c r="O178" s="29"/>
      <c r="P178" t="s">
        <v>88</v>
      </c>
      <c r="Q178" t="s">
        <v>88</v>
      </c>
      <c r="R178" t="s">
        <v>88</v>
      </c>
      <c r="S178" t="s">
        <v>88</v>
      </c>
      <c r="T178" t="s">
        <v>88</v>
      </c>
      <c r="U178" t="s">
        <v>20</v>
      </c>
    </row>
    <row r="179" spans="1:21" x14ac:dyDescent="0.45">
      <c r="A179" s="29">
        <v>59466607</v>
      </c>
      <c r="B179" s="29" t="str">
        <f t="shared" si="8"/>
        <v>5.946.660-7</v>
      </c>
      <c r="C179" s="22" t="s">
        <v>38</v>
      </c>
      <c r="D179" s="29" t="s">
        <v>475</v>
      </c>
      <c r="E179" s="29" t="s">
        <v>1284</v>
      </c>
      <c r="F179" s="29" t="s">
        <v>790</v>
      </c>
      <c r="G179" s="49">
        <v>45538</v>
      </c>
      <c r="H179" s="49">
        <v>45541</v>
      </c>
      <c r="I179" s="29"/>
      <c r="J179" s="29"/>
      <c r="K179" s="24" t="s">
        <v>47</v>
      </c>
      <c r="L179" s="49">
        <v>45539</v>
      </c>
      <c r="M179" s="49">
        <v>45541</v>
      </c>
      <c r="N179" s="29">
        <f t="shared" si="9"/>
        <v>2</v>
      </c>
      <c r="O179" s="29"/>
      <c r="P179" t="s">
        <v>88</v>
      </c>
      <c r="Q179" t="s">
        <v>88</v>
      </c>
      <c r="R179" t="s">
        <v>88</v>
      </c>
      <c r="S179" t="s">
        <v>88</v>
      </c>
      <c r="T179" t="s">
        <v>88</v>
      </c>
      <c r="U179" t="s">
        <v>20</v>
      </c>
    </row>
    <row r="180" spans="1:21" x14ac:dyDescent="0.45">
      <c r="A180" s="29">
        <v>93168291</v>
      </c>
      <c r="B180" s="29" t="str">
        <f t="shared" si="8"/>
        <v>9.316.829-1</v>
      </c>
      <c r="C180" s="22" t="s">
        <v>38</v>
      </c>
      <c r="D180" s="29" t="s">
        <v>746</v>
      </c>
      <c r="E180" s="29" t="s">
        <v>439</v>
      </c>
      <c r="F180" s="29" t="s">
        <v>383</v>
      </c>
      <c r="G180" s="49">
        <v>45540</v>
      </c>
      <c r="H180" s="49">
        <v>45545</v>
      </c>
      <c r="I180" s="29"/>
      <c r="J180" s="29" t="s">
        <v>24</v>
      </c>
      <c r="K180" s="24" t="s">
        <v>43</v>
      </c>
      <c r="L180" s="49">
        <v>45540</v>
      </c>
      <c r="M180" s="49">
        <v>45545</v>
      </c>
      <c r="N180" s="29">
        <f t="shared" si="9"/>
        <v>5</v>
      </c>
      <c r="O180" s="29"/>
      <c r="P180" t="s">
        <v>88</v>
      </c>
      <c r="Q180" t="s">
        <v>88</v>
      </c>
      <c r="R180" t="s">
        <v>88</v>
      </c>
      <c r="S180" t="s">
        <v>88</v>
      </c>
      <c r="T180" t="s">
        <v>88</v>
      </c>
      <c r="U180" t="s">
        <v>20</v>
      </c>
    </row>
    <row r="181" spans="1:21" x14ac:dyDescent="0.45">
      <c r="A181" s="29">
        <v>93168291</v>
      </c>
      <c r="B181" s="29" t="str">
        <f t="shared" si="8"/>
        <v>9.316.829-1</v>
      </c>
      <c r="C181" s="22" t="str">
        <f>IF(IFERROR(VLOOKUP(A181,$A$10:$I180,1,0),0)=0,"",VLOOKUP(A181,$A$10:$I180,3,0))</f>
        <v xml:space="preserve">Sala de cuidados intermedios </v>
      </c>
      <c r="D181" s="29" t="str">
        <f>IF(IFERROR(VLOOKUP(A181,$A$10:$I180,1,0),0)=0,"",VLOOKUP(A181,$A$10:$I180,4,0))</f>
        <v>LEONARDO</v>
      </c>
      <c r="E181" s="29" t="str">
        <f>IF(IFERROR(VLOOKUP(A181,$A$10:$I180,1,0),0)=0,"",VLOOKUP(A181,$A$10:$I180,5,0))</f>
        <v>GONZALEZ</v>
      </c>
      <c r="F181" s="29" t="str">
        <f>IF(IFERROR(VLOOKUP(A181,$A$10:$I180,1,0),0)=0,"",VLOOKUP(A181,$A$10:$I180,6,0))</f>
        <v>ARAYA</v>
      </c>
      <c r="G181" s="49">
        <f>IF(IFERROR(VLOOKUP(A181,$A$10:$I180,1,0),0)=0,"",VLOOKUP(A181,$A$10:$I180,7,0))</f>
        <v>45540</v>
      </c>
      <c r="H181" s="49">
        <v>45545</v>
      </c>
      <c r="I181" s="29"/>
      <c r="J181" s="29" t="s">
        <v>24</v>
      </c>
      <c r="K181" s="24" t="s">
        <v>47</v>
      </c>
      <c r="L181" s="49">
        <v>45540</v>
      </c>
      <c r="M181" s="49">
        <v>45545</v>
      </c>
      <c r="N181" s="29">
        <f t="shared" si="9"/>
        <v>5</v>
      </c>
      <c r="O181" s="29"/>
      <c r="P181" t="s">
        <v>88</v>
      </c>
      <c r="Q181" t="s">
        <v>88</v>
      </c>
      <c r="R181" t="s">
        <v>88</v>
      </c>
      <c r="S181" t="s">
        <v>88</v>
      </c>
      <c r="T181" t="s">
        <v>88</v>
      </c>
      <c r="U181" t="s">
        <v>20</v>
      </c>
    </row>
    <row r="182" spans="1:21" x14ac:dyDescent="0.45">
      <c r="A182" s="79">
        <v>83074256</v>
      </c>
      <c r="B182" s="29" t="str">
        <f t="shared" si="8"/>
        <v>8.307.425-6</v>
      </c>
      <c r="C182" s="22" t="s">
        <v>22</v>
      </c>
      <c r="D182" s="29" t="str">
        <f>IF(IFERROR(VLOOKUP(A182,$A$10:$I181,1,0),0)=0,"",VLOOKUP(A182,$A$10:$I181,4,0))</f>
        <v>FABRICIANO</v>
      </c>
      <c r="E182" s="29" t="str">
        <f>IF(IFERROR(VLOOKUP(A182,$A$10:$I181,1,0),0)=0,"",VLOOKUP(A182,$A$10:$I181,5,0))</f>
        <v>TAPIA</v>
      </c>
      <c r="F182" s="29" t="str">
        <f>IF(IFERROR(VLOOKUP(A182,$A$10:$I181,1,0),0)=0,"",VLOOKUP(A182,$A$10:$I181,6,0))</f>
        <v>BRAVO</v>
      </c>
      <c r="G182" s="49">
        <v>45546</v>
      </c>
      <c r="H182" s="49">
        <v>45550</v>
      </c>
      <c r="I182" s="29"/>
      <c r="J182" s="29"/>
      <c r="K182" s="24" t="s">
        <v>43</v>
      </c>
      <c r="L182" s="49">
        <v>45546</v>
      </c>
      <c r="M182" s="49">
        <v>45550</v>
      </c>
      <c r="N182" s="29">
        <f t="shared" si="9"/>
        <v>4</v>
      </c>
      <c r="O182" s="29"/>
      <c r="P182" t="s">
        <v>88</v>
      </c>
      <c r="Q182" t="s">
        <v>88</v>
      </c>
      <c r="R182" t="s">
        <v>88</v>
      </c>
      <c r="S182" t="s">
        <v>88</v>
      </c>
      <c r="T182" t="s">
        <v>88</v>
      </c>
      <c r="U182" t="s">
        <v>20</v>
      </c>
    </row>
    <row r="183" spans="1:21" x14ac:dyDescent="0.45">
      <c r="A183" s="79">
        <v>83074256</v>
      </c>
      <c r="B183" s="29" t="str">
        <f t="shared" si="8"/>
        <v>8.307.425-6</v>
      </c>
      <c r="C183" s="22" t="s">
        <v>22</v>
      </c>
      <c r="D183" s="29" t="str">
        <f>IF(IFERROR(VLOOKUP(A183,$A$10:$I182,1,0),0)=0,"",VLOOKUP(A183,$A$10:$I182,4,0))</f>
        <v>FABRICIANO</v>
      </c>
      <c r="E183" s="29" t="str">
        <f>IF(IFERROR(VLOOKUP(A183,$A$10:$I182,1,0),0)=0,"",VLOOKUP(A183,$A$10:$I182,5,0))</f>
        <v>TAPIA</v>
      </c>
      <c r="F183" s="29" t="str">
        <f>IF(IFERROR(VLOOKUP(A183,$A$10:$I182,1,0),0)=0,"",VLOOKUP(A183,$A$10:$I182,6,0))</f>
        <v>BRAVO</v>
      </c>
      <c r="G183" s="49">
        <v>45546</v>
      </c>
      <c r="H183" s="49">
        <v>45550</v>
      </c>
      <c r="I183" s="29"/>
      <c r="J183" s="29"/>
      <c r="K183" s="24" t="s">
        <v>47</v>
      </c>
      <c r="L183" s="49">
        <v>45546</v>
      </c>
      <c r="M183" s="49">
        <v>45550</v>
      </c>
      <c r="N183" s="29">
        <f t="shared" si="9"/>
        <v>4</v>
      </c>
      <c r="O183" s="29"/>
      <c r="P183" t="s">
        <v>88</v>
      </c>
      <c r="Q183" t="s">
        <v>88</v>
      </c>
      <c r="R183" t="s">
        <v>88</v>
      </c>
      <c r="S183" t="s">
        <v>88</v>
      </c>
      <c r="T183" t="s">
        <v>88</v>
      </c>
      <c r="U183" t="s">
        <v>20</v>
      </c>
    </row>
    <row r="184" spans="1:21" x14ac:dyDescent="0.45">
      <c r="A184" s="79" t="s">
        <v>1436</v>
      </c>
      <c r="B184" s="29" t="str">
        <f t="shared" si="8"/>
        <v>8.858.046-k</v>
      </c>
      <c r="C184" s="22" t="s">
        <v>22</v>
      </c>
      <c r="D184" s="29" t="s">
        <v>1437</v>
      </c>
      <c r="E184" s="29" t="s">
        <v>1438</v>
      </c>
      <c r="F184" s="29" t="s">
        <v>1439</v>
      </c>
      <c r="G184" s="49">
        <v>45546</v>
      </c>
      <c r="H184" s="49">
        <v>45549</v>
      </c>
      <c r="I184" s="29"/>
      <c r="J184" s="29"/>
      <c r="K184" s="24" t="s">
        <v>43</v>
      </c>
      <c r="L184" s="49">
        <v>45546</v>
      </c>
      <c r="M184" s="49">
        <v>45549</v>
      </c>
      <c r="N184" s="29">
        <f t="shared" si="9"/>
        <v>3</v>
      </c>
      <c r="O184" s="29"/>
      <c r="P184" t="s">
        <v>88</v>
      </c>
      <c r="Q184" t="s">
        <v>88</v>
      </c>
      <c r="R184" t="s">
        <v>88</v>
      </c>
      <c r="S184" t="s">
        <v>88</v>
      </c>
      <c r="T184" t="s">
        <v>88</v>
      </c>
      <c r="U184" t="s">
        <v>20</v>
      </c>
    </row>
    <row r="185" spans="1:21" x14ac:dyDescent="0.45">
      <c r="A185" s="79" t="s">
        <v>1436</v>
      </c>
      <c r="B185" s="29" t="str">
        <f t="shared" si="8"/>
        <v>8.858.046-k</v>
      </c>
      <c r="C185" s="22" t="str">
        <f>IF(IFERROR(VLOOKUP(A185,$A$10:$I184,1,0),0)=0,"",VLOOKUP(A185,$A$10:$I184,3,0))</f>
        <v>UCI</v>
      </c>
      <c r="D185" s="29" t="str">
        <f>IF(IFERROR(VLOOKUP(A185,$A$10:$I184,1,0),0)=0,"",VLOOKUP(A185,$A$10:$I184,4,0))</f>
        <v>MAFALDO</v>
      </c>
      <c r="E185" s="29" t="str">
        <f>IF(IFERROR(VLOOKUP(A185,$A$10:$I184,1,0),0)=0,"",VLOOKUP(A185,$A$10:$I184,5,0))</f>
        <v>PASTENE</v>
      </c>
      <c r="F185" s="29" t="str">
        <f>IF(IFERROR(VLOOKUP(A185,$A$10:$I184,1,0),0)=0,"",VLOOKUP(A185,$A$10:$I184,6,0))</f>
        <v>LAVANDEROS</v>
      </c>
      <c r="G185" s="49">
        <v>45546</v>
      </c>
      <c r="H185" s="49">
        <v>45549</v>
      </c>
      <c r="I185" s="29"/>
      <c r="J185" s="29"/>
      <c r="K185" s="24" t="s">
        <v>47</v>
      </c>
      <c r="L185" s="49">
        <v>45546</v>
      </c>
      <c r="M185" s="49">
        <v>45549</v>
      </c>
      <c r="N185" s="29">
        <f t="shared" si="9"/>
        <v>3</v>
      </c>
      <c r="O185" s="29"/>
      <c r="P185" t="s">
        <v>88</v>
      </c>
      <c r="Q185" t="s">
        <v>88</v>
      </c>
      <c r="R185" t="s">
        <v>88</v>
      </c>
      <c r="S185" t="s">
        <v>88</v>
      </c>
      <c r="T185" t="s">
        <v>88</v>
      </c>
      <c r="U185" t="s">
        <v>20</v>
      </c>
    </row>
    <row r="186" spans="1:21" x14ac:dyDescent="0.45">
      <c r="A186" s="79">
        <v>171703700</v>
      </c>
      <c r="B186" s="29" t="str">
        <f t="shared" si="8"/>
        <v>17.170.370-0</v>
      </c>
      <c r="C186" s="22" t="s">
        <v>22</v>
      </c>
      <c r="D186" s="29" t="s">
        <v>793</v>
      </c>
      <c r="E186" s="29" t="s">
        <v>893</v>
      </c>
      <c r="F186" s="29" t="s">
        <v>723</v>
      </c>
      <c r="G186" s="49">
        <v>45546</v>
      </c>
      <c r="H186" s="49">
        <v>45549</v>
      </c>
      <c r="I186" s="29"/>
      <c r="J186" s="29"/>
      <c r="K186" s="24" t="s">
        <v>43</v>
      </c>
      <c r="L186" s="49">
        <v>45546</v>
      </c>
      <c r="M186" s="49">
        <v>45549</v>
      </c>
      <c r="N186" s="29">
        <f t="shared" ref="N186:N217" si="10">+M186-L186</f>
        <v>3</v>
      </c>
      <c r="O186" s="29"/>
      <c r="P186" t="s">
        <v>88</v>
      </c>
      <c r="Q186" t="s">
        <v>88</v>
      </c>
      <c r="R186" t="s">
        <v>88</v>
      </c>
      <c r="S186" t="s">
        <v>88</v>
      </c>
      <c r="T186" t="s">
        <v>88</v>
      </c>
      <c r="U186" t="s">
        <v>20</v>
      </c>
    </row>
    <row r="187" spans="1:21" x14ac:dyDescent="0.45">
      <c r="A187" s="79" t="s">
        <v>1413</v>
      </c>
      <c r="B187" s="29" t="str">
        <f t="shared" si="8"/>
        <v>11.291.532-K</v>
      </c>
      <c r="C187" s="22" t="s">
        <v>22</v>
      </c>
      <c r="D187" s="29" t="str">
        <f>IF(IFERROR(VLOOKUP(A187,$A$10:$I186,1,0),0)=0,"",VLOOKUP(A187,$A$10:$I186,4,0))</f>
        <v>ALBERTO</v>
      </c>
      <c r="E187" s="29" t="str">
        <f>IF(IFERROR(VLOOKUP(A187,$A$10:$I186,1,0),0)=0,"",VLOOKUP(A187,$A$10:$I186,5,0))</f>
        <v>MUÑOZ</v>
      </c>
      <c r="F187" s="29" t="str">
        <f>IF(IFERROR(VLOOKUP(A187,$A$10:$I186,1,0),0)=0,"",VLOOKUP(A187,$A$10:$I186,6,0))</f>
        <v>RAMIREZ</v>
      </c>
      <c r="G187" s="49">
        <v>45547</v>
      </c>
      <c r="H187" s="49">
        <v>45549</v>
      </c>
      <c r="I187" s="29"/>
      <c r="J187" s="29"/>
      <c r="K187" s="24" t="s">
        <v>43</v>
      </c>
      <c r="L187" s="49">
        <v>45547</v>
      </c>
      <c r="M187" s="49">
        <v>45549</v>
      </c>
      <c r="N187" s="29">
        <f t="shared" si="10"/>
        <v>2</v>
      </c>
      <c r="O187" s="29"/>
      <c r="P187" t="s">
        <v>88</v>
      </c>
      <c r="Q187" t="s">
        <v>88</v>
      </c>
      <c r="R187" t="s">
        <v>88</v>
      </c>
      <c r="S187" t="s">
        <v>88</v>
      </c>
      <c r="T187" t="s">
        <v>88</v>
      </c>
      <c r="U187" t="s">
        <v>20</v>
      </c>
    </row>
    <row r="188" spans="1:21" x14ac:dyDescent="0.45">
      <c r="A188" s="79" t="s">
        <v>1413</v>
      </c>
      <c r="B188" s="29" t="str">
        <f t="shared" si="8"/>
        <v>11.291.532-K</v>
      </c>
      <c r="C188" s="22" t="s">
        <v>22</v>
      </c>
      <c r="D188" s="29" t="str">
        <f>IF(IFERROR(VLOOKUP(A188,$A$10:$I187,1,0),0)=0,"",VLOOKUP(A188,$A$10:$I187,4,0))</f>
        <v>ALBERTO</v>
      </c>
      <c r="E188" s="29" t="str">
        <f>IF(IFERROR(VLOOKUP(A188,$A$10:$I187,1,0),0)=0,"",VLOOKUP(A188,$A$10:$I187,5,0))</f>
        <v>MUÑOZ</v>
      </c>
      <c r="F188" s="29" t="str">
        <f>IF(IFERROR(VLOOKUP(A188,$A$10:$I187,1,0),0)=0,"",VLOOKUP(A188,$A$10:$I187,6,0))</f>
        <v>RAMIREZ</v>
      </c>
      <c r="G188" s="49">
        <v>45547</v>
      </c>
      <c r="H188" s="49">
        <v>45549</v>
      </c>
      <c r="I188" s="29"/>
      <c r="J188" s="29"/>
      <c r="K188" s="24" t="s">
        <v>47</v>
      </c>
      <c r="L188" s="49">
        <v>45547</v>
      </c>
      <c r="M188" s="49">
        <v>45549</v>
      </c>
      <c r="N188" s="29">
        <f t="shared" si="10"/>
        <v>2</v>
      </c>
      <c r="O188" s="29"/>
      <c r="P188" t="s">
        <v>88</v>
      </c>
      <c r="Q188" t="s">
        <v>88</v>
      </c>
      <c r="R188" t="s">
        <v>88</v>
      </c>
      <c r="S188" t="s">
        <v>88</v>
      </c>
      <c r="T188" t="s">
        <v>88</v>
      </c>
      <c r="U188" t="s">
        <v>20</v>
      </c>
    </row>
    <row r="189" spans="1:21" x14ac:dyDescent="0.45">
      <c r="A189" s="79">
        <v>156774766</v>
      </c>
      <c r="B189" s="29" t="str">
        <f t="shared" si="8"/>
        <v>15.677.476-6</v>
      </c>
      <c r="C189" s="22" t="s">
        <v>22</v>
      </c>
      <c r="D189" s="29" t="s">
        <v>1440</v>
      </c>
      <c r="E189" s="29" t="s">
        <v>1424</v>
      </c>
      <c r="F189" s="29" t="s">
        <v>289</v>
      </c>
      <c r="G189" s="49">
        <v>45548</v>
      </c>
      <c r="H189" s="49">
        <v>45550</v>
      </c>
      <c r="I189" s="29"/>
      <c r="J189" s="29" t="s">
        <v>22</v>
      </c>
      <c r="K189" s="24" t="s">
        <v>43</v>
      </c>
      <c r="L189" s="49">
        <v>45548</v>
      </c>
      <c r="M189" s="49">
        <v>45550</v>
      </c>
      <c r="N189" s="29">
        <f t="shared" si="10"/>
        <v>2</v>
      </c>
      <c r="O189" s="29"/>
      <c r="P189" t="s">
        <v>88</v>
      </c>
      <c r="Q189" t="s">
        <v>88</v>
      </c>
      <c r="R189" t="s">
        <v>88</v>
      </c>
      <c r="S189" t="s">
        <v>88</v>
      </c>
      <c r="T189" t="s">
        <v>88</v>
      </c>
      <c r="U189" t="s">
        <v>20</v>
      </c>
    </row>
    <row r="190" spans="1:21" x14ac:dyDescent="0.45">
      <c r="A190" s="79">
        <v>156774766</v>
      </c>
      <c r="B190" s="29" t="str">
        <f t="shared" si="8"/>
        <v>15.677.476-6</v>
      </c>
      <c r="C190" s="22" t="str">
        <f>IF(IFERROR(VLOOKUP(A190,$A$10:$I189,1,0),0)=0,"",VLOOKUP(A190,$A$10:$I189,3,0))</f>
        <v>UCI</v>
      </c>
      <c r="D190" s="29" t="str">
        <f>IF(IFERROR(VLOOKUP(A190,$A$10:$I189,1,0),0)=0,"",VLOOKUP(A190,$A$10:$I189,4,0))</f>
        <v xml:space="preserve">MARIA </v>
      </c>
      <c r="E190" s="29" t="str">
        <f>IF(IFERROR(VLOOKUP(A190,$A$10:$I189,1,0),0)=0,"",VLOOKUP(A190,$A$10:$I189,5,0))</f>
        <v xml:space="preserve">CIFUENTES </v>
      </c>
      <c r="F190" s="29" t="str">
        <f>IF(IFERROR(VLOOKUP(A190,$A$10:$I189,1,0),0)=0,"",VLOOKUP(A190,$A$10:$I189,6,0))</f>
        <v>NAVARRETE</v>
      </c>
      <c r="G190" s="49">
        <f>IF(IFERROR(VLOOKUP(A190,$A$10:$I189,1,0),0)=0,"",VLOOKUP(A190,$A$10:$I189,7,0))</f>
        <v>45548</v>
      </c>
      <c r="H190" s="49">
        <v>45550</v>
      </c>
      <c r="I190" s="29"/>
      <c r="J190" s="29" t="s">
        <v>22</v>
      </c>
      <c r="K190" s="24" t="s">
        <v>47</v>
      </c>
      <c r="L190" s="49">
        <v>45548</v>
      </c>
      <c r="M190" s="49">
        <v>45550</v>
      </c>
      <c r="N190" s="29">
        <f t="shared" si="10"/>
        <v>2</v>
      </c>
      <c r="O190" s="29"/>
      <c r="P190" t="s">
        <v>88</v>
      </c>
      <c r="Q190" t="s">
        <v>88</v>
      </c>
      <c r="R190" t="s">
        <v>88</v>
      </c>
      <c r="S190" t="s">
        <v>88</v>
      </c>
      <c r="T190" t="s">
        <v>88</v>
      </c>
      <c r="U190" t="s">
        <v>20</v>
      </c>
    </row>
    <row r="191" spans="1:21" x14ac:dyDescent="0.45">
      <c r="A191" s="79">
        <v>78033924</v>
      </c>
      <c r="B191" s="29" t="str">
        <f t="shared" si="8"/>
        <v>7.803.392-4</v>
      </c>
      <c r="C191" s="22" t="s">
        <v>38</v>
      </c>
      <c r="D191" s="29" t="s">
        <v>733</v>
      </c>
      <c r="E191" s="29" t="s">
        <v>312</v>
      </c>
      <c r="F191" s="29" t="s">
        <v>384</v>
      </c>
      <c r="G191" s="49">
        <v>45546</v>
      </c>
      <c r="H191" s="49">
        <v>45561</v>
      </c>
      <c r="I191" s="29"/>
      <c r="J191" s="29"/>
      <c r="K191" s="24" t="s">
        <v>43</v>
      </c>
      <c r="L191" s="49">
        <v>45546</v>
      </c>
      <c r="M191" s="49">
        <v>45549</v>
      </c>
      <c r="N191" s="29">
        <f t="shared" si="10"/>
        <v>3</v>
      </c>
      <c r="O191" s="29"/>
      <c r="P191" t="s">
        <v>88</v>
      </c>
      <c r="Q191" t="s">
        <v>88</v>
      </c>
      <c r="R191" t="s">
        <v>88</v>
      </c>
      <c r="S191" t="s">
        <v>88</v>
      </c>
      <c r="T191" t="s">
        <v>88</v>
      </c>
      <c r="U191" t="s">
        <v>20</v>
      </c>
    </row>
    <row r="192" spans="1:21" x14ac:dyDescent="0.45">
      <c r="A192" s="79">
        <v>78033924</v>
      </c>
      <c r="B192" s="29" t="str">
        <f t="shared" si="8"/>
        <v>7.803.392-4</v>
      </c>
      <c r="C192" s="22" t="str">
        <f>IF(IFERROR(VLOOKUP(A192,$A$10:$I191,1,0),0)=0,"",VLOOKUP(A192,$A$10:$I191,3,0))</f>
        <v xml:space="preserve">Sala de cuidados intermedios </v>
      </c>
      <c r="D192" s="29" t="str">
        <f>IF(IFERROR(VLOOKUP(A192,$A$10:$I191,1,0),0)=0,"",VLOOKUP(A192,$A$10:$I191,4,0))</f>
        <v>MARTA</v>
      </c>
      <c r="E192" s="29" t="str">
        <f>IF(IFERROR(VLOOKUP(A192,$A$10:$I191,1,0),0)=0,"",VLOOKUP(A192,$A$10:$I191,5,0))</f>
        <v>BUSTOS</v>
      </c>
      <c r="F192" s="29" t="str">
        <f>IF(IFERROR(VLOOKUP(A192,$A$10:$I191,1,0),0)=0,"",VLOOKUP(A192,$A$10:$I191,6,0))</f>
        <v>MUÑOZ</v>
      </c>
      <c r="G192" s="49">
        <f>IF(IFERROR(VLOOKUP(A192,$A$10:$I191,1,0),0)=0,"",VLOOKUP(A192,$A$10:$I191,7,0))</f>
        <v>45546</v>
      </c>
      <c r="H192" s="49">
        <v>45561</v>
      </c>
      <c r="I192" s="29"/>
      <c r="J192" s="29"/>
      <c r="K192" s="24" t="s">
        <v>47</v>
      </c>
      <c r="L192" s="49">
        <v>45546</v>
      </c>
      <c r="M192" s="49">
        <v>45549</v>
      </c>
      <c r="N192" s="29">
        <f t="shared" si="10"/>
        <v>3</v>
      </c>
      <c r="O192" s="29"/>
      <c r="P192" t="s">
        <v>88</v>
      </c>
      <c r="Q192" t="s">
        <v>88</v>
      </c>
      <c r="R192" t="s">
        <v>88</v>
      </c>
      <c r="S192" t="s">
        <v>88</v>
      </c>
      <c r="T192" t="s">
        <v>88</v>
      </c>
      <c r="U192" t="s">
        <v>20</v>
      </c>
    </row>
    <row r="193" spans="1:21" x14ac:dyDescent="0.45">
      <c r="A193" s="79" t="s">
        <v>1441</v>
      </c>
      <c r="B193" s="29" t="str">
        <f t="shared" si="8"/>
        <v>5.822.362-K</v>
      </c>
      <c r="C193" s="22" t="s">
        <v>38</v>
      </c>
      <c r="D193" s="29" t="s">
        <v>879</v>
      </c>
      <c r="E193" s="29" t="s">
        <v>964</v>
      </c>
      <c r="F193" s="29" t="s">
        <v>788</v>
      </c>
      <c r="G193" s="49">
        <v>45546</v>
      </c>
      <c r="H193" s="49">
        <v>45551</v>
      </c>
      <c r="I193" s="29"/>
      <c r="J193" s="29"/>
      <c r="K193" s="24" t="s">
        <v>47</v>
      </c>
      <c r="L193" s="49">
        <v>45546</v>
      </c>
      <c r="M193" s="49">
        <v>45551</v>
      </c>
      <c r="N193" s="29">
        <f t="shared" si="10"/>
        <v>5</v>
      </c>
      <c r="O193" s="29"/>
      <c r="P193" t="s">
        <v>88</v>
      </c>
      <c r="Q193" t="s">
        <v>88</v>
      </c>
      <c r="R193" t="s">
        <v>88</v>
      </c>
      <c r="S193" t="s">
        <v>88</v>
      </c>
      <c r="T193" t="s">
        <v>88</v>
      </c>
      <c r="U193" t="s">
        <v>20</v>
      </c>
    </row>
    <row r="194" spans="1:21" x14ac:dyDescent="0.45">
      <c r="A194" s="79">
        <v>46842049</v>
      </c>
      <c r="B194" s="29" t="str">
        <f t="shared" si="8"/>
        <v>4.684.204-9</v>
      </c>
      <c r="C194" s="22" t="s">
        <v>22</v>
      </c>
      <c r="D194" s="29" t="s">
        <v>362</v>
      </c>
      <c r="E194" s="29" t="s">
        <v>523</v>
      </c>
      <c r="F194" s="29" t="s">
        <v>1442</v>
      </c>
      <c r="G194" s="49">
        <v>45560</v>
      </c>
      <c r="H194" s="49">
        <v>45563</v>
      </c>
      <c r="I194" s="29"/>
      <c r="J194" s="29" t="s">
        <v>56</v>
      </c>
      <c r="K194" s="24" t="s">
        <v>43</v>
      </c>
      <c r="L194" s="49">
        <v>45560</v>
      </c>
      <c r="M194" s="49">
        <v>45563</v>
      </c>
      <c r="N194" s="29">
        <f t="shared" si="10"/>
        <v>3</v>
      </c>
      <c r="O194" s="29"/>
      <c r="P194" t="s">
        <v>88</v>
      </c>
      <c r="Q194" t="s">
        <v>88</v>
      </c>
      <c r="R194" t="s">
        <v>88</v>
      </c>
      <c r="S194" t="s">
        <v>88</v>
      </c>
      <c r="T194" t="s">
        <v>88</v>
      </c>
      <c r="U194" t="s">
        <v>20</v>
      </c>
    </row>
    <row r="195" spans="1:21" x14ac:dyDescent="0.45">
      <c r="A195" s="79">
        <v>46842049</v>
      </c>
      <c r="B195" s="29" t="str">
        <f t="shared" si="8"/>
        <v>4.684.204-9</v>
      </c>
      <c r="C195" s="22" t="str">
        <f>IF(IFERROR(VLOOKUP(A195,$A$10:$I194,1,0),0)=0,"",VLOOKUP(A195,$A$10:$I194,3,0))</f>
        <v>UCI</v>
      </c>
      <c r="D195" s="29" t="str">
        <f>IF(IFERROR(VLOOKUP(A195,$A$10:$I194,1,0),0)=0,"",VLOOKUP(A195,$A$10:$I194,4,0))</f>
        <v>JORGE</v>
      </c>
      <c r="E195" s="29" t="str">
        <f>IF(IFERROR(VLOOKUP(A195,$A$10:$I194,1,0),0)=0,"",VLOOKUP(A195,$A$10:$I194,5,0))</f>
        <v>MATAMALA</v>
      </c>
      <c r="F195" s="29" t="str">
        <f>IF(IFERROR(VLOOKUP(A195,$A$10:$I194,1,0),0)=0,"",VLOOKUP(A195,$A$10:$I194,6,0))</f>
        <v>VIERA</v>
      </c>
      <c r="G195" s="49">
        <f>IF(IFERROR(VLOOKUP(A195,$A$10:$I194,1,0),0)=0,"",VLOOKUP(A195,$A$10:$I194,7,0))</f>
        <v>45560</v>
      </c>
      <c r="H195" s="49">
        <v>45563</v>
      </c>
      <c r="I195" s="29"/>
      <c r="J195" s="29" t="s">
        <v>56</v>
      </c>
      <c r="K195" s="24" t="s">
        <v>47</v>
      </c>
      <c r="L195" s="49">
        <v>45560</v>
      </c>
      <c r="M195" s="49">
        <v>45563</v>
      </c>
      <c r="N195" s="29">
        <f t="shared" si="10"/>
        <v>3</v>
      </c>
      <c r="O195" s="29"/>
      <c r="P195" t="s">
        <v>88</v>
      </c>
      <c r="Q195" t="s">
        <v>88</v>
      </c>
      <c r="R195" t="s">
        <v>88</v>
      </c>
      <c r="S195" t="s">
        <v>88</v>
      </c>
      <c r="T195" t="s">
        <v>88</v>
      </c>
      <c r="U195" t="s">
        <v>20</v>
      </c>
    </row>
    <row r="196" spans="1:21" x14ac:dyDescent="0.45">
      <c r="A196" s="79" t="s">
        <v>1443</v>
      </c>
      <c r="B196" s="29" t="str">
        <f t="shared" si="8"/>
        <v>9.289.481-9</v>
      </c>
      <c r="C196" s="22" t="s">
        <v>22</v>
      </c>
      <c r="D196" s="29" t="s">
        <v>406</v>
      </c>
      <c r="E196" s="29" t="s">
        <v>387</v>
      </c>
      <c r="F196" s="29" t="s">
        <v>1422</v>
      </c>
      <c r="G196" s="49">
        <v>45558</v>
      </c>
      <c r="H196" s="49">
        <v>45571</v>
      </c>
      <c r="I196" s="29"/>
      <c r="J196" s="29" t="s">
        <v>19</v>
      </c>
      <c r="K196" s="24" t="s">
        <v>43</v>
      </c>
      <c r="L196" s="49">
        <v>45558</v>
      </c>
      <c r="M196" s="49">
        <v>45565</v>
      </c>
      <c r="N196" s="29">
        <f t="shared" si="10"/>
        <v>7</v>
      </c>
      <c r="O196" s="29"/>
      <c r="P196" t="s">
        <v>88</v>
      </c>
      <c r="Q196" t="s">
        <v>88</v>
      </c>
      <c r="R196" t="s">
        <v>88</v>
      </c>
      <c r="S196" t="s">
        <v>88</v>
      </c>
      <c r="T196" t="s">
        <v>88</v>
      </c>
      <c r="U196" t="s">
        <v>20</v>
      </c>
    </row>
    <row r="197" spans="1:21" x14ac:dyDescent="0.45">
      <c r="A197" s="79" t="s">
        <v>1443</v>
      </c>
      <c r="B197" s="29" t="str">
        <f t="shared" si="8"/>
        <v>9.289.481-9</v>
      </c>
      <c r="C197" s="22" t="str">
        <f>IF(IFERROR(VLOOKUP(A197,$A$10:$I196,1,0),0)=0,"",VLOOKUP(A197,$A$10:$I196,3,0))</f>
        <v>UCI</v>
      </c>
      <c r="D197" s="29" t="str">
        <f>IF(IFERROR(VLOOKUP(A197,$A$10:$I196,1,0),0)=0,"",VLOOKUP(A197,$A$10:$I196,4,0))</f>
        <v>ERNESTO</v>
      </c>
      <c r="E197" s="29" t="str">
        <f>IF(IFERROR(VLOOKUP(A197,$A$10:$I196,1,0),0)=0,"",VLOOKUP(A197,$A$10:$I196,5,0))</f>
        <v>SANHUEZA</v>
      </c>
      <c r="F197" s="29" t="str">
        <f>IF(IFERROR(VLOOKUP(A197,$A$10:$I196,1,0),0)=0,"",VLOOKUP(A197,$A$10:$I196,6,0))</f>
        <v>PAREDES</v>
      </c>
      <c r="G197" s="49">
        <f>IF(IFERROR(VLOOKUP(A197,$A$10:$I196,1,0),0)=0,"",VLOOKUP(A197,$A$10:$I196,7,0))</f>
        <v>45558</v>
      </c>
      <c r="H197" s="49">
        <v>45571</v>
      </c>
      <c r="I197" s="29"/>
      <c r="J197" s="29" t="s">
        <v>19</v>
      </c>
      <c r="K197" s="24" t="s">
        <v>47</v>
      </c>
      <c r="L197" s="49">
        <v>45558</v>
      </c>
      <c r="M197" s="49">
        <v>45565</v>
      </c>
      <c r="N197" s="29">
        <f t="shared" si="10"/>
        <v>7</v>
      </c>
      <c r="O197" s="29"/>
      <c r="P197" t="s">
        <v>88</v>
      </c>
      <c r="Q197" t="s">
        <v>88</v>
      </c>
      <c r="R197" t="s">
        <v>88</v>
      </c>
      <c r="S197" t="s">
        <v>88</v>
      </c>
      <c r="T197" t="s">
        <v>88</v>
      </c>
      <c r="U197" t="s">
        <v>20</v>
      </c>
    </row>
    <row r="198" spans="1:21" x14ac:dyDescent="0.45">
      <c r="A198" s="79" t="s">
        <v>1443</v>
      </c>
      <c r="B198" s="29" t="str">
        <f t="shared" si="8"/>
        <v>9.289.481-9</v>
      </c>
      <c r="C198" s="22" t="str">
        <f>IF(IFERROR(VLOOKUP(A198,$A$10:$I197,1,0),0)=0,"",VLOOKUP(A198,$A$10:$I197,3,0))</f>
        <v>UCI</v>
      </c>
      <c r="D198" s="29" t="str">
        <f>IF(IFERROR(VLOOKUP(A198,$A$10:$I197,1,0),0)=0,"",VLOOKUP(A198,$A$10:$I197,4,0))</f>
        <v>ERNESTO</v>
      </c>
      <c r="E198" s="29" t="str">
        <f>IF(IFERROR(VLOOKUP(A198,$A$10:$I197,1,0),0)=0,"",VLOOKUP(A198,$A$10:$I197,5,0))</f>
        <v>SANHUEZA</v>
      </c>
      <c r="F198" s="29" t="str">
        <f>IF(IFERROR(VLOOKUP(A198,$A$10:$I197,1,0),0)=0,"",VLOOKUP(A198,$A$10:$I197,6,0))</f>
        <v>PAREDES</v>
      </c>
      <c r="G198" s="49">
        <f>IF(IFERROR(VLOOKUP(A198,$A$10:$I197,1,0),0)=0,"",VLOOKUP(A198,$A$10:$I197,7,0))</f>
        <v>45558</v>
      </c>
      <c r="H198" s="49">
        <v>45571</v>
      </c>
      <c r="I198" s="29"/>
      <c r="J198" s="29" t="s">
        <v>19</v>
      </c>
      <c r="K198" s="24" t="s">
        <v>55</v>
      </c>
      <c r="L198" s="49">
        <v>45558</v>
      </c>
      <c r="M198" s="49">
        <v>45565</v>
      </c>
      <c r="N198" s="29">
        <f t="shared" si="10"/>
        <v>7</v>
      </c>
      <c r="O198" s="29"/>
      <c r="P198" t="s">
        <v>88</v>
      </c>
      <c r="Q198" t="s">
        <v>88</v>
      </c>
      <c r="R198" t="s">
        <v>88</v>
      </c>
      <c r="S198" t="s">
        <v>88</v>
      </c>
      <c r="T198" t="s">
        <v>88</v>
      </c>
      <c r="U198" t="s">
        <v>20</v>
      </c>
    </row>
    <row r="199" spans="1:21" x14ac:dyDescent="0.45">
      <c r="A199" s="79">
        <v>140586900</v>
      </c>
      <c r="B199" s="29" t="str">
        <f t="shared" si="8"/>
        <v>14.058.690-0</v>
      </c>
      <c r="C199" s="22" t="s">
        <v>22</v>
      </c>
      <c r="D199" s="29" t="s">
        <v>1444</v>
      </c>
      <c r="E199" s="29" t="s">
        <v>277</v>
      </c>
      <c r="F199" s="29" t="s">
        <v>655</v>
      </c>
      <c r="G199" s="49">
        <v>45558</v>
      </c>
      <c r="H199" s="49">
        <v>45537</v>
      </c>
      <c r="I199" s="29"/>
      <c r="J199" s="29"/>
      <c r="K199" s="24" t="s">
        <v>43</v>
      </c>
      <c r="L199" s="49">
        <v>45558</v>
      </c>
      <c r="M199" s="49">
        <v>45565</v>
      </c>
      <c r="N199" s="29">
        <f t="shared" si="10"/>
        <v>7</v>
      </c>
      <c r="O199" s="29"/>
      <c r="P199" t="s">
        <v>88</v>
      </c>
      <c r="Q199" t="s">
        <v>88</v>
      </c>
      <c r="R199" t="s">
        <v>88</v>
      </c>
      <c r="S199" t="s">
        <v>88</v>
      </c>
      <c r="T199" t="s">
        <v>88</v>
      </c>
      <c r="U199" t="s">
        <v>20</v>
      </c>
    </row>
    <row r="200" spans="1:21" x14ac:dyDescent="0.45">
      <c r="A200" s="79">
        <v>140586900</v>
      </c>
      <c r="B200" s="29" t="str">
        <f t="shared" si="8"/>
        <v>14.058.690-0</v>
      </c>
      <c r="C200" s="22" t="str">
        <f>IF(IFERROR(VLOOKUP(A200,$A$10:$I199,1,0),0)=0,"",VLOOKUP(A200,$A$10:$I199,3,0))</f>
        <v>UCI</v>
      </c>
      <c r="D200" s="29" t="str">
        <f>IF(IFERROR(VLOOKUP(A200,$A$10:$I199,1,0),0)=0,"",VLOOKUP(A200,$A$10:$I199,4,0))</f>
        <v>YOLANDA</v>
      </c>
      <c r="E200" s="29" t="str">
        <f>IF(IFERROR(VLOOKUP(A200,$A$10:$I199,1,0),0)=0,"",VLOOKUP(A200,$A$10:$I199,5,0))</f>
        <v>MORA</v>
      </c>
      <c r="F200" s="29" t="str">
        <f>IF(IFERROR(VLOOKUP(A200,$A$10:$I199,1,0),0)=0,"",VLOOKUP(A200,$A$10:$I199,6,0))</f>
        <v>GAJARDO</v>
      </c>
      <c r="G200" s="49">
        <f>IF(IFERROR(VLOOKUP(A200,$A$10:$I199,1,0),0)=0,"",VLOOKUP(A200,$A$10:$I199,7,0))</f>
        <v>45558</v>
      </c>
      <c r="H200" s="49">
        <v>45537</v>
      </c>
      <c r="I200" s="29"/>
      <c r="J200" s="29"/>
      <c r="K200" s="24" t="s">
        <v>47</v>
      </c>
      <c r="L200" s="49">
        <v>45558</v>
      </c>
      <c r="M200" s="49">
        <v>45565</v>
      </c>
      <c r="N200" s="29">
        <f t="shared" si="10"/>
        <v>7</v>
      </c>
      <c r="O200" s="29"/>
      <c r="P200" t="s">
        <v>88</v>
      </c>
      <c r="Q200" t="s">
        <v>88</v>
      </c>
      <c r="R200" t="s">
        <v>88</v>
      </c>
      <c r="S200" t="s">
        <v>88</v>
      </c>
      <c r="T200" t="s">
        <v>88</v>
      </c>
      <c r="U200" t="s">
        <v>20</v>
      </c>
    </row>
    <row r="201" spans="1:21" x14ac:dyDescent="0.45">
      <c r="A201" s="79" t="s">
        <v>1445</v>
      </c>
      <c r="B201" s="29" t="str">
        <f t="shared" si="8"/>
        <v>15.615.461-k</v>
      </c>
      <c r="C201" s="22" t="s">
        <v>22</v>
      </c>
      <c r="D201" s="29" t="s">
        <v>348</v>
      </c>
      <c r="E201" s="29" t="s">
        <v>300</v>
      </c>
      <c r="F201" s="29" t="s">
        <v>580</v>
      </c>
      <c r="G201" s="49">
        <v>45561</v>
      </c>
      <c r="H201" s="49">
        <v>45567</v>
      </c>
      <c r="I201" s="29"/>
      <c r="J201" s="29"/>
      <c r="K201" s="24" t="s">
        <v>43</v>
      </c>
      <c r="L201" s="49">
        <v>45561</v>
      </c>
      <c r="M201" s="49">
        <v>45565</v>
      </c>
      <c r="N201" s="29">
        <f t="shared" si="10"/>
        <v>4</v>
      </c>
      <c r="O201" s="29"/>
      <c r="P201" t="s">
        <v>88</v>
      </c>
      <c r="Q201" t="s">
        <v>88</v>
      </c>
      <c r="R201" t="s">
        <v>88</v>
      </c>
      <c r="S201" t="s">
        <v>88</v>
      </c>
      <c r="T201" t="s">
        <v>88</v>
      </c>
      <c r="U201" t="s">
        <v>20</v>
      </c>
    </row>
    <row r="202" spans="1:21" x14ac:dyDescent="0.45">
      <c r="A202" s="79" t="s">
        <v>1445</v>
      </c>
      <c r="B202" s="29" t="str">
        <f t="shared" si="8"/>
        <v>15.615.461-k</v>
      </c>
      <c r="C202" s="22" t="str">
        <f>IF(IFERROR(VLOOKUP(A202,$A$10:$I201,1,0),0)=0,"",VLOOKUP(A202,$A$10:$I201,3,0))</f>
        <v>UCI</v>
      </c>
      <c r="D202" s="29" t="str">
        <f>IF(IFERROR(VLOOKUP(A202,$A$10:$I201,1,0),0)=0,"",VLOOKUP(A202,$A$10:$I201,4,0))</f>
        <v>MARIA</v>
      </c>
      <c r="E202" s="29" t="str">
        <f>IF(IFERROR(VLOOKUP(A202,$A$10:$I201,1,0),0)=0,"",VLOOKUP(A202,$A$10:$I201,5,0))</f>
        <v>HERNANDEZ</v>
      </c>
      <c r="F202" s="29" t="str">
        <f>IF(IFERROR(VLOOKUP(A202,$A$10:$I201,1,0),0)=0,"",VLOOKUP(A202,$A$10:$I201,6,0))</f>
        <v>CASTRO</v>
      </c>
      <c r="G202" s="49">
        <f>IF(IFERROR(VLOOKUP(A202,$A$10:$I201,1,0),0)=0,"",VLOOKUP(A202,$A$10:$I201,7,0))</f>
        <v>45561</v>
      </c>
      <c r="H202" s="49">
        <v>45567</v>
      </c>
      <c r="I202" s="29"/>
      <c r="J202" s="29"/>
      <c r="K202" s="24" t="s">
        <v>47</v>
      </c>
      <c r="L202" s="49">
        <v>45561</v>
      </c>
      <c r="M202" s="49">
        <v>45565</v>
      </c>
      <c r="N202" s="29">
        <f t="shared" si="10"/>
        <v>4</v>
      </c>
      <c r="O202" s="29"/>
      <c r="P202" t="s">
        <v>88</v>
      </c>
      <c r="Q202" t="s">
        <v>88</v>
      </c>
      <c r="R202" t="s">
        <v>88</v>
      </c>
      <c r="S202" t="s">
        <v>88</v>
      </c>
      <c r="T202" t="s">
        <v>88</v>
      </c>
      <c r="U202" t="s">
        <v>20</v>
      </c>
    </row>
    <row r="203" spans="1:21" x14ac:dyDescent="0.45">
      <c r="A203" s="79" t="s">
        <v>1445</v>
      </c>
      <c r="B203" s="29" t="str">
        <f t="shared" si="8"/>
        <v>15.615.461-k</v>
      </c>
      <c r="C203" s="22" t="str">
        <f>IF(IFERROR(VLOOKUP(A203,$A$10:$I202,1,0),0)=0,"",VLOOKUP(A203,$A$10:$I202,3,0))</f>
        <v>UCI</v>
      </c>
      <c r="D203" s="29" t="str">
        <f>IF(IFERROR(VLOOKUP(A203,$A$10:$I202,1,0),0)=0,"",VLOOKUP(A203,$A$10:$I202,4,0))</f>
        <v>MARIA</v>
      </c>
      <c r="E203" s="29" t="str">
        <f>IF(IFERROR(VLOOKUP(A203,$A$10:$I202,1,0),0)=0,"",VLOOKUP(A203,$A$10:$I202,5,0))</f>
        <v>HERNANDEZ</v>
      </c>
      <c r="F203" s="29" t="str">
        <f>IF(IFERROR(VLOOKUP(A203,$A$10:$I202,1,0),0)=0,"",VLOOKUP(A203,$A$10:$I202,6,0))</f>
        <v>CASTRO</v>
      </c>
      <c r="G203" s="49">
        <f>IF(IFERROR(VLOOKUP(A203,$A$10:$I202,1,0),0)=0,"",VLOOKUP(A203,$A$10:$I202,7,0))</f>
        <v>45561</v>
      </c>
      <c r="H203" s="29"/>
      <c r="I203" s="29"/>
      <c r="J203" s="29"/>
      <c r="K203" s="24" t="s">
        <v>55</v>
      </c>
      <c r="L203" s="49">
        <v>45561</v>
      </c>
      <c r="M203" s="49">
        <v>45564</v>
      </c>
      <c r="N203" s="29">
        <f t="shared" si="10"/>
        <v>3</v>
      </c>
      <c r="O203" s="29"/>
      <c r="P203" t="s">
        <v>88</v>
      </c>
      <c r="Q203" t="s">
        <v>88</v>
      </c>
      <c r="R203" t="s">
        <v>88</v>
      </c>
      <c r="S203" t="s">
        <v>88</v>
      </c>
      <c r="T203" t="s">
        <v>88</v>
      </c>
      <c r="U203" t="s">
        <v>20</v>
      </c>
    </row>
    <row r="204" spans="1:21" ht="14.25" customHeight="1" x14ac:dyDescent="0.45">
      <c r="A204" s="79">
        <v>80053150</v>
      </c>
      <c r="B204" s="29" t="str">
        <f t="shared" si="8"/>
        <v>8.005.315-0</v>
      </c>
      <c r="C204" s="22" t="s">
        <v>22</v>
      </c>
      <c r="D204" s="29" t="s">
        <v>481</v>
      </c>
      <c r="E204" s="29" t="s">
        <v>1446</v>
      </c>
      <c r="F204" s="29" t="s">
        <v>339</v>
      </c>
      <c r="G204" s="49">
        <v>45561</v>
      </c>
      <c r="H204" s="49">
        <v>45566</v>
      </c>
      <c r="I204" s="29"/>
      <c r="J204" s="29" t="s">
        <v>24</v>
      </c>
      <c r="K204" s="24" t="s">
        <v>43</v>
      </c>
      <c r="L204" s="49">
        <v>45561</v>
      </c>
      <c r="M204" s="49">
        <v>45565</v>
      </c>
      <c r="N204" s="29">
        <f t="shared" si="10"/>
        <v>4</v>
      </c>
      <c r="O204" s="29"/>
      <c r="P204" t="s">
        <v>88</v>
      </c>
      <c r="Q204" t="s">
        <v>88</v>
      </c>
      <c r="R204" t="s">
        <v>88</v>
      </c>
      <c r="S204" t="s">
        <v>88</v>
      </c>
      <c r="T204" t="s">
        <v>88</v>
      </c>
      <c r="U204" t="s">
        <v>20</v>
      </c>
    </row>
    <row r="205" spans="1:21" ht="14.25" customHeight="1" x14ac:dyDescent="0.45">
      <c r="A205" s="79">
        <v>131064047</v>
      </c>
      <c r="B205" s="29" t="str">
        <f t="shared" si="8"/>
        <v>13.106.404-7</v>
      </c>
      <c r="C205" s="22" t="str">
        <f>IF(IFERROR(VLOOKUP(A205,$A$10:$I204,1,0),0)=0,"",VLOOKUP(A205,$A$10:$I204,3,0))</f>
        <v>UCI</v>
      </c>
      <c r="D205" s="29" t="str">
        <f>IF(IFERROR(VLOOKUP(A205,$A$10:$I204,1,0),0)=0,"",VLOOKUP(A205,$A$10:$I204,4,0))</f>
        <v>GABRIEL</v>
      </c>
      <c r="E205" s="29" t="str">
        <f>IF(IFERROR(VLOOKUP(A205,$A$10:$I204,1,0),0)=0,"",VLOOKUP(A205,$A$10:$I204,5,0))</f>
        <v>ANTILEF</v>
      </c>
      <c r="F205" s="29" t="str">
        <f>IF(IFERROR(VLOOKUP(A205,$A$10:$I204,1,0),0)=0,"",VLOOKUP(A205,$A$10:$I204,6,0))</f>
        <v>PAREDES</v>
      </c>
      <c r="G205" s="49">
        <f>IF(IFERROR(VLOOKUP(A205,$A$10:$I204,1,0),0)=0,"",VLOOKUP(A205,$A$10:$I204,7,0))</f>
        <v>45548</v>
      </c>
      <c r="H205" s="49">
        <v>45563</v>
      </c>
      <c r="I205" s="29"/>
      <c r="J205" s="29"/>
      <c r="K205" s="24" t="s">
        <v>43</v>
      </c>
      <c r="L205" s="49">
        <v>45548</v>
      </c>
      <c r="M205" s="49">
        <v>45563</v>
      </c>
      <c r="N205" s="29">
        <f t="shared" si="10"/>
        <v>15</v>
      </c>
      <c r="O205" s="29"/>
      <c r="P205" t="s">
        <v>88</v>
      </c>
      <c r="Q205" t="s">
        <v>88</v>
      </c>
      <c r="R205" t="s">
        <v>88</v>
      </c>
      <c r="S205" t="s">
        <v>88</v>
      </c>
      <c r="T205" t="s">
        <v>88</v>
      </c>
      <c r="U205" t="s">
        <v>20</v>
      </c>
    </row>
    <row r="206" spans="1:21" ht="14.25" customHeight="1" x14ac:dyDescent="0.45">
      <c r="A206" s="79">
        <v>94281156</v>
      </c>
      <c r="B206" s="29" t="str">
        <f t="shared" si="8"/>
        <v>9.428.115-6</v>
      </c>
      <c r="C206" s="22" t="s">
        <v>22</v>
      </c>
      <c r="D206" s="29" t="s">
        <v>1357</v>
      </c>
      <c r="E206" s="29" t="s">
        <v>964</v>
      </c>
      <c r="F206" s="29" t="s">
        <v>374</v>
      </c>
      <c r="G206" s="49">
        <v>45560</v>
      </c>
      <c r="H206" s="49">
        <v>45567</v>
      </c>
      <c r="I206" s="29"/>
      <c r="J206" s="29"/>
      <c r="K206" s="24" t="s">
        <v>43</v>
      </c>
      <c r="L206" s="49">
        <v>45560</v>
      </c>
      <c r="M206" s="49">
        <v>45565</v>
      </c>
      <c r="N206" s="29">
        <f t="shared" si="10"/>
        <v>5</v>
      </c>
      <c r="O206" s="29"/>
      <c r="P206" t="s">
        <v>88</v>
      </c>
      <c r="Q206" t="s">
        <v>88</v>
      </c>
      <c r="R206" t="s">
        <v>88</v>
      </c>
      <c r="S206" t="s">
        <v>88</v>
      </c>
      <c r="T206" t="s">
        <v>88</v>
      </c>
      <c r="U206" t="s">
        <v>20</v>
      </c>
    </row>
    <row r="207" spans="1:21" ht="14.25" customHeight="1" x14ac:dyDescent="0.45">
      <c r="A207" s="79">
        <v>94281156</v>
      </c>
      <c r="B207" s="29" t="str">
        <f t="shared" si="8"/>
        <v>9.428.115-6</v>
      </c>
      <c r="C207" s="22" t="str">
        <f>IF(IFERROR(VLOOKUP(A207,$A$10:$I206,1,0),0)=0,"",VLOOKUP(A207,$A$10:$I206,3,0))</f>
        <v>UCI</v>
      </c>
      <c r="D207" s="29" t="str">
        <f>IF(IFERROR(VLOOKUP(A207,$A$10:$I206,1,0),0)=0,"",VLOOKUP(A207,$A$10:$I206,4,0))</f>
        <v>MARCIA</v>
      </c>
      <c r="E207" s="29" t="str">
        <f>IF(IFERROR(VLOOKUP(A207,$A$10:$I206,1,0),0)=0,"",VLOOKUP(A207,$A$10:$I206,5,0))</f>
        <v>GATICA</v>
      </c>
      <c r="F207" s="29" t="str">
        <f>IF(IFERROR(VLOOKUP(A207,$A$10:$I206,1,0),0)=0,"",VLOOKUP(A207,$A$10:$I206,6,0))</f>
        <v>MONSALVE</v>
      </c>
      <c r="G207" s="49">
        <f>IF(IFERROR(VLOOKUP(A207,$A$10:$I206,1,0),0)=0,"",VLOOKUP(A207,$A$10:$I206,7,0))</f>
        <v>45560</v>
      </c>
      <c r="H207" s="49">
        <v>45567</v>
      </c>
      <c r="I207" s="29"/>
      <c r="J207" s="29"/>
      <c r="K207" s="24" t="s">
        <v>47</v>
      </c>
      <c r="L207" s="49">
        <v>45560</v>
      </c>
      <c r="M207" s="49">
        <v>45565</v>
      </c>
      <c r="N207" s="29">
        <f t="shared" si="10"/>
        <v>5</v>
      </c>
      <c r="O207" s="29"/>
      <c r="P207" t="s">
        <v>88</v>
      </c>
      <c r="Q207" t="s">
        <v>88</v>
      </c>
      <c r="R207" t="s">
        <v>88</v>
      </c>
      <c r="S207" t="s">
        <v>88</v>
      </c>
      <c r="T207" t="s">
        <v>88</v>
      </c>
      <c r="U207" t="s">
        <v>20</v>
      </c>
    </row>
    <row r="208" spans="1:21" ht="14.25" customHeight="1" x14ac:dyDescent="0.45">
      <c r="A208" s="79">
        <v>60969558</v>
      </c>
      <c r="B208" s="29" t="str">
        <f t="shared" si="8"/>
        <v>6.096.955-8</v>
      </c>
      <c r="C208" s="22" t="str">
        <f>IF(IFERROR(VLOOKUP(A208,$A$10:$I207,1,0),0)=0,"",VLOOKUP(A208,$A$10:$I207,3,0))</f>
        <v>UCI</v>
      </c>
      <c r="D208" s="29" t="str">
        <f>IF(IFERROR(VLOOKUP(A208,$A$10:$I207,1,0),0)=0,"",VLOOKUP(A208,$A$10:$I207,4,0))</f>
        <v>TERESA</v>
      </c>
      <c r="E208" s="29" t="str">
        <f>IF(IFERROR(VLOOKUP(A208,$A$10:$I207,1,0),0)=0,"",VLOOKUP(A208,$A$10:$I207,5,0))</f>
        <v>ARRATIA</v>
      </c>
      <c r="F208" s="29" t="str">
        <f>IF(IFERROR(VLOOKUP(A208,$A$10:$I207,1,0),0)=0,"",VLOOKUP(A208,$A$10:$I207,6,0))</f>
        <v>SANZANA</v>
      </c>
      <c r="G208" s="49">
        <v>45555</v>
      </c>
      <c r="H208" s="49">
        <v>45562</v>
      </c>
      <c r="I208" s="29"/>
      <c r="J208" s="29"/>
      <c r="K208" s="24" t="s">
        <v>43</v>
      </c>
      <c r="L208" s="49">
        <v>45555</v>
      </c>
      <c r="M208" s="49">
        <v>45562</v>
      </c>
      <c r="N208" s="29">
        <f t="shared" si="10"/>
        <v>7</v>
      </c>
      <c r="O208" s="29"/>
      <c r="P208" t="s">
        <v>88</v>
      </c>
      <c r="Q208" t="s">
        <v>88</v>
      </c>
      <c r="R208" t="s">
        <v>88</v>
      </c>
      <c r="S208" t="s">
        <v>88</v>
      </c>
      <c r="T208" t="s">
        <v>88</v>
      </c>
      <c r="U208" t="s">
        <v>20</v>
      </c>
    </row>
    <row r="209" spans="1:21" ht="14.25" customHeight="1" x14ac:dyDescent="0.45">
      <c r="A209" s="79">
        <v>60969558</v>
      </c>
      <c r="B209" s="29" t="str">
        <f t="shared" si="8"/>
        <v>6.096.955-8</v>
      </c>
      <c r="C209" s="22" t="str">
        <f>IF(IFERROR(VLOOKUP(A209,$A$10:$I208,1,0),0)=0,"",VLOOKUP(A209,$A$10:$I208,3,0))</f>
        <v>UCI</v>
      </c>
      <c r="D209" s="29" t="str">
        <f>IF(IFERROR(VLOOKUP(A209,$A$10:$I208,1,0),0)=0,"",VLOOKUP(A209,$A$10:$I208,4,0))</f>
        <v>TERESA</v>
      </c>
      <c r="E209" s="29" t="str">
        <f>IF(IFERROR(VLOOKUP(A209,$A$10:$I208,1,0),0)=0,"",VLOOKUP(A209,$A$10:$I208,5,0))</f>
        <v>ARRATIA</v>
      </c>
      <c r="F209" s="29" t="str">
        <f>IF(IFERROR(VLOOKUP(A209,$A$10:$I208,1,0),0)=0,"",VLOOKUP(A209,$A$10:$I208,6,0))</f>
        <v>SANZANA</v>
      </c>
      <c r="G209" s="49">
        <v>45555</v>
      </c>
      <c r="H209" s="49">
        <v>45562</v>
      </c>
      <c r="I209" s="29"/>
      <c r="J209" s="29"/>
      <c r="K209" s="24" t="s">
        <v>47</v>
      </c>
      <c r="L209" s="49">
        <v>45555</v>
      </c>
      <c r="M209" s="49">
        <v>45562</v>
      </c>
      <c r="N209" s="29">
        <f t="shared" si="10"/>
        <v>7</v>
      </c>
      <c r="O209" s="29"/>
      <c r="P209" t="s">
        <v>88</v>
      </c>
      <c r="Q209" t="s">
        <v>88</v>
      </c>
      <c r="R209" t="s">
        <v>88</v>
      </c>
      <c r="S209" t="s">
        <v>88</v>
      </c>
      <c r="T209" t="s">
        <v>88</v>
      </c>
      <c r="U209" t="s">
        <v>20</v>
      </c>
    </row>
    <row r="210" spans="1:21" ht="14.25" customHeight="1" x14ac:dyDescent="0.45">
      <c r="A210" s="79">
        <v>60969558</v>
      </c>
      <c r="B210" s="29" t="str">
        <f t="shared" si="8"/>
        <v>6.096.955-8</v>
      </c>
      <c r="C210" s="22" t="str">
        <f>IF(IFERROR(VLOOKUP(A210,$A$10:$I209,1,0),0)=0,"",VLOOKUP(A210,$A$10:$I209,3,0))</f>
        <v>UCI</v>
      </c>
      <c r="D210" s="29" t="str">
        <f>IF(IFERROR(VLOOKUP(A210,$A$10:$I209,1,0),0)=0,"",VLOOKUP(A210,$A$10:$I209,4,0))</f>
        <v>TERESA</v>
      </c>
      <c r="E210" s="29" t="str">
        <f>IF(IFERROR(VLOOKUP(A210,$A$10:$I209,1,0),0)=0,"",VLOOKUP(A210,$A$10:$I209,5,0))</f>
        <v>ARRATIA</v>
      </c>
      <c r="F210" s="29" t="str">
        <f>IF(IFERROR(VLOOKUP(A210,$A$10:$I209,1,0),0)=0,"",VLOOKUP(A210,$A$10:$I209,6,0))</f>
        <v>SANZANA</v>
      </c>
      <c r="G210" s="49">
        <v>45555</v>
      </c>
      <c r="H210" s="49">
        <v>45562</v>
      </c>
      <c r="I210" s="29"/>
      <c r="J210" s="29"/>
      <c r="K210" s="24" t="s">
        <v>23</v>
      </c>
      <c r="L210" s="49">
        <v>45555</v>
      </c>
      <c r="M210" s="49">
        <v>45562</v>
      </c>
      <c r="N210" s="29">
        <f t="shared" si="10"/>
        <v>7</v>
      </c>
      <c r="O210" s="29"/>
      <c r="P210" t="s">
        <v>88</v>
      </c>
      <c r="Q210" t="s">
        <v>88</v>
      </c>
      <c r="R210" t="s">
        <v>88</v>
      </c>
      <c r="S210" t="s">
        <v>88</v>
      </c>
      <c r="T210" t="s">
        <v>88</v>
      </c>
      <c r="U210" t="s">
        <v>20</v>
      </c>
    </row>
    <row r="211" spans="1:21" ht="14.25" customHeight="1" x14ac:dyDescent="0.45">
      <c r="A211" s="79">
        <v>92915662</v>
      </c>
      <c r="B211" s="29" t="str">
        <f t="shared" si="8"/>
        <v>9.291.566-2</v>
      </c>
      <c r="C211" s="22" t="s">
        <v>22</v>
      </c>
      <c r="D211" s="29" t="str">
        <f>IF(IFERROR(VLOOKUP(A211,$A$10:$I210,1,0),0)=0,"",VLOOKUP(A211,$A$10:$I210,4,0))</f>
        <v>DAVID</v>
      </c>
      <c r="E211" s="29" t="str">
        <f>IF(IFERROR(VLOOKUP(A211,$A$10:$I210,1,0),0)=0,"",VLOOKUP(A211,$A$10:$I210,5,0))</f>
        <v>CABRERA</v>
      </c>
      <c r="F211" s="29" t="str">
        <f>IF(IFERROR(VLOOKUP(A211,$A$10:$I210,1,0),0)=0,"",VLOOKUP(A211,$A$10:$I210,6,0))</f>
        <v>FUENTES</v>
      </c>
      <c r="G211" s="49">
        <v>45561</v>
      </c>
      <c r="H211" s="49">
        <v>45565</v>
      </c>
      <c r="I211" s="29"/>
      <c r="J211" s="29"/>
      <c r="K211" s="24" t="s">
        <v>43</v>
      </c>
      <c r="L211" s="49">
        <v>45561</v>
      </c>
      <c r="M211" s="49">
        <v>45564</v>
      </c>
      <c r="N211" s="29">
        <f t="shared" si="10"/>
        <v>3</v>
      </c>
      <c r="O211" s="29"/>
      <c r="P211" t="s">
        <v>88</v>
      </c>
      <c r="Q211" t="s">
        <v>88</v>
      </c>
      <c r="R211" t="s">
        <v>88</v>
      </c>
      <c r="S211" t="s">
        <v>88</v>
      </c>
      <c r="T211" t="s">
        <v>88</v>
      </c>
      <c r="U211" t="s">
        <v>20</v>
      </c>
    </row>
    <row r="212" spans="1:21" ht="14.25" customHeight="1" x14ac:dyDescent="0.45">
      <c r="A212" s="79">
        <v>60328862</v>
      </c>
      <c r="B212" s="29" t="str">
        <f t="shared" si="8"/>
        <v>6.032.886-2</v>
      </c>
      <c r="C212" s="22" t="s">
        <v>22</v>
      </c>
      <c r="D212" s="29" t="s">
        <v>1204</v>
      </c>
      <c r="E212" s="29" t="s">
        <v>1382</v>
      </c>
      <c r="F212" s="29" t="s">
        <v>1254</v>
      </c>
      <c r="G212" s="49">
        <v>45560</v>
      </c>
      <c r="H212" s="49">
        <v>45565</v>
      </c>
      <c r="I212" s="29"/>
      <c r="J212" s="29"/>
      <c r="K212" s="24" t="s">
        <v>43</v>
      </c>
      <c r="L212" s="49">
        <v>45560</v>
      </c>
      <c r="M212" s="49">
        <v>45564</v>
      </c>
      <c r="N212" s="29">
        <f t="shared" si="10"/>
        <v>4</v>
      </c>
      <c r="O212" s="29"/>
      <c r="P212" t="s">
        <v>88</v>
      </c>
      <c r="Q212" t="s">
        <v>88</v>
      </c>
      <c r="R212" t="s">
        <v>88</v>
      </c>
      <c r="S212" t="s">
        <v>88</v>
      </c>
      <c r="T212" t="s">
        <v>88</v>
      </c>
      <c r="U212" t="s">
        <v>20</v>
      </c>
    </row>
    <row r="213" spans="1:21" ht="14.25" customHeight="1" x14ac:dyDescent="0.45">
      <c r="A213" s="79">
        <v>92737675</v>
      </c>
      <c r="B213" s="29" t="str">
        <f t="shared" si="8"/>
        <v>9.273.767-5</v>
      </c>
      <c r="C213" s="22" t="s">
        <v>38</v>
      </c>
      <c r="D213" s="29" t="s">
        <v>629</v>
      </c>
      <c r="E213" s="29" t="s">
        <v>375</v>
      </c>
      <c r="F213" s="29" t="s">
        <v>387</v>
      </c>
      <c r="G213" s="49">
        <v>45562</v>
      </c>
      <c r="H213" s="49">
        <v>45568</v>
      </c>
      <c r="I213" s="29"/>
      <c r="J213" s="29"/>
      <c r="K213" s="24" t="s">
        <v>43</v>
      </c>
      <c r="L213" s="49">
        <v>45562</v>
      </c>
      <c r="M213" s="49">
        <v>45565</v>
      </c>
      <c r="N213" s="29">
        <f t="shared" si="10"/>
        <v>3</v>
      </c>
      <c r="O213" s="29"/>
      <c r="P213" t="s">
        <v>88</v>
      </c>
      <c r="Q213" t="s">
        <v>88</v>
      </c>
      <c r="R213" t="s">
        <v>88</v>
      </c>
      <c r="S213" t="s">
        <v>88</v>
      </c>
      <c r="T213" t="s">
        <v>88</v>
      </c>
      <c r="U213" t="s">
        <v>20</v>
      </c>
    </row>
    <row r="214" spans="1:21" ht="14.25" customHeight="1" x14ac:dyDescent="0.45">
      <c r="A214" s="79" t="s">
        <v>1447</v>
      </c>
      <c r="B214" s="29" t="str">
        <f t="shared" ref="B214:B225" si="11">IF(LEN(A214)=8,MID(A214,1,1)&amp;"."&amp;MID(A214,2,3)&amp;"."&amp;MID(A214,5,3)&amp;"-"&amp;RIGHT(A214,1),IF(LEFT(RIGHT(A214,2),1)="-",MID(A214,1,1)&amp;"."&amp;MID(A214,2,3)&amp;"."&amp;MID(A214,5,3)&amp;"-"&amp;RIGHT(A214,1),MID(A214,1,2)&amp;"."&amp;MID(A214,3,3)&amp;"."&amp;MID(A214,6,3)&amp;"-"&amp;MID(A214,9,1)))</f>
        <v>18.068.283-k</v>
      </c>
      <c r="C214" s="22" t="s">
        <v>38</v>
      </c>
      <c r="D214" s="29" t="s">
        <v>1448</v>
      </c>
      <c r="E214" s="29" t="s">
        <v>393</v>
      </c>
      <c r="F214" s="29" t="s">
        <v>401</v>
      </c>
      <c r="G214" s="49">
        <v>45561</v>
      </c>
      <c r="H214" s="49">
        <v>45564</v>
      </c>
      <c r="I214" s="29"/>
      <c r="J214" s="29"/>
      <c r="K214" s="24" t="s">
        <v>43</v>
      </c>
      <c r="L214" s="49">
        <v>45561</v>
      </c>
      <c r="M214" s="49">
        <v>45564</v>
      </c>
      <c r="N214" s="29">
        <f t="shared" si="10"/>
        <v>3</v>
      </c>
      <c r="O214" s="29"/>
      <c r="P214" t="s">
        <v>88</v>
      </c>
      <c r="Q214" t="s">
        <v>88</v>
      </c>
      <c r="R214" t="s">
        <v>88</v>
      </c>
      <c r="S214" t="s">
        <v>88</v>
      </c>
      <c r="T214" t="s">
        <v>88</v>
      </c>
      <c r="U214" t="s">
        <v>20</v>
      </c>
    </row>
    <row r="215" spans="1:21" ht="14.25" customHeight="1" x14ac:dyDescent="0.45">
      <c r="A215" s="79" t="s">
        <v>1447</v>
      </c>
      <c r="B215" s="29" t="str">
        <f t="shared" si="11"/>
        <v>18.068.283-k</v>
      </c>
      <c r="C215" s="22" t="str">
        <f>IF(IFERROR(VLOOKUP(A215,$A$10:$I214,1,0),0)=0,"",VLOOKUP(A215,$A$10:$I214,3,0))</f>
        <v xml:space="preserve">Sala de cuidados intermedios </v>
      </c>
      <c r="D215" s="29" t="str">
        <f>IF(IFERROR(VLOOKUP(A215,$A$10:$I214,1,0),0)=0,"",VLOOKUP(A215,$A$10:$I214,4,0))</f>
        <v>MADELEIN</v>
      </c>
      <c r="E215" s="29" t="str">
        <f>IF(IFERROR(VLOOKUP(A215,$A$10:$I214,1,0),0)=0,"",VLOOKUP(A215,$A$10:$I214,5,0))</f>
        <v>FERNANDEZ</v>
      </c>
      <c r="F215" s="29" t="str">
        <f>IF(IFERROR(VLOOKUP(A215,$A$10:$I214,1,0),0)=0,"",VLOOKUP(A215,$A$10:$I214,6,0))</f>
        <v>PINCHEIRA</v>
      </c>
      <c r="G215" s="49">
        <f>IF(IFERROR(VLOOKUP(A215,$A$10:$I214,1,0),0)=0,"",VLOOKUP(A215,$A$10:$I214,7,0))</f>
        <v>45561</v>
      </c>
      <c r="H215" s="49">
        <v>45564</v>
      </c>
      <c r="I215" s="29"/>
      <c r="J215" s="29"/>
      <c r="K215" s="24" t="s">
        <v>47</v>
      </c>
      <c r="L215" s="49">
        <v>45561</v>
      </c>
      <c r="M215" s="49">
        <v>45564</v>
      </c>
      <c r="N215" s="29">
        <f t="shared" si="10"/>
        <v>3</v>
      </c>
      <c r="O215" s="29"/>
      <c r="P215" t="s">
        <v>88</v>
      </c>
      <c r="Q215" t="s">
        <v>88</v>
      </c>
      <c r="R215" t="s">
        <v>88</v>
      </c>
      <c r="S215" t="s">
        <v>88</v>
      </c>
      <c r="T215" t="s">
        <v>88</v>
      </c>
      <c r="U215" t="s">
        <v>20</v>
      </c>
    </row>
    <row r="216" spans="1:21" ht="14.25" customHeight="1" x14ac:dyDescent="0.45">
      <c r="A216" s="79">
        <v>26245265</v>
      </c>
      <c r="B216" s="29" t="str">
        <f t="shared" si="11"/>
        <v>2.624.526-5</v>
      </c>
      <c r="C216" s="22" t="s">
        <v>38</v>
      </c>
      <c r="D216" s="29" t="s">
        <v>1449</v>
      </c>
      <c r="E216" s="29" t="s">
        <v>387</v>
      </c>
      <c r="F216" s="29" t="s">
        <v>537</v>
      </c>
      <c r="G216" s="49">
        <v>45561</v>
      </c>
      <c r="H216" s="49">
        <v>45563</v>
      </c>
      <c r="I216" s="29"/>
      <c r="J216" s="29"/>
      <c r="K216" s="24" t="s">
        <v>47</v>
      </c>
      <c r="L216" s="49">
        <v>45561</v>
      </c>
      <c r="M216" s="49">
        <v>45563</v>
      </c>
      <c r="N216" s="29">
        <f t="shared" si="10"/>
        <v>2</v>
      </c>
      <c r="O216" s="29"/>
      <c r="P216" t="s">
        <v>88</v>
      </c>
      <c r="Q216" t="s">
        <v>88</v>
      </c>
      <c r="R216" t="s">
        <v>88</v>
      </c>
      <c r="S216" t="s">
        <v>88</v>
      </c>
      <c r="T216" t="s">
        <v>88</v>
      </c>
      <c r="U216" t="s">
        <v>20</v>
      </c>
    </row>
    <row r="217" spans="1:21" ht="14.25" customHeight="1" x14ac:dyDescent="0.45">
      <c r="A217" s="79">
        <v>131341792</v>
      </c>
      <c r="B217" s="29" t="str">
        <f t="shared" si="11"/>
        <v>13.134.179-2</v>
      </c>
      <c r="C217" s="22" t="s">
        <v>38</v>
      </c>
      <c r="D217" s="29" t="s">
        <v>1450</v>
      </c>
      <c r="E217" s="29" t="s">
        <v>363</v>
      </c>
      <c r="F217" s="29" t="s">
        <v>482</v>
      </c>
      <c r="G217" s="49">
        <v>45561</v>
      </c>
      <c r="H217" s="49">
        <v>45565</v>
      </c>
      <c r="I217" s="29"/>
      <c r="J217" s="29"/>
      <c r="K217" s="24" t="s">
        <v>43</v>
      </c>
      <c r="L217" s="49">
        <v>45561</v>
      </c>
      <c r="M217" s="49">
        <v>45565</v>
      </c>
      <c r="N217" s="29">
        <f t="shared" si="10"/>
        <v>4</v>
      </c>
      <c r="O217" s="29"/>
      <c r="P217" t="s">
        <v>88</v>
      </c>
      <c r="Q217" t="s">
        <v>88</v>
      </c>
      <c r="R217" t="s">
        <v>88</v>
      </c>
      <c r="S217" t="s">
        <v>88</v>
      </c>
      <c r="T217" t="s">
        <v>88</v>
      </c>
      <c r="U217" t="s">
        <v>20</v>
      </c>
    </row>
    <row r="218" spans="1:21" ht="14.25" customHeight="1" x14ac:dyDescent="0.45">
      <c r="A218" s="79">
        <v>160112980</v>
      </c>
      <c r="B218" s="29" t="str">
        <f t="shared" si="11"/>
        <v>16.011.298-0</v>
      </c>
      <c r="C218" s="22" t="s">
        <v>38</v>
      </c>
      <c r="D218" s="29" t="s">
        <v>746</v>
      </c>
      <c r="E218" s="29" t="s">
        <v>465</v>
      </c>
      <c r="F218" s="29" t="s">
        <v>646</v>
      </c>
      <c r="G218" s="49">
        <v>45555</v>
      </c>
      <c r="H218" s="49"/>
      <c r="I218" s="29"/>
      <c r="J218" s="29"/>
      <c r="K218" s="24" t="s">
        <v>43</v>
      </c>
      <c r="L218" s="49">
        <v>45557</v>
      </c>
      <c r="M218" s="49">
        <v>45565</v>
      </c>
      <c r="N218" s="29">
        <f t="shared" ref="N218:N225" si="12">+M218-L218</f>
        <v>8</v>
      </c>
      <c r="O218" s="29"/>
      <c r="P218" t="s">
        <v>88</v>
      </c>
      <c r="Q218" t="s">
        <v>88</v>
      </c>
      <c r="R218" t="s">
        <v>88</v>
      </c>
      <c r="S218" t="s">
        <v>88</v>
      </c>
      <c r="T218" t="s">
        <v>88</v>
      </c>
      <c r="U218" t="s">
        <v>20</v>
      </c>
    </row>
    <row r="219" spans="1:21" ht="14.25" customHeight="1" x14ac:dyDescent="0.45">
      <c r="A219" s="79">
        <v>160112980</v>
      </c>
      <c r="B219" s="29" t="str">
        <f t="shared" si="11"/>
        <v>16.011.298-0</v>
      </c>
      <c r="C219" s="22" t="str">
        <f>IF(IFERROR(VLOOKUP(A219,$A$10:$I218,1,0),0)=0,"",VLOOKUP(A219,$A$10:$I218,3,0))</f>
        <v xml:space="preserve">Sala de cuidados intermedios </v>
      </c>
      <c r="D219" s="29" t="str">
        <f>IF(IFERROR(VLOOKUP(A219,$A$10:$I218,1,0),0)=0,"",VLOOKUP(A219,$A$10:$I218,4,0))</f>
        <v>LEONARDO</v>
      </c>
      <c r="E219" s="29" t="str">
        <f>IF(IFERROR(VLOOKUP(A219,$A$10:$I218,1,0),0)=0,"",VLOOKUP(A219,$A$10:$I218,5,0))</f>
        <v>NAVARRO</v>
      </c>
      <c r="F219" s="29" t="str">
        <f>IF(IFERROR(VLOOKUP(A219,$A$10:$I218,1,0),0)=0,"",VLOOKUP(A219,$A$10:$I218,6,0))</f>
        <v>ARRIAGADA</v>
      </c>
      <c r="G219" s="49">
        <f>IF(IFERROR(VLOOKUP(A219,$A$10:$I218,1,0),0)=0,"",VLOOKUP(A219,$A$10:$I218,7,0))</f>
        <v>45555</v>
      </c>
      <c r="H219" s="29"/>
      <c r="I219" s="29"/>
      <c r="J219" s="29"/>
      <c r="K219" s="24" t="s">
        <v>47</v>
      </c>
      <c r="L219" s="49">
        <v>45555</v>
      </c>
      <c r="M219" s="49">
        <v>45565</v>
      </c>
      <c r="N219" s="29">
        <f t="shared" si="12"/>
        <v>10</v>
      </c>
      <c r="O219" s="29"/>
      <c r="P219" t="s">
        <v>88</v>
      </c>
      <c r="Q219" t="s">
        <v>88</v>
      </c>
      <c r="R219" t="s">
        <v>88</v>
      </c>
      <c r="S219" t="s">
        <v>88</v>
      </c>
      <c r="T219" t="s">
        <v>88</v>
      </c>
      <c r="U219" t="s">
        <v>20</v>
      </c>
    </row>
    <row r="220" spans="1:21" ht="14.25" customHeight="1" x14ac:dyDescent="0.45">
      <c r="A220" s="79" t="s">
        <v>1451</v>
      </c>
      <c r="B220" s="29" t="str">
        <f t="shared" si="11"/>
        <v>8.617.409-k</v>
      </c>
      <c r="C220" s="22" t="s">
        <v>46</v>
      </c>
      <c r="D220" s="29" t="s">
        <v>885</v>
      </c>
      <c r="E220" s="29" t="s">
        <v>559</v>
      </c>
      <c r="F220" s="29" t="s">
        <v>708</v>
      </c>
      <c r="G220" s="49">
        <v>45558</v>
      </c>
      <c r="H220" s="49">
        <v>45565</v>
      </c>
      <c r="I220" s="29"/>
      <c r="J220" s="29"/>
      <c r="K220" s="24" t="s">
        <v>47</v>
      </c>
      <c r="L220" s="49">
        <v>45558</v>
      </c>
      <c r="M220" s="49">
        <v>45565</v>
      </c>
      <c r="N220" s="29">
        <f t="shared" si="12"/>
        <v>7</v>
      </c>
      <c r="O220" s="29"/>
      <c r="P220" t="s">
        <v>88</v>
      </c>
      <c r="Q220" t="s">
        <v>88</v>
      </c>
      <c r="R220" t="s">
        <v>88</v>
      </c>
      <c r="S220" t="s">
        <v>88</v>
      </c>
      <c r="T220" t="s">
        <v>88</v>
      </c>
      <c r="U220" t="s">
        <v>20</v>
      </c>
    </row>
    <row r="221" spans="1:21" ht="14.25" customHeight="1" x14ac:dyDescent="0.45">
      <c r="A221" s="79">
        <v>54975392</v>
      </c>
      <c r="B221" s="29" t="str">
        <f t="shared" si="11"/>
        <v>5.497.539-2</v>
      </c>
      <c r="C221" s="22" t="s">
        <v>46</v>
      </c>
      <c r="D221" s="29" t="s">
        <v>250</v>
      </c>
      <c r="E221" s="29" t="s">
        <v>1452</v>
      </c>
      <c r="F221" s="29" t="s">
        <v>248</v>
      </c>
      <c r="G221" s="49">
        <v>45557</v>
      </c>
      <c r="H221" s="49">
        <v>45569</v>
      </c>
      <c r="I221" s="29"/>
      <c r="J221" s="29"/>
      <c r="K221" s="24" t="s">
        <v>43</v>
      </c>
      <c r="L221" s="49">
        <v>45557</v>
      </c>
      <c r="M221" s="49">
        <v>45565</v>
      </c>
      <c r="N221" s="29">
        <f t="shared" si="12"/>
        <v>8</v>
      </c>
      <c r="O221" s="29"/>
      <c r="P221" t="s">
        <v>88</v>
      </c>
      <c r="Q221" t="s">
        <v>88</v>
      </c>
      <c r="R221" t="s">
        <v>88</v>
      </c>
      <c r="S221" t="s">
        <v>88</v>
      </c>
      <c r="T221" t="s">
        <v>88</v>
      </c>
      <c r="U221" t="s">
        <v>20</v>
      </c>
    </row>
    <row r="222" spans="1:21" ht="14.25" customHeight="1" x14ac:dyDescent="0.45">
      <c r="A222" s="79">
        <v>94486149</v>
      </c>
      <c r="B222" s="29" t="str">
        <f t="shared" si="11"/>
        <v>9.448.614-9</v>
      </c>
      <c r="C222" s="22" t="s">
        <v>46</v>
      </c>
      <c r="D222" s="29" t="s">
        <v>1453</v>
      </c>
      <c r="E222" s="29" t="s">
        <v>1454</v>
      </c>
      <c r="F222" s="29" t="s">
        <v>303</v>
      </c>
      <c r="G222" s="49">
        <v>45560</v>
      </c>
      <c r="H222" s="49">
        <v>45565</v>
      </c>
      <c r="I222" s="29"/>
      <c r="J222" s="29"/>
      <c r="K222" s="24" t="s">
        <v>47</v>
      </c>
      <c r="L222" s="49">
        <v>45560</v>
      </c>
      <c r="M222" s="49">
        <v>45565</v>
      </c>
      <c r="N222" s="29">
        <f t="shared" si="12"/>
        <v>5</v>
      </c>
      <c r="O222" s="29"/>
      <c r="P222" t="s">
        <v>88</v>
      </c>
      <c r="Q222" t="s">
        <v>88</v>
      </c>
      <c r="R222" t="s">
        <v>88</v>
      </c>
      <c r="S222" t="s">
        <v>88</v>
      </c>
      <c r="T222" t="s">
        <v>88</v>
      </c>
      <c r="U222" t="s">
        <v>20</v>
      </c>
    </row>
    <row r="223" spans="1:21" ht="14.25" customHeight="1" x14ac:dyDescent="0.45">
      <c r="A223" s="79">
        <v>95688098</v>
      </c>
      <c r="B223" s="29" t="str">
        <f t="shared" si="11"/>
        <v>9.568.809-8</v>
      </c>
      <c r="C223" s="22" t="s">
        <v>46</v>
      </c>
      <c r="D223" s="29" t="s">
        <v>1407</v>
      </c>
      <c r="E223" s="29" t="s">
        <v>384</v>
      </c>
      <c r="F223" s="29" t="s">
        <v>670</v>
      </c>
      <c r="G223" s="49">
        <v>45534</v>
      </c>
      <c r="H223" s="29"/>
      <c r="I223" s="29"/>
      <c r="J223" s="29"/>
      <c r="K223" s="24" t="s">
        <v>43</v>
      </c>
      <c r="L223" s="49">
        <v>45560</v>
      </c>
      <c r="M223" s="49">
        <v>45565</v>
      </c>
      <c r="N223" s="29">
        <f t="shared" si="12"/>
        <v>5</v>
      </c>
      <c r="O223" s="29"/>
      <c r="P223" t="s">
        <v>88</v>
      </c>
      <c r="Q223" t="s">
        <v>88</v>
      </c>
      <c r="R223" t="s">
        <v>88</v>
      </c>
      <c r="S223" t="s">
        <v>88</v>
      </c>
      <c r="T223" t="s">
        <v>88</v>
      </c>
      <c r="U223" t="s">
        <v>20</v>
      </c>
    </row>
    <row r="224" spans="1:21" ht="14.25" customHeight="1" x14ac:dyDescent="0.45">
      <c r="A224" s="79" t="s">
        <v>1455</v>
      </c>
      <c r="B224" s="29" t="str">
        <f t="shared" si="11"/>
        <v>6.203.781-4</v>
      </c>
      <c r="C224" s="22" t="s">
        <v>46</v>
      </c>
      <c r="D224" s="29" t="s">
        <v>348</v>
      </c>
      <c r="E224" s="29" t="s">
        <v>1456</v>
      </c>
      <c r="F224" s="29" t="s">
        <v>318</v>
      </c>
      <c r="G224" s="49">
        <v>45551</v>
      </c>
      <c r="H224" s="49">
        <v>45565</v>
      </c>
      <c r="I224" s="29"/>
      <c r="J224" s="29"/>
      <c r="K224" s="24" t="s">
        <v>47</v>
      </c>
      <c r="L224" s="49">
        <v>45561</v>
      </c>
      <c r="M224" s="49">
        <v>45565</v>
      </c>
      <c r="N224" s="29">
        <f t="shared" si="12"/>
        <v>4</v>
      </c>
      <c r="O224" s="29"/>
      <c r="P224" t="s">
        <v>88</v>
      </c>
      <c r="Q224" t="s">
        <v>88</v>
      </c>
      <c r="R224" t="s">
        <v>88</v>
      </c>
      <c r="S224" t="s">
        <v>88</v>
      </c>
      <c r="T224" t="s">
        <v>88</v>
      </c>
      <c r="U224" t="s">
        <v>20</v>
      </c>
    </row>
    <row r="225" spans="1:21" x14ac:dyDescent="0.45">
      <c r="A225" s="79">
        <v>119847818</v>
      </c>
      <c r="B225" s="29" t="str">
        <f t="shared" si="11"/>
        <v>11.984.781-8</v>
      </c>
      <c r="C225" s="22" t="s">
        <v>46</v>
      </c>
      <c r="D225" s="29" t="s">
        <v>348</v>
      </c>
      <c r="E225" s="29" t="s">
        <v>498</v>
      </c>
      <c r="F225" s="29" t="s">
        <v>660</v>
      </c>
      <c r="G225" s="49">
        <v>45548</v>
      </c>
      <c r="H225" s="29"/>
      <c r="I225" s="29"/>
      <c r="J225" s="29"/>
      <c r="K225" s="24" t="s">
        <v>47</v>
      </c>
      <c r="L225" s="49">
        <v>45548</v>
      </c>
      <c r="M225" s="49">
        <v>45565</v>
      </c>
      <c r="N225" s="29">
        <f t="shared" si="12"/>
        <v>17</v>
      </c>
      <c r="O225" s="29" t="str">
        <f>IF(IFERROR(VLOOKUP(M225,$A$10:$I224,1,0),0)=0,"",VLOOKUP(M225,$A$10:$I224,4,0))</f>
        <v/>
      </c>
      <c r="P225" t="s">
        <v>88</v>
      </c>
      <c r="Q225" t="s">
        <v>88</v>
      </c>
      <c r="R225" t="s">
        <v>88</v>
      </c>
      <c r="S225" t="s">
        <v>88</v>
      </c>
      <c r="T225" t="s">
        <v>88</v>
      </c>
      <c r="U225" t="s">
        <v>20</v>
      </c>
    </row>
    <row r="226" spans="1:21" x14ac:dyDescent="0.45">
      <c r="U226">
        <f>COUNTIF(U8:U225,"si")</f>
        <v>3</v>
      </c>
    </row>
  </sheetData>
  <dataValidations count="2">
    <dataValidation allowBlank="1" showInputMessage="1" sqref="O1:O7" xr:uid="{00000000-0002-0000-0A00-000000000000}"/>
    <dataValidation allowBlank="1" sqref="N1:N7" xr:uid="{00000000-0002-0000-0A00-000001000000}"/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266"/>
  <sheetViews>
    <sheetView topLeftCell="A239" zoomScale="80" zoomScaleNormal="80" workbookViewId="0">
      <pane xSplit="2" topLeftCell="L1" activePane="topRight" state="frozen"/>
      <selection pane="topRight" activeCell="U241" sqref="U241"/>
    </sheetView>
  </sheetViews>
  <sheetFormatPr baseColWidth="10" defaultRowHeight="14.25" x14ac:dyDescent="0.45"/>
  <cols>
    <col min="3" max="3" width="12.796875" customWidth="1"/>
    <col min="11" max="11" width="24.46484375" customWidth="1"/>
    <col min="12" max="13" width="11.46484375" style="32" customWidth="1"/>
  </cols>
  <sheetData>
    <row r="1" spans="1:21" x14ac:dyDescent="0.45">
      <c r="A1" s="94" t="s">
        <v>215</v>
      </c>
      <c r="B1" s="1"/>
      <c r="C1" s="94"/>
      <c r="D1" s="1"/>
      <c r="E1" s="1"/>
      <c r="F1" s="1"/>
      <c r="G1" s="103"/>
      <c r="H1" s="1"/>
      <c r="I1" s="1"/>
      <c r="J1" s="2"/>
      <c r="K1" s="87"/>
      <c r="L1" s="103"/>
      <c r="M1" s="103"/>
      <c r="N1" s="1"/>
      <c r="O1" s="1"/>
    </row>
    <row r="2" spans="1:21" x14ac:dyDescent="0.45">
      <c r="A2" s="122"/>
      <c r="B2" s="3"/>
      <c r="C2" s="67"/>
      <c r="D2" s="3"/>
      <c r="E2" s="3"/>
      <c r="F2" s="3"/>
      <c r="G2" s="104"/>
      <c r="H2" s="3"/>
      <c r="I2" s="3"/>
      <c r="J2" s="54"/>
      <c r="K2" s="88"/>
      <c r="L2" s="104"/>
      <c r="M2" s="104"/>
      <c r="N2" s="3"/>
      <c r="O2" s="3"/>
    </row>
    <row r="3" spans="1:21" x14ac:dyDescent="0.45">
      <c r="A3" s="123" t="s">
        <v>216</v>
      </c>
      <c r="B3" s="6"/>
      <c r="C3" s="95" t="s">
        <v>22</v>
      </c>
      <c r="D3" s="6" t="s">
        <v>217</v>
      </c>
      <c r="E3" s="7" t="s">
        <v>1091</v>
      </c>
      <c r="F3" s="6" t="s">
        <v>218</v>
      </c>
      <c r="G3" s="105"/>
      <c r="H3" s="6" t="s">
        <v>219</v>
      </c>
      <c r="I3" s="7">
        <v>2024</v>
      </c>
      <c r="J3" s="55"/>
      <c r="K3" s="89"/>
      <c r="L3" s="112"/>
      <c r="M3" s="112"/>
      <c r="N3" s="6"/>
      <c r="O3" s="6"/>
    </row>
    <row r="4" spans="1:21" x14ac:dyDescent="0.45">
      <c r="A4" s="122"/>
      <c r="B4" s="3"/>
      <c r="C4" s="67"/>
      <c r="D4" s="3"/>
      <c r="E4" s="3"/>
      <c r="F4" s="3"/>
      <c r="G4" s="104"/>
      <c r="H4" s="3"/>
      <c r="I4" s="3"/>
      <c r="J4" s="54"/>
      <c r="K4" s="90"/>
      <c r="L4" s="104"/>
      <c r="M4" s="104"/>
      <c r="N4" s="3"/>
      <c r="O4" s="3"/>
    </row>
    <row r="5" spans="1:21" x14ac:dyDescent="0.45">
      <c r="A5" s="122"/>
      <c r="B5" s="3"/>
      <c r="C5" s="67"/>
      <c r="E5" s="3"/>
      <c r="F5" s="3"/>
      <c r="G5" s="104"/>
      <c r="H5" s="3"/>
      <c r="I5" s="3"/>
      <c r="J5" s="54"/>
      <c r="K5" s="90"/>
      <c r="L5" s="104"/>
      <c r="M5" s="104"/>
      <c r="N5" s="3"/>
      <c r="O5" s="3"/>
    </row>
    <row r="6" spans="1:21" ht="14.65" customHeight="1" thickBot="1" x14ac:dyDescent="0.5">
      <c r="A6" s="122"/>
      <c r="B6" s="3"/>
      <c r="C6" s="67"/>
      <c r="D6" s="3"/>
      <c r="E6" s="3"/>
      <c r="F6" s="3"/>
      <c r="G6" s="104"/>
      <c r="H6" s="3"/>
      <c r="I6" s="3"/>
      <c r="J6" s="54"/>
      <c r="K6" s="90"/>
      <c r="L6" s="104"/>
      <c r="M6" s="104"/>
      <c r="N6" s="3"/>
      <c r="O6" s="3"/>
    </row>
    <row r="7" spans="1:21" ht="28.5" customHeight="1" x14ac:dyDescent="0.45">
      <c r="A7" s="124" t="s">
        <v>220</v>
      </c>
      <c r="B7" s="11" t="s">
        <v>221</v>
      </c>
      <c r="C7" s="96" t="s">
        <v>222</v>
      </c>
      <c r="D7" s="11" t="s">
        <v>225</v>
      </c>
      <c r="E7" s="12" t="s">
        <v>223</v>
      </c>
      <c r="F7" s="12" t="s">
        <v>224</v>
      </c>
      <c r="G7" s="106" t="s">
        <v>226</v>
      </c>
      <c r="H7" s="12" t="s">
        <v>227</v>
      </c>
      <c r="I7" s="11" t="s">
        <v>4</v>
      </c>
      <c r="J7" s="86" t="s">
        <v>5</v>
      </c>
      <c r="K7" s="91" t="s">
        <v>3</v>
      </c>
      <c r="L7" s="106" t="s">
        <v>228</v>
      </c>
      <c r="M7" s="106" t="s">
        <v>229</v>
      </c>
      <c r="N7" s="14" t="s">
        <v>230</v>
      </c>
      <c r="O7" s="16" t="s">
        <v>7</v>
      </c>
      <c r="P7" s="127" t="s">
        <v>231</v>
      </c>
      <c r="Q7" s="127" t="s">
        <v>232</v>
      </c>
      <c r="R7" s="127" t="s">
        <v>233</v>
      </c>
      <c r="S7" s="127" t="s">
        <v>234</v>
      </c>
      <c r="T7" s="127" t="s">
        <v>235</v>
      </c>
      <c r="U7" s="127" t="s">
        <v>8</v>
      </c>
    </row>
    <row r="8" spans="1:21" ht="15.75" customHeight="1" x14ac:dyDescent="0.45">
      <c r="A8" s="79">
        <v>144205081</v>
      </c>
      <c r="B8" s="29" t="str">
        <f t="shared" ref="B8:B71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14.420.508-1</v>
      </c>
      <c r="C8" s="22" t="s">
        <v>22</v>
      </c>
      <c r="D8" s="29" t="s">
        <v>638</v>
      </c>
      <c r="E8" s="29" t="s">
        <v>426</v>
      </c>
      <c r="F8" s="29" t="s">
        <v>323</v>
      </c>
      <c r="G8" s="49">
        <v>45533</v>
      </c>
      <c r="H8" s="29"/>
      <c r="I8" s="29" t="s">
        <v>46</v>
      </c>
      <c r="J8" s="29" t="s">
        <v>22</v>
      </c>
      <c r="K8" s="24" t="s">
        <v>43</v>
      </c>
      <c r="L8" s="49">
        <v>45566</v>
      </c>
      <c r="M8" s="49">
        <v>45568</v>
      </c>
      <c r="N8" s="29">
        <f t="shared" ref="N8:N71" si="1">+M8-L8</f>
        <v>2</v>
      </c>
      <c r="O8" s="29"/>
      <c r="P8" t="s">
        <v>88</v>
      </c>
      <c r="Q8" t="s">
        <v>88</v>
      </c>
      <c r="R8" t="s">
        <v>88</v>
      </c>
      <c r="S8" t="s">
        <v>88</v>
      </c>
      <c r="T8" t="s">
        <v>88</v>
      </c>
      <c r="U8" t="s">
        <v>20</v>
      </c>
    </row>
    <row r="9" spans="1:21" ht="15.75" customHeight="1" x14ac:dyDescent="0.45">
      <c r="A9" s="79">
        <v>144205081</v>
      </c>
      <c r="B9" s="29" t="str">
        <f t="shared" si="0"/>
        <v>14.420.508-1</v>
      </c>
      <c r="C9" s="22" t="str">
        <f>IF(IFERROR(VLOOKUP(A9,$A8:$I$10,1,0),0)=0,"",VLOOKUP(A9,$A8:$I$10,3,0))</f>
        <v>UCI</v>
      </c>
      <c r="D9" s="29" t="str">
        <f>IF(IFERROR(VLOOKUP(A9,$A8:$I$10,1,0),0)=0,"",VLOOKUP(A9,$A8:$I$10,4,0))</f>
        <v>CARLOS</v>
      </c>
      <c r="E9" s="29" t="str">
        <f>IF(IFERROR(VLOOKUP(A9,$A8:$I$10,1,0),0)=0,"",VLOOKUP(A9,$A8:$I$10,5,0))</f>
        <v>GODOY</v>
      </c>
      <c r="F9" s="29" t="str">
        <f>IF(IFERROR(VLOOKUP(A9,$A8:$I$10,1,0),0)=0,"",VLOOKUP(A9,$A8:$I$10,6,0))</f>
        <v>BASCUÑAN</v>
      </c>
      <c r="G9" s="49">
        <f>IF(IFERROR(VLOOKUP(A9,$A8:$I$10,1,0),0)=0,"",VLOOKUP(A9,$A8:$I$10,7,0))</f>
        <v>45533</v>
      </c>
      <c r="H9" s="29"/>
      <c r="I9" s="29" t="s">
        <v>46</v>
      </c>
      <c r="J9" s="29" t="s">
        <v>22</v>
      </c>
      <c r="K9" s="24" t="s">
        <v>47</v>
      </c>
      <c r="L9" s="49">
        <v>45566</v>
      </c>
      <c r="M9" s="49">
        <v>45594</v>
      </c>
      <c r="N9" s="29">
        <f t="shared" si="1"/>
        <v>28</v>
      </c>
      <c r="O9" s="29"/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20</v>
      </c>
    </row>
    <row r="10" spans="1:21" ht="15.75" customHeight="1" x14ac:dyDescent="0.45">
      <c r="A10" s="79">
        <v>144205081</v>
      </c>
      <c r="B10" s="29" t="str">
        <f t="shared" si="0"/>
        <v>14.420.508-1</v>
      </c>
      <c r="C10" s="22" t="str">
        <f>IF(IFERROR(VLOOKUP(A10,$A9:$I$10,1,0),0)=0,"",VLOOKUP(A10,$A9:$I$10,3,0))</f>
        <v>UCI</v>
      </c>
      <c r="D10" s="29" t="str">
        <f>IF(IFERROR(VLOOKUP(A10,$A9:$I$10,1,0),0)=0,"",VLOOKUP(A10,$A9:$I$10,4,0))</f>
        <v>CARLOS</v>
      </c>
      <c r="E10" s="29" t="str">
        <f>IF(IFERROR(VLOOKUP(A10,$A9:$I$10,1,0),0)=0,"",VLOOKUP(A10,$A9:$I$10,5,0))</f>
        <v>GODOY</v>
      </c>
      <c r="F10" s="29" t="str">
        <f>IF(IFERROR(VLOOKUP(A10,$A9:$I$10,1,0),0)=0,"",VLOOKUP(A10,$A9:$I$10,6,0))</f>
        <v>BASCUÑAN</v>
      </c>
      <c r="G10" s="49">
        <f>IF(IFERROR(VLOOKUP(A10,$A9:$I$10,1,0),0)=0,"",VLOOKUP(A10,$A9:$I$10,7,0))</f>
        <v>45533</v>
      </c>
      <c r="H10" s="29"/>
      <c r="I10" s="29" t="s">
        <v>46</v>
      </c>
      <c r="J10" s="29" t="s">
        <v>22</v>
      </c>
      <c r="K10" s="24" t="s">
        <v>55</v>
      </c>
      <c r="L10" s="49">
        <v>45566</v>
      </c>
      <c r="M10" s="49">
        <v>45594</v>
      </c>
      <c r="N10" s="29">
        <f t="shared" si="1"/>
        <v>28</v>
      </c>
      <c r="O10" s="29"/>
      <c r="P10" t="s">
        <v>132</v>
      </c>
      <c r="Q10" t="s">
        <v>88</v>
      </c>
      <c r="R10" t="s">
        <v>88</v>
      </c>
      <c r="S10" t="s">
        <v>88</v>
      </c>
      <c r="T10" t="s">
        <v>88</v>
      </c>
      <c r="U10" t="s">
        <v>14</v>
      </c>
    </row>
    <row r="11" spans="1:21" ht="15.75" customHeight="1" x14ac:dyDescent="0.45">
      <c r="A11" s="79">
        <v>285023882</v>
      </c>
      <c r="B11" s="29" t="str">
        <f t="shared" si="0"/>
        <v>28.502.388-2</v>
      </c>
      <c r="C11" s="22" t="s">
        <v>16</v>
      </c>
      <c r="D11" s="29" t="s">
        <v>1388</v>
      </c>
      <c r="E11" s="29" t="s">
        <v>307</v>
      </c>
      <c r="F11" s="29" t="s">
        <v>435</v>
      </c>
      <c r="G11" s="49">
        <v>45509</v>
      </c>
      <c r="H11" s="29"/>
      <c r="I11" s="29"/>
      <c r="J11" s="29"/>
      <c r="K11" s="24" t="s">
        <v>55</v>
      </c>
      <c r="L11" s="49">
        <v>45566</v>
      </c>
      <c r="M11" s="49">
        <v>45576</v>
      </c>
      <c r="N11" s="29">
        <f t="shared" si="1"/>
        <v>10</v>
      </c>
      <c r="O11" s="29"/>
      <c r="P11" t="s">
        <v>88</v>
      </c>
      <c r="Q11" t="s">
        <v>88</v>
      </c>
      <c r="R11" t="s">
        <v>88</v>
      </c>
      <c r="S11" t="s">
        <v>88</v>
      </c>
      <c r="T11" t="s">
        <v>88</v>
      </c>
      <c r="U11" t="s">
        <v>20</v>
      </c>
    </row>
    <row r="12" spans="1:21" ht="15.75" customHeight="1" x14ac:dyDescent="0.45">
      <c r="A12" s="79">
        <v>100823314</v>
      </c>
      <c r="B12" s="29" t="str">
        <f t="shared" si="0"/>
        <v>10.082.331-4</v>
      </c>
      <c r="C12" s="22" t="s">
        <v>46</v>
      </c>
      <c r="D12" s="29" t="s">
        <v>1350</v>
      </c>
      <c r="E12" s="29" t="s">
        <v>310</v>
      </c>
      <c r="F12" s="29" t="s">
        <v>1265</v>
      </c>
      <c r="G12" s="49">
        <v>45530</v>
      </c>
      <c r="H12" s="49">
        <v>45570</v>
      </c>
      <c r="I12" s="29"/>
      <c r="J12" s="29" t="s">
        <v>13</v>
      </c>
      <c r="K12" s="24" t="s">
        <v>18</v>
      </c>
      <c r="L12" s="49">
        <v>45566</v>
      </c>
      <c r="M12" s="49">
        <v>45570</v>
      </c>
      <c r="N12" s="29">
        <f t="shared" si="1"/>
        <v>4</v>
      </c>
      <c r="O12" s="29"/>
      <c r="P12" t="s">
        <v>88</v>
      </c>
      <c r="Q12" t="s">
        <v>88</v>
      </c>
      <c r="R12" t="s">
        <v>88</v>
      </c>
      <c r="S12" t="s">
        <v>88</v>
      </c>
      <c r="T12" t="s">
        <v>88</v>
      </c>
      <c r="U12" t="s">
        <v>20</v>
      </c>
    </row>
    <row r="13" spans="1:21" ht="15.75" customHeight="1" x14ac:dyDescent="0.45">
      <c r="A13" s="79">
        <v>116630788</v>
      </c>
      <c r="B13" s="29" t="str">
        <f t="shared" si="0"/>
        <v>11.663.078-8</v>
      </c>
      <c r="C13" s="22" t="s">
        <v>22</v>
      </c>
      <c r="D13" s="29" t="s">
        <v>336</v>
      </c>
      <c r="E13" s="29" t="s">
        <v>315</v>
      </c>
      <c r="F13" s="29" t="s">
        <v>1287</v>
      </c>
      <c r="G13" s="49">
        <v>45538</v>
      </c>
      <c r="H13" s="29"/>
      <c r="I13" s="29" t="s">
        <v>22</v>
      </c>
      <c r="J13" s="29"/>
      <c r="K13" s="24" t="s">
        <v>18</v>
      </c>
      <c r="L13" s="49">
        <v>45566</v>
      </c>
      <c r="M13" s="49">
        <v>45596</v>
      </c>
      <c r="N13" s="29">
        <f t="shared" si="1"/>
        <v>30</v>
      </c>
      <c r="O13" s="29"/>
      <c r="P13" t="s">
        <v>88</v>
      </c>
      <c r="Q13" t="s">
        <v>88</v>
      </c>
      <c r="R13" t="s">
        <v>88</v>
      </c>
      <c r="S13" t="s">
        <v>88</v>
      </c>
      <c r="T13" t="s">
        <v>88</v>
      </c>
      <c r="U13" t="s">
        <v>20</v>
      </c>
    </row>
    <row r="14" spans="1:21" ht="15.75" customHeight="1" x14ac:dyDescent="0.45">
      <c r="A14" s="79">
        <v>116630788</v>
      </c>
      <c r="B14" s="29" t="str">
        <f t="shared" si="0"/>
        <v>11.663.078-8</v>
      </c>
      <c r="C14" s="22" t="s">
        <v>22</v>
      </c>
      <c r="D14" s="29" t="str">
        <f>IF(IFERROR(VLOOKUP(A14,$A$10:$I13,1,0),0)=0,"",VLOOKUP(A14,$A$10:$I13,4,0))</f>
        <v>ANA</v>
      </c>
      <c r="E14" s="29" t="str">
        <f>IF(IFERROR(VLOOKUP(A14,$A$10:$I13,1,0),0)=0,"",VLOOKUP(A14,$A$10:$I13,5,0))</f>
        <v>ARIAS</v>
      </c>
      <c r="F14" s="29" t="str">
        <f>IF(IFERROR(VLOOKUP(A14,$A$10:$I13,1,0),0)=0,"",VLOOKUP(A14,$A$10:$I13,6,0))</f>
        <v>ARANCIBIA</v>
      </c>
      <c r="G14" s="49">
        <v>45538</v>
      </c>
      <c r="H14" s="29"/>
      <c r="I14" s="29" t="s">
        <v>22</v>
      </c>
      <c r="J14" s="29"/>
      <c r="K14" s="24" t="s">
        <v>55</v>
      </c>
      <c r="L14" s="49">
        <v>45566</v>
      </c>
      <c r="M14" s="49">
        <v>45572</v>
      </c>
      <c r="N14" s="29">
        <f t="shared" si="1"/>
        <v>6</v>
      </c>
      <c r="O14" s="29"/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20</v>
      </c>
    </row>
    <row r="15" spans="1:21" ht="15.75" customHeight="1" x14ac:dyDescent="0.45">
      <c r="A15" s="79">
        <v>284458796</v>
      </c>
      <c r="B15" s="29" t="str">
        <f t="shared" si="0"/>
        <v>28.445.879-6</v>
      </c>
      <c r="C15" s="22" t="s">
        <v>10</v>
      </c>
      <c r="D15" s="29" t="s">
        <v>524</v>
      </c>
      <c r="E15" s="29" t="s">
        <v>461</v>
      </c>
      <c r="F15" s="29" t="s">
        <v>1115</v>
      </c>
      <c r="G15" s="49">
        <v>45531</v>
      </c>
      <c r="H15" s="29"/>
      <c r="I15" s="29" t="s">
        <v>16</v>
      </c>
      <c r="J15" s="29"/>
      <c r="K15" s="24" t="s">
        <v>43</v>
      </c>
      <c r="L15" s="49">
        <v>45566</v>
      </c>
      <c r="M15" s="49">
        <v>45596</v>
      </c>
      <c r="N15" s="29">
        <f t="shared" si="1"/>
        <v>30</v>
      </c>
      <c r="O15" s="29"/>
      <c r="P15" t="s">
        <v>95</v>
      </c>
      <c r="Q15" t="s">
        <v>96</v>
      </c>
      <c r="R15" t="s">
        <v>88</v>
      </c>
      <c r="S15" t="s">
        <v>88</v>
      </c>
      <c r="T15" t="s">
        <v>88</v>
      </c>
      <c r="U15" t="s">
        <v>14</v>
      </c>
    </row>
    <row r="16" spans="1:21" ht="15.75" customHeight="1" x14ac:dyDescent="0.45">
      <c r="A16" s="79">
        <v>116630788</v>
      </c>
      <c r="B16" s="29" t="str">
        <f t="shared" si="0"/>
        <v>11.663.078-8</v>
      </c>
      <c r="C16" s="22" t="s">
        <v>22</v>
      </c>
      <c r="D16" s="29" t="str">
        <f>IF(IFERROR(VLOOKUP(A16,$A$10:$I15,1,0),0)=0,"",VLOOKUP(A16,$A$10:$I15,4,0))</f>
        <v>ANA</v>
      </c>
      <c r="E16" s="29" t="str">
        <f>IF(IFERROR(VLOOKUP(A16,$A$10:$I15,1,0),0)=0,"",VLOOKUP(A16,$A$10:$I15,5,0))</f>
        <v>ARIAS</v>
      </c>
      <c r="F16" s="29" t="str">
        <f>IF(IFERROR(VLOOKUP(A16,$A$10:$I15,1,0),0)=0,"",VLOOKUP(A16,$A$10:$I15,6,0))</f>
        <v>ARANCIBIA</v>
      </c>
      <c r="G16" s="49">
        <v>45538</v>
      </c>
      <c r="H16" s="29"/>
      <c r="I16" s="29" t="s">
        <v>22</v>
      </c>
      <c r="J16" s="29"/>
      <c r="K16" s="24" t="s">
        <v>47</v>
      </c>
      <c r="L16" s="49">
        <v>45566</v>
      </c>
      <c r="M16" s="49">
        <v>45596</v>
      </c>
      <c r="N16" s="29">
        <f t="shared" si="1"/>
        <v>30</v>
      </c>
      <c r="O16" s="29"/>
      <c r="P16" t="s">
        <v>88</v>
      </c>
      <c r="Q16" t="s">
        <v>88</v>
      </c>
      <c r="R16" t="s">
        <v>88</v>
      </c>
      <c r="S16" t="s">
        <v>88</v>
      </c>
      <c r="T16" t="s">
        <v>88</v>
      </c>
      <c r="U16" t="s">
        <v>20</v>
      </c>
    </row>
    <row r="17" spans="1:21" ht="15.75" customHeight="1" x14ac:dyDescent="0.45">
      <c r="A17" s="79">
        <v>76055661</v>
      </c>
      <c r="B17" s="29" t="str">
        <f t="shared" si="0"/>
        <v>7.605.566-1</v>
      </c>
      <c r="C17" s="22" t="s">
        <v>22</v>
      </c>
      <c r="D17" s="29" t="s">
        <v>629</v>
      </c>
      <c r="E17" s="29" t="s">
        <v>1147</v>
      </c>
      <c r="F17" s="29" t="s">
        <v>574</v>
      </c>
      <c r="G17" s="49">
        <v>45551</v>
      </c>
      <c r="H17" s="49">
        <v>45587</v>
      </c>
      <c r="I17" s="29"/>
      <c r="J17" s="29" t="s">
        <v>19</v>
      </c>
      <c r="K17" s="24" t="s">
        <v>43</v>
      </c>
      <c r="L17" s="49">
        <v>45566</v>
      </c>
      <c r="M17" s="49">
        <v>45587</v>
      </c>
      <c r="N17" s="29">
        <f t="shared" si="1"/>
        <v>21</v>
      </c>
      <c r="O17" s="29"/>
      <c r="P17" t="s">
        <v>88</v>
      </c>
      <c r="Q17" t="s">
        <v>88</v>
      </c>
      <c r="R17" t="s">
        <v>88</v>
      </c>
      <c r="S17" t="s">
        <v>88</v>
      </c>
      <c r="T17" t="s">
        <v>88</v>
      </c>
      <c r="U17" t="s">
        <v>20</v>
      </c>
    </row>
    <row r="18" spans="1:21" ht="15.75" customHeight="1" x14ac:dyDescent="0.45">
      <c r="A18" s="79">
        <v>76055661</v>
      </c>
      <c r="B18" s="29" t="str">
        <f t="shared" si="0"/>
        <v>7.605.566-1</v>
      </c>
      <c r="C18" s="22" t="str">
        <f>IF(IFERROR(VLOOKUP(A18,$A$10:$I17,1,0),0)=0,"",VLOOKUP(A18,$A$10:$I17,3,0))</f>
        <v>UCI</v>
      </c>
      <c r="D18" s="29" t="str">
        <f>IF(IFERROR(VLOOKUP(A18,$A$10:$I17,1,0),0)=0,"",VLOOKUP(A18,$A$10:$I17,4,0))</f>
        <v>MARIO</v>
      </c>
      <c r="E18" s="29" t="str">
        <f>IF(IFERROR(VLOOKUP(A18,$A$10:$I17,1,0),0)=0,"",VLOOKUP(A18,$A$10:$I17,5,0))</f>
        <v>MONSALVEZ</v>
      </c>
      <c r="F18" s="29" t="str">
        <f>IF(IFERROR(VLOOKUP(A18,$A$10:$I17,1,0),0)=0,"",VLOOKUP(A18,$A$10:$I17,6,0))</f>
        <v>NOVOA</v>
      </c>
      <c r="G18" s="49">
        <f>IF(IFERROR(VLOOKUP(A18,$A$10:$I17,1,0),0)=0,"",VLOOKUP(A18,$A$10:$I17,7,0))</f>
        <v>45551</v>
      </c>
      <c r="H18" s="49">
        <v>45587</v>
      </c>
      <c r="I18" s="29"/>
      <c r="J18" s="29" t="s">
        <v>19</v>
      </c>
      <c r="K18" s="24" t="s">
        <v>47</v>
      </c>
      <c r="L18" s="49">
        <v>45566</v>
      </c>
      <c r="M18" s="49">
        <v>45587</v>
      </c>
      <c r="N18" s="29">
        <f t="shared" si="1"/>
        <v>21</v>
      </c>
      <c r="O18" s="29"/>
      <c r="P18" t="s">
        <v>88</v>
      </c>
      <c r="Q18" t="s">
        <v>88</v>
      </c>
      <c r="R18" t="s">
        <v>88</v>
      </c>
      <c r="S18" t="s">
        <v>88</v>
      </c>
      <c r="T18" t="s">
        <v>88</v>
      </c>
      <c r="U18" t="s">
        <v>20</v>
      </c>
    </row>
    <row r="19" spans="1:21" ht="15.75" customHeight="1" x14ac:dyDescent="0.45">
      <c r="A19" s="79">
        <v>160112980</v>
      </c>
      <c r="B19" s="29" t="str">
        <f t="shared" si="0"/>
        <v>16.011.298-0</v>
      </c>
      <c r="C19" s="22" t="s">
        <v>38</v>
      </c>
      <c r="D19" s="29" t="s">
        <v>746</v>
      </c>
      <c r="E19" s="29" t="s">
        <v>465</v>
      </c>
      <c r="F19" s="29" t="s">
        <v>646</v>
      </c>
      <c r="G19" s="49">
        <v>45555</v>
      </c>
      <c r="H19" s="49">
        <v>45574</v>
      </c>
      <c r="I19" s="29"/>
      <c r="J19" s="29" t="s">
        <v>24</v>
      </c>
      <c r="K19" s="24" t="s">
        <v>43</v>
      </c>
      <c r="L19" s="49">
        <v>45566</v>
      </c>
      <c r="M19" s="49">
        <v>45574</v>
      </c>
      <c r="N19" s="29">
        <f t="shared" si="1"/>
        <v>8</v>
      </c>
      <c r="O19" s="29"/>
      <c r="P19" t="s">
        <v>88</v>
      </c>
      <c r="Q19" t="s">
        <v>88</v>
      </c>
      <c r="R19" t="s">
        <v>88</v>
      </c>
      <c r="S19" t="s">
        <v>88</v>
      </c>
      <c r="T19" t="s">
        <v>88</v>
      </c>
      <c r="U19" t="s">
        <v>20</v>
      </c>
    </row>
    <row r="20" spans="1:21" ht="15.75" customHeight="1" x14ac:dyDescent="0.45">
      <c r="A20" s="79">
        <v>160112980</v>
      </c>
      <c r="B20" s="29" t="str">
        <f t="shared" si="0"/>
        <v>16.011.298-0</v>
      </c>
      <c r="C20" s="22" t="str">
        <f>IF(IFERROR(VLOOKUP(A20,$A$10:$I19,1,0),0)=0,"",VLOOKUP(A20,$A$10:$I19,3,0))</f>
        <v xml:space="preserve">Sala de cuidados intermedios </v>
      </c>
      <c r="D20" s="29" t="str">
        <f>IF(IFERROR(VLOOKUP(A20,$A$10:$I19,1,0),0)=0,"",VLOOKUP(A20,$A$10:$I19,4,0))</f>
        <v>LEONARDO</v>
      </c>
      <c r="E20" s="29" t="str">
        <f>IF(IFERROR(VLOOKUP(A20,$A$10:$I19,1,0),0)=0,"",VLOOKUP(A20,$A$10:$I19,5,0))</f>
        <v>NAVARRO</v>
      </c>
      <c r="F20" s="29" t="str">
        <f>IF(IFERROR(VLOOKUP(A20,$A$10:$I19,1,0),0)=0,"",VLOOKUP(A20,$A$10:$I19,6,0))</f>
        <v>ARRIAGADA</v>
      </c>
      <c r="G20" s="49">
        <f>IF(IFERROR(VLOOKUP(A20,$A$10:$I19,1,0),0)=0,"",VLOOKUP(A20,$A$10:$I19,7,0))</f>
        <v>45555</v>
      </c>
      <c r="H20" s="29"/>
      <c r="I20" s="29"/>
      <c r="J20" s="29"/>
      <c r="K20" s="24" t="s">
        <v>47</v>
      </c>
      <c r="L20" s="49">
        <v>45566</v>
      </c>
      <c r="M20" s="49">
        <v>45574</v>
      </c>
      <c r="N20" s="29">
        <f t="shared" si="1"/>
        <v>8</v>
      </c>
      <c r="O20" s="29"/>
      <c r="P20" t="s">
        <v>88</v>
      </c>
      <c r="Q20" t="s">
        <v>88</v>
      </c>
      <c r="R20" t="s">
        <v>88</v>
      </c>
      <c r="S20" t="s">
        <v>88</v>
      </c>
      <c r="T20" t="s">
        <v>88</v>
      </c>
      <c r="U20" t="s">
        <v>20</v>
      </c>
    </row>
    <row r="21" spans="1:21" ht="15.75" customHeight="1" x14ac:dyDescent="0.45">
      <c r="A21" s="79">
        <v>95688098</v>
      </c>
      <c r="B21" s="29" t="str">
        <f t="shared" si="0"/>
        <v>9.568.809-8</v>
      </c>
      <c r="C21" s="22" t="s">
        <v>46</v>
      </c>
      <c r="D21" s="29" t="s">
        <v>1407</v>
      </c>
      <c r="E21" s="29" t="s">
        <v>384</v>
      </c>
      <c r="F21" s="29" t="s">
        <v>670</v>
      </c>
      <c r="G21" s="49">
        <v>45534</v>
      </c>
      <c r="H21" s="29"/>
      <c r="I21" s="29"/>
      <c r="J21" s="29"/>
      <c r="K21" s="24" t="s">
        <v>43</v>
      </c>
      <c r="L21" s="49">
        <v>45566</v>
      </c>
      <c r="M21" s="49">
        <v>45567</v>
      </c>
      <c r="N21" s="29">
        <f t="shared" si="1"/>
        <v>1</v>
      </c>
      <c r="O21" s="29"/>
      <c r="P21" t="s">
        <v>88</v>
      </c>
      <c r="Q21" t="s">
        <v>88</v>
      </c>
      <c r="R21" t="s">
        <v>88</v>
      </c>
      <c r="S21" t="s">
        <v>88</v>
      </c>
      <c r="T21" t="s">
        <v>88</v>
      </c>
      <c r="U21" t="s">
        <v>20</v>
      </c>
    </row>
    <row r="22" spans="1:21" ht="15.75" customHeight="1" x14ac:dyDescent="0.45">
      <c r="A22" s="79">
        <v>119847818</v>
      </c>
      <c r="B22" s="29" t="str">
        <f t="shared" si="0"/>
        <v>11.984.781-8</v>
      </c>
      <c r="C22" s="22" t="s">
        <v>46</v>
      </c>
      <c r="D22" s="29" t="s">
        <v>348</v>
      </c>
      <c r="E22" s="29" t="s">
        <v>498</v>
      </c>
      <c r="F22" s="29" t="s">
        <v>660</v>
      </c>
      <c r="G22" s="49">
        <v>45560</v>
      </c>
      <c r="H22" s="49">
        <v>45572</v>
      </c>
      <c r="I22" s="29"/>
      <c r="J22" s="29"/>
      <c r="K22" s="24" t="s">
        <v>47</v>
      </c>
      <c r="L22" s="49">
        <v>45566</v>
      </c>
      <c r="M22" s="49">
        <v>45572</v>
      </c>
      <c r="N22" s="29">
        <f t="shared" si="1"/>
        <v>6</v>
      </c>
      <c r="O22" s="29"/>
      <c r="P22" t="s">
        <v>88</v>
      </c>
      <c r="Q22" t="s">
        <v>88</v>
      </c>
      <c r="R22" t="s">
        <v>88</v>
      </c>
      <c r="S22" t="s">
        <v>88</v>
      </c>
      <c r="T22" t="s">
        <v>88</v>
      </c>
      <c r="U22" t="s">
        <v>20</v>
      </c>
    </row>
    <row r="23" spans="1:21" ht="15.75" customHeight="1" x14ac:dyDescent="0.45">
      <c r="A23" s="79">
        <v>90243748</v>
      </c>
      <c r="B23" s="29" t="str">
        <f t="shared" si="0"/>
        <v>9.024.374-8</v>
      </c>
      <c r="C23" s="22" t="s">
        <v>22</v>
      </c>
      <c r="D23" s="29" t="s">
        <v>380</v>
      </c>
      <c r="E23" s="29" t="s">
        <v>1169</v>
      </c>
      <c r="F23" s="29" t="s">
        <v>277</v>
      </c>
      <c r="G23" s="49">
        <v>45572</v>
      </c>
      <c r="H23" s="49">
        <v>45575</v>
      </c>
      <c r="I23" s="29"/>
      <c r="J23" s="29" t="s">
        <v>26</v>
      </c>
      <c r="K23" s="24" t="s">
        <v>43</v>
      </c>
      <c r="L23" s="49">
        <v>45572</v>
      </c>
      <c r="M23" s="49">
        <v>45576</v>
      </c>
      <c r="N23" s="29">
        <f t="shared" si="1"/>
        <v>4</v>
      </c>
      <c r="O23" s="29"/>
      <c r="P23" t="s">
        <v>88</v>
      </c>
      <c r="Q23" t="s">
        <v>88</v>
      </c>
      <c r="R23" t="s">
        <v>88</v>
      </c>
      <c r="S23" t="s">
        <v>88</v>
      </c>
      <c r="T23" t="s">
        <v>88</v>
      </c>
      <c r="U23" t="s">
        <v>20</v>
      </c>
    </row>
    <row r="24" spans="1:21" ht="15.75" customHeight="1" x14ac:dyDescent="0.45">
      <c r="A24" s="79">
        <v>90243748</v>
      </c>
      <c r="B24" s="29" t="str">
        <f t="shared" si="0"/>
        <v>9.024.374-8</v>
      </c>
      <c r="C24" s="22" t="str">
        <f>IF(IFERROR(VLOOKUP(A24,$A$10:$I23,1,0),0)=0,"",VLOOKUP(A24,$A$10:$I23,3,0))</f>
        <v>UCI</v>
      </c>
      <c r="D24" s="29" t="str">
        <f>IF(IFERROR(VLOOKUP(A24,$A$10:$I23,1,0),0)=0,"",VLOOKUP(A24,$A$10:$I23,4,0))</f>
        <v>VICTOR</v>
      </c>
      <c r="E24" s="29" t="str">
        <f>IF(IFERROR(VLOOKUP(A24,$A$10:$I23,1,0),0)=0,"",VLOOKUP(A24,$A$10:$I23,5,0))</f>
        <v>ULLOA</v>
      </c>
      <c r="F24" s="29" t="str">
        <f>IF(IFERROR(VLOOKUP(A24,$A$10:$I23,1,0),0)=0,"",VLOOKUP(A24,$A$10:$I23,6,0))</f>
        <v>MORA</v>
      </c>
      <c r="G24" s="49">
        <v>45572</v>
      </c>
      <c r="H24" s="49">
        <v>45575</v>
      </c>
      <c r="I24" s="29"/>
      <c r="J24" s="29" t="s">
        <v>26</v>
      </c>
      <c r="K24" s="24" t="s">
        <v>47</v>
      </c>
      <c r="L24" s="49">
        <v>45572</v>
      </c>
      <c r="M24" s="49">
        <v>45574</v>
      </c>
      <c r="N24" s="29">
        <f t="shared" si="1"/>
        <v>2</v>
      </c>
      <c r="O24" s="29"/>
      <c r="P24" t="s">
        <v>88</v>
      </c>
      <c r="Q24" t="s">
        <v>88</v>
      </c>
      <c r="R24" t="s">
        <v>88</v>
      </c>
      <c r="S24" t="s">
        <v>88</v>
      </c>
      <c r="T24" t="s">
        <v>88</v>
      </c>
      <c r="U24" t="s">
        <v>20</v>
      </c>
    </row>
    <row r="25" spans="1:21" ht="15.75" customHeight="1" x14ac:dyDescent="0.45">
      <c r="A25" s="79">
        <v>163286947</v>
      </c>
      <c r="B25" s="29" t="str">
        <f t="shared" si="0"/>
        <v>16.328.694-7</v>
      </c>
      <c r="C25" s="22" t="s">
        <v>22</v>
      </c>
      <c r="D25" s="29" t="s">
        <v>487</v>
      </c>
      <c r="E25" s="29" t="s">
        <v>1457</v>
      </c>
      <c r="F25" s="29" t="s">
        <v>482</v>
      </c>
      <c r="G25" s="49">
        <v>45570</v>
      </c>
      <c r="H25" s="49">
        <v>45577</v>
      </c>
      <c r="I25" s="29"/>
      <c r="J25" s="29" t="s">
        <v>22</v>
      </c>
      <c r="K25" s="24" t="s">
        <v>43</v>
      </c>
      <c r="L25" s="49">
        <v>45570</v>
      </c>
      <c r="M25" s="49">
        <v>45577</v>
      </c>
      <c r="N25" s="29">
        <f t="shared" si="1"/>
        <v>7</v>
      </c>
      <c r="O25" s="29"/>
      <c r="P25" t="s">
        <v>88</v>
      </c>
      <c r="Q25" t="s">
        <v>88</v>
      </c>
      <c r="R25" t="s">
        <v>88</v>
      </c>
      <c r="S25" t="s">
        <v>88</v>
      </c>
      <c r="T25" t="s">
        <v>88</v>
      </c>
      <c r="U25" t="s">
        <v>20</v>
      </c>
    </row>
    <row r="26" spans="1:21" ht="15.75" customHeight="1" x14ac:dyDescent="0.45">
      <c r="A26" s="79">
        <v>163286947</v>
      </c>
      <c r="B26" s="29" t="str">
        <f t="shared" si="0"/>
        <v>16.328.694-7</v>
      </c>
      <c r="C26" s="22" t="str">
        <f>IF(IFERROR(VLOOKUP(A26,$A$10:$I25,1,0),0)=0,"",VLOOKUP(A26,$A$10:$I25,3,0))</f>
        <v>UCI</v>
      </c>
      <c r="D26" s="29" t="str">
        <f>IF(IFERROR(VLOOKUP(A26,$A$10:$I25,1,0),0)=0,"",VLOOKUP(A26,$A$10:$I25,4,0))</f>
        <v>CRISTIAN</v>
      </c>
      <c r="E26" s="29" t="str">
        <f>IF(IFERROR(VLOOKUP(A26,$A$10:$I25,1,0),0)=0,"",VLOOKUP(A26,$A$10:$I25,5,0))</f>
        <v>BARRAZA</v>
      </c>
      <c r="F26" s="29" t="str">
        <f>IF(IFERROR(VLOOKUP(A26,$A$10:$I25,1,0),0)=0,"",VLOOKUP(A26,$A$10:$I25,6,0))</f>
        <v>PEREZ</v>
      </c>
      <c r="G26" s="49">
        <f>IF(IFERROR(VLOOKUP(A26,$A$10:$I25,1,0),0)=0,"",VLOOKUP(A26,$A$10:$I25,7,0))</f>
        <v>45570</v>
      </c>
      <c r="H26" s="49">
        <v>45577</v>
      </c>
      <c r="I26" s="29"/>
      <c r="J26" s="29" t="s">
        <v>22</v>
      </c>
      <c r="K26" s="24" t="s">
        <v>47</v>
      </c>
      <c r="L26" s="49">
        <v>45570</v>
      </c>
      <c r="M26" s="49">
        <v>45577</v>
      </c>
      <c r="N26" s="29">
        <f t="shared" si="1"/>
        <v>7</v>
      </c>
      <c r="O26" s="29"/>
      <c r="P26" t="s">
        <v>88</v>
      </c>
      <c r="Q26" t="s">
        <v>88</v>
      </c>
      <c r="R26" t="s">
        <v>88</v>
      </c>
      <c r="S26" t="s">
        <v>88</v>
      </c>
      <c r="T26" t="s">
        <v>88</v>
      </c>
      <c r="U26" t="s">
        <v>20</v>
      </c>
    </row>
    <row r="27" spans="1:21" ht="15.75" customHeight="1" x14ac:dyDescent="0.45">
      <c r="A27" s="79">
        <v>163286947</v>
      </c>
      <c r="B27" s="29" t="str">
        <f t="shared" si="0"/>
        <v>16.328.694-7</v>
      </c>
      <c r="C27" s="22" t="str">
        <f>IF(IFERROR(VLOOKUP(A27,$A$10:$I26,1,0),0)=0,"",VLOOKUP(A27,$A$10:$I26,3,0))</f>
        <v>UCI</v>
      </c>
      <c r="D27" s="29" t="str">
        <f>IF(IFERROR(VLOOKUP(A27,$A$10:$I26,1,0),0)=0,"",VLOOKUP(A27,$A$10:$I26,4,0))</f>
        <v>CRISTIAN</v>
      </c>
      <c r="E27" s="29" t="str">
        <f>IF(IFERROR(VLOOKUP(A27,$A$10:$I26,1,0),0)=0,"",VLOOKUP(A27,$A$10:$I26,5,0))</f>
        <v>BARRAZA</v>
      </c>
      <c r="F27" s="29" t="str">
        <f>IF(IFERROR(VLOOKUP(A27,$A$10:$I26,1,0),0)=0,"",VLOOKUP(A27,$A$10:$I26,6,0))</f>
        <v>PEREZ</v>
      </c>
      <c r="G27" s="49">
        <f>IF(IFERROR(VLOOKUP(A27,$A$10:$I26,1,0),0)=0,"",VLOOKUP(A27,$A$10:$I26,7,0))</f>
        <v>45570</v>
      </c>
      <c r="H27" s="49">
        <v>45577</v>
      </c>
      <c r="I27" s="29"/>
      <c r="J27" s="29" t="s">
        <v>22</v>
      </c>
      <c r="K27" s="24" t="s">
        <v>55</v>
      </c>
      <c r="L27" s="49">
        <v>45570</v>
      </c>
      <c r="M27" s="49">
        <v>45574</v>
      </c>
      <c r="N27" s="29">
        <f t="shared" si="1"/>
        <v>4</v>
      </c>
      <c r="O27" s="29"/>
      <c r="P27" t="s">
        <v>88</v>
      </c>
      <c r="Q27" t="s">
        <v>88</v>
      </c>
      <c r="R27" t="s">
        <v>88</v>
      </c>
      <c r="S27" t="s">
        <v>88</v>
      </c>
      <c r="T27" t="s">
        <v>88</v>
      </c>
      <c r="U27" t="s">
        <v>20</v>
      </c>
    </row>
    <row r="28" spans="1:21" ht="15.75" customHeight="1" x14ac:dyDescent="0.45">
      <c r="A28" s="79">
        <v>76055661</v>
      </c>
      <c r="B28" s="29" t="str">
        <f t="shared" si="0"/>
        <v>7.605.566-1</v>
      </c>
      <c r="C28" s="22" t="s">
        <v>22</v>
      </c>
      <c r="D28" s="29" t="s">
        <v>629</v>
      </c>
      <c r="E28" s="29" t="s">
        <v>1147</v>
      </c>
      <c r="F28" s="29" t="s">
        <v>574</v>
      </c>
      <c r="G28" s="49">
        <v>45551</v>
      </c>
      <c r="H28" s="49">
        <v>45587</v>
      </c>
      <c r="I28" s="29"/>
      <c r="J28" s="29" t="s">
        <v>19</v>
      </c>
      <c r="K28" s="24" t="s">
        <v>55</v>
      </c>
      <c r="L28" s="49">
        <v>45566</v>
      </c>
      <c r="M28" s="49">
        <v>45576</v>
      </c>
      <c r="N28" s="29">
        <f t="shared" si="1"/>
        <v>10</v>
      </c>
      <c r="O28" s="29"/>
      <c r="P28" t="s">
        <v>132</v>
      </c>
      <c r="Q28" t="s">
        <v>88</v>
      </c>
      <c r="R28" t="s">
        <v>88</v>
      </c>
      <c r="S28" t="s">
        <v>88</v>
      </c>
      <c r="T28" t="s">
        <v>88</v>
      </c>
      <c r="U28" t="s">
        <v>20</v>
      </c>
    </row>
    <row r="29" spans="1:21" ht="15.75" customHeight="1" x14ac:dyDescent="0.45">
      <c r="A29" s="79" t="s">
        <v>1458</v>
      </c>
      <c r="B29" s="29" t="str">
        <f t="shared" si="0"/>
        <v>15.175.385-k</v>
      </c>
      <c r="C29" s="22" t="s">
        <v>22</v>
      </c>
      <c r="D29" s="29" t="s">
        <v>362</v>
      </c>
      <c r="E29" s="29" t="s">
        <v>1459</v>
      </c>
      <c r="F29" s="29" t="s">
        <v>393</v>
      </c>
      <c r="G29" s="49">
        <v>45568</v>
      </c>
      <c r="H29" s="49">
        <v>45573</v>
      </c>
      <c r="I29" s="29"/>
      <c r="J29" s="29" t="s">
        <v>56</v>
      </c>
      <c r="K29" s="24" t="s">
        <v>43</v>
      </c>
      <c r="L29" s="49">
        <v>45568</v>
      </c>
      <c r="M29" s="49">
        <v>45573</v>
      </c>
      <c r="N29" s="29">
        <f t="shared" si="1"/>
        <v>5</v>
      </c>
      <c r="O29" s="29"/>
      <c r="P29" t="s">
        <v>88</v>
      </c>
      <c r="Q29" t="s">
        <v>88</v>
      </c>
      <c r="R29" t="s">
        <v>88</v>
      </c>
      <c r="S29" t="s">
        <v>88</v>
      </c>
      <c r="T29" t="s">
        <v>88</v>
      </c>
      <c r="U29" t="s">
        <v>20</v>
      </c>
    </row>
    <row r="30" spans="1:21" ht="15.75" customHeight="1" x14ac:dyDescent="0.45">
      <c r="A30" s="79" t="s">
        <v>1458</v>
      </c>
      <c r="B30" s="29" t="str">
        <f t="shared" si="0"/>
        <v>15.175.385-k</v>
      </c>
      <c r="C30" s="22" t="str">
        <f>IF(IFERROR(VLOOKUP(A30,$A$10:$I29,1,0),0)=0,"",VLOOKUP(A30,$A$10:$I29,3,0))</f>
        <v>UCI</v>
      </c>
      <c r="D30" s="29" t="str">
        <f>IF(IFERROR(VLOOKUP(A30,$A$10:$I29,1,0),0)=0,"",VLOOKUP(A30,$A$10:$I29,4,0))</f>
        <v>JORGE</v>
      </c>
      <c r="E30" s="29" t="str">
        <f>IF(IFERROR(VLOOKUP(A30,$A$10:$I29,1,0),0)=0,"",VLOOKUP(A30,$A$10:$I29,5,0))</f>
        <v>ARANDA</v>
      </c>
      <c r="F30" s="29" t="str">
        <f>IF(IFERROR(VLOOKUP(A30,$A$10:$I29,1,0),0)=0,"",VLOOKUP(A30,$A$10:$I29,6,0))</f>
        <v>FERNANDEZ</v>
      </c>
      <c r="G30" s="49">
        <f>IF(IFERROR(VLOOKUP(A30,$A$10:$I29,1,0),0)=0,"",VLOOKUP(A30,$A$10:$I29,7,0))</f>
        <v>45568</v>
      </c>
      <c r="H30" s="49">
        <v>45574</v>
      </c>
      <c r="I30" s="29"/>
      <c r="J30" s="29" t="s">
        <v>56</v>
      </c>
      <c r="K30" s="24" t="s">
        <v>47</v>
      </c>
      <c r="L30" s="49">
        <v>45568</v>
      </c>
      <c r="M30" s="49">
        <v>45573</v>
      </c>
      <c r="N30" s="29">
        <f t="shared" si="1"/>
        <v>5</v>
      </c>
      <c r="O30" s="29"/>
      <c r="P30" t="s">
        <v>88</v>
      </c>
      <c r="Q30" t="s">
        <v>88</v>
      </c>
      <c r="R30" t="s">
        <v>88</v>
      </c>
      <c r="S30" t="s">
        <v>88</v>
      </c>
      <c r="T30" t="s">
        <v>88</v>
      </c>
      <c r="U30" t="s">
        <v>20</v>
      </c>
    </row>
    <row r="31" spans="1:21" ht="15.75" customHeight="1" x14ac:dyDescent="0.45">
      <c r="A31" s="79" t="s">
        <v>1458</v>
      </c>
      <c r="B31" s="29" t="str">
        <f t="shared" si="0"/>
        <v>15.175.385-k</v>
      </c>
      <c r="C31" s="22" t="str">
        <f>IF(IFERROR(VLOOKUP(A31,$A$10:$I30,1,0),0)=0,"",VLOOKUP(A31,$A$10:$I30,3,0))</f>
        <v>UCI</v>
      </c>
      <c r="D31" s="29" t="str">
        <f>IF(IFERROR(VLOOKUP(A31,$A$10:$I30,1,0),0)=0,"",VLOOKUP(A31,$A$10:$I30,4,0))</f>
        <v>JORGE</v>
      </c>
      <c r="E31" s="29" t="str">
        <f>IF(IFERROR(VLOOKUP(A31,$A$10:$I30,1,0),0)=0,"",VLOOKUP(A31,$A$10:$I30,5,0))</f>
        <v>ARANDA</v>
      </c>
      <c r="F31" s="29" t="str">
        <f>IF(IFERROR(VLOOKUP(A31,$A$10:$I30,1,0),0)=0,"",VLOOKUP(A31,$A$10:$I30,6,0))</f>
        <v>FERNANDEZ</v>
      </c>
      <c r="G31" s="49">
        <f>IF(IFERROR(VLOOKUP(A31,$A$10:$I30,1,0),0)=0,"",VLOOKUP(A31,$A$10:$I30,7,0))</f>
        <v>45568</v>
      </c>
      <c r="H31" s="49">
        <v>45574</v>
      </c>
      <c r="I31" s="29"/>
      <c r="J31" s="29" t="s">
        <v>56</v>
      </c>
      <c r="K31" s="24" t="s">
        <v>55</v>
      </c>
      <c r="L31" s="49">
        <v>45568</v>
      </c>
      <c r="M31" s="49">
        <v>45572</v>
      </c>
      <c r="N31" s="29">
        <f t="shared" si="1"/>
        <v>4</v>
      </c>
      <c r="O31" s="29"/>
      <c r="P31" t="s">
        <v>88</v>
      </c>
      <c r="Q31" t="s">
        <v>88</v>
      </c>
      <c r="R31" t="s">
        <v>88</v>
      </c>
      <c r="S31" t="s">
        <v>88</v>
      </c>
      <c r="T31" t="s">
        <v>88</v>
      </c>
      <c r="U31" t="s">
        <v>20</v>
      </c>
    </row>
    <row r="32" spans="1:21" ht="15.75" customHeight="1" x14ac:dyDescent="0.45">
      <c r="A32" s="79" t="s">
        <v>1445</v>
      </c>
      <c r="B32" s="29" t="str">
        <f t="shared" si="0"/>
        <v>15.615.461-k</v>
      </c>
      <c r="C32" s="22" t="s">
        <v>22</v>
      </c>
      <c r="D32" s="29" t="s">
        <v>348</v>
      </c>
      <c r="E32" s="29" t="s">
        <v>300</v>
      </c>
      <c r="F32" s="29" t="s">
        <v>580</v>
      </c>
      <c r="G32" s="49">
        <v>45569</v>
      </c>
      <c r="H32" s="49">
        <v>45582</v>
      </c>
      <c r="I32" s="29"/>
      <c r="J32" s="29" t="s">
        <v>22</v>
      </c>
      <c r="K32" s="24" t="s">
        <v>43</v>
      </c>
      <c r="L32" s="49">
        <v>45569</v>
      </c>
      <c r="M32" s="49">
        <v>45576</v>
      </c>
      <c r="N32" s="29">
        <f t="shared" si="1"/>
        <v>7</v>
      </c>
      <c r="O32" s="29"/>
      <c r="P32" t="s">
        <v>88</v>
      </c>
      <c r="Q32" t="s">
        <v>88</v>
      </c>
      <c r="R32" t="s">
        <v>88</v>
      </c>
      <c r="S32" t="s">
        <v>88</v>
      </c>
      <c r="T32" t="s">
        <v>88</v>
      </c>
      <c r="U32" t="s">
        <v>20</v>
      </c>
    </row>
    <row r="33" spans="1:21" ht="15.75" customHeight="1" x14ac:dyDescent="0.45">
      <c r="A33" s="79">
        <v>95217052</v>
      </c>
      <c r="B33" s="29" t="str">
        <f t="shared" si="0"/>
        <v>9.521.705-2</v>
      </c>
      <c r="C33" s="22" t="s">
        <v>22</v>
      </c>
      <c r="D33" s="29" t="s">
        <v>481</v>
      </c>
      <c r="E33" s="29" t="s">
        <v>266</v>
      </c>
      <c r="F33" s="29" t="s">
        <v>488</v>
      </c>
      <c r="G33" s="49">
        <v>45567</v>
      </c>
      <c r="H33" s="49">
        <v>45580</v>
      </c>
      <c r="I33" s="29" t="s">
        <v>22</v>
      </c>
      <c r="J33" s="29"/>
      <c r="K33" s="24" t="s">
        <v>18</v>
      </c>
      <c r="L33" s="49">
        <v>45570</v>
      </c>
      <c r="M33" s="49">
        <v>45580</v>
      </c>
      <c r="N33" s="29">
        <f t="shared" si="1"/>
        <v>10</v>
      </c>
      <c r="O33" s="29"/>
      <c r="P33" t="s">
        <v>88</v>
      </c>
      <c r="Q33" t="s">
        <v>88</v>
      </c>
      <c r="R33" t="s">
        <v>88</v>
      </c>
      <c r="S33" t="s">
        <v>88</v>
      </c>
      <c r="T33" t="s">
        <v>88</v>
      </c>
      <c r="U33" t="s">
        <v>20</v>
      </c>
    </row>
    <row r="34" spans="1:21" ht="15.75" customHeight="1" x14ac:dyDescent="0.45">
      <c r="A34" s="79">
        <v>95217052</v>
      </c>
      <c r="B34" s="29" t="str">
        <f t="shared" si="0"/>
        <v>9.521.705-2</v>
      </c>
      <c r="C34" s="22" t="str">
        <f>IF(IFERROR(VLOOKUP(A34,$A$10:$I33,1,0),0)=0,"",VLOOKUP(A34,$A$10:$I33,3,0))</f>
        <v>UCI</v>
      </c>
      <c r="D34" s="29" t="str">
        <f>IF(IFERROR(VLOOKUP(A34,$A$10:$I33,1,0),0)=0,"",VLOOKUP(A34,$A$10:$I33,4,0))</f>
        <v>JUAN</v>
      </c>
      <c r="E34" s="29" t="str">
        <f>IF(IFERROR(VLOOKUP(A34,$A$10:$I33,1,0),0)=0,"",VLOOKUP(A34,$A$10:$I33,5,0))</f>
        <v>SOTO</v>
      </c>
      <c r="F34" s="29" t="str">
        <f>IF(IFERROR(VLOOKUP(A34,$A$10:$I33,1,0),0)=0,"",VLOOKUP(A34,$A$10:$I33,6,0))</f>
        <v>PARRA</v>
      </c>
      <c r="G34" s="49">
        <f>IF(IFERROR(VLOOKUP(A34,$A$10:$I33,1,0),0)=0,"",VLOOKUP(A34,$A$10:$I33,7,0))</f>
        <v>45567</v>
      </c>
      <c r="H34" s="49">
        <v>45580</v>
      </c>
      <c r="I34" s="29" t="s">
        <v>22</v>
      </c>
      <c r="J34" s="29"/>
      <c r="K34" s="24" t="s">
        <v>47</v>
      </c>
      <c r="L34" s="49">
        <v>45566</v>
      </c>
      <c r="M34" s="49">
        <v>45580</v>
      </c>
      <c r="N34" s="29">
        <f t="shared" si="1"/>
        <v>14</v>
      </c>
      <c r="O34" s="29"/>
      <c r="P34" t="s">
        <v>88</v>
      </c>
      <c r="Q34" t="s">
        <v>88</v>
      </c>
      <c r="R34" t="s">
        <v>88</v>
      </c>
      <c r="S34" t="s">
        <v>88</v>
      </c>
      <c r="T34" t="s">
        <v>88</v>
      </c>
      <c r="U34" t="s">
        <v>20</v>
      </c>
    </row>
    <row r="35" spans="1:21" ht="15.75" customHeight="1" x14ac:dyDescent="0.45">
      <c r="A35" s="79">
        <v>95217052</v>
      </c>
      <c r="B35" s="29" t="str">
        <f t="shared" si="0"/>
        <v>9.521.705-2</v>
      </c>
      <c r="C35" s="22" t="str">
        <f>IF(IFERROR(VLOOKUP(A35,$A$10:$I34,1,0),0)=0,"",VLOOKUP(A35,$A$10:$I34,3,0))</f>
        <v>UCI</v>
      </c>
      <c r="D35" s="29" t="str">
        <f>IF(IFERROR(VLOOKUP(A35,$A$10:$I34,1,0),0)=0,"",VLOOKUP(A35,$A$10:$I34,4,0))</f>
        <v>JUAN</v>
      </c>
      <c r="E35" s="29" t="str">
        <f>IF(IFERROR(VLOOKUP(A35,$A$10:$I34,1,0),0)=0,"",VLOOKUP(A35,$A$10:$I34,5,0))</f>
        <v>SOTO</v>
      </c>
      <c r="F35" s="29" t="str">
        <f>IF(IFERROR(VLOOKUP(A35,$A$10:$I34,1,0),0)=0,"",VLOOKUP(A35,$A$10:$I34,6,0))</f>
        <v>PARRA</v>
      </c>
      <c r="G35" s="49">
        <f>IF(IFERROR(VLOOKUP(A35,$A$10:$I34,1,0),0)=0,"",VLOOKUP(A35,$A$10:$I34,7,0))</f>
        <v>45567</v>
      </c>
      <c r="H35" s="49">
        <v>45580</v>
      </c>
      <c r="I35" s="29" t="s">
        <v>22</v>
      </c>
      <c r="J35" s="29"/>
      <c r="K35" s="24" t="s">
        <v>55</v>
      </c>
      <c r="L35" s="49">
        <v>45567</v>
      </c>
      <c r="M35" s="49">
        <v>45580</v>
      </c>
      <c r="N35" s="29">
        <f t="shared" si="1"/>
        <v>13</v>
      </c>
      <c r="O35" s="29"/>
      <c r="P35" t="s">
        <v>88</v>
      </c>
      <c r="Q35" t="s">
        <v>88</v>
      </c>
      <c r="R35" t="s">
        <v>88</v>
      </c>
      <c r="S35" t="s">
        <v>88</v>
      </c>
      <c r="T35" t="s">
        <v>88</v>
      </c>
      <c r="U35" t="s">
        <v>20</v>
      </c>
    </row>
    <row r="36" spans="1:21" ht="15.75" customHeight="1" x14ac:dyDescent="0.45">
      <c r="A36" s="79">
        <v>76055661</v>
      </c>
      <c r="B36" s="29" t="str">
        <f t="shared" si="0"/>
        <v>7.605.566-1</v>
      </c>
      <c r="C36" s="22" t="s">
        <v>22</v>
      </c>
      <c r="D36" s="29" t="s">
        <v>629</v>
      </c>
      <c r="E36" s="29" t="s">
        <v>1147</v>
      </c>
      <c r="F36" s="29" t="s">
        <v>574</v>
      </c>
      <c r="G36" s="49">
        <v>45551</v>
      </c>
      <c r="H36" s="49">
        <v>45587</v>
      </c>
      <c r="I36" s="29"/>
      <c r="J36" s="29" t="s">
        <v>19</v>
      </c>
      <c r="K36" s="24" t="s">
        <v>55</v>
      </c>
      <c r="L36" s="49">
        <v>45579</v>
      </c>
      <c r="M36" s="49">
        <v>45586</v>
      </c>
      <c r="N36" s="29">
        <f t="shared" si="1"/>
        <v>7</v>
      </c>
      <c r="O36" s="29"/>
      <c r="P36" t="s">
        <v>88</v>
      </c>
      <c r="Q36" t="s">
        <v>88</v>
      </c>
      <c r="R36" t="s">
        <v>88</v>
      </c>
      <c r="S36" t="s">
        <v>88</v>
      </c>
      <c r="T36" t="s">
        <v>88</v>
      </c>
      <c r="U36" t="s">
        <v>20</v>
      </c>
    </row>
    <row r="37" spans="1:21" ht="15" customHeight="1" x14ac:dyDescent="0.45">
      <c r="A37" s="79">
        <v>92737675</v>
      </c>
      <c r="B37" s="29" t="str">
        <f t="shared" si="0"/>
        <v>9.273.767-5</v>
      </c>
      <c r="C37" s="22" t="s">
        <v>22</v>
      </c>
      <c r="D37" s="29" t="s">
        <v>629</v>
      </c>
      <c r="E37" s="29" t="s">
        <v>375</v>
      </c>
      <c r="F37" s="29" t="s">
        <v>387</v>
      </c>
      <c r="G37" s="49">
        <v>45572</v>
      </c>
      <c r="H37" s="49">
        <v>45579</v>
      </c>
      <c r="I37" s="29"/>
      <c r="J37" s="29" t="s">
        <v>22</v>
      </c>
      <c r="K37" s="24" t="s">
        <v>43</v>
      </c>
      <c r="L37" s="49">
        <v>45572</v>
      </c>
      <c r="M37" s="49">
        <v>45579</v>
      </c>
      <c r="N37" s="29">
        <f t="shared" si="1"/>
        <v>7</v>
      </c>
      <c r="O37" s="29"/>
      <c r="P37" t="s">
        <v>88</v>
      </c>
      <c r="Q37" t="s">
        <v>88</v>
      </c>
      <c r="R37" t="s">
        <v>88</v>
      </c>
      <c r="S37" t="s">
        <v>88</v>
      </c>
      <c r="T37" t="s">
        <v>88</v>
      </c>
      <c r="U37" t="s">
        <v>20</v>
      </c>
    </row>
    <row r="38" spans="1:21" ht="15.75" customHeight="1" x14ac:dyDescent="0.45">
      <c r="A38" s="79">
        <v>92737675</v>
      </c>
      <c r="B38" s="29" t="str">
        <f t="shared" si="0"/>
        <v>9.273.767-5</v>
      </c>
      <c r="C38" s="22" t="str">
        <f>IF(IFERROR(VLOOKUP(A38,$A$10:$I37,1,0),0)=0,"",VLOOKUP(A38,$A$10:$I37,3,0))</f>
        <v>UCI</v>
      </c>
      <c r="D38" s="29" t="str">
        <f>IF(IFERROR(VLOOKUP(A38,$A$10:$I37,1,0),0)=0,"",VLOOKUP(A38,$A$10:$I37,4,0))</f>
        <v>MARIO</v>
      </c>
      <c r="E38" s="29" t="str">
        <f>IF(IFERROR(VLOOKUP(A38,$A$10:$I37,1,0),0)=0,"",VLOOKUP(A38,$A$10:$I37,5,0))</f>
        <v>CASTILLO</v>
      </c>
      <c r="F38" s="29" t="str">
        <f>IF(IFERROR(VLOOKUP(A38,$A$10:$I37,1,0),0)=0,"",VLOOKUP(A38,$A$10:$I37,6,0))</f>
        <v>SANHUEZA</v>
      </c>
      <c r="G38" s="49">
        <f>IF(IFERROR(VLOOKUP(A38,$A$10:$I37,1,0),0)=0,"",VLOOKUP(A38,$A$10:$I37,7,0))</f>
        <v>45572</v>
      </c>
      <c r="H38" s="49">
        <v>45579</v>
      </c>
      <c r="I38" s="29"/>
      <c r="J38" s="29" t="s">
        <v>22</v>
      </c>
      <c r="K38" s="24" t="s">
        <v>47</v>
      </c>
      <c r="L38" s="49">
        <v>45572</v>
      </c>
      <c r="M38" s="49">
        <v>45573</v>
      </c>
      <c r="N38" s="29">
        <f t="shared" si="1"/>
        <v>1</v>
      </c>
      <c r="O38" s="29"/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20</v>
      </c>
    </row>
    <row r="39" spans="1:21" ht="15.75" customHeight="1" x14ac:dyDescent="0.45">
      <c r="A39" s="79">
        <v>92737675</v>
      </c>
      <c r="B39" s="29" t="str">
        <f t="shared" si="0"/>
        <v>9.273.767-5</v>
      </c>
      <c r="C39" s="22" t="str">
        <f>IF(IFERROR(VLOOKUP(A39,$A$10:$I38,1,0),0)=0,"",VLOOKUP(A39,$A$10:$I38,3,0))</f>
        <v>UCI</v>
      </c>
      <c r="D39" s="29" t="str">
        <f>IF(IFERROR(VLOOKUP(A39,$A$10:$I38,1,0),0)=0,"",VLOOKUP(A39,$A$10:$I38,4,0))</f>
        <v>MARIO</v>
      </c>
      <c r="E39" s="29" t="str">
        <f>IF(IFERROR(VLOOKUP(A39,$A$10:$I38,1,0),0)=0,"",VLOOKUP(A39,$A$10:$I38,5,0))</f>
        <v>CASTILLO</v>
      </c>
      <c r="F39" s="29" t="str">
        <f>IF(IFERROR(VLOOKUP(A39,$A$10:$I38,1,0),0)=0,"",VLOOKUP(A39,$A$10:$I38,6,0))</f>
        <v>SANHUEZA</v>
      </c>
      <c r="G39" s="49">
        <f>IF(IFERROR(VLOOKUP(A39,$A$10:$I38,1,0),0)=0,"",VLOOKUP(A39,$A$10:$I38,7,0))</f>
        <v>45572</v>
      </c>
      <c r="H39" s="49">
        <v>45579</v>
      </c>
      <c r="I39" s="29"/>
      <c r="J39" s="29" t="s">
        <v>22</v>
      </c>
      <c r="K39" s="24" t="s">
        <v>55</v>
      </c>
      <c r="L39" s="49">
        <v>45572</v>
      </c>
      <c r="M39" s="49">
        <v>45576</v>
      </c>
      <c r="N39" s="29">
        <f t="shared" si="1"/>
        <v>4</v>
      </c>
      <c r="O39" s="29"/>
      <c r="P39" t="s">
        <v>88</v>
      </c>
      <c r="Q39" t="s">
        <v>88</v>
      </c>
      <c r="R39" t="s">
        <v>88</v>
      </c>
      <c r="S39" t="s">
        <v>88</v>
      </c>
      <c r="T39" t="s">
        <v>88</v>
      </c>
      <c r="U39" t="s">
        <v>20</v>
      </c>
    </row>
    <row r="40" spans="1:21" ht="15.75" customHeight="1" x14ac:dyDescent="0.45">
      <c r="A40" s="79">
        <v>140586900</v>
      </c>
      <c r="B40" s="29" t="str">
        <f t="shared" si="0"/>
        <v>14.058.690-0</v>
      </c>
      <c r="C40" s="22" t="s">
        <v>22</v>
      </c>
      <c r="D40" s="29" t="s">
        <v>1444</v>
      </c>
      <c r="E40" s="29" t="s">
        <v>277</v>
      </c>
      <c r="F40" s="29" t="s">
        <v>655</v>
      </c>
      <c r="G40" s="49">
        <v>45558</v>
      </c>
      <c r="H40" s="49">
        <v>45577</v>
      </c>
      <c r="I40" s="29"/>
      <c r="J40" s="29" t="s">
        <v>19</v>
      </c>
      <c r="K40" s="24" t="s">
        <v>18</v>
      </c>
      <c r="L40" s="49">
        <v>45567</v>
      </c>
      <c r="M40" s="49">
        <v>45577</v>
      </c>
      <c r="N40" s="29">
        <f t="shared" si="1"/>
        <v>10</v>
      </c>
      <c r="O40" s="29"/>
      <c r="P40" t="s">
        <v>88</v>
      </c>
      <c r="Q40" t="s">
        <v>88</v>
      </c>
      <c r="R40" t="s">
        <v>88</v>
      </c>
      <c r="S40" t="s">
        <v>88</v>
      </c>
      <c r="T40" t="s">
        <v>88</v>
      </c>
      <c r="U40" t="s">
        <v>20</v>
      </c>
    </row>
    <row r="41" spans="1:21" ht="15.75" customHeight="1" x14ac:dyDescent="0.45">
      <c r="A41" s="79">
        <v>140586900</v>
      </c>
      <c r="B41" s="29" t="str">
        <f t="shared" si="0"/>
        <v>14.058.690-0</v>
      </c>
      <c r="C41" s="22" t="str">
        <f>IF(IFERROR(VLOOKUP(A41,$A$10:$I40,1,0),0)=0,"",VLOOKUP(A41,$A$10:$I40,3,0))</f>
        <v>UCI</v>
      </c>
      <c r="D41" s="29" t="str">
        <f>IF(IFERROR(VLOOKUP(A41,$A$10:$I40,1,0),0)=0,"",VLOOKUP(A41,$A$10:$I40,4,0))</f>
        <v>YOLANDA</v>
      </c>
      <c r="E41" s="29" t="str">
        <f>IF(IFERROR(VLOOKUP(A41,$A$10:$I40,1,0),0)=0,"",VLOOKUP(A41,$A$10:$I40,5,0))</f>
        <v>MORA</v>
      </c>
      <c r="F41" s="29" t="str">
        <f>IF(IFERROR(VLOOKUP(A41,$A$10:$I40,1,0),0)=0,"",VLOOKUP(A41,$A$10:$I40,6,0))</f>
        <v>GAJARDO</v>
      </c>
      <c r="G41" s="49">
        <f>IF(IFERROR(VLOOKUP(A41,$A$10:$I40,1,0),0)=0,"",VLOOKUP(A41,$A$10:$I40,7,0))</f>
        <v>45558</v>
      </c>
      <c r="H41" s="49">
        <v>45577</v>
      </c>
      <c r="I41" s="29"/>
      <c r="J41" s="29" t="s">
        <v>19</v>
      </c>
      <c r="K41" s="24" t="s">
        <v>47</v>
      </c>
      <c r="L41" s="49">
        <v>45566</v>
      </c>
      <c r="M41" s="49">
        <v>45577</v>
      </c>
      <c r="N41" s="29">
        <f t="shared" si="1"/>
        <v>11</v>
      </c>
      <c r="O41" s="29"/>
      <c r="P41" t="s">
        <v>88</v>
      </c>
      <c r="Q41" t="s">
        <v>88</v>
      </c>
      <c r="R41" t="s">
        <v>88</v>
      </c>
      <c r="S41" t="s">
        <v>88</v>
      </c>
      <c r="T41" t="s">
        <v>88</v>
      </c>
      <c r="U41" t="s">
        <v>20</v>
      </c>
    </row>
    <row r="42" spans="1:21" ht="15.75" customHeight="1" x14ac:dyDescent="0.45">
      <c r="A42" s="79">
        <v>140586900</v>
      </c>
      <c r="B42" s="29" t="str">
        <f t="shared" si="0"/>
        <v>14.058.690-0</v>
      </c>
      <c r="C42" s="22" t="str">
        <f>IF(IFERROR(VLOOKUP(A42,$A$10:$I41,1,0),0)=0,"",VLOOKUP(A42,$A$10:$I41,3,0))</f>
        <v>UCI</v>
      </c>
      <c r="D42" s="29" t="str">
        <f>IF(IFERROR(VLOOKUP(A42,$A$10:$I41,1,0),0)=0,"",VLOOKUP(A42,$A$10:$I41,4,0))</f>
        <v>YOLANDA</v>
      </c>
      <c r="E42" s="29" t="str">
        <f>IF(IFERROR(VLOOKUP(A42,$A$10:$I41,1,0),0)=0,"",VLOOKUP(A42,$A$10:$I41,5,0))</f>
        <v>MORA</v>
      </c>
      <c r="F42" s="29" t="str">
        <f>IF(IFERROR(VLOOKUP(A42,$A$10:$I41,1,0),0)=0,"",VLOOKUP(A42,$A$10:$I41,6,0))</f>
        <v>GAJARDO</v>
      </c>
      <c r="G42" s="49">
        <f>IF(IFERROR(VLOOKUP(A42,$A$10:$I41,1,0),0)=0,"",VLOOKUP(A42,$A$10:$I41,7,0))</f>
        <v>45558</v>
      </c>
      <c r="H42" s="49">
        <v>45577</v>
      </c>
      <c r="I42" s="29"/>
      <c r="J42" s="29" t="s">
        <v>19</v>
      </c>
      <c r="K42" s="24" t="s">
        <v>55</v>
      </c>
      <c r="L42" s="49">
        <v>45566</v>
      </c>
      <c r="M42" s="49">
        <v>45577</v>
      </c>
      <c r="N42" s="29">
        <f t="shared" si="1"/>
        <v>11</v>
      </c>
      <c r="O42" s="29"/>
      <c r="P42" t="s">
        <v>88</v>
      </c>
      <c r="Q42" t="s">
        <v>88</v>
      </c>
      <c r="R42" t="s">
        <v>88</v>
      </c>
      <c r="S42" t="s">
        <v>88</v>
      </c>
      <c r="T42" t="s">
        <v>88</v>
      </c>
      <c r="U42" t="s">
        <v>20</v>
      </c>
    </row>
    <row r="43" spans="1:21" ht="15.75" customHeight="1" x14ac:dyDescent="0.45">
      <c r="A43" s="79">
        <v>83006110</v>
      </c>
      <c r="B43" s="29" t="str">
        <f t="shared" si="0"/>
        <v>8.300.611-0</v>
      </c>
      <c r="C43" s="22" t="s">
        <v>22</v>
      </c>
      <c r="D43" s="29" t="s">
        <v>815</v>
      </c>
      <c r="E43" s="29" t="s">
        <v>1460</v>
      </c>
      <c r="F43" s="29" t="s">
        <v>310</v>
      </c>
      <c r="G43" s="49">
        <v>45569</v>
      </c>
      <c r="H43" s="49">
        <v>45576</v>
      </c>
      <c r="I43" s="29"/>
      <c r="J43" s="29"/>
      <c r="K43" s="24" t="s">
        <v>43</v>
      </c>
      <c r="L43" s="49">
        <v>45569</v>
      </c>
      <c r="M43" s="49">
        <v>45576</v>
      </c>
      <c r="N43" s="29">
        <f t="shared" si="1"/>
        <v>7</v>
      </c>
      <c r="O43" s="29"/>
      <c r="P43" t="s">
        <v>88</v>
      </c>
      <c r="Q43" t="s">
        <v>88</v>
      </c>
      <c r="R43" t="s">
        <v>88</v>
      </c>
      <c r="S43" t="s">
        <v>88</v>
      </c>
      <c r="T43" t="s">
        <v>88</v>
      </c>
      <c r="U43" t="s">
        <v>20</v>
      </c>
    </row>
    <row r="44" spans="1:21" ht="15.75" customHeight="1" x14ac:dyDescent="0.45">
      <c r="A44" s="79">
        <v>83006110</v>
      </c>
      <c r="B44" s="29" t="str">
        <f t="shared" si="0"/>
        <v>8.300.611-0</v>
      </c>
      <c r="C44" s="22" t="str">
        <f>IF(IFERROR(VLOOKUP(A44,$A$10:$I43,1,0),0)=0,"",VLOOKUP(A44,$A$10:$I43,3,0))</f>
        <v>UCI</v>
      </c>
      <c r="D44" s="29" t="str">
        <f>IF(IFERROR(VLOOKUP(A44,$A$10:$I43,1,0),0)=0,"",VLOOKUP(A44,$A$10:$I43,4,0))</f>
        <v>DIGNA</v>
      </c>
      <c r="E44" s="29" t="str">
        <f>IF(IFERROR(VLOOKUP(A44,$A$10:$I43,1,0),0)=0,"",VLOOKUP(A44,$A$10:$I43,5,0))</f>
        <v>VINET</v>
      </c>
      <c r="F44" s="29" t="str">
        <f>IF(IFERROR(VLOOKUP(A44,$A$10:$I43,1,0),0)=0,"",VLOOKUP(A44,$A$10:$I43,6,0))</f>
        <v>MORALES</v>
      </c>
      <c r="G44" s="49">
        <f>IF(IFERROR(VLOOKUP(A44,$A$10:$I43,1,0),0)=0,"",VLOOKUP(A44,$A$10:$I43,7,0))</f>
        <v>45569</v>
      </c>
      <c r="H44" s="49">
        <v>45576</v>
      </c>
      <c r="I44" s="29"/>
      <c r="J44" s="29"/>
      <c r="K44" s="24" t="s">
        <v>47</v>
      </c>
      <c r="L44" s="49">
        <v>45569</v>
      </c>
      <c r="M44" s="49">
        <v>45576</v>
      </c>
      <c r="N44" s="29">
        <f t="shared" si="1"/>
        <v>7</v>
      </c>
      <c r="O44" s="29"/>
      <c r="P44" t="s">
        <v>88</v>
      </c>
      <c r="Q44" t="s">
        <v>88</v>
      </c>
      <c r="R44" t="s">
        <v>88</v>
      </c>
      <c r="S44" t="s">
        <v>88</v>
      </c>
      <c r="T44" t="s">
        <v>88</v>
      </c>
      <c r="U44" t="s">
        <v>20</v>
      </c>
    </row>
    <row r="45" spans="1:21" ht="15.75" customHeight="1" x14ac:dyDescent="0.45">
      <c r="A45" s="79">
        <v>98385797</v>
      </c>
      <c r="B45" s="29" t="str">
        <f t="shared" si="0"/>
        <v>9.838.579-7</v>
      </c>
      <c r="C45" s="22" t="s">
        <v>22</v>
      </c>
      <c r="D45" s="29" t="s">
        <v>481</v>
      </c>
      <c r="E45" s="29" t="s">
        <v>253</v>
      </c>
      <c r="F45" s="29" t="s">
        <v>384</v>
      </c>
      <c r="G45" s="49">
        <v>45572</v>
      </c>
      <c r="H45" s="49">
        <v>45576</v>
      </c>
      <c r="I45" s="29"/>
      <c r="J45" s="29" t="s">
        <v>24</v>
      </c>
      <c r="K45" s="24" t="s">
        <v>43</v>
      </c>
      <c r="L45" s="49">
        <v>45572</v>
      </c>
      <c r="M45" s="49">
        <v>45576</v>
      </c>
      <c r="N45" s="29">
        <f t="shared" si="1"/>
        <v>4</v>
      </c>
      <c r="O45" s="29"/>
      <c r="P45" t="s">
        <v>88</v>
      </c>
      <c r="Q45" t="s">
        <v>88</v>
      </c>
      <c r="R45" t="s">
        <v>88</v>
      </c>
      <c r="S45" t="s">
        <v>88</v>
      </c>
      <c r="T45" t="s">
        <v>88</v>
      </c>
      <c r="U45" t="s">
        <v>20</v>
      </c>
    </row>
    <row r="46" spans="1:21" ht="15.75" customHeight="1" x14ac:dyDescent="0.45">
      <c r="A46" s="79">
        <v>98385797</v>
      </c>
      <c r="B46" s="29" t="str">
        <f t="shared" si="0"/>
        <v>9.838.579-7</v>
      </c>
      <c r="C46" s="22" t="str">
        <f>IF(IFERROR(VLOOKUP(A46,$A$10:$I45,1,0),0)=0,"",VLOOKUP(A46,$A$10:$I45,3,0))</f>
        <v>UCI</v>
      </c>
      <c r="D46" s="29" t="str">
        <f>IF(IFERROR(VLOOKUP(A46,$A$10:$I45,1,0),0)=0,"",VLOOKUP(A46,$A$10:$I45,4,0))</f>
        <v>JUAN</v>
      </c>
      <c r="E46" s="29" t="str">
        <f>IF(IFERROR(VLOOKUP(A46,$A$10:$I45,1,0),0)=0,"",VLOOKUP(A46,$A$10:$I45,5,0))</f>
        <v>SAEZ</v>
      </c>
      <c r="F46" s="29" t="str">
        <f>IF(IFERROR(VLOOKUP(A46,$A$10:$I45,1,0),0)=0,"",VLOOKUP(A46,$A$10:$I45,6,0))</f>
        <v>MUÑOZ</v>
      </c>
      <c r="G46" s="49">
        <f>IF(IFERROR(VLOOKUP(A46,$A$10:$I45,1,0),0)=0,"",VLOOKUP(A46,$A$10:$I45,7,0))</f>
        <v>45572</v>
      </c>
      <c r="H46" s="49">
        <v>45576</v>
      </c>
      <c r="I46" s="29"/>
      <c r="J46" s="29" t="s">
        <v>24</v>
      </c>
      <c r="K46" s="24" t="s">
        <v>47</v>
      </c>
      <c r="L46" s="49">
        <v>45572</v>
      </c>
      <c r="M46" s="49">
        <v>45574</v>
      </c>
      <c r="N46" s="29">
        <f t="shared" si="1"/>
        <v>2</v>
      </c>
      <c r="O46" s="29"/>
      <c r="P46" t="s">
        <v>88</v>
      </c>
      <c r="Q46" t="s">
        <v>88</v>
      </c>
      <c r="R46" t="s">
        <v>88</v>
      </c>
      <c r="S46" t="s">
        <v>88</v>
      </c>
      <c r="T46" t="s">
        <v>88</v>
      </c>
      <c r="U46" t="s">
        <v>20</v>
      </c>
    </row>
    <row r="47" spans="1:21" ht="15.75" customHeight="1" x14ac:dyDescent="0.45">
      <c r="A47" s="79">
        <v>50567702</v>
      </c>
      <c r="B47" s="29" t="str">
        <f t="shared" si="0"/>
        <v>5.056.770-2</v>
      </c>
      <c r="C47" s="22" t="s">
        <v>22</v>
      </c>
      <c r="D47" s="29" t="s">
        <v>793</v>
      </c>
      <c r="E47" s="29" t="s">
        <v>285</v>
      </c>
      <c r="F47" s="29" t="s">
        <v>1081</v>
      </c>
      <c r="G47" s="49">
        <v>45572</v>
      </c>
      <c r="H47" s="49">
        <v>45573</v>
      </c>
      <c r="I47" s="29"/>
      <c r="J47" s="29"/>
      <c r="K47" s="24" t="s">
        <v>43</v>
      </c>
      <c r="L47" s="49">
        <v>45572</v>
      </c>
      <c r="M47" s="49">
        <v>45573</v>
      </c>
      <c r="N47" s="29">
        <f t="shared" si="1"/>
        <v>1</v>
      </c>
      <c r="O47" s="29"/>
      <c r="P47" t="s">
        <v>88</v>
      </c>
      <c r="Q47" t="s">
        <v>88</v>
      </c>
      <c r="R47" t="s">
        <v>88</v>
      </c>
      <c r="S47" t="s">
        <v>88</v>
      </c>
      <c r="T47" t="s">
        <v>88</v>
      </c>
      <c r="U47" t="s">
        <v>20</v>
      </c>
    </row>
    <row r="48" spans="1:21" ht="15.75" customHeight="1" x14ac:dyDescent="0.45">
      <c r="A48" s="79">
        <v>50567702</v>
      </c>
      <c r="B48" s="29" t="str">
        <f t="shared" si="0"/>
        <v>5.056.770-2</v>
      </c>
      <c r="C48" s="22" t="str">
        <f>IF(IFERROR(VLOOKUP(A48,$A$10:$I47,1,0),0)=0,"",VLOOKUP(A48,$A$10:$I47,3,0))</f>
        <v>UCI</v>
      </c>
      <c r="D48" s="29" t="str">
        <f>IF(IFERROR(VLOOKUP(A48,$A$10:$I47,1,0),0)=0,"",VLOOKUP(A48,$A$10:$I47,4,0))</f>
        <v>MIGUEL</v>
      </c>
      <c r="E48" s="29" t="str">
        <f>IF(IFERROR(VLOOKUP(A48,$A$10:$I47,1,0),0)=0,"",VLOOKUP(A48,$A$10:$I47,5,0))</f>
        <v>JARA</v>
      </c>
      <c r="F48" s="29" t="str">
        <f>IF(IFERROR(VLOOKUP(A48,$A$10:$I47,1,0),0)=0,"",VLOOKUP(A48,$A$10:$I47,6,0))</f>
        <v>VALDEBENITO</v>
      </c>
      <c r="G48" s="49">
        <f>IF(IFERROR(VLOOKUP(A48,$A$10:$I47,1,0),0)=0,"",VLOOKUP(A48,$A$10:$I47,7,0))</f>
        <v>45572</v>
      </c>
      <c r="H48" s="49">
        <v>45573</v>
      </c>
      <c r="I48" s="29"/>
      <c r="J48" s="29"/>
      <c r="K48" s="24" t="s">
        <v>47</v>
      </c>
      <c r="L48" s="49">
        <v>45572</v>
      </c>
      <c r="M48" s="49">
        <v>45573</v>
      </c>
      <c r="N48" s="29">
        <f t="shared" si="1"/>
        <v>1</v>
      </c>
      <c r="O48" s="29"/>
      <c r="P48" t="s">
        <v>88</v>
      </c>
      <c r="Q48" t="s">
        <v>88</v>
      </c>
      <c r="R48" t="s">
        <v>88</v>
      </c>
      <c r="S48" t="s">
        <v>88</v>
      </c>
      <c r="T48" t="s">
        <v>88</v>
      </c>
      <c r="U48" t="s">
        <v>20</v>
      </c>
    </row>
    <row r="49" spans="1:21" ht="15.75" customHeight="1" x14ac:dyDescent="0.45">
      <c r="A49" s="79">
        <v>217415632</v>
      </c>
      <c r="B49" s="29" t="str">
        <f t="shared" si="0"/>
        <v>21.741.563-2</v>
      </c>
      <c r="C49" s="22" t="s">
        <v>22</v>
      </c>
      <c r="D49" s="29" t="s">
        <v>897</v>
      </c>
      <c r="E49" s="29" t="s">
        <v>488</v>
      </c>
      <c r="F49" s="29" t="s">
        <v>1461</v>
      </c>
      <c r="G49" s="49">
        <v>45572</v>
      </c>
      <c r="H49" s="49">
        <v>45578</v>
      </c>
      <c r="I49" s="29"/>
      <c r="J49" s="29" t="s">
        <v>40</v>
      </c>
      <c r="K49" s="24" t="s">
        <v>43</v>
      </c>
      <c r="L49" s="49">
        <v>45572</v>
      </c>
      <c r="M49" s="49">
        <v>45578</v>
      </c>
      <c r="N49" s="29">
        <f t="shared" si="1"/>
        <v>6</v>
      </c>
      <c r="O49" s="29"/>
      <c r="P49" t="s">
        <v>88</v>
      </c>
      <c r="Q49" t="s">
        <v>88</v>
      </c>
      <c r="R49" t="s">
        <v>88</v>
      </c>
      <c r="S49" t="s">
        <v>88</v>
      </c>
      <c r="T49" t="s">
        <v>88</v>
      </c>
      <c r="U49" t="s">
        <v>20</v>
      </c>
    </row>
    <row r="50" spans="1:21" ht="15.75" customHeight="1" x14ac:dyDescent="0.45">
      <c r="A50" s="79">
        <v>217415632</v>
      </c>
      <c r="B50" s="29" t="str">
        <f t="shared" si="0"/>
        <v>21.741.563-2</v>
      </c>
      <c r="C50" s="22" t="str">
        <f>IF(IFERROR(VLOOKUP(A50,$A$10:$I49,1,0),0)=0,"",VLOOKUP(A50,$A$10:$I49,3,0))</f>
        <v>UCI</v>
      </c>
      <c r="D50" s="29" t="str">
        <f>IF(IFERROR(VLOOKUP(A50,$A$10:$I49,1,0),0)=0,"",VLOOKUP(A50,$A$10:$I49,4,0))</f>
        <v>ALEX</v>
      </c>
      <c r="E50" s="29" t="str">
        <f>IF(IFERROR(VLOOKUP(A50,$A$10:$I49,1,0),0)=0,"",VLOOKUP(A50,$A$10:$I49,5,0))</f>
        <v>PARRA</v>
      </c>
      <c r="F50" s="29" t="str">
        <f>IF(IFERROR(VLOOKUP(A50,$A$10:$I49,1,0),0)=0,"",VLOOKUP(A50,$A$10:$I49,6,0))</f>
        <v>SARAVIA</v>
      </c>
      <c r="G50" s="49">
        <f>IF(IFERROR(VLOOKUP(A50,$A$10:$I49,1,0),0)=0,"",VLOOKUP(A50,$A$10:$I49,7,0))</f>
        <v>45572</v>
      </c>
      <c r="H50" s="29"/>
      <c r="I50" s="29"/>
      <c r="J50" s="29"/>
      <c r="K50" s="24" t="s">
        <v>47</v>
      </c>
      <c r="L50" s="49">
        <v>45572</v>
      </c>
      <c r="M50" s="49">
        <v>45578</v>
      </c>
      <c r="N50" s="29">
        <f t="shared" si="1"/>
        <v>6</v>
      </c>
      <c r="O50" s="29"/>
      <c r="P50" t="s">
        <v>88</v>
      </c>
      <c r="Q50" t="s">
        <v>88</v>
      </c>
      <c r="R50" t="s">
        <v>88</v>
      </c>
      <c r="S50" t="s">
        <v>88</v>
      </c>
      <c r="T50" t="s">
        <v>88</v>
      </c>
      <c r="U50" t="s">
        <v>20</v>
      </c>
    </row>
    <row r="51" spans="1:21" ht="15.75" customHeight="1" x14ac:dyDescent="0.45">
      <c r="A51" s="79">
        <v>65091976</v>
      </c>
      <c r="B51" s="29" t="str">
        <f t="shared" si="0"/>
        <v>6.509.197-6</v>
      </c>
      <c r="C51" s="22" t="s">
        <v>22</v>
      </c>
      <c r="D51" s="29" t="s">
        <v>1462</v>
      </c>
      <c r="E51" s="29" t="s">
        <v>295</v>
      </c>
      <c r="F51" s="29" t="s">
        <v>573</v>
      </c>
      <c r="G51" s="49">
        <v>45570</v>
      </c>
      <c r="H51" s="49">
        <v>45584</v>
      </c>
      <c r="I51" s="29"/>
      <c r="J51" s="29" t="s">
        <v>56</v>
      </c>
      <c r="K51" s="24" t="s">
        <v>47</v>
      </c>
      <c r="L51" s="49">
        <v>45570</v>
      </c>
      <c r="M51" s="49">
        <v>45584</v>
      </c>
      <c r="N51" s="29">
        <f t="shared" si="1"/>
        <v>14</v>
      </c>
      <c r="O51" s="29"/>
      <c r="P51" t="s">
        <v>88</v>
      </c>
      <c r="Q51" t="s">
        <v>88</v>
      </c>
      <c r="R51" t="s">
        <v>88</v>
      </c>
      <c r="S51" t="s">
        <v>88</v>
      </c>
      <c r="T51" t="s">
        <v>88</v>
      </c>
      <c r="U51" t="s">
        <v>20</v>
      </c>
    </row>
    <row r="52" spans="1:21" ht="15.75" customHeight="1" x14ac:dyDescent="0.45">
      <c r="A52" s="79">
        <v>75053290</v>
      </c>
      <c r="B52" s="29" t="str">
        <f t="shared" si="0"/>
        <v>7.505.329-0</v>
      </c>
      <c r="C52" s="22" t="s">
        <v>22</v>
      </c>
      <c r="D52" s="29" t="s">
        <v>238</v>
      </c>
      <c r="E52" s="29" t="s">
        <v>486</v>
      </c>
      <c r="F52" s="29" t="s">
        <v>1016</v>
      </c>
      <c r="G52" s="49">
        <v>45570</v>
      </c>
      <c r="H52" s="49">
        <v>45579</v>
      </c>
      <c r="I52" s="29" t="s">
        <v>22</v>
      </c>
      <c r="J52" s="29" t="s">
        <v>22</v>
      </c>
      <c r="K52" s="24" t="s">
        <v>43</v>
      </c>
      <c r="L52" s="49">
        <v>45570</v>
      </c>
      <c r="M52" s="49">
        <v>45579</v>
      </c>
      <c r="N52" s="29">
        <f t="shared" si="1"/>
        <v>9</v>
      </c>
      <c r="O52" s="29"/>
      <c r="P52" t="s">
        <v>88</v>
      </c>
      <c r="Q52" t="s">
        <v>88</v>
      </c>
      <c r="R52" t="s">
        <v>88</v>
      </c>
      <c r="S52" t="s">
        <v>88</v>
      </c>
      <c r="T52" t="s">
        <v>88</v>
      </c>
      <c r="U52" t="s">
        <v>20</v>
      </c>
    </row>
    <row r="53" spans="1:21" ht="15.75" customHeight="1" x14ac:dyDescent="0.45">
      <c r="A53" s="79">
        <v>75053290</v>
      </c>
      <c r="B53" s="29" t="str">
        <f t="shared" si="0"/>
        <v>7.505.329-0</v>
      </c>
      <c r="C53" s="22" t="str">
        <f>IF(IFERROR(VLOOKUP(A53,$A$10:$I52,1,0),0)=0,"",VLOOKUP(A53,$A$10:$I52,3,0))</f>
        <v>UCI</v>
      </c>
      <c r="D53" s="29" t="str">
        <f>IF(IFERROR(VLOOKUP(A53,$A$10:$I52,1,0),0)=0,"",VLOOKUP(A53,$A$10:$I52,4,0))</f>
        <v>LUIS</v>
      </c>
      <c r="E53" s="29" t="str">
        <f>IF(IFERROR(VLOOKUP(A53,$A$10:$I52,1,0),0)=0,"",VLOOKUP(A53,$A$10:$I52,5,0))</f>
        <v>CUEVAS</v>
      </c>
      <c r="F53" s="29" t="str">
        <f>IF(IFERROR(VLOOKUP(A53,$A$10:$I52,1,0),0)=0,"",VLOOKUP(A53,$A$10:$I52,6,0))</f>
        <v>PINILLA</v>
      </c>
      <c r="G53" s="49">
        <f>IF(IFERROR(VLOOKUP(A53,$A$10:$I52,1,0),0)=0,"",VLOOKUP(A53,$A$10:$I52,7,0))</f>
        <v>45570</v>
      </c>
      <c r="H53" s="49">
        <v>45579</v>
      </c>
      <c r="I53" s="29" t="s">
        <v>22</v>
      </c>
      <c r="J53" s="29" t="s">
        <v>22</v>
      </c>
      <c r="K53" s="24" t="s">
        <v>47</v>
      </c>
      <c r="L53" s="49">
        <v>45570</v>
      </c>
      <c r="M53" s="49">
        <v>45579</v>
      </c>
      <c r="N53" s="29">
        <f t="shared" si="1"/>
        <v>9</v>
      </c>
      <c r="O53" s="29"/>
      <c r="P53" t="s">
        <v>88</v>
      </c>
      <c r="Q53" t="s">
        <v>88</v>
      </c>
      <c r="R53" t="s">
        <v>88</v>
      </c>
      <c r="S53" t="s">
        <v>88</v>
      </c>
      <c r="T53" t="s">
        <v>88</v>
      </c>
      <c r="U53" t="s">
        <v>20</v>
      </c>
    </row>
    <row r="54" spans="1:21" ht="15.75" customHeight="1" x14ac:dyDescent="0.45">
      <c r="A54" s="79">
        <v>285501784</v>
      </c>
      <c r="B54" s="29" t="str">
        <f t="shared" si="0"/>
        <v>28.550.178-4</v>
      </c>
      <c r="C54" s="22" t="s">
        <v>16</v>
      </c>
      <c r="D54" s="29" t="s">
        <v>761</v>
      </c>
      <c r="E54" s="29" t="s">
        <v>632</v>
      </c>
      <c r="F54" s="29" t="s">
        <v>393</v>
      </c>
      <c r="G54" s="49">
        <v>45561</v>
      </c>
      <c r="H54" s="29"/>
      <c r="I54" s="29"/>
      <c r="J54" s="29"/>
      <c r="K54" s="24" t="s">
        <v>18</v>
      </c>
      <c r="L54" s="49">
        <v>45566</v>
      </c>
      <c r="M54" s="49">
        <v>45570</v>
      </c>
      <c r="N54" s="29">
        <f t="shared" si="1"/>
        <v>4</v>
      </c>
      <c r="O54" s="29"/>
      <c r="P54" t="s">
        <v>88</v>
      </c>
      <c r="Q54" t="s">
        <v>88</v>
      </c>
      <c r="R54" t="s">
        <v>88</v>
      </c>
      <c r="S54" t="s">
        <v>88</v>
      </c>
      <c r="T54" t="s">
        <v>88</v>
      </c>
      <c r="U54" t="s">
        <v>20</v>
      </c>
    </row>
    <row r="55" spans="1:21" ht="15.75" customHeight="1" x14ac:dyDescent="0.45">
      <c r="A55" s="79">
        <v>285483093</v>
      </c>
      <c r="B55" s="29" t="str">
        <f t="shared" si="0"/>
        <v>28.548.309-3</v>
      </c>
      <c r="C55" s="22" t="s">
        <v>16</v>
      </c>
      <c r="D55" s="29" t="s">
        <v>1463</v>
      </c>
      <c r="E55" s="29" t="s">
        <v>842</v>
      </c>
      <c r="F55" s="29" t="s">
        <v>439</v>
      </c>
      <c r="G55" s="49">
        <v>45563</v>
      </c>
      <c r="H55" s="29"/>
      <c r="I55" s="29"/>
      <c r="J55" s="29"/>
      <c r="K55" s="24" t="s">
        <v>18</v>
      </c>
      <c r="L55" s="49">
        <v>45566</v>
      </c>
      <c r="M55" s="49"/>
      <c r="N55" s="29">
        <f t="shared" si="1"/>
        <v>-45566</v>
      </c>
      <c r="O55" s="29"/>
      <c r="P55" t="s">
        <v>88</v>
      </c>
      <c r="Q55" t="s">
        <v>88</v>
      </c>
      <c r="R55" t="s">
        <v>88</v>
      </c>
      <c r="S55" t="s">
        <v>88</v>
      </c>
      <c r="T55" t="s">
        <v>88</v>
      </c>
      <c r="U55" t="s">
        <v>20</v>
      </c>
    </row>
    <row r="56" spans="1:21" ht="15.75" customHeight="1" x14ac:dyDescent="0.45">
      <c r="A56" s="79">
        <v>69597416</v>
      </c>
      <c r="B56" s="29" t="str">
        <f t="shared" si="0"/>
        <v>6.959.741-6</v>
      </c>
      <c r="C56" s="22" t="s">
        <v>22</v>
      </c>
      <c r="D56" s="29" t="s">
        <v>351</v>
      </c>
      <c r="E56" s="29" t="s">
        <v>559</v>
      </c>
      <c r="F56" s="29" t="s">
        <v>249</v>
      </c>
      <c r="G56" s="49">
        <v>45565</v>
      </c>
      <c r="H56" s="49">
        <v>45569</v>
      </c>
      <c r="I56" s="29"/>
      <c r="J56" s="29"/>
      <c r="K56" s="24" t="s">
        <v>43</v>
      </c>
      <c r="L56" s="49">
        <v>45566</v>
      </c>
      <c r="M56" s="49">
        <v>45569</v>
      </c>
      <c r="N56" s="29">
        <f t="shared" si="1"/>
        <v>3</v>
      </c>
      <c r="O56" s="29"/>
      <c r="P56" t="s">
        <v>88</v>
      </c>
      <c r="Q56" t="s">
        <v>88</v>
      </c>
      <c r="R56" t="s">
        <v>88</v>
      </c>
      <c r="S56" t="s">
        <v>88</v>
      </c>
      <c r="T56" t="s">
        <v>88</v>
      </c>
      <c r="U56" t="s">
        <v>20</v>
      </c>
    </row>
    <row r="57" spans="1:21" ht="15.75" customHeight="1" x14ac:dyDescent="0.45">
      <c r="A57" s="79">
        <v>73372259</v>
      </c>
      <c r="B57" s="29" t="str">
        <f t="shared" si="0"/>
        <v>7.337.225-9</v>
      </c>
      <c r="C57" s="22" t="s">
        <v>22</v>
      </c>
      <c r="D57" s="29" t="s">
        <v>481</v>
      </c>
      <c r="E57" s="29" t="s">
        <v>617</v>
      </c>
      <c r="F57" s="29" t="s">
        <v>277</v>
      </c>
      <c r="G57" s="49">
        <v>45568</v>
      </c>
      <c r="H57" s="49">
        <v>45572</v>
      </c>
      <c r="I57" s="29"/>
      <c r="J57" s="29" t="s">
        <v>19</v>
      </c>
      <c r="K57" s="24" t="s">
        <v>43</v>
      </c>
      <c r="L57" s="49">
        <v>45568</v>
      </c>
      <c r="M57" s="49">
        <v>45572</v>
      </c>
      <c r="N57" s="29">
        <f t="shared" si="1"/>
        <v>4</v>
      </c>
      <c r="O57" s="29"/>
      <c r="P57" t="s">
        <v>88</v>
      </c>
      <c r="Q57" t="s">
        <v>88</v>
      </c>
      <c r="R57" t="s">
        <v>88</v>
      </c>
      <c r="S57" t="s">
        <v>88</v>
      </c>
      <c r="T57" t="s">
        <v>88</v>
      </c>
      <c r="U57" t="s">
        <v>20</v>
      </c>
    </row>
    <row r="58" spans="1:21" ht="15.75" customHeight="1" x14ac:dyDescent="0.45">
      <c r="A58" s="79">
        <v>73372259</v>
      </c>
      <c r="B58" s="29" t="str">
        <f t="shared" si="0"/>
        <v>7.337.225-9</v>
      </c>
      <c r="C58" s="22" t="str">
        <f>IF(IFERROR(VLOOKUP(A58,$A$10:$I57,1,0),0)=0,"",VLOOKUP(A58,$A$10:$I57,3,0))</f>
        <v>UCI</v>
      </c>
      <c r="D58" s="29" t="str">
        <f>IF(IFERROR(VLOOKUP(A58,$A$10:$I57,1,0),0)=0,"",VLOOKUP(A58,$A$10:$I57,4,0))</f>
        <v>JUAN</v>
      </c>
      <c r="E58" s="29" t="str">
        <f>IF(IFERROR(VLOOKUP(A58,$A$10:$I57,1,0),0)=0,"",VLOOKUP(A58,$A$10:$I57,5,0))</f>
        <v>BELMAR</v>
      </c>
      <c r="F58" s="29" t="str">
        <f>IF(IFERROR(VLOOKUP(A58,$A$10:$I57,1,0),0)=0,"",VLOOKUP(A58,$A$10:$I57,6,0))</f>
        <v>MORA</v>
      </c>
      <c r="G58" s="49">
        <f>IF(IFERROR(VLOOKUP(A58,$A$10:$I57,1,0),0)=0,"",VLOOKUP(A58,$A$10:$I57,7,0))</f>
        <v>45568</v>
      </c>
      <c r="H58" s="49">
        <v>45572</v>
      </c>
      <c r="I58" s="29"/>
      <c r="J58" s="29" t="s">
        <v>19</v>
      </c>
      <c r="K58" s="24" t="s">
        <v>47</v>
      </c>
      <c r="L58" s="49">
        <v>45568</v>
      </c>
      <c r="M58" s="49">
        <v>45572</v>
      </c>
      <c r="N58" s="29">
        <f t="shared" si="1"/>
        <v>4</v>
      </c>
      <c r="O58" s="29"/>
      <c r="P58" t="s">
        <v>88</v>
      </c>
      <c r="Q58" t="s">
        <v>88</v>
      </c>
      <c r="R58" t="s">
        <v>88</v>
      </c>
      <c r="S58" t="s">
        <v>88</v>
      </c>
      <c r="T58" t="s">
        <v>88</v>
      </c>
      <c r="U58" t="s">
        <v>20</v>
      </c>
    </row>
    <row r="59" spans="1:21" ht="15.75" customHeight="1" x14ac:dyDescent="0.45">
      <c r="A59" s="79">
        <v>55898340</v>
      </c>
      <c r="B59" s="29" t="str">
        <f t="shared" si="0"/>
        <v>5.589.834-0</v>
      </c>
      <c r="C59" s="22" t="s">
        <v>22</v>
      </c>
      <c r="D59" s="29" t="s">
        <v>854</v>
      </c>
      <c r="E59" s="29" t="s">
        <v>501</v>
      </c>
      <c r="F59" s="29" t="s">
        <v>318</v>
      </c>
      <c r="G59" s="49">
        <v>45567</v>
      </c>
      <c r="H59" s="49">
        <v>45572</v>
      </c>
      <c r="I59" s="29" t="s">
        <v>22</v>
      </c>
      <c r="J59" s="29" t="s">
        <v>19</v>
      </c>
      <c r="K59" s="24" t="s">
        <v>43</v>
      </c>
      <c r="L59" s="49">
        <v>45567</v>
      </c>
      <c r="M59" s="49">
        <v>45572</v>
      </c>
      <c r="N59" s="29">
        <f t="shared" si="1"/>
        <v>5</v>
      </c>
      <c r="O59" s="29"/>
      <c r="P59" t="s">
        <v>88</v>
      </c>
      <c r="Q59" t="s">
        <v>88</v>
      </c>
      <c r="R59" t="s">
        <v>88</v>
      </c>
      <c r="S59" t="s">
        <v>88</v>
      </c>
      <c r="T59" t="s">
        <v>88</v>
      </c>
      <c r="U59" t="s">
        <v>20</v>
      </c>
    </row>
    <row r="60" spans="1:21" ht="15.75" customHeight="1" x14ac:dyDescent="0.45">
      <c r="A60" s="79">
        <v>55898340</v>
      </c>
      <c r="B60" s="29" t="str">
        <f t="shared" si="0"/>
        <v>5.589.834-0</v>
      </c>
      <c r="C60" s="22" t="str">
        <f>IF(IFERROR(VLOOKUP(A60,$A$10:$I59,1,0),0)=0,"",VLOOKUP(A60,$A$10:$I59,3,0))</f>
        <v>UCI</v>
      </c>
      <c r="D60" s="29" t="str">
        <f>IF(IFERROR(VLOOKUP(A60,$A$10:$I59,1,0),0)=0,"",VLOOKUP(A60,$A$10:$I59,4,0))</f>
        <v>ESTER</v>
      </c>
      <c r="E60" s="29" t="str">
        <f>IF(IFERROR(VLOOKUP(A60,$A$10:$I59,1,0),0)=0,"",VLOOKUP(A60,$A$10:$I59,5,0))</f>
        <v>REYES</v>
      </c>
      <c r="F60" s="29" t="str">
        <f>IF(IFERROR(VLOOKUP(A60,$A$10:$I59,1,0),0)=0,"",VLOOKUP(A60,$A$10:$I59,6,0))</f>
        <v>VERA</v>
      </c>
      <c r="G60" s="49">
        <f>IF(IFERROR(VLOOKUP(A60,$A$10:$I59,1,0),0)=0,"",VLOOKUP(A60,$A$10:$I59,7,0))</f>
        <v>45567</v>
      </c>
      <c r="H60" s="49">
        <v>45572</v>
      </c>
      <c r="I60" s="29" t="s">
        <v>22</v>
      </c>
      <c r="J60" s="29" t="s">
        <v>19</v>
      </c>
      <c r="K60" s="24" t="s">
        <v>47</v>
      </c>
      <c r="L60" s="49">
        <v>45568</v>
      </c>
      <c r="M60" s="49">
        <v>45572</v>
      </c>
      <c r="N60" s="29">
        <f t="shared" si="1"/>
        <v>4</v>
      </c>
      <c r="O60" s="29"/>
      <c r="P60" t="s">
        <v>88</v>
      </c>
      <c r="Q60" t="s">
        <v>88</v>
      </c>
      <c r="R60" t="s">
        <v>88</v>
      </c>
      <c r="S60" t="s">
        <v>88</v>
      </c>
      <c r="T60" t="s">
        <v>88</v>
      </c>
      <c r="U60" t="s">
        <v>20</v>
      </c>
    </row>
    <row r="61" spans="1:21" ht="15.75" customHeight="1" x14ac:dyDescent="0.45">
      <c r="A61" s="79" t="s">
        <v>1464</v>
      </c>
      <c r="B61" s="29" t="str">
        <f t="shared" si="0"/>
        <v>15.615.461-K</v>
      </c>
      <c r="C61" s="22" t="s">
        <v>22</v>
      </c>
      <c r="D61" s="29" t="str">
        <f>IF(IFERROR(VLOOKUP(A61,$A$10:$I60,1,0),0)=0,"",VLOOKUP(A61,$A$10:$I60,4,0))</f>
        <v>MARIA</v>
      </c>
      <c r="E61" s="29" t="str">
        <f>IF(IFERROR(VLOOKUP(A61,$A$10:$I60,1,0),0)=0,"",VLOOKUP(A61,$A$10:$I60,5,0))</f>
        <v>HERNANDEZ</v>
      </c>
      <c r="F61" s="29" t="str">
        <f>IF(IFERROR(VLOOKUP(A61,$A$10:$I60,1,0),0)=0,"",VLOOKUP(A61,$A$10:$I60,6,0))</f>
        <v>CASTRO</v>
      </c>
      <c r="G61" s="49">
        <v>45567</v>
      </c>
      <c r="H61" s="49">
        <v>45569</v>
      </c>
      <c r="I61" s="29"/>
      <c r="J61" s="29" t="s">
        <v>22</v>
      </c>
      <c r="K61" s="24" t="s">
        <v>43</v>
      </c>
      <c r="L61" s="49">
        <v>45567</v>
      </c>
      <c r="M61" s="49">
        <v>45569</v>
      </c>
      <c r="N61" s="29">
        <f t="shared" si="1"/>
        <v>2</v>
      </c>
      <c r="O61" s="29"/>
      <c r="P61" t="s">
        <v>88</v>
      </c>
      <c r="Q61" t="s">
        <v>88</v>
      </c>
      <c r="R61" t="s">
        <v>88</v>
      </c>
      <c r="S61" t="s">
        <v>88</v>
      </c>
      <c r="T61" t="s">
        <v>88</v>
      </c>
      <c r="U61" t="s">
        <v>20</v>
      </c>
    </row>
    <row r="62" spans="1:21" ht="15.75" customHeight="1" x14ac:dyDescent="0.45">
      <c r="A62" s="79">
        <v>58512451</v>
      </c>
      <c r="B62" s="29" t="str">
        <f t="shared" si="0"/>
        <v>5.851.245-1</v>
      </c>
      <c r="C62" s="22" t="s">
        <v>22</v>
      </c>
      <c r="D62" s="29" t="s">
        <v>368</v>
      </c>
      <c r="E62" s="29" t="s">
        <v>512</v>
      </c>
      <c r="F62" s="29" t="s">
        <v>512</v>
      </c>
      <c r="G62" s="49">
        <v>45563</v>
      </c>
      <c r="H62" s="49">
        <v>45569</v>
      </c>
      <c r="I62" s="29"/>
      <c r="J62" s="29" t="s">
        <v>24</v>
      </c>
      <c r="K62" s="24" t="s">
        <v>43</v>
      </c>
      <c r="L62" s="49">
        <v>45566</v>
      </c>
      <c r="M62" s="49">
        <v>45569</v>
      </c>
      <c r="N62" s="29">
        <f t="shared" si="1"/>
        <v>3</v>
      </c>
      <c r="O62" s="29"/>
      <c r="P62" t="s">
        <v>88</v>
      </c>
      <c r="Q62" t="s">
        <v>88</v>
      </c>
      <c r="R62" t="s">
        <v>88</v>
      </c>
      <c r="S62" t="s">
        <v>88</v>
      </c>
      <c r="T62" t="s">
        <v>88</v>
      </c>
      <c r="U62" t="s">
        <v>20</v>
      </c>
    </row>
    <row r="63" spans="1:21" ht="15.75" customHeight="1" x14ac:dyDescent="0.45">
      <c r="A63" s="79">
        <v>58512451</v>
      </c>
      <c r="B63" s="29" t="str">
        <f t="shared" si="0"/>
        <v>5.851.245-1</v>
      </c>
      <c r="C63" s="22" t="str">
        <f>IF(IFERROR(VLOOKUP(A63,$A$10:$I62,1,0),0)=0,"",VLOOKUP(A63,$A$10:$I62,3,0))</f>
        <v>UCI</v>
      </c>
      <c r="D63" s="29" t="str">
        <f>IF(IFERROR(VLOOKUP(A63,$A$10:$I62,1,0),0)=0,"",VLOOKUP(A63,$A$10:$I62,4,0))</f>
        <v>JUANA</v>
      </c>
      <c r="E63" s="29" t="str">
        <f>IF(IFERROR(VLOOKUP(A63,$A$10:$I62,1,0),0)=0,"",VLOOKUP(A63,$A$10:$I62,5,0))</f>
        <v>CACERES</v>
      </c>
      <c r="F63" s="29" t="str">
        <f>IF(IFERROR(VLOOKUP(A63,$A$10:$I62,1,0),0)=0,"",VLOOKUP(A63,$A$10:$I62,6,0))</f>
        <v>CACERES</v>
      </c>
      <c r="G63" s="49">
        <f>IF(IFERROR(VLOOKUP(A63,$A$10:$I62,1,0),0)=0,"",VLOOKUP(A63,$A$10:$I62,7,0))</f>
        <v>45563</v>
      </c>
      <c r="H63" s="49">
        <v>45569</v>
      </c>
      <c r="I63" s="29"/>
      <c r="J63" s="29" t="s">
        <v>24</v>
      </c>
      <c r="K63" s="24" t="s">
        <v>47</v>
      </c>
      <c r="L63" s="49">
        <v>45566</v>
      </c>
      <c r="M63" s="49">
        <v>45569</v>
      </c>
      <c r="N63" s="29">
        <f t="shared" si="1"/>
        <v>3</v>
      </c>
      <c r="O63" s="29"/>
      <c r="P63" t="s">
        <v>88</v>
      </c>
      <c r="Q63" t="s">
        <v>88</v>
      </c>
      <c r="R63" t="s">
        <v>88</v>
      </c>
      <c r="S63" t="s">
        <v>88</v>
      </c>
      <c r="T63" t="s">
        <v>88</v>
      </c>
      <c r="U63" t="s">
        <v>20</v>
      </c>
    </row>
    <row r="64" spans="1:21" ht="15.75" customHeight="1" x14ac:dyDescent="0.45">
      <c r="A64" s="79">
        <v>75053290</v>
      </c>
      <c r="B64" s="29" t="str">
        <f t="shared" si="0"/>
        <v>7.505.329-0</v>
      </c>
      <c r="C64" s="22" t="s">
        <v>22</v>
      </c>
      <c r="D64" s="29" t="str">
        <f>IF(IFERROR(VLOOKUP(A64,$A$10:$I63,1,0),0)=0,"",VLOOKUP(A64,$A$10:$I63,4,0))</f>
        <v>LUIS</v>
      </c>
      <c r="E64" s="29" t="str">
        <f>IF(IFERROR(VLOOKUP(A64,$A$10:$I63,1,0),0)=0,"",VLOOKUP(A64,$A$10:$I63,5,0))</f>
        <v>CUEVAS</v>
      </c>
      <c r="F64" s="29" t="str">
        <f>IF(IFERROR(VLOOKUP(A64,$A$10:$I63,1,0),0)=0,"",VLOOKUP(A64,$A$10:$I63,6,0))</f>
        <v>PINILLA</v>
      </c>
      <c r="G64" s="49">
        <v>45567</v>
      </c>
      <c r="H64" s="49">
        <v>45570</v>
      </c>
      <c r="I64" s="29"/>
      <c r="J64" s="29" t="s">
        <v>22</v>
      </c>
      <c r="K64" s="24" t="s">
        <v>43</v>
      </c>
      <c r="L64" s="49">
        <v>45567</v>
      </c>
      <c r="M64" s="49">
        <v>45570</v>
      </c>
      <c r="N64" s="29">
        <f t="shared" si="1"/>
        <v>3</v>
      </c>
      <c r="O64" s="29"/>
      <c r="P64" t="s">
        <v>88</v>
      </c>
      <c r="Q64" t="s">
        <v>88</v>
      </c>
      <c r="R64" t="s">
        <v>88</v>
      </c>
      <c r="S64" t="s">
        <v>88</v>
      </c>
      <c r="T64" t="s">
        <v>88</v>
      </c>
      <c r="U64" t="s">
        <v>20</v>
      </c>
    </row>
    <row r="65" spans="1:21" ht="15.75" customHeight="1" x14ac:dyDescent="0.45">
      <c r="A65" s="79">
        <v>75053290</v>
      </c>
      <c r="B65" s="29" t="str">
        <f t="shared" si="0"/>
        <v>7.505.329-0</v>
      </c>
      <c r="C65" s="22" t="s">
        <v>22</v>
      </c>
      <c r="D65" s="29" t="str">
        <f>IF(IFERROR(VLOOKUP(A65,$A$10:$I64,1,0),0)=0,"",VLOOKUP(A65,$A$10:$I64,4,0))</f>
        <v>LUIS</v>
      </c>
      <c r="E65" s="29" t="str">
        <f>IF(IFERROR(VLOOKUP(A65,$A$10:$I64,1,0),0)=0,"",VLOOKUP(A65,$A$10:$I64,5,0))</f>
        <v>CUEVAS</v>
      </c>
      <c r="F65" s="29" t="str">
        <f>IF(IFERROR(VLOOKUP(A65,$A$10:$I64,1,0),0)=0,"",VLOOKUP(A65,$A$10:$I64,6,0))</f>
        <v>PINILLA</v>
      </c>
      <c r="G65" s="49">
        <v>45567</v>
      </c>
      <c r="H65" s="49">
        <v>45570</v>
      </c>
      <c r="I65" s="29"/>
      <c r="J65" s="29"/>
      <c r="K65" s="24" t="s">
        <v>47</v>
      </c>
      <c r="L65" s="49">
        <v>45567</v>
      </c>
      <c r="M65" s="49">
        <v>45570</v>
      </c>
      <c r="N65" s="29">
        <f t="shared" si="1"/>
        <v>3</v>
      </c>
      <c r="O65" s="29"/>
      <c r="P65" t="s">
        <v>88</v>
      </c>
      <c r="Q65" t="s">
        <v>88</v>
      </c>
      <c r="R65" t="s">
        <v>88</v>
      </c>
      <c r="S65" t="s">
        <v>88</v>
      </c>
      <c r="T65" t="s">
        <v>88</v>
      </c>
      <c r="U65" t="s">
        <v>20</v>
      </c>
    </row>
    <row r="66" spans="1:21" ht="15.75" customHeight="1" x14ac:dyDescent="0.45">
      <c r="A66" s="79">
        <v>75053290</v>
      </c>
      <c r="B66" s="29" t="str">
        <f t="shared" si="0"/>
        <v>7.505.329-0</v>
      </c>
      <c r="C66" s="22" t="s">
        <v>22</v>
      </c>
      <c r="D66" s="29" t="str">
        <f>IF(IFERROR(VLOOKUP(A66,$A$10:$I65,1,0),0)=0,"",VLOOKUP(A66,$A$10:$I65,4,0))</f>
        <v>LUIS</v>
      </c>
      <c r="E66" s="29" t="str">
        <f>IF(IFERROR(VLOOKUP(A66,$A$10:$I65,1,0),0)=0,"",VLOOKUP(A66,$A$10:$I65,5,0))</f>
        <v>CUEVAS</v>
      </c>
      <c r="F66" s="29" t="str">
        <f>IF(IFERROR(VLOOKUP(A66,$A$10:$I65,1,0),0)=0,"",VLOOKUP(A66,$A$10:$I65,6,0))</f>
        <v>PINILLA</v>
      </c>
      <c r="G66" s="49">
        <v>45567</v>
      </c>
      <c r="H66" s="49">
        <v>45570</v>
      </c>
      <c r="I66" s="29"/>
      <c r="J66" s="29"/>
      <c r="K66" s="24" t="s">
        <v>55</v>
      </c>
      <c r="L66" s="49">
        <v>45567</v>
      </c>
      <c r="M66" s="49">
        <v>45569</v>
      </c>
      <c r="N66" s="29">
        <f t="shared" si="1"/>
        <v>2</v>
      </c>
      <c r="O66" s="29"/>
      <c r="P66" t="s">
        <v>88</v>
      </c>
      <c r="Q66" t="s">
        <v>88</v>
      </c>
      <c r="R66" t="s">
        <v>88</v>
      </c>
      <c r="S66" t="s">
        <v>88</v>
      </c>
      <c r="T66" t="s">
        <v>88</v>
      </c>
      <c r="U66" t="s">
        <v>20</v>
      </c>
    </row>
    <row r="67" spans="1:21" ht="15.75" customHeight="1" x14ac:dyDescent="0.45">
      <c r="A67" s="79" t="s">
        <v>1465</v>
      </c>
      <c r="B67" s="29" t="str">
        <f t="shared" si="0"/>
        <v>5.602.824-2</v>
      </c>
      <c r="C67" s="22" t="s">
        <v>22</v>
      </c>
      <c r="D67" s="29" t="s">
        <v>351</v>
      </c>
      <c r="E67" s="29" t="s">
        <v>902</v>
      </c>
      <c r="F67" s="29" t="s">
        <v>561</v>
      </c>
      <c r="G67" s="49">
        <v>45562</v>
      </c>
      <c r="H67" s="49">
        <v>45569</v>
      </c>
      <c r="I67" s="29"/>
      <c r="J67" s="29" t="s">
        <v>19</v>
      </c>
      <c r="K67" s="24" t="s">
        <v>43</v>
      </c>
      <c r="L67" s="49">
        <v>45566</v>
      </c>
      <c r="M67" s="49">
        <v>45569</v>
      </c>
      <c r="N67" s="29">
        <f t="shared" si="1"/>
        <v>3</v>
      </c>
      <c r="O67" s="29"/>
      <c r="P67" t="s">
        <v>88</v>
      </c>
      <c r="Q67" t="s">
        <v>88</v>
      </c>
      <c r="R67" t="s">
        <v>88</v>
      </c>
      <c r="S67" t="s">
        <v>88</v>
      </c>
      <c r="T67" t="s">
        <v>88</v>
      </c>
      <c r="U67" t="s">
        <v>20</v>
      </c>
    </row>
    <row r="68" spans="1:21" ht="15.75" customHeight="1" x14ac:dyDescent="0.45">
      <c r="A68" s="79" t="s">
        <v>1465</v>
      </c>
      <c r="B68" s="29" t="str">
        <f t="shared" si="0"/>
        <v>5.602.824-2</v>
      </c>
      <c r="C68" s="22" t="str">
        <f>IF(IFERROR(VLOOKUP(A68,$A$10:$I67,1,0),0)=0,"",VLOOKUP(A68,$A$10:$I67,3,0))</f>
        <v>UCI</v>
      </c>
      <c r="D68" s="29" t="str">
        <f>IF(IFERROR(VLOOKUP(A68,$A$10:$I67,1,0),0)=0,"",VLOOKUP(A68,$A$10:$I67,4,0))</f>
        <v>OSCAR</v>
      </c>
      <c r="E68" s="29" t="str">
        <f>IF(IFERROR(VLOOKUP(A68,$A$10:$I67,1,0),0)=0,"",VLOOKUP(A68,$A$10:$I67,5,0))</f>
        <v>RAMIREZ</v>
      </c>
      <c r="F68" s="29" t="str">
        <f>IF(IFERROR(VLOOKUP(A68,$A$10:$I67,1,0),0)=0,"",VLOOKUP(A68,$A$10:$I67,6,0))</f>
        <v>VERGARA</v>
      </c>
      <c r="G68" s="49">
        <f>IF(IFERROR(VLOOKUP(A68,$A$10:$I67,1,0),0)=0,"",VLOOKUP(A68,$A$10:$I67,7,0))</f>
        <v>45562</v>
      </c>
      <c r="H68" s="49">
        <v>45569</v>
      </c>
      <c r="I68" s="29"/>
      <c r="J68" s="29" t="s">
        <v>19</v>
      </c>
      <c r="K68" s="24" t="s">
        <v>47</v>
      </c>
      <c r="L68" s="49">
        <v>45566</v>
      </c>
      <c r="M68" s="49">
        <v>45569</v>
      </c>
      <c r="N68" s="29">
        <f t="shared" si="1"/>
        <v>3</v>
      </c>
      <c r="O68" s="29"/>
      <c r="P68" t="s">
        <v>88</v>
      </c>
      <c r="Q68" t="s">
        <v>88</v>
      </c>
      <c r="R68" t="s">
        <v>88</v>
      </c>
      <c r="S68" t="s">
        <v>88</v>
      </c>
      <c r="T68" t="s">
        <v>88</v>
      </c>
      <c r="U68" t="s">
        <v>20</v>
      </c>
    </row>
    <row r="69" spans="1:21" ht="15.75" customHeight="1" x14ac:dyDescent="0.45">
      <c r="A69" s="79" t="s">
        <v>1465</v>
      </c>
      <c r="B69" s="29" t="str">
        <f t="shared" si="0"/>
        <v>5.602.824-2</v>
      </c>
      <c r="C69" s="22" t="str">
        <f>IF(IFERROR(VLOOKUP(A69,$A$10:$I68,1,0),0)=0,"",VLOOKUP(A69,$A$10:$I68,3,0))</f>
        <v>UCI</v>
      </c>
      <c r="D69" s="29" t="str">
        <f>IF(IFERROR(VLOOKUP(A69,$A$10:$I68,1,0),0)=0,"",VLOOKUP(A69,$A$10:$I68,4,0))</f>
        <v>OSCAR</v>
      </c>
      <c r="E69" s="29" t="str">
        <f>IF(IFERROR(VLOOKUP(A69,$A$10:$I68,1,0),0)=0,"",VLOOKUP(A69,$A$10:$I68,5,0))</f>
        <v>RAMIREZ</v>
      </c>
      <c r="F69" s="29" t="str">
        <f>IF(IFERROR(VLOOKUP(A69,$A$10:$I68,1,0),0)=0,"",VLOOKUP(A69,$A$10:$I68,6,0))</f>
        <v>VERGARA</v>
      </c>
      <c r="G69" s="49">
        <f>IF(IFERROR(VLOOKUP(A69,$A$10:$I68,1,0),0)=0,"",VLOOKUP(A69,$A$10:$I68,7,0))</f>
        <v>45562</v>
      </c>
      <c r="H69" s="49">
        <v>45569</v>
      </c>
      <c r="I69" s="29"/>
      <c r="J69" s="29" t="s">
        <v>19</v>
      </c>
      <c r="K69" s="24" t="s">
        <v>55</v>
      </c>
      <c r="L69" s="49">
        <v>45566</v>
      </c>
      <c r="M69" s="49">
        <v>45569</v>
      </c>
      <c r="N69" s="29">
        <f t="shared" si="1"/>
        <v>3</v>
      </c>
      <c r="O69" s="29"/>
      <c r="P69" t="s">
        <v>88</v>
      </c>
      <c r="Q69" t="s">
        <v>88</v>
      </c>
      <c r="R69" t="s">
        <v>88</v>
      </c>
      <c r="S69" t="s">
        <v>88</v>
      </c>
      <c r="T69" t="s">
        <v>88</v>
      </c>
      <c r="U69" t="s">
        <v>20</v>
      </c>
    </row>
    <row r="70" spans="1:21" ht="15.75" customHeight="1" x14ac:dyDescent="0.45">
      <c r="A70" s="79">
        <v>92894819</v>
      </c>
      <c r="B70" s="29" t="str">
        <f t="shared" si="0"/>
        <v>9.289.481-9</v>
      </c>
      <c r="C70" s="22" t="s">
        <v>22</v>
      </c>
      <c r="D70" s="29" t="s">
        <v>406</v>
      </c>
      <c r="E70" s="29" t="s">
        <v>387</v>
      </c>
      <c r="F70" s="29" t="s">
        <v>1422</v>
      </c>
      <c r="G70" s="49">
        <v>45558</v>
      </c>
      <c r="H70" s="49">
        <v>45571</v>
      </c>
      <c r="I70" s="29"/>
      <c r="J70" s="29"/>
      <c r="K70" s="24" t="s">
        <v>43</v>
      </c>
      <c r="L70" s="49">
        <v>45566</v>
      </c>
      <c r="M70" s="49">
        <v>45571</v>
      </c>
      <c r="N70" s="29">
        <f t="shared" si="1"/>
        <v>5</v>
      </c>
      <c r="O70" s="29"/>
      <c r="P70" t="s">
        <v>88</v>
      </c>
      <c r="Q70" t="s">
        <v>88</v>
      </c>
      <c r="R70" t="s">
        <v>88</v>
      </c>
      <c r="S70" t="s">
        <v>88</v>
      </c>
      <c r="T70" t="s">
        <v>88</v>
      </c>
      <c r="U70" t="s">
        <v>20</v>
      </c>
    </row>
    <row r="71" spans="1:21" ht="15.75" customHeight="1" x14ac:dyDescent="0.45">
      <c r="A71" s="79">
        <v>92894819</v>
      </c>
      <c r="B71" s="29" t="str">
        <f t="shared" si="0"/>
        <v>9.289.481-9</v>
      </c>
      <c r="C71" s="22" t="str">
        <f>IF(IFERROR(VLOOKUP(A71,$A$10:$I70,1,0),0)=0,"",VLOOKUP(A71,$A$10:$I70,3,0))</f>
        <v>UCI</v>
      </c>
      <c r="D71" s="29" t="str">
        <f>IF(IFERROR(VLOOKUP(A71,$A$10:$I70,1,0),0)=0,"",VLOOKUP(A71,$A$10:$I70,4,0))</f>
        <v>ERNESTO</v>
      </c>
      <c r="E71" s="29" t="str">
        <f>IF(IFERROR(VLOOKUP(A71,$A$10:$I70,1,0),0)=0,"",VLOOKUP(A71,$A$10:$I70,5,0))</f>
        <v>SANHUEZA</v>
      </c>
      <c r="F71" s="29" t="str">
        <f>IF(IFERROR(VLOOKUP(A71,$A$10:$I70,1,0),0)=0,"",VLOOKUP(A71,$A$10:$I70,6,0))</f>
        <v>PAREDES</v>
      </c>
      <c r="G71" s="49">
        <f>IF(IFERROR(VLOOKUP(A71,$A$10:$I70,1,0),0)=0,"",VLOOKUP(A71,$A$10:$I70,7,0))</f>
        <v>45558</v>
      </c>
      <c r="H71" s="49">
        <v>45571</v>
      </c>
      <c r="I71" s="29"/>
      <c r="J71" s="29"/>
      <c r="K71" s="24" t="s">
        <v>47</v>
      </c>
      <c r="L71" s="49">
        <v>45566</v>
      </c>
      <c r="M71" s="49">
        <v>45571</v>
      </c>
      <c r="N71" s="29">
        <f t="shared" si="1"/>
        <v>5</v>
      </c>
      <c r="O71" s="29"/>
      <c r="P71" t="s">
        <v>88</v>
      </c>
      <c r="Q71" t="s">
        <v>88</v>
      </c>
      <c r="R71" t="s">
        <v>88</v>
      </c>
      <c r="S71" t="s">
        <v>88</v>
      </c>
      <c r="T71" t="s">
        <v>88</v>
      </c>
      <c r="U71" t="s">
        <v>20</v>
      </c>
    </row>
    <row r="72" spans="1:21" ht="15.75" customHeight="1" x14ac:dyDescent="0.45">
      <c r="A72" s="79">
        <v>92894819</v>
      </c>
      <c r="B72" s="29" t="str">
        <f t="shared" ref="B72:B135" si="2">IF(LEN(A72)=8,MID(A72,1,1)&amp;"."&amp;MID(A72,2,3)&amp;"."&amp;MID(A72,5,3)&amp;"-"&amp;RIGHT(A72,1),IF(LEFT(RIGHT(A72,2),1)="-",MID(A72,1,1)&amp;"."&amp;MID(A72,2,3)&amp;"."&amp;MID(A72,5,3)&amp;"-"&amp;RIGHT(A72,1),MID(A72,1,2)&amp;"."&amp;MID(A72,3,3)&amp;"."&amp;MID(A72,6,3)&amp;"-"&amp;MID(A72,9,1)))</f>
        <v>9.289.481-9</v>
      </c>
      <c r="C72" s="22" t="str">
        <f>IF(IFERROR(VLOOKUP(A72,$A$10:$I71,1,0),0)=0,"",VLOOKUP(A72,$A$10:$I71,3,0))</f>
        <v>UCI</v>
      </c>
      <c r="D72" s="29" t="str">
        <f>IF(IFERROR(VLOOKUP(A72,$A$10:$I71,1,0),0)=0,"",VLOOKUP(A72,$A$10:$I71,4,0))</f>
        <v>ERNESTO</v>
      </c>
      <c r="E72" s="29" t="str">
        <f>IF(IFERROR(VLOOKUP(A72,$A$10:$I71,1,0),0)=0,"",VLOOKUP(A72,$A$10:$I71,5,0))</f>
        <v>SANHUEZA</v>
      </c>
      <c r="F72" s="29" t="str">
        <f>IF(IFERROR(VLOOKUP(A72,$A$10:$I71,1,0),0)=0,"",VLOOKUP(A72,$A$10:$I71,6,0))</f>
        <v>PAREDES</v>
      </c>
      <c r="G72" s="49">
        <f>IF(IFERROR(VLOOKUP(A72,$A$10:$I71,1,0),0)=0,"",VLOOKUP(A72,$A$10:$I71,7,0))</f>
        <v>45558</v>
      </c>
      <c r="H72" s="49">
        <v>45571</v>
      </c>
      <c r="I72" s="29"/>
      <c r="J72" s="29"/>
      <c r="K72" s="24" t="s">
        <v>55</v>
      </c>
      <c r="L72" s="49">
        <v>45566</v>
      </c>
      <c r="M72" s="49">
        <v>45571</v>
      </c>
      <c r="N72" s="29">
        <f t="shared" ref="N72:N135" si="3">+M72-L72</f>
        <v>5</v>
      </c>
      <c r="O72" s="29"/>
      <c r="P72" t="s">
        <v>88</v>
      </c>
      <c r="Q72" t="s">
        <v>88</v>
      </c>
      <c r="R72" t="s">
        <v>88</v>
      </c>
      <c r="S72" t="s">
        <v>88</v>
      </c>
      <c r="T72" t="s">
        <v>88</v>
      </c>
      <c r="U72" t="s">
        <v>20</v>
      </c>
    </row>
    <row r="73" spans="1:21" ht="15.75" customHeight="1" x14ac:dyDescent="0.45">
      <c r="A73" s="79">
        <v>59599496</v>
      </c>
      <c r="B73" s="29" t="str">
        <f t="shared" si="2"/>
        <v>5.959.949-6</v>
      </c>
      <c r="C73" s="22" t="s">
        <v>22</v>
      </c>
      <c r="D73" s="29" t="s">
        <v>603</v>
      </c>
      <c r="E73" s="29" t="s">
        <v>256</v>
      </c>
      <c r="F73" s="29" t="s">
        <v>299</v>
      </c>
      <c r="G73" s="49">
        <v>45566</v>
      </c>
      <c r="H73" s="49">
        <v>45568</v>
      </c>
      <c r="I73" s="29"/>
      <c r="J73" s="29" t="s">
        <v>56</v>
      </c>
      <c r="K73" s="24" t="s">
        <v>43</v>
      </c>
      <c r="L73" s="49">
        <v>45566</v>
      </c>
      <c r="M73" s="49">
        <v>45568</v>
      </c>
      <c r="N73" s="29">
        <f t="shared" si="3"/>
        <v>2</v>
      </c>
      <c r="O73" s="29"/>
      <c r="P73" t="s">
        <v>88</v>
      </c>
      <c r="Q73" t="s">
        <v>88</v>
      </c>
      <c r="R73" t="s">
        <v>88</v>
      </c>
      <c r="S73" t="s">
        <v>88</v>
      </c>
      <c r="T73" t="s">
        <v>88</v>
      </c>
      <c r="U73" t="s">
        <v>20</v>
      </c>
    </row>
    <row r="74" spans="1:21" ht="15.75" customHeight="1" x14ac:dyDescent="0.45">
      <c r="A74" s="79">
        <v>144205081</v>
      </c>
      <c r="B74" s="29" t="str">
        <f t="shared" si="2"/>
        <v>14.420.508-1</v>
      </c>
      <c r="C74" s="22" t="str">
        <f>IF(IFERROR(VLOOKUP(A74,$A$10:$I73,1,0),0)=0,"",VLOOKUP(A74,$A$10:$I73,3,0))</f>
        <v>UCI</v>
      </c>
      <c r="D74" s="29" t="str">
        <f>IF(IFERROR(VLOOKUP(A74,$A$10:$I73,1,0),0)=0,"",VLOOKUP(A74,$A$10:$I73,4,0))</f>
        <v>CARLOS</v>
      </c>
      <c r="E74" s="29" t="str">
        <f>IF(IFERROR(VLOOKUP(A74,$A$10:$I73,1,0),0)=0,"",VLOOKUP(A74,$A$10:$I73,5,0))</f>
        <v>GODOY</v>
      </c>
      <c r="F74" s="29" t="str">
        <f>IF(IFERROR(VLOOKUP(A74,$A$10:$I73,1,0),0)=0,"",VLOOKUP(A74,$A$10:$I73,6,0))</f>
        <v>BASCUÑAN</v>
      </c>
      <c r="G74" s="49">
        <f>IF(IFERROR(VLOOKUP(A74,$A$10:$I73,1,0),0)=0,"",VLOOKUP(A74,$A$10:$I73,7,0))</f>
        <v>45533</v>
      </c>
      <c r="H74" s="29"/>
      <c r="I74" s="29" t="s">
        <v>46</v>
      </c>
      <c r="J74" s="29" t="s">
        <v>22</v>
      </c>
      <c r="K74" s="24" t="s">
        <v>18</v>
      </c>
      <c r="L74" s="49">
        <v>45568</v>
      </c>
      <c r="M74" s="49">
        <v>45594</v>
      </c>
      <c r="N74" s="29">
        <f t="shared" si="3"/>
        <v>26</v>
      </c>
      <c r="O74" s="29"/>
      <c r="P74" t="s">
        <v>88</v>
      </c>
      <c r="Q74" t="s">
        <v>88</v>
      </c>
      <c r="R74" t="s">
        <v>88</v>
      </c>
      <c r="S74" t="s">
        <v>88</v>
      </c>
      <c r="T74" t="s">
        <v>88</v>
      </c>
      <c r="U74" t="s">
        <v>20</v>
      </c>
    </row>
    <row r="75" spans="1:21" ht="15.75" customHeight="1" x14ac:dyDescent="0.45">
      <c r="A75" s="79">
        <v>87243273</v>
      </c>
      <c r="B75" s="29" t="str">
        <f t="shared" si="2"/>
        <v>8.724.327-3</v>
      </c>
      <c r="C75" s="22" t="s">
        <v>22</v>
      </c>
      <c r="D75" s="29" t="s">
        <v>1466</v>
      </c>
      <c r="E75" s="29" t="s">
        <v>295</v>
      </c>
      <c r="F75" s="29" t="s">
        <v>1467</v>
      </c>
      <c r="G75" s="49">
        <v>45564</v>
      </c>
      <c r="H75" s="49">
        <v>45569</v>
      </c>
      <c r="I75" s="29"/>
      <c r="J75" s="29" t="s">
        <v>56</v>
      </c>
      <c r="K75" s="24" t="s">
        <v>43</v>
      </c>
      <c r="L75" s="49">
        <v>45566</v>
      </c>
      <c r="M75" s="49">
        <v>45569</v>
      </c>
      <c r="N75" s="29">
        <f t="shared" si="3"/>
        <v>3</v>
      </c>
      <c r="O75" s="29"/>
      <c r="P75" t="s">
        <v>88</v>
      </c>
      <c r="Q75" t="s">
        <v>88</v>
      </c>
      <c r="R75" t="s">
        <v>88</v>
      </c>
      <c r="S75" t="s">
        <v>88</v>
      </c>
      <c r="T75" t="s">
        <v>88</v>
      </c>
      <c r="U75" t="s">
        <v>20</v>
      </c>
    </row>
    <row r="76" spans="1:21" ht="15.75" customHeight="1" x14ac:dyDescent="0.45">
      <c r="A76" s="79">
        <v>87243273</v>
      </c>
      <c r="B76" s="29" t="str">
        <f t="shared" si="2"/>
        <v>8.724.327-3</v>
      </c>
      <c r="C76" s="22" t="str">
        <f>IF(IFERROR(VLOOKUP(A76,$A$10:$I75,1,0),0)=0,"",VLOOKUP(A76,$A$10:$I75,3,0))</f>
        <v>UCI</v>
      </c>
      <c r="D76" s="29" t="str">
        <f>IF(IFERROR(VLOOKUP(A76,$A$10:$I75,1,0),0)=0,"",VLOOKUP(A76,$A$10:$I75,4,0))</f>
        <v>ISMAEL</v>
      </c>
      <c r="E76" s="29" t="str">
        <f>IF(IFERROR(VLOOKUP(A76,$A$10:$I75,1,0),0)=0,"",VLOOKUP(A76,$A$10:$I75,5,0))</f>
        <v>OSORIO</v>
      </c>
      <c r="F76" s="29" t="str">
        <f>IF(IFERROR(VLOOKUP(A76,$A$10:$I75,1,0),0)=0,"",VLOOKUP(A76,$A$10:$I75,6,0))</f>
        <v>GUARACHE</v>
      </c>
      <c r="G76" s="49">
        <f>IF(IFERROR(VLOOKUP(A76,$A$10:$I75,1,0),0)=0,"",VLOOKUP(A76,$A$10:$I75,7,0))</f>
        <v>45564</v>
      </c>
      <c r="H76" s="49">
        <v>45569</v>
      </c>
      <c r="I76" s="29"/>
      <c r="J76" s="29" t="s">
        <v>56</v>
      </c>
      <c r="K76" s="24" t="s">
        <v>47</v>
      </c>
      <c r="L76" s="49">
        <v>45566</v>
      </c>
      <c r="M76" s="49">
        <v>45569</v>
      </c>
      <c r="N76" s="29">
        <f t="shared" si="3"/>
        <v>3</v>
      </c>
      <c r="O76" s="29"/>
      <c r="P76" t="s">
        <v>88</v>
      </c>
      <c r="Q76" t="s">
        <v>88</v>
      </c>
      <c r="R76" t="s">
        <v>88</v>
      </c>
      <c r="S76" t="s">
        <v>88</v>
      </c>
      <c r="T76" t="s">
        <v>88</v>
      </c>
      <c r="U76" t="s">
        <v>20</v>
      </c>
    </row>
    <row r="77" spans="1:21" ht="15.75" customHeight="1" x14ac:dyDescent="0.45">
      <c r="A77" s="79">
        <v>131345623</v>
      </c>
      <c r="B77" s="29" t="str">
        <f t="shared" si="2"/>
        <v>13.134.562-3</v>
      </c>
      <c r="C77" s="22" t="s">
        <v>30</v>
      </c>
      <c r="D77" s="29" t="s">
        <v>1468</v>
      </c>
      <c r="E77" s="29" t="s">
        <v>297</v>
      </c>
      <c r="F77" s="29" t="s">
        <v>906</v>
      </c>
      <c r="G77" s="49">
        <v>45567</v>
      </c>
      <c r="H77" s="49">
        <v>45569</v>
      </c>
      <c r="I77" s="29"/>
      <c r="J77" s="29"/>
      <c r="K77" s="24" t="s">
        <v>43</v>
      </c>
      <c r="L77" s="49">
        <v>45567</v>
      </c>
      <c r="M77" s="49">
        <v>45569</v>
      </c>
      <c r="N77" s="29">
        <f t="shared" si="3"/>
        <v>2</v>
      </c>
      <c r="O77" s="29"/>
      <c r="P77" t="s">
        <v>88</v>
      </c>
      <c r="Q77" t="s">
        <v>88</v>
      </c>
      <c r="R77" t="s">
        <v>88</v>
      </c>
      <c r="S77" t="s">
        <v>88</v>
      </c>
      <c r="T77" t="s">
        <v>88</v>
      </c>
      <c r="U77" t="s">
        <v>20</v>
      </c>
    </row>
    <row r="78" spans="1:21" ht="15.75" customHeight="1" x14ac:dyDescent="0.45">
      <c r="A78" s="79">
        <v>131345623</v>
      </c>
      <c r="B78" s="29" t="str">
        <f t="shared" si="2"/>
        <v>13.134.562-3</v>
      </c>
      <c r="C78" s="22" t="str">
        <f>IF(IFERROR(VLOOKUP(A78,$A$10:$I77,1,0),0)=0,"",VLOOKUP(A78,$A$10:$I77,3,0))</f>
        <v>UCO</v>
      </c>
      <c r="D78" s="29" t="str">
        <f>IF(IFERROR(VLOOKUP(A78,$A$10:$I77,1,0),0)=0,"",VLOOKUP(A78,$A$10:$I77,4,0))</f>
        <v>YENNY</v>
      </c>
      <c r="E78" s="29" t="str">
        <f>IF(IFERROR(VLOOKUP(A78,$A$10:$I77,1,0),0)=0,"",VLOOKUP(A78,$A$10:$I77,5,0))</f>
        <v>ESTRADA</v>
      </c>
      <c r="F78" s="29" t="str">
        <f>IF(IFERROR(VLOOKUP(A78,$A$10:$I77,1,0),0)=0,"",VLOOKUP(A78,$A$10:$I77,6,0))</f>
        <v>MENA</v>
      </c>
      <c r="G78" s="49">
        <f>IF(IFERROR(VLOOKUP(A78,$A$10:$I77,1,0),0)=0,"",VLOOKUP(A78,$A$10:$I77,7,0))</f>
        <v>45567</v>
      </c>
      <c r="H78" s="49">
        <v>45569</v>
      </c>
      <c r="I78" s="29"/>
      <c r="J78" s="29"/>
      <c r="K78" s="24" t="s">
        <v>47</v>
      </c>
      <c r="L78" s="49">
        <v>45567</v>
      </c>
      <c r="M78" s="49">
        <v>45569</v>
      </c>
      <c r="N78" s="29">
        <f t="shared" si="3"/>
        <v>2</v>
      </c>
      <c r="O78" s="29"/>
      <c r="P78" t="s">
        <v>88</v>
      </c>
      <c r="Q78" t="s">
        <v>88</v>
      </c>
      <c r="R78" t="s">
        <v>88</v>
      </c>
      <c r="S78" t="s">
        <v>88</v>
      </c>
      <c r="T78" t="s">
        <v>88</v>
      </c>
      <c r="U78" t="s">
        <v>20</v>
      </c>
    </row>
    <row r="79" spans="1:21" ht="15.75" customHeight="1" x14ac:dyDescent="0.45">
      <c r="A79" s="79">
        <v>42732818</v>
      </c>
      <c r="B79" s="29" t="str">
        <f t="shared" si="2"/>
        <v>4.273.281-8</v>
      </c>
      <c r="C79" s="22" t="s">
        <v>30</v>
      </c>
      <c r="D79" s="29" t="s">
        <v>351</v>
      </c>
      <c r="E79" s="29" t="s">
        <v>929</v>
      </c>
      <c r="F79" s="29" t="s">
        <v>1469</v>
      </c>
      <c r="G79" s="49">
        <v>45565</v>
      </c>
      <c r="H79" s="29"/>
      <c r="I79" s="29"/>
      <c r="J79" s="29"/>
      <c r="K79" s="24" t="s">
        <v>43</v>
      </c>
      <c r="L79" s="49">
        <v>45566</v>
      </c>
      <c r="M79" s="49">
        <v>45580</v>
      </c>
      <c r="N79" s="29">
        <f t="shared" si="3"/>
        <v>14</v>
      </c>
      <c r="O79" s="29"/>
      <c r="P79" t="s">
        <v>88</v>
      </c>
      <c r="Q79" t="s">
        <v>88</v>
      </c>
      <c r="R79" t="s">
        <v>88</v>
      </c>
      <c r="S79" t="s">
        <v>88</v>
      </c>
      <c r="T79" t="s">
        <v>88</v>
      </c>
      <c r="U79" t="s">
        <v>20</v>
      </c>
    </row>
    <row r="80" spans="1:21" ht="15.75" customHeight="1" x14ac:dyDescent="0.45">
      <c r="A80" s="79">
        <v>42732818</v>
      </c>
      <c r="B80" s="29" t="str">
        <f t="shared" si="2"/>
        <v>4.273.281-8</v>
      </c>
      <c r="C80" s="22" t="str">
        <f>IF(IFERROR(VLOOKUP(A80,$A$10:$I79,1,0),0)=0,"",VLOOKUP(A80,$A$10:$I79,3,0))</f>
        <v>UCO</v>
      </c>
      <c r="D80" s="29" t="str">
        <f>IF(IFERROR(VLOOKUP(A80,$A$10:$I79,1,0),0)=0,"",VLOOKUP(A80,$A$10:$I79,4,0))</f>
        <v>OSCAR</v>
      </c>
      <c r="E80" s="29" t="str">
        <f>IF(IFERROR(VLOOKUP(A80,$A$10:$I79,1,0),0)=0,"",VLOOKUP(A80,$A$10:$I79,5,0))</f>
        <v>CERDA</v>
      </c>
      <c r="F80" s="29" t="str">
        <f>IF(IFERROR(VLOOKUP(A80,$A$10:$I79,1,0),0)=0,"",VLOOKUP(A80,$A$10:$I79,6,0))</f>
        <v>CORDERO</v>
      </c>
      <c r="G80" s="49">
        <f>IF(IFERROR(VLOOKUP(A80,$A$10:$I79,1,0),0)=0,"",VLOOKUP(A80,$A$10:$I79,7,0))</f>
        <v>45565</v>
      </c>
      <c r="H80" s="29"/>
      <c r="I80" s="29"/>
      <c r="J80" s="29"/>
      <c r="K80" s="24" t="s">
        <v>47</v>
      </c>
      <c r="L80" s="49">
        <v>45566</v>
      </c>
      <c r="M80" s="49">
        <v>45586</v>
      </c>
      <c r="N80" s="29">
        <f t="shared" si="3"/>
        <v>20</v>
      </c>
      <c r="O80" s="29"/>
      <c r="P80" t="s">
        <v>88</v>
      </c>
      <c r="Q80" t="s">
        <v>88</v>
      </c>
      <c r="R80" t="s">
        <v>88</v>
      </c>
      <c r="S80" t="s">
        <v>88</v>
      </c>
      <c r="T80" t="s">
        <v>88</v>
      </c>
      <c r="U80" t="s">
        <v>20</v>
      </c>
    </row>
    <row r="81" spans="1:21" ht="15.75" customHeight="1" x14ac:dyDescent="0.45">
      <c r="A81" s="79">
        <v>42732818</v>
      </c>
      <c r="B81" s="29" t="str">
        <f t="shared" si="2"/>
        <v>4.273.281-8</v>
      </c>
      <c r="C81" s="22" t="str">
        <f>IF(IFERROR(VLOOKUP(A81,$A$10:$I80,1,0),0)=0,"",VLOOKUP(A81,$A$10:$I80,3,0))</f>
        <v>UCO</v>
      </c>
      <c r="D81" s="29" t="str">
        <f>IF(IFERROR(VLOOKUP(A81,$A$10:$I80,1,0),0)=0,"",VLOOKUP(A81,$A$10:$I80,4,0))</f>
        <v>OSCAR</v>
      </c>
      <c r="E81" s="29" t="str">
        <f>IF(IFERROR(VLOOKUP(A81,$A$10:$I80,1,0),0)=0,"",VLOOKUP(A81,$A$10:$I80,5,0))</f>
        <v>CERDA</v>
      </c>
      <c r="F81" s="29" t="str">
        <f>IF(IFERROR(VLOOKUP(A81,$A$10:$I80,1,0),0)=0,"",VLOOKUP(A81,$A$10:$I80,6,0))</f>
        <v>CORDERO</v>
      </c>
      <c r="G81" s="49">
        <f>IF(IFERROR(VLOOKUP(A81,$A$10:$I80,1,0),0)=0,"",VLOOKUP(A81,$A$10:$I80,7,0))</f>
        <v>45565</v>
      </c>
      <c r="H81" s="29"/>
      <c r="I81" s="29"/>
      <c r="J81" s="29"/>
      <c r="K81" s="24" t="s">
        <v>55</v>
      </c>
      <c r="L81" s="49">
        <v>45566</v>
      </c>
      <c r="M81" s="49">
        <v>45576</v>
      </c>
      <c r="N81" s="29">
        <f t="shared" si="3"/>
        <v>10</v>
      </c>
      <c r="O81" s="29"/>
      <c r="P81" t="s">
        <v>132</v>
      </c>
      <c r="Q81" t="s">
        <v>88</v>
      </c>
      <c r="R81" t="s">
        <v>88</v>
      </c>
      <c r="S81" t="s">
        <v>88</v>
      </c>
      <c r="T81" t="s">
        <v>88</v>
      </c>
      <c r="U81" t="s">
        <v>20</v>
      </c>
    </row>
    <row r="82" spans="1:21" ht="15.75" customHeight="1" x14ac:dyDescent="0.45">
      <c r="A82" s="79">
        <v>197954906</v>
      </c>
      <c r="B82" s="29" t="str">
        <f t="shared" si="2"/>
        <v>19.795.490-6</v>
      </c>
      <c r="C82" s="22" t="s">
        <v>30</v>
      </c>
      <c r="D82" s="29" t="s">
        <v>324</v>
      </c>
      <c r="E82" s="29" t="s">
        <v>1470</v>
      </c>
      <c r="F82" s="29" t="s">
        <v>1471</v>
      </c>
      <c r="G82" s="49">
        <v>45566</v>
      </c>
      <c r="H82" s="49">
        <v>45568</v>
      </c>
      <c r="I82" s="29"/>
      <c r="J82" s="29"/>
      <c r="K82" s="24" t="s">
        <v>43</v>
      </c>
      <c r="L82" s="49">
        <v>45566</v>
      </c>
      <c r="M82" s="49">
        <v>45568</v>
      </c>
      <c r="N82" s="29">
        <f t="shared" si="3"/>
        <v>2</v>
      </c>
      <c r="O82" s="29"/>
      <c r="P82" t="s">
        <v>88</v>
      </c>
      <c r="Q82" t="s">
        <v>88</v>
      </c>
      <c r="R82" t="s">
        <v>88</v>
      </c>
      <c r="S82" t="s">
        <v>88</v>
      </c>
      <c r="T82" t="s">
        <v>88</v>
      </c>
      <c r="U82" t="s">
        <v>20</v>
      </c>
    </row>
    <row r="83" spans="1:21" ht="15.75" customHeight="1" x14ac:dyDescent="0.45">
      <c r="A83" s="79">
        <v>197954907</v>
      </c>
      <c r="B83" s="29" t="str">
        <f t="shared" si="2"/>
        <v>19.795.490-7</v>
      </c>
      <c r="C83" s="22" t="s">
        <v>30</v>
      </c>
      <c r="D83" s="29" t="s">
        <v>324</v>
      </c>
      <c r="E83" s="29" t="s">
        <v>1470</v>
      </c>
      <c r="F83" s="29" t="s">
        <v>1471</v>
      </c>
      <c r="G83" s="49">
        <v>45566</v>
      </c>
      <c r="H83" s="49">
        <v>45568</v>
      </c>
      <c r="I83" s="29"/>
      <c r="J83" s="29"/>
      <c r="K83" s="24" t="s">
        <v>47</v>
      </c>
      <c r="L83" s="49">
        <v>45566</v>
      </c>
      <c r="M83" s="49">
        <v>45568</v>
      </c>
      <c r="N83" s="29">
        <f t="shared" si="3"/>
        <v>2</v>
      </c>
      <c r="O83" s="29"/>
      <c r="P83" t="s">
        <v>88</v>
      </c>
      <c r="Q83" t="s">
        <v>88</v>
      </c>
      <c r="R83" t="s">
        <v>88</v>
      </c>
      <c r="S83" t="s">
        <v>88</v>
      </c>
      <c r="T83" t="s">
        <v>88</v>
      </c>
      <c r="U83" t="s">
        <v>20</v>
      </c>
    </row>
    <row r="84" spans="1:21" ht="15.75" customHeight="1" x14ac:dyDescent="0.45">
      <c r="A84" s="79">
        <v>96281390</v>
      </c>
      <c r="B84" s="29" t="str">
        <f t="shared" si="2"/>
        <v>9.628.139-0</v>
      </c>
      <c r="C84" s="22" t="s">
        <v>30</v>
      </c>
      <c r="D84" s="29" t="s">
        <v>658</v>
      </c>
      <c r="E84" s="29" t="s">
        <v>267</v>
      </c>
      <c r="F84" s="29" t="s">
        <v>1472</v>
      </c>
      <c r="G84" s="49">
        <v>45567</v>
      </c>
      <c r="H84" s="49">
        <v>45573</v>
      </c>
      <c r="I84" s="29"/>
      <c r="J84" s="29"/>
      <c r="K84" s="24" t="s">
        <v>43</v>
      </c>
      <c r="L84" s="49">
        <v>45567</v>
      </c>
      <c r="M84" s="49">
        <v>45573</v>
      </c>
      <c r="N84" s="29">
        <f t="shared" si="3"/>
        <v>6</v>
      </c>
      <c r="O84" s="29"/>
      <c r="P84" t="s">
        <v>88</v>
      </c>
      <c r="Q84" t="s">
        <v>88</v>
      </c>
      <c r="R84" t="s">
        <v>88</v>
      </c>
      <c r="S84" t="s">
        <v>88</v>
      </c>
      <c r="T84" t="s">
        <v>88</v>
      </c>
      <c r="U84" t="s">
        <v>20</v>
      </c>
    </row>
    <row r="85" spans="1:21" ht="15.75" customHeight="1" x14ac:dyDescent="0.45">
      <c r="A85" s="79">
        <v>96281390</v>
      </c>
      <c r="B85" s="29" t="str">
        <f t="shared" si="2"/>
        <v>9.628.139-0</v>
      </c>
      <c r="C85" s="22" t="str">
        <f>IF(IFERROR(VLOOKUP(A85,$A$10:$I84,1,0),0)=0,"",VLOOKUP(A85,$A$10:$I84,3,0))</f>
        <v>UCO</v>
      </c>
      <c r="D85" s="29" t="str">
        <f>IF(IFERROR(VLOOKUP(A85,$A$10:$I84,1,0),0)=0,"",VLOOKUP(A85,$A$10:$I84,4,0))</f>
        <v>RAQUEL</v>
      </c>
      <c r="E85" s="29" t="str">
        <f>IF(IFERROR(VLOOKUP(A85,$A$10:$I84,1,0),0)=0,"",VLOOKUP(A85,$A$10:$I84,5,0))</f>
        <v>RUBILAR</v>
      </c>
      <c r="F85" s="29" t="str">
        <f>IF(IFERROR(VLOOKUP(A85,$A$10:$I84,1,0),0)=0,"",VLOOKUP(A85,$A$10:$I84,6,0))</f>
        <v>ZABALA</v>
      </c>
      <c r="G85" s="49">
        <f>IF(IFERROR(VLOOKUP(A85,$A$10:$I84,1,0),0)=0,"",VLOOKUP(A85,$A$10:$I84,7,0))</f>
        <v>45567</v>
      </c>
      <c r="H85" s="29"/>
      <c r="I85" s="29"/>
      <c r="J85" s="29"/>
      <c r="K85" s="24" t="s">
        <v>47</v>
      </c>
      <c r="L85" s="49">
        <v>45567</v>
      </c>
      <c r="M85" s="49">
        <v>45570</v>
      </c>
      <c r="N85" s="29">
        <f t="shared" si="3"/>
        <v>3</v>
      </c>
      <c r="O85" s="29"/>
      <c r="P85" t="s">
        <v>88</v>
      </c>
      <c r="Q85" t="s">
        <v>88</v>
      </c>
      <c r="R85" t="s">
        <v>88</v>
      </c>
      <c r="S85" t="s">
        <v>88</v>
      </c>
      <c r="T85" t="s">
        <v>88</v>
      </c>
      <c r="U85" t="s">
        <v>20</v>
      </c>
    </row>
    <row r="86" spans="1:21" ht="15.75" customHeight="1" x14ac:dyDescent="0.45">
      <c r="A86" s="79">
        <v>89714796</v>
      </c>
      <c r="B86" s="29" t="str">
        <f t="shared" si="2"/>
        <v>8.971.479-6</v>
      </c>
      <c r="C86" s="22" t="s">
        <v>30</v>
      </c>
      <c r="D86" s="29" t="s">
        <v>1473</v>
      </c>
      <c r="E86" s="29" t="s">
        <v>1474</v>
      </c>
      <c r="F86" s="29" t="s">
        <v>387</v>
      </c>
      <c r="G86" s="49">
        <v>45560</v>
      </c>
      <c r="H86" s="49">
        <v>45569</v>
      </c>
      <c r="I86" s="29"/>
      <c r="J86" s="29" t="s">
        <v>22</v>
      </c>
      <c r="K86" s="24" t="s">
        <v>43</v>
      </c>
      <c r="L86" s="49">
        <v>45566</v>
      </c>
      <c r="M86" s="49">
        <v>45569</v>
      </c>
      <c r="N86" s="29">
        <f t="shared" si="3"/>
        <v>3</v>
      </c>
      <c r="O86" s="29"/>
      <c r="P86" t="s">
        <v>88</v>
      </c>
      <c r="Q86" t="s">
        <v>88</v>
      </c>
      <c r="R86" t="s">
        <v>88</v>
      </c>
      <c r="S86" t="s">
        <v>88</v>
      </c>
      <c r="T86" t="s">
        <v>88</v>
      </c>
      <c r="U86" t="s">
        <v>20</v>
      </c>
    </row>
    <row r="87" spans="1:21" ht="15.75" customHeight="1" x14ac:dyDescent="0.45">
      <c r="A87" s="79">
        <v>89714796</v>
      </c>
      <c r="B87" s="29" t="str">
        <f t="shared" si="2"/>
        <v>8.971.479-6</v>
      </c>
      <c r="C87" s="22" t="str">
        <f>IF(IFERROR(VLOOKUP(A87,$A$10:$I86,1,0),0)=0,"",VLOOKUP(A87,$A$10:$I86,3,0))</f>
        <v>UCO</v>
      </c>
      <c r="D87" s="29" t="str">
        <f>IF(IFERROR(VLOOKUP(A87,$A$10:$I86,1,0),0)=0,"",VLOOKUP(A87,$A$10:$I86,4,0))</f>
        <v>NICANOR</v>
      </c>
      <c r="E87" s="29" t="str">
        <f>IF(IFERROR(VLOOKUP(A87,$A$10:$I86,1,0),0)=0,"",VLOOKUP(A87,$A$10:$I86,5,0))</f>
        <v>AMIGO</v>
      </c>
      <c r="F87" s="29" t="str">
        <f>IF(IFERROR(VLOOKUP(A87,$A$10:$I86,1,0),0)=0,"",VLOOKUP(A87,$A$10:$I86,6,0))</f>
        <v>SANHUEZA</v>
      </c>
      <c r="G87" s="49">
        <f>IF(IFERROR(VLOOKUP(A87,$A$10:$I86,1,0),0)=0,"",VLOOKUP(A87,$A$10:$I86,7,0))</f>
        <v>45560</v>
      </c>
      <c r="H87" s="49">
        <v>45569</v>
      </c>
      <c r="I87" s="29"/>
      <c r="J87" s="29"/>
      <c r="K87" s="24" t="s">
        <v>47</v>
      </c>
      <c r="L87" s="49">
        <v>45566</v>
      </c>
      <c r="M87" s="49">
        <v>45569</v>
      </c>
      <c r="N87" s="29">
        <f t="shared" si="3"/>
        <v>3</v>
      </c>
      <c r="O87" s="29"/>
      <c r="P87" t="s">
        <v>88</v>
      </c>
      <c r="Q87" t="s">
        <v>88</v>
      </c>
      <c r="R87" t="s">
        <v>88</v>
      </c>
      <c r="S87" t="s">
        <v>88</v>
      </c>
      <c r="T87" t="s">
        <v>88</v>
      </c>
      <c r="U87" t="s">
        <v>20</v>
      </c>
    </row>
    <row r="88" spans="1:21" ht="15.75" customHeight="1" x14ac:dyDescent="0.45">
      <c r="A88" s="79">
        <v>89714796</v>
      </c>
      <c r="B88" s="29" t="str">
        <f t="shared" si="2"/>
        <v>8.971.479-6</v>
      </c>
      <c r="C88" s="22" t="str">
        <f>IF(IFERROR(VLOOKUP(A88,$A$10:$I87,1,0),0)=0,"",VLOOKUP(A88,$A$10:$I87,3,0))</f>
        <v>UCO</v>
      </c>
      <c r="D88" s="29" t="str">
        <f>IF(IFERROR(VLOOKUP(A88,$A$10:$I87,1,0),0)=0,"",VLOOKUP(A88,$A$10:$I87,4,0))</f>
        <v>NICANOR</v>
      </c>
      <c r="E88" s="29" t="str">
        <f>IF(IFERROR(VLOOKUP(A88,$A$10:$I87,1,0),0)=0,"",VLOOKUP(A88,$A$10:$I87,5,0))</f>
        <v>AMIGO</v>
      </c>
      <c r="F88" s="29" t="str">
        <f>IF(IFERROR(VLOOKUP(A88,$A$10:$I87,1,0),0)=0,"",VLOOKUP(A88,$A$10:$I87,6,0))</f>
        <v>SANHUEZA</v>
      </c>
      <c r="G88" s="49">
        <f>IF(IFERROR(VLOOKUP(A88,$A$10:$I87,1,0),0)=0,"",VLOOKUP(A88,$A$10:$I87,7,0))</f>
        <v>45560</v>
      </c>
      <c r="H88" s="49">
        <v>45569</v>
      </c>
      <c r="I88" s="29"/>
      <c r="J88" s="29"/>
      <c r="K88" s="24" t="s">
        <v>55</v>
      </c>
      <c r="L88" s="49">
        <v>45566</v>
      </c>
      <c r="M88" s="49">
        <v>45569</v>
      </c>
      <c r="N88" s="29">
        <f t="shared" si="3"/>
        <v>3</v>
      </c>
      <c r="O88" s="29"/>
      <c r="P88" t="s">
        <v>132</v>
      </c>
      <c r="Q88" t="s">
        <v>88</v>
      </c>
      <c r="R88" t="s">
        <v>88</v>
      </c>
      <c r="S88" t="s">
        <v>88</v>
      </c>
      <c r="T88" t="s">
        <v>88</v>
      </c>
      <c r="U88" t="s">
        <v>20</v>
      </c>
    </row>
    <row r="89" spans="1:21" ht="15.75" customHeight="1" x14ac:dyDescent="0.45">
      <c r="A89" s="79">
        <v>118133161</v>
      </c>
      <c r="B89" s="29" t="str">
        <f t="shared" si="2"/>
        <v>11.813.316-1</v>
      </c>
      <c r="C89" s="22" t="s">
        <v>30</v>
      </c>
      <c r="D89" s="29" t="s">
        <v>474</v>
      </c>
      <c r="E89" s="29" t="s">
        <v>471</v>
      </c>
      <c r="F89" s="29" t="s">
        <v>1475</v>
      </c>
      <c r="G89" s="49">
        <v>45577</v>
      </c>
      <c r="H89" s="49">
        <v>45581</v>
      </c>
      <c r="I89" s="29"/>
      <c r="J89" s="29" t="s">
        <v>46</v>
      </c>
      <c r="K89" s="24" t="s">
        <v>43</v>
      </c>
      <c r="L89" s="49">
        <v>45577</v>
      </c>
      <c r="M89" s="49">
        <v>45581</v>
      </c>
      <c r="N89" s="29">
        <f t="shared" si="3"/>
        <v>4</v>
      </c>
      <c r="O89" s="29"/>
      <c r="P89" t="s">
        <v>88</v>
      </c>
      <c r="Q89" t="s">
        <v>88</v>
      </c>
      <c r="R89" t="s">
        <v>88</v>
      </c>
      <c r="S89" t="s">
        <v>88</v>
      </c>
      <c r="T89" t="s">
        <v>88</v>
      </c>
      <c r="U89" t="s">
        <v>20</v>
      </c>
    </row>
    <row r="90" spans="1:21" ht="15.75" customHeight="1" x14ac:dyDescent="0.45">
      <c r="A90" s="79">
        <v>53711898</v>
      </c>
      <c r="B90" s="29" t="str">
        <f t="shared" si="2"/>
        <v>5.371.189-8</v>
      </c>
      <c r="C90" s="22" t="s">
        <v>30</v>
      </c>
      <c r="D90" s="29" t="s">
        <v>324</v>
      </c>
      <c r="E90" s="29" t="s">
        <v>261</v>
      </c>
      <c r="F90" s="29" t="s">
        <v>929</v>
      </c>
      <c r="G90" s="49">
        <v>45576</v>
      </c>
      <c r="H90" s="49">
        <v>45580</v>
      </c>
      <c r="I90" s="29"/>
      <c r="J90" s="29"/>
      <c r="K90" s="24" t="s">
        <v>43</v>
      </c>
      <c r="L90" s="49">
        <v>45576</v>
      </c>
      <c r="M90" s="49">
        <v>45580</v>
      </c>
      <c r="N90" s="29">
        <f t="shared" si="3"/>
        <v>4</v>
      </c>
      <c r="O90" s="29"/>
      <c r="P90" t="s">
        <v>88</v>
      </c>
      <c r="Q90" t="s">
        <v>88</v>
      </c>
      <c r="R90" t="s">
        <v>88</v>
      </c>
      <c r="S90" t="s">
        <v>88</v>
      </c>
      <c r="T90" t="s">
        <v>88</v>
      </c>
      <c r="U90" t="s">
        <v>20</v>
      </c>
    </row>
    <row r="91" spans="1:21" ht="15.75" customHeight="1" x14ac:dyDescent="0.45">
      <c r="A91" s="79" t="s">
        <v>1476</v>
      </c>
      <c r="B91" s="29" t="str">
        <f t="shared" si="2"/>
        <v>7.887.192-k</v>
      </c>
      <c r="C91" s="22" t="s">
        <v>30</v>
      </c>
      <c r="D91" s="29" t="s">
        <v>629</v>
      </c>
      <c r="E91" s="29" t="s">
        <v>640</v>
      </c>
      <c r="F91" s="29" t="s">
        <v>252</v>
      </c>
      <c r="G91" s="49">
        <v>45579</v>
      </c>
      <c r="H91" s="49">
        <v>45582</v>
      </c>
      <c r="I91" s="29"/>
      <c r="J91" s="29" t="s">
        <v>24</v>
      </c>
      <c r="K91" s="24" t="s">
        <v>43</v>
      </c>
      <c r="L91" s="49">
        <v>45579</v>
      </c>
      <c r="M91" s="49">
        <v>45582</v>
      </c>
      <c r="N91" s="29">
        <f t="shared" si="3"/>
        <v>3</v>
      </c>
      <c r="O91" s="29"/>
      <c r="P91" t="s">
        <v>88</v>
      </c>
      <c r="Q91" t="s">
        <v>88</v>
      </c>
      <c r="R91" t="s">
        <v>88</v>
      </c>
      <c r="S91" t="s">
        <v>88</v>
      </c>
      <c r="T91" t="s">
        <v>88</v>
      </c>
      <c r="U91" t="s">
        <v>20</v>
      </c>
    </row>
    <row r="92" spans="1:21" ht="15.75" customHeight="1" x14ac:dyDescent="0.45">
      <c r="A92" s="79">
        <v>76076537</v>
      </c>
      <c r="B92" s="29" t="str">
        <f t="shared" si="2"/>
        <v>7.607.653-7</v>
      </c>
      <c r="C92" s="22" t="s">
        <v>30</v>
      </c>
      <c r="D92" s="29" t="s">
        <v>475</v>
      </c>
      <c r="E92" s="29" t="s">
        <v>341</v>
      </c>
      <c r="F92" s="29" t="s">
        <v>261</v>
      </c>
      <c r="G92" s="49">
        <v>45569</v>
      </c>
      <c r="H92" s="49">
        <v>45575</v>
      </c>
      <c r="I92" s="29"/>
      <c r="J92" s="29" t="s">
        <v>22</v>
      </c>
      <c r="K92" s="24" t="s">
        <v>43</v>
      </c>
      <c r="L92" s="49">
        <v>45569</v>
      </c>
      <c r="M92" s="49">
        <v>45575</v>
      </c>
      <c r="N92" s="29">
        <f t="shared" si="3"/>
        <v>6</v>
      </c>
      <c r="O92" s="29"/>
      <c r="P92" t="s">
        <v>88</v>
      </c>
      <c r="Q92" t="s">
        <v>88</v>
      </c>
      <c r="R92" t="s">
        <v>88</v>
      </c>
      <c r="S92" t="s">
        <v>88</v>
      </c>
      <c r="T92" t="s">
        <v>88</v>
      </c>
      <c r="U92" t="s">
        <v>20</v>
      </c>
    </row>
    <row r="93" spans="1:21" ht="15.75" customHeight="1" x14ac:dyDescent="0.45">
      <c r="A93" s="79" t="s">
        <v>1477</v>
      </c>
      <c r="B93" s="29" t="str">
        <f t="shared" si="2"/>
        <v>7.801.463-6</v>
      </c>
      <c r="C93" s="22" t="s">
        <v>30</v>
      </c>
      <c r="D93" s="29" t="s">
        <v>489</v>
      </c>
      <c r="E93" s="29" t="s">
        <v>670</v>
      </c>
      <c r="F93" s="29" t="s">
        <v>288</v>
      </c>
      <c r="G93" s="49">
        <v>45572</v>
      </c>
      <c r="H93" s="49">
        <v>45574</v>
      </c>
      <c r="I93" s="29"/>
      <c r="J93" s="29"/>
      <c r="K93" s="24" t="s">
        <v>43</v>
      </c>
      <c r="L93" s="49">
        <v>45572</v>
      </c>
      <c r="M93" s="49">
        <v>45574</v>
      </c>
      <c r="N93" s="29">
        <f t="shared" si="3"/>
        <v>2</v>
      </c>
      <c r="O93" s="29"/>
      <c r="P93" t="s">
        <v>88</v>
      </c>
      <c r="Q93" t="s">
        <v>88</v>
      </c>
      <c r="R93" t="s">
        <v>88</v>
      </c>
      <c r="S93" t="s">
        <v>88</v>
      </c>
      <c r="T93" t="s">
        <v>88</v>
      </c>
      <c r="U93" t="s">
        <v>20</v>
      </c>
    </row>
    <row r="94" spans="1:21" ht="15.75" customHeight="1" x14ac:dyDescent="0.45">
      <c r="A94" s="79">
        <v>42732818</v>
      </c>
      <c r="B94" s="29" t="str">
        <f t="shared" si="2"/>
        <v>4.273.281-8</v>
      </c>
      <c r="C94" s="22" t="str">
        <f>IF(IFERROR(VLOOKUP(A94,$A$10:$I93,1,0),0)=0,"",VLOOKUP(A94,$A$10:$I93,3,0))</f>
        <v>UCO</v>
      </c>
      <c r="D94" s="29" t="str">
        <f>IF(IFERROR(VLOOKUP(A94,$A$10:$I93,1,0),0)=0,"",VLOOKUP(A94,$A$10:$I93,4,0))</f>
        <v>OSCAR</v>
      </c>
      <c r="E94" s="29" t="str">
        <f>IF(IFERROR(VLOOKUP(A94,$A$10:$I93,1,0),0)=0,"",VLOOKUP(A94,$A$10:$I93,5,0))</f>
        <v>CERDA</v>
      </c>
      <c r="F94" s="29" t="str">
        <f>IF(IFERROR(VLOOKUP(A94,$A$10:$I93,1,0),0)=0,"",VLOOKUP(A94,$A$10:$I93,6,0))</f>
        <v>CORDERO</v>
      </c>
      <c r="G94" s="49">
        <f>IF(IFERROR(VLOOKUP(A94,$A$10:$I93,1,0),0)=0,"",VLOOKUP(A94,$A$10:$I93,7,0))</f>
        <v>45565</v>
      </c>
      <c r="H94" s="29"/>
      <c r="I94" s="29"/>
      <c r="J94" s="29"/>
      <c r="K94" s="24" t="s">
        <v>18</v>
      </c>
      <c r="L94" s="49">
        <v>45580</v>
      </c>
      <c r="M94" s="49">
        <v>45590</v>
      </c>
      <c r="N94" s="29">
        <f t="shared" si="3"/>
        <v>10</v>
      </c>
      <c r="O94" s="29"/>
      <c r="P94" t="s">
        <v>88</v>
      </c>
      <c r="Q94" t="s">
        <v>88</v>
      </c>
      <c r="R94" t="s">
        <v>88</v>
      </c>
      <c r="S94" t="s">
        <v>88</v>
      </c>
      <c r="T94" t="s">
        <v>88</v>
      </c>
      <c r="U94" t="s">
        <v>20</v>
      </c>
    </row>
    <row r="95" spans="1:21" ht="15.75" customHeight="1" x14ac:dyDescent="0.45">
      <c r="A95" s="79">
        <v>87966348</v>
      </c>
      <c r="B95" s="29" t="str">
        <f t="shared" si="2"/>
        <v>8.796.634-8</v>
      </c>
      <c r="C95" s="22" t="s">
        <v>30</v>
      </c>
      <c r="D95" s="29" t="s">
        <v>250</v>
      </c>
      <c r="E95" s="29" t="s">
        <v>573</v>
      </c>
      <c r="F95" s="29" t="s">
        <v>1087</v>
      </c>
      <c r="G95" s="49">
        <v>45568</v>
      </c>
      <c r="H95" s="49">
        <v>45574</v>
      </c>
      <c r="I95" s="29"/>
      <c r="J95" s="29" t="s">
        <v>46</v>
      </c>
      <c r="K95" s="24" t="s">
        <v>43</v>
      </c>
      <c r="L95" s="49">
        <v>45568</v>
      </c>
      <c r="M95" s="49">
        <v>45573</v>
      </c>
      <c r="N95" s="29">
        <f t="shared" si="3"/>
        <v>5</v>
      </c>
      <c r="O95" s="29"/>
      <c r="P95" t="s">
        <v>88</v>
      </c>
      <c r="Q95" t="s">
        <v>88</v>
      </c>
      <c r="R95" t="s">
        <v>88</v>
      </c>
      <c r="S95" t="s">
        <v>88</v>
      </c>
      <c r="T95" t="s">
        <v>88</v>
      </c>
      <c r="U95" t="s">
        <v>20</v>
      </c>
    </row>
    <row r="96" spans="1:21" ht="15.75" customHeight="1" x14ac:dyDescent="0.45">
      <c r="A96" s="79">
        <v>97171203</v>
      </c>
      <c r="B96" s="29" t="str">
        <f t="shared" si="2"/>
        <v>9.717.120-3</v>
      </c>
      <c r="C96" s="22" t="s">
        <v>30</v>
      </c>
      <c r="D96" s="29" t="s">
        <v>368</v>
      </c>
      <c r="E96" s="29" t="s">
        <v>471</v>
      </c>
      <c r="F96" s="29" t="s">
        <v>723</v>
      </c>
      <c r="G96" s="49">
        <v>45572</v>
      </c>
      <c r="H96" s="49">
        <v>45577</v>
      </c>
      <c r="I96" s="29"/>
      <c r="J96" s="29"/>
      <c r="K96" s="24" t="s">
        <v>43</v>
      </c>
      <c r="L96" s="49">
        <v>45572</v>
      </c>
      <c r="M96" s="49">
        <v>45577</v>
      </c>
      <c r="N96" s="29">
        <f t="shared" si="3"/>
        <v>5</v>
      </c>
      <c r="O96" s="29"/>
      <c r="P96" t="s">
        <v>88</v>
      </c>
      <c r="Q96" t="s">
        <v>88</v>
      </c>
      <c r="R96" t="s">
        <v>88</v>
      </c>
      <c r="S96" t="s">
        <v>88</v>
      </c>
      <c r="T96" t="s">
        <v>88</v>
      </c>
      <c r="U96" t="s">
        <v>20</v>
      </c>
    </row>
    <row r="97" spans="1:21" ht="15.75" customHeight="1" x14ac:dyDescent="0.45">
      <c r="A97" s="79">
        <v>97171203</v>
      </c>
      <c r="B97" s="29" t="str">
        <f t="shared" si="2"/>
        <v>9.717.120-3</v>
      </c>
      <c r="C97" s="22" t="str">
        <f>IF(IFERROR(VLOOKUP(A97,$A$10:$I96,1,0),0)=0,"",VLOOKUP(A97,$A$10:$I96,3,0))</f>
        <v>UCO</v>
      </c>
      <c r="D97" s="29" t="str">
        <f>IF(IFERROR(VLOOKUP(A97,$A$10:$I96,1,0),0)=0,"",VLOOKUP(A97,$A$10:$I96,4,0))</f>
        <v>JUANA</v>
      </c>
      <c r="E97" s="29" t="str">
        <f>IF(IFERROR(VLOOKUP(A97,$A$10:$I96,1,0),0)=0,"",VLOOKUP(A97,$A$10:$I96,5,0))</f>
        <v>VASQUEZ</v>
      </c>
      <c r="F97" s="29" t="str">
        <f>IF(IFERROR(VLOOKUP(A97,$A$10:$I96,1,0),0)=0,"",VLOOKUP(A97,$A$10:$I96,6,0))</f>
        <v>PALMA</v>
      </c>
      <c r="G97" s="49">
        <f>IF(IFERROR(VLOOKUP(A97,$A$10:$I96,1,0),0)=0,"",VLOOKUP(A97,$A$10:$I96,7,0))</f>
        <v>45572</v>
      </c>
      <c r="H97" s="49">
        <v>45577</v>
      </c>
      <c r="I97" s="29"/>
      <c r="J97" s="29"/>
      <c r="K97" s="24" t="s">
        <v>47</v>
      </c>
      <c r="L97" s="49">
        <v>45572</v>
      </c>
      <c r="M97" s="49">
        <v>45577</v>
      </c>
      <c r="N97" s="29">
        <f t="shared" si="3"/>
        <v>5</v>
      </c>
      <c r="O97" s="29"/>
      <c r="P97" t="s">
        <v>88</v>
      </c>
      <c r="Q97" t="s">
        <v>88</v>
      </c>
      <c r="R97" t="s">
        <v>88</v>
      </c>
      <c r="S97" t="s">
        <v>88</v>
      </c>
      <c r="T97" t="s">
        <v>88</v>
      </c>
      <c r="U97" t="s">
        <v>20</v>
      </c>
    </row>
    <row r="98" spans="1:21" ht="15.75" customHeight="1" x14ac:dyDescent="0.45">
      <c r="A98" s="79">
        <v>101209571</v>
      </c>
      <c r="B98" s="29" t="str">
        <f t="shared" si="2"/>
        <v>10.120.957-1</v>
      </c>
      <c r="C98" s="22" t="s">
        <v>30</v>
      </c>
      <c r="D98" s="29" t="s">
        <v>1478</v>
      </c>
      <c r="E98" s="29" t="s">
        <v>418</v>
      </c>
      <c r="F98" s="29" t="s">
        <v>537</v>
      </c>
      <c r="G98" s="49">
        <v>45586</v>
      </c>
      <c r="H98" s="49">
        <v>45588</v>
      </c>
      <c r="I98" s="29"/>
      <c r="J98" s="29" t="s">
        <v>22</v>
      </c>
      <c r="K98" s="24" t="s">
        <v>43</v>
      </c>
      <c r="L98" s="49">
        <v>45586</v>
      </c>
      <c r="M98" s="49">
        <v>45588</v>
      </c>
      <c r="N98" s="29">
        <f t="shared" si="3"/>
        <v>2</v>
      </c>
      <c r="O98" s="29"/>
      <c r="P98" t="s">
        <v>88</v>
      </c>
      <c r="Q98" t="s">
        <v>88</v>
      </c>
      <c r="R98" t="s">
        <v>88</v>
      </c>
      <c r="S98" t="s">
        <v>88</v>
      </c>
      <c r="T98" t="s">
        <v>88</v>
      </c>
      <c r="U98" t="s">
        <v>20</v>
      </c>
    </row>
    <row r="99" spans="1:21" ht="15.75" customHeight="1" x14ac:dyDescent="0.45">
      <c r="A99" s="79">
        <v>101209571</v>
      </c>
      <c r="B99" s="29" t="str">
        <f t="shared" si="2"/>
        <v>10.120.957-1</v>
      </c>
      <c r="C99" s="22" t="str">
        <f>IF(IFERROR(VLOOKUP(A99,$A$10:$I98,1,0),0)=0,"",VLOOKUP(A99,$A$10:$I98,3,0))</f>
        <v>UCO</v>
      </c>
      <c r="D99" s="29" t="str">
        <f>IF(IFERROR(VLOOKUP(A99,$A$10:$I98,1,0),0)=0,"",VLOOKUP(A99,$A$10:$I98,4,0))</f>
        <v>HERMINIA</v>
      </c>
      <c r="E99" s="29" t="str">
        <f>IF(IFERROR(VLOOKUP(A99,$A$10:$I98,1,0),0)=0,"",VLOOKUP(A99,$A$10:$I98,5,0))</f>
        <v>ARANEDA</v>
      </c>
      <c r="F99" s="29" t="str">
        <f>IF(IFERROR(VLOOKUP(A99,$A$10:$I98,1,0),0)=0,"",VLOOKUP(A99,$A$10:$I98,6,0))</f>
        <v>FLORES</v>
      </c>
      <c r="G99" s="49">
        <f>IF(IFERROR(VLOOKUP(A99,$A$10:$I98,1,0),0)=0,"",VLOOKUP(A99,$A$10:$I98,7,0))</f>
        <v>45586</v>
      </c>
      <c r="H99" s="29"/>
      <c r="I99" s="29"/>
      <c r="J99" s="29"/>
      <c r="K99" s="24" t="s">
        <v>47</v>
      </c>
      <c r="L99" s="49">
        <v>45586</v>
      </c>
      <c r="M99" s="49">
        <v>45588</v>
      </c>
      <c r="N99" s="29">
        <f t="shared" si="3"/>
        <v>2</v>
      </c>
      <c r="O99" s="29"/>
      <c r="P99" t="s">
        <v>88</v>
      </c>
      <c r="Q99" t="s">
        <v>88</v>
      </c>
      <c r="R99" t="s">
        <v>88</v>
      </c>
      <c r="S99" t="s">
        <v>88</v>
      </c>
      <c r="T99" t="s">
        <v>88</v>
      </c>
      <c r="U99" t="s">
        <v>20</v>
      </c>
    </row>
    <row r="100" spans="1:21" ht="15.75" customHeight="1" x14ac:dyDescent="0.45">
      <c r="A100" s="79" t="s">
        <v>1479</v>
      </c>
      <c r="B100" s="29" t="str">
        <f t="shared" si="2"/>
        <v>6.217.501-K</v>
      </c>
      <c r="C100" s="22" t="s">
        <v>30</v>
      </c>
      <c r="D100" s="29" t="s">
        <v>348</v>
      </c>
      <c r="E100" s="29" t="s">
        <v>1037</v>
      </c>
      <c r="F100" s="29" t="s">
        <v>384</v>
      </c>
      <c r="G100" s="49">
        <v>45586</v>
      </c>
      <c r="H100" s="49">
        <v>45588</v>
      </c>
      <c r="I100" s="29"/>
      <c r="J100" s="29"/>
      <c r="K100" s="24" t="s">
        <v>43</v>
      </c>
      <c r="L100" s="49">
        <v>45586</v>
      </c>
      <c r="M100" s="49">
        <v>45588</v>
      </c>
      <c r="N100" s="29">
        <f t="shared" si="3"/>
        <v>2</v>
      </c>
      <c r="O100" s="29"/>
      <c r="P100" t="s">
        <v>88</v>
      </c>
      <c r="Q100" t="s">
        <v>88</v>
      </c>
      <c r="R100" t="s">
        <v>88</v>
      </c>
      <c r="S100" t="s">
        <v>88</v>
      </c>
      <c r="T100" t="s">
        <v>88</v>
      </c>
      <c r="U100" t="s">
        <v>20</v>
      </c>
    </row>
    <row r="101" spans="1:21" ht="15.75" customHeight="1" x14ac:dyDescent="0.45">
      <c r="A101" s="79" t="s">
        <v>1479</v>
      </c>
      <c r="B101" s="29" t="str">
        <f t="shared" si="2"/>
        <v>6.217.501-K</v>
      </c>
      <c r="C101" s="22" t="str">
        <f>IF(IFERROR(VLOOKUP(A101,$A$10:$I100,1,0),0)=0,"",VLOOKUP(A101,$A$10:$I100,3,0))</f>
        <v>UCO</v>
      </c>
      <c r="D101" s="29" t="str">
        <f>IF(IFERROR(VLOOKUP(A101,$A$10:$I100,1,0),0)=0,"",VLOOKUP(A101,$A$10:$I100,4,0))</f>
        <v>MARIA</v>
      </c>
      <c r="E101" s="29" t="str">
        <f>IF(IFERROR(VLOOKUP(A101,$A$10:$I100,1,0),0)=0,"",VLOOKUP(A101,$A$10:$I100,5,0))</f>
        <v>GUAJARDO</v>
      </c>
      <c r="F101" s="29" t="str">
        <f>IF(IFERROR(VLOOKUP(A101,$A$10:$I100,1,0),0)=0,"",VLOOKUP(A101,$A$10:$I100,6,0))</f>
        <v>MUÑOZ</v>
      </c>
      <c r="G101" s="49">
        <f>IF(IFERROR(VLOOKUP(A101,$A$10:$I100,1,0),0)=0,"",VLOOKUP(A101,$A$10:$I100,7,0))</f>
        <v>45586</v>
      </c>
      <c r="H101" s="49">
        <v>45588</v>
      </c>
      <c r="I101" s="29"/>
      <c r="J101" s="29"/>
      <c r="K101" s="24" t="s">
        <v>47</v>
      </c>
      <c r="L101" s="49">
        <v>45586</v>
      </c>
      <c r="M101" s="49">
        <v>45588</v>
      </c>
      <c r="N101" s="29">
        <f t="shared" si="3"/>
        <v>2</v>
      </c>
      <c r="O101" s="29"/>
      <c r="P101" t="s">
        <v>88</v>
      </c>
      <c r="Q101" t="s">
        <v>88</v>
      </c>
      <c r="R101" t="s">
        <v>88</v>
      </c>
      <c r="S101" t="s">
        <v>88</v>
      </c>
      <c r="T101" t="s">
        <v>88</v>
      </c>
      <c r="U101" t="s">
        <v>20</v>
      </c>
    </row>
    <row r="102" spans="1:21" ht="15.75" customHeight="1" x14ac:dyDescent="0.45">
      <c r="A102" s="79">
        <v>54198019</v>
      </c>
      <c r="B102" s="29" t="str">
        <f t="shared" si="2"/>
        <v>5.419.801-9</v>
      </c>
      <c r="C102" s="22" t="s">
        <v>30</v>
      </c>
      <c r="D102" s="29" t="s">
        <v>481</v>
      </c>
      <c r="E102" s="29" t="s">
        <v>1382</v>
      </c>
      <c r="F102" s="29" t="s">
        <v>310</v>
      </c>
      <c r="G102" s="49">
        <v>45582</v>
      </c>
      <c r="H102" s="49">
        <v>45588</v>
      </c>
      <c r="I102" s="29"/>
      <c r="J102" s="29" t="s">
        <v>22</v>
      </c>
      <c r="K102" s="24" t="s">
        <v>43</v>
      </c>
      <c r="L102" s="49">
        <v>45582</v>
      </c>
      <c r="M102" s="49">
        <v>45588</v>
      </c>
      <c r="N102" s="29">
        <f t="shared" si="3"/>
        <v>6</v>
      </c>
      <c r="O102" s="29"/>
      <c r="P102" t="s">
        <v>88</v>
      </c>
      <c r="Q102" t="s">
        <v>88</v>
      </c>
      <c r="R102" t="s">
        <v>88</v>
      </c>
      <c r="S102" t="s">
        <v>88</v>
      </c>
      <c r="T102" t="s">
        <v>88</v>
      </c>
      <c r="U102" t="s">
        <v>20</v>
      </c>
    </row>
    <row r="103" spans="1:21" ht="15.75" customHeight="1" x14ac:dyDescent="0.45">
      <c r="A103" s="79">
        <v>54198019</v>
      </c>
      <c r="B103" s="29" t="str">
        <f t="shared" si="2"/>
        <v>5.419.801-9</v>
      </c>
      <c r="C103" s="22" t="str">
        <f>IF(IFERROR(VLOOKUP(A103,$A$10:$I102,1,0),0)=0,"",VLOOKUP(A103,$A$10:$I102,3,0))</f>
        <v>UCO</v>
      </c>
      <c r="D103" s="29" t="str">
        <f>IF(IFERROR(VLOOKUP(A103,$A$10:$I102,1,0),0)=0,"",VLOOKUP(A103,$A$10:$I102,4,0))</f>
        <v>JUAN</v>
      </c>
      <c r="E103" s="29" t="str">
        <f>IF(IFERROR(VLOOKUP(A103,$A$10:$I102,1,0),0)=0,"",VLOOKUP(A103,$A$10:$I102,5,0))</f>
        <v>VARGAS</v>
      </c>
      <c r="F103" s="29" t="str">
        <f>IF(IFERROR(VLOOKUP(A103,$A$10:$I102,1,0),0)=0,"",VLOOKUP(A103,$A$10:$I102,6,0))</f>
        <v>MORALES</v>
      </c>
      <c r="G103" s="49">
        <f>IF(IFERROR(VLOOKUP(A103,$A$10:$I102,1,0),0)=0,"",VLOOKUP(A103,$A$10:$I102,7,0))</f>
        <v>45582</v>
      </c>
      <c r="H103" s="49">
        <v>45588</v>
      </c>
      <c r="I103" s="29"/>
      <c r="J103" s="29" t="s">
        <v>22</v>
      </c>
      <c r="K103" s="24" t="s">
        <v>47</v>
      </c>
      <c r="L103" s="49">
        <v>45582</v>
      </c>
      <c r="M103" s="49">
        <v>45588</v>
      </c>
      <c r="N103" s="29">
        <f t="shared" si="3"/>
        <v>6</v>
      </c>
      <c r="O103" s="29"/>
      <c r="P103" t="s">
        <v>88</v>
      </c>
      <c r="Q103" t="s">
        <v>88</v>
      </c>
      <c r="R103" t="s">
        <v>88</v>
      </c>
      <c r="S103" t="s">
        <v>88</v>
      </c>
      <c r="T103" t="s">
        <v>88</v>
      </c>
      <c r="U103" t="s">
        <v>20</v>
      </c>
    </row>
    <row r="104" spans="1:21" ht="15.75" customHeight="1" x14ac:dyDescent="0.45">
      <c r="A104" s="79">
        <v>82582282</v>
      </c>
      <c r="B104" s="29" t="str">
        <f t="shared" si="2"/>
        <v>8.258.228-2</v>
      </c>
      <c r="C104" s="22" t="s">
        <v>30</v>
      </c>
      <c r="D104" s="29" t="s">
        <v>481</v>
      </c>
      <c r="E104" s="29" t="s">
        <v>1480</v>
      </c>
      <c r="F104" s="29" t="s">
        <v>1481</v>
      </c>
      <c r="G104" s="49">
        <v>45584</v>
      </c>
      <c r="H104" s="29"/>
      <c r="I104" s="29"/>
      <c r="J104" s="29"/>
      <c r="K104" s="24" t="s">
        <v>43</v>
      </c>
      <c r="L104" s="49">
        <v>45584</v>
      </c>
      <c r="M104" s="49">
        <v>45589</v>
      </c>
      <c r="N104" s="29">
        <f t="shared" si="3"/>
        <v>5</v>
      </c>
      <c r="O104" s="29"/>
      <c r="P104" t="s">
        <v>88</v>
      </c>
      <c r="Q104" t="s">
        <v>88</v>
      </c>
      <c r="R104" t="s">
        <v>88</v>
      </c>
      <c r="S104" t="s">
        <v>88</v>
      </c>
      <c r="T104" t="s">
        <v>88</v>
      </c>
      <c r="U104" t="s">
        <v>20</v>
      </c>
    </row>
    <row r="105" spans="1:21" ht="15.75" customHeight="1" x14ac:dyDescent="0.45">
      <c r="A105" s="79">
        <v>82582282</v>
      </c>
      <c r="B105" s="29" t="str">
        <f t="shared" si="2"/>
        <v>8.258.228-2</v>
      </c>
      <c r="C105" s="22" t="str">
        <f>IF(IFERROR(VLOOKUP(A105,$A$10:$I104,1,0),0)=0,"",VLOOKUP(A105,$A$10:$I104,3,0))</f>
        <v>UCO</v>
      </c>
      <c r="D105" s="29" t="str">
        <f>IF(IFERROR(VLOOKUP(A105,$A$10:$I104,1,0),0)=0,"",VLOOKUP(A105,$A$10:$I104,4,0))</f>
        <v>JUAN</v>
      </c>
      <c r="E105" s="29" t="str">
        <f>IF(IFERROR(VLOOKUP(A105,$A$10:$I104,1,0),0)=0,"",VLOOKUP(A105,$A$10:$I104,5,0))</f>
        <v>JIMÉNEZ</v>
      </c>
      <c r="F105" s="29" t="str">
        <f>IF(IFERROR(VLOOKUP(A105,$A$10:$I104,1,0),0)=0,"",VLOOKUP(A105,$A$10:$I104,6,0))</f>
        <v>VILLAGRÁN</v>
      </c>
      <c r="G105" s="49">
        <f>IF(IFERROR(VLOOKUP(A105,$A$10:$I104,1,0),0)=0,"",VLOOKUP(A105,$A$10:$I104,7,0))</f>
        <v>45584</v>
      </c>
      <c r="H105" s="29"/>
      <c r="I105" s="29"/>
      <c r="J105" s="29"/>
      <c r="K105" s="24" t="s">
        <v>47</v>
      </c>
      <c r="L105" s="49">
        <v>45584</v>
      </c>
      <c r="M105" s="49">
        <v>45589</v>
      </c>
      <c r="N105" s="29">
        <f t="shared" si="3"/>
        <v>5</v>
      </c>
      <c r="O105" s="29"/>
      <c r="P105" t="s">
        <v>88</v>
      </c>
      <c r="Q105" t="s">
        <v>88</v>
      </c>
      <c r="R105" t="s">
        <v>88</v>
      </c>
      <c r="S105" t="s">
        <v>88</v>
      </c>
      <c r="T105" t="s">
        <v>88</v>
      </c>
      <c r="U105" t="s">
        <v>20</v>
      </c>
    </row>
    <row r="106" spans="1:21" ht="15.75" customHeight="1" x14ac:dyDescent="0.45">
      <c r="A106" s="79">
        <v>90917528</v>
      </c>
      <c r="B106" s="29" t="str">
        <f t="shared" si="2"/>
        <v>9.091.752-8</v>
      </c>
      <c r="C106" s="22" t="s">
        <v>30</v>
      </c>
      <c r="D106" s="29" t="s">
        <v>1482</v>
      </c>
      <c r="E106" s="29" t="s">
        <v>736</v>
      </c>
      <c r="F106" s="29" t="s">
        <v>1483</v>
      </c>
      <c r="G106" s="49">
        <v>45583</v>
      </c>
      <c r="H106" s="49">
        <v>45587</v>
      </c>
      <c r="I106" s="29"/>
      <c r="J106" s="29" t="s">
        <v>22</v>
      </c>
      <c r="K106" s="24" t="s">
        <v>43</v>
      </c>
      <c r="L106" s="49">
        <v>45583</v>
      </c>
      <c r="M106" s="49">
        <v>45587</v>
      </c>
      <c r="N106" s="29">
        <f t="shared" si="3"/>
        <v>4</v>
      </c>
      <c r="O106" s="29"/>
      <c r="P106" t="s">
        <v>88</v>
      </c>
      <c r="Q106" t="s">
        <v>88</v>
      </c>
      <c r="R106" t="s">
        <v>88</v>
      </c>
      <c r="S106" t="s">
        <v>88</v>
      </c>
      <c r="T106" t="s">
        <v>88</v>
      </c>
      <c r="U106" t="s">
        <v>20</v>
      </c>
    </row>
    <row r="107" spans="1:21" ht="15.75" customHeight="1" x14ac:dyDescent="0.45">
      <c r="A107" s="79">
        <v>90917528</v>
      </c>
      <c r="B107" s="29" t="str">
        <f t="shared" si="2"/>
        <v>9.091.752-8</v>
      </c>
      <c r="C107" s="22" t="str">
        <f>IF(IFERROR(VLOOKUP(A107,$A$10:$I106,1,0),0)=0,"",VLOOKUP(A107,$A$10:$I106,3,0))</f>
        <v>UCO</v>
      </c>
      <c r="D107" s="29" t="str">
        <f>IF(IFERROR(VLOOKUP(A107,$A$10:$I106,1,0),0)=0,"",VLOOKUP(A107,$A$10:$I106,4,0))</f>
        <v>HÉCTOR</v>
      </c>
      <c r="E107" s="29" t="str">
        <f>IF(IFERROR(VLOOKUP(A107,$A$10:$I106,1,0),0)=0,"",VLOOKUP(A107,$A$10:$I106,5,0))</f>
        <v>BURGOS</v>
      </c>
      <c r="F107" s="29" t="str">
        <f>IF(IFERROR(VLOOKUP(A107,$A$10:$I106,1,0),0)=0,"",VLOOKUP(A107,$A$10:$I106,6,0))</f>
        <v>ABELLO</v>
      </c>
      <c r="G107" s="49">
        <f>IF(IFERROR(VLOOKUP(A107,$A$10:$I106,1,0),0)=0,"",VLOOKUP(A107,$A$10:$I106,7,0))</f>
        <v>45583</v>
      </c>
      <c r="H107" s="49">
        <v>45587</v>
      </c>
      <c r="I107" s="29"/>
      <c r="J107" s="29" t="s">
        <v>22</v>
      </c>
      <c r="K107" s="24" t="s">
        <v>47</v>
      </c>
      <c r="L107" s="49">
        <v>45583</v>
      </c>
      <c r="M107" s="49">
        <v>45587</v>
      </c>
      <c r="N107" s="29">
        <f t="shared" si="3"/>
        <v>4</v>
      </c>
      <c r="O107" s="29"/>
      <c r="P107" t="s">
        <v>88</v>
      </c>
      <c r="Q107" t="s">
        <v>88</v>
      </c>
      <c r="R107" t="s">
        <v>88</v>
      </c>
      <c r="S107" t="s">
        <v>88</v>
      </c>
      <c r="T107" t="s">
        <v>88</v>
      </c>
      <c r="U107" t="s">
        <v>20</v>
      </c>
    </row>
    <row r="108" spans="1:21" ht="15.75" customHeight="1" x14ac:dyDescent="0.45">
      <c r="A108" s="79">
        <v>92737675</v>
      </c>
      <c r="B108" s="29" t="str">
        <f t="shared" si="2"/>
        <v>9.273.767-5</v>
      </c>
      <c r="C108" s="22" t="s">
        <v>38</v>
      </c>
      <c r="D108" s="29" t="str">
        <f>IF(IFERROR(VLOOKUP(A108,$A$10:$I107,1,0),0)=0,"",VLOOKUP(A108,$A$10:$I107,4,0))</f>
        <v>MARIO</v>
      </c>
      <c r="E108" s="29" t="str">
        <f>IF(IFERROR(VLOOKUP(A108,$A$10:$I107,1,0),0)=0,"",VLOOKUP(A108,$A$10:$I107,5,0))</f>
        <v>CASTILLO</v>
      </c>
      <c r="F108" s="29" t="str">
        <f>IF(IFERROR(VLOOKUP(A108,$A$10:$I107,1,0),0)=0,"",VLOOKUP(A108,$A$10:$I107,6,0))</f>
        <v>SANHUEZA</v>
      </c>
      <c r="G108" s="49">
        <v>45563</v>
      </c>
      <c r="H108" s="49">
        <v>45568</v>
      </c>
      <c r="I108" s="29"/>
      <c r="J108" s="29" t="s">
        <v>56</v>
      </c>
      <c r="K108" s="24" t="s">
        <v>43</v>
      </c>
      <c r="L108" s="49">
        <v>45566</v>
      </c>
      <c r="M108" s="49">
        <v>45568</v>
      </c>
      <c r="N108" s="29">
        <f t="shared" si="3"/>
        <v>2</v>
      </c>
      <c r="O108" s="29"/>
      <c r="P108" t="s">
        <v>88</v>
      </c>
      <c r="Q108" t="s">
        <v>88</v>
      </c>
      <c r="R108" t="s">
        <v>88</v>
      </c>
      <c r="S108" t="s">
        <v>88</v>
      </c>
      <c r="T108" t="s">
        <v>88</v>
      </c>
      <c r="U108" t="s">
        <v>20</v>
      </c>
    </row>
    <row r="109" spans="1:21" ht="15.75" customHeight="1" x14ac:dyDescent="0.45">
      <c r="A109" s="79">
        <v>92737675</v>
      </c>
      <c r="B109" s="29" t="str">
        <f t="shared" si="2"/>
        <v>9.273.767-5</v>
      </c>
      <c r="C109" s="22" t="s">
        <v>38</v>
      </c>
      <c r="D109" s="29" t="str">
        <f>IF(IFERROR(VLOOKUP(A109,$A$10:$I108,1,0),0)=0,"",VLOOKUP(A109,$A$10:$I108,4,0))</f>
        <v>MARIO</v>
      </c>
      <c r="E109" s="29" t="str">
        <f>IF(IFERROR(VLOOKUP(A109,$A$10:$I108,1,0),0)=0,"",VLOOKUP(A109,$A$10:$I108,5,0))</f>
        <v>CASTILLO</v>
      </c>
      <c r="F109" s="29" t="str">
        <f>IF(IFERROR(VLOOKUP(A109,$A$10:$I108,1,0),0)=0,"",VLOOKUP(A109,$A$10:$I108,6,0))</f>
        <v>SANHUEZA</v>
      </c>
      <c r="G109" s="49">
        <v>45563</v>
      </c>
      <c r="H109" s="29"/>
      <c r="I109" s="29"/>
      <c r="J109" s="29"/>
      <c r="K109" s="24" t="s">
        <v>23</v>
      </c>
      <c r="L109" s="49">
        <v>45566</v>
      </c>
      <c r="M109" s="49">
        <v>45568</v>
      </c>
      <c r="N109" s="29">
        <f t="shared" si="3"/>
        <v>2</v>
      </c>
      <c r="O109" s="29"/>
      <c r="P109" t="s">
        <v>88</v>
      </c>
      <c r="Q109" t="s">
        <v>88</v>
      </c>
      <c r="R109" t="s">
        <v>88</v>
      </c>
      <c r="S109" t="s">
        <v>88</v>
      </c>
      <c r="T109" t="s">
        <v>88</v>
      </c>
      <c r="U109" t="s">
        <v>20</v>
      </c>
    </row>
    <row r="110" spans="1:21" ht="15.75" customHeight="1" x14ac:dyDescent="0.45">
      <c r="A110" s="79">
        <v>41584963</v>
      </c>
      <c r="B110" s="29" t="str">
        <f t="shared" si="2"/>
        <v>4.158.496-3</v>
      </c>
      <c r="C110" s="22" t="s">
        <v>38</v>
      </c>
      <c r="D110" s="29" t="s">
        <v>1484</v>
      </c>
      <c r="E110" s="29" t="s">
        <v>444</v>
      </c>
      <c r="F110" s="29" t="s">
        <v>500</v>
      </c>
      <c r="G110" s="49">
        <v>45564</v>
      </c>
      <c r="H110" s="49">
        <v>45581</v>
      </c>
      <c r="I110" s="29"/>
      <c r="J110" s="29"/>
      <c r="K110" s="24" t="s">
        <v>43</v>
      </c>
      <c r="L110" s="49">
        <v>45567</v>
      </c>
      <c r="M110" s="49">
        <v>45581</v>
      </c>
      <c r="N110" s="29">
        <f t="shared" si="3"/>
        <v>14</v>
      </c>
      <c r="O110" s="29"/>
      <c r="P110" t="s">
        <v>88</v>
      </c>
      <c r="Q110" t="s">
        <v>88</v>
      </c>
      <c r="R110" t="s">
        <v>88</v>
      </c>
      <c r="S110" t="s">
        <v>88</v>
      </c>
      <c r="T110" t="s">
        <v>88</v>
      </c>
      <c r="U110" t="s">
        <v>20</v>
      </c>
    </row>
    <row r="111" spans="1:21" ht="15.75" customHeight="1" x14ac:dyDescent="0.45">
      <c r="A111" s="79">
        <v>41584963</v>
      </c>
      <c r="B111" s="29" t="str">
        <f t="shared" si="2"/>
        <v>4.158.496-3</v>
      </c>
      <c r="C111" s="22" t="str">
        <f>IF(IFERROR(VLOOKUP(A111,$A$10:$I110,1,0),0)=0,"",VLOOKUP(A111,$A$10:$I110,3,0))</f>
        <v xml:space="preserve">Sala de cuidados intermedios </v>
      </c>
      <c r="D111" s="29" t="str">
        <f>IF(IFERROR(VLOOKUP(A111,$A$10:$I110,1,0),0)=0,"",VLOOKUP(A111,$A$10:$I110,4,0))</f>
        <v>EVANDRO</v>
      </c>
      <c r="E111" s="29" t="str">
        <f>IF(IFERROR(VLOOKUP(A111,$A$10:$I110,1,0),0)=0,"",VLOOKUP(A111,$A$10:$I110,5,0))</f>
        <v>CABRERA</v>
      </c>
      <c r="F111" s="29" t="str">
        <f>IF(IFERROR(VLOOKUP(A111,$A$10:$I110,1,0),0)=0,"",VLOOKUP(A111,$A$10:$I110,6,0))</f>
        <v>ARCE</v>
      </c>
      <c r="G111" s="49">
        <v>45564</v>
      </c>
      <c r="H111" s="49">
        <v>45581</v>
      </c>
      <c r="I111" s="29"/>
      <c r="J111" s="29"/>
      <c r="K111" s="24" t="s">
        <v>47</v>
      </c>
      <c r="L111" s="49">
        <v>45566</v>
      </c>
      <c r="M111" s="49">
        <v>45581</v>
      </c>
      <c r="N111" s="29">
        <f t="shared" si="3"/>
        <v>15</v>
      </c>
      <c r="O111" s="29"/>
      <c r="P111" t="s">
        <v>88</v>
      </c>
      <c r="Q111" t="s">
        <v>88</v>
      </c>
      <c r="R111" t="s">
        <v>88</v>
      </c>
      <c r="S111" t="s">
        <v>88</v>
      </c>
      <c r="T111" t="s">
        <v>88</v>
      </c>
      <c r="U111" t="s">
        <v>20</v>
      </c>
    </row>
    <row r="112" spans="1:21" ht="15.75" customHeight="1" x14ac:dyDescent="0.45">
      <c r="A112" s="79">
        <v>143533298</v>
      </c>
      <c r="B112" s="29" t="str">
        <f t="shared" si="2"/>
        <v>14.353.329-8</v>
      </c>
      <c r="C112" s="22" t="s">
        <v>38</v>
      </c>
      <c r="D112" s="29" t="s">
        <v>1008</v>
      </c>
      <c r="E112" s="29" t="s">
        <v>1485</v>
      </c>
      <c r="F112" s="29" t="s">
        <v>1486</v>
      </c>
      <c r="G112" s="49">
        <v>45566</v>
      </c>
      <c r="H112" s="49">
        <v>45572</v>
      </c>
      <c r="I112" s="29"/>
      <c r="J112" s="29"/>
      <c r="K112" s="24" t="s">
        <v>43</v>
      </c>
      <c r="L112" s="49">
        <v>45566</v>
      </c>
      <c r="M112" s="49">
        <v>45572</v>
      </c>
      <c r="N112" s="29">
        <f t="shared" si="3"/>
        <v>6</v>
      </c>
      <c r="O112" s="29"/>
      <c r="P112" t="s">
        <v>88</v>
      </c>
      <c r="Q112" t="s">
        <v>88</v>
      </c>
      <c r="R112" t="s">
        <v>88</v>
      </c>
      <c r="S112" t="s">
        <v>88</v>
      </c>
      <c r="T112" t="s">
        <v>88</v>
      </c>
      <c r="U112" t="s">
        <v>20</v>
      </c>
    </row>
    <row r="113" spans="1:21" ht="15.75" customHeight="1" x14ac:dyDescent="0.45">
      <c r="A113" s="79">
        <v>143533298</v>
      </c>
      <c r="B113" s="29" t="str">
        <f t="shared" si="2"/>
        <v>14.353.329-8</v>
      </c>
      <c r="C113" s="22" t="str">
        <f>IF(IFERROR(VLOOKUP(A113,$A$10:$I112,1,0),0)=0,"",VLOOKUP(A113,$A$10:$I112,3,0))</f>
        <v xml:space="preserve">Sala de cuidados intermedios </v>
      </c>
      <c r="D113" s="29" t="str">
        <f>IF(IFERROR(VLOOKUP(A113,$A$10:$I112,1,0),0)=0,"",VLOOKUP(A113,$A$10:$I112,4,0))</f>
        <v>PRISCILA</v>
      </c>
      <c r="E113" s="29" t="str">
        <f>IF(IFERROR(VLOOKUP(A113,$A$10:$I112,1,0),0)=0,"",VLOOKUP(A113,$A$10:$I112,5,0))</f>
        <v>ELGUETA</v>
      </c>
      <c r="F113" s="29" t="str">
        <f>IF(IFERROR(VLOOKUP(A113,$A$10:$I112,1,0),0)=0,"",VLOOKUP(A113,$A$10:$I112,6,0))</f>
        <v>COLLANTE</v>
      </c>
      <c r="G113" s="49">
        <f>IF(IFERROR(VLOOKUP(A113,$A$10:$I112,1,0),0)=0,"",VLOOKUP(A113,$A$10:$I112,7,0))</f>
        <v>45566</v>
      </c>
      <c r="H113" s="49">
        <v>45572</v>
      </c>
      <c r="I113" s="29"/>
      <c r="J113" s="29"/>
      <c r="K113" s="24" t="s">
        <v>47</v>
      </c>
      <c r="L113" s="49">
        <v>45566</v>
      </c>
      <c r="M113" s="49">
        <v>45572</v>
      </c>
      <c r="N113" s="29">
        <f t="shared" si="3"/>
        <v>6</v>
      </c>
      <c r="O113" s="29"/>
      <c r="P113" t="s">
        <v>88</v>
      </c>
      <c r="Q113" t="s">
        <v>88</v>
      </c>
      <c r="R113" t="s">
        <v>88</v>
      </c>
      <c r="S113" t="s">
        <v>88</v>
      </c>
      <c r="T113" t="s">
        <v>88</v>
      </c>
      <c r="U113" t="s">
        <v>20</v>
      </c>
    </row>
    <row r="114" spans="1:21" ht="15.75" customHeight="1" x14ac:dyDescent="0.45">
      <c r="A114" s="79">
        <v>89219760</v>
      </c>
      <c r="B114" s="29" t="str">
        <f t="shared" si="2"/>
        <v>8.921.976-0</v>
      </c>
      <c r="C114" s="22" t="s">
        <v>38</v>
      </c>
      <c r="D114" s="29" t="s">
        <v>774</v>
      </c>
      <c r="E114" s="29" t="s">
        <v>1487</v>
      </c>
      <c r="F114" s="29" t="s">
        <v>1153</v>
      </c>
      <c r="G114" s="49">
        <v>45565</v>
      </c>
      <c r="H114" s="49">
        <v>45571</v>
      </c>
      <c r="I114" s="29"/>
      <c r="J114" s="29"/>
      <c r="K114" s="24" t="s">
        <v>43</v>
      </c>
      <c r="L114" s="49">
        <v>45566</v>
      </c>
      <c r="M114" s="49">
        <v>45571</v>
      </c>
      <c r="N114" s="29">
        <f t="shared" si="3"/>
        <v>5</v>
      </c>
      <c r="O114" s="29"/>
      <c r="P114" t="s">
        <v>88</v>
      </c>
      <c r="Q114" t="s">
        <v>88</v>
      </c>
      <c r="R114" t="s">
        <v>88</v>
      </c>
      <c r="S114" t="s">
        <v>88</v>
      </c>
      <c r="T114" t="s">
        <v>88</v>
      </c>
      <c r="U114" t="s">
        <v>20</v>
      </c>
    </row>
    <row r="115" spans="1:21" ht="15.75" customHeight="1" x14ac:dyDescent="0.45">
      <c r="A115" s="79">
        <v>89219760</v>
      </c>
      <c r="B115" s="29" t="str">
        <f t="shared" si="2"/>
        <v>8.921.976-0</v>
      </c>
      <c r="C115" s="22" t="str">
        <f>IF(IFERROR(VLOOKUP(A115,$A$10:$I114,1,0),0)=0,"",VLOOKUP(A115,$A$10:$I114,3,0))</f>
        <v xml:space="preserve">Sala de cuidados intermedios </v>
      </c>
      <c r="D115" s="29" t="str">
        <f>IF(IFERROR(VLOOKUP(A115,$A$10:$I114,1,0),0)=0,"",VLOOKUP(A115,$A$10:$I114,4,0))</f>
        <v>ELISA</v>
      </c>
      <c r="E115" s="29" t="str">
        <f>IF(IFERROR(VLOOKUP(A115,$A$10:$I114,1,0),0)=0,"",VLOOKUP(A115,$A$10:$I114,5,0))</f>
        <v>ÁVILA</v>
      </c>
      <c r="F115" s="29" t="str">
        <f>IF(IFERROR(VLOOKUP(A115,$A$10:$I114,1,0),0)=0,"",VLOOKUP(A115,$A$10:$I114,6,0))</f>
        <v>SANTANDER</v>
      </c>
      <c r="G115" s="49">
        <f>IF(IFERROR(VLOOKUP(A115,$A$10:$I114,1,0),0)=0,"",VLOOKUP(A115,$A$10:$I114,7,0))</f>
        <v>45565</v>
      </c>
      <c r="H115" s="49">
        <v>45571</v>
      </c>
      <c r="I115" s="29"/>
      <c r="J115" s="29"/>
      <c r="K115" s="24" t="s">
        <v>47</v>
      </c>
      <c r="L115" s="49">
        <v>45566</v>
      </c>
      <c r="M115" s="49">
        <v>45571</v>
      </c>
      <c r="N115" s="29">
        <f t="shared" si="3"/>
        <v>5</v>
      </c>
      <c r="O115" s="29"/>
      <c r="P115" t="s">
        <v>88</v>
      </c>
      <c r="Q115" t="s">
        <v>88</v>
      </c>
      <c r="R115" t="s">
        <v>88</v>
      </c>
      <c r="S115" t="s">
        <v>88</v>
      </c>
      <c r="T115" t="s">
        <v>88</v>
      </c>
      <c r="U115" t="s">
        <v>20</v>
      </c>
    </row>
    <row r="116" spans="1:21" ht="15.75" customHeight="1" x14ac:dyDescent="0.45">
      <c r="A116" s="79" t="s">
        <v>1488</v>
      </c>
      <c r="B116" s="29" t="str">
        <f t="shared" si="2"/>
        <v>11.155.157-k</v>
      </c>
      <c r="C116" s="22" t="s">
        <v>38</v>
      </c>
      <c r="D116" s="29" t="s">
        <v>238</v>
      </c>
      <c r="E116" s="29" t="s">
        <v>418</v>
      </c>
      <c r="F116" s="29" t="s">
        <v>417</v>
      </c>
      <c r="G116" s="49">
        <v>45570</v>
      </c>
      <c r="H116" s="49">
        <v>45577</v>
      </c>
      <c r="I116" s="29"/>
      <c r="J116" s="29" t="s">
        <v>46</v>
      </c>
      <c r="K116" s="24" t="s">
        <v>43</v>
      </c>
      <c r="L116" s="49">
        <v>45570</v>
      </c>
      <c r="M116" s="49">
        <v>45577</v>
      </c>
      <c r="N116" s="29">
        <f t="shared" si="3"/>
        <v>7</v>
      </c>
      <c r="O116" s="29"/>
      <c r="P116" t="s">
        <v>88</v>
      </c>
      <c r="Q116" t="s">
        <v>88</v>
      </c>
      <c r="R116" t="s">
        <v>88</v>
      </c>
      <c r="S116" t="s">
        <v>88</v>
      </c>
      <c r="T116" t="s">
        <v>88</v>
      </c>
      <c r="U116" t="s">
        <v>20</v>
      </c>
    </row>
    <row r="117" spans="1:21" ht="15.75" customHeight="1" x14ac:dyDescent="0.45">
      <c r="A117" s="79" t="s">
        <v>1488</v>
      </c>
      <c r="B117" s="29" t="str">
        <f t="shared" si="2"/>
        <v>11.155.157-k</v>
      </c>
      <c r="C117" s="22" t="str">
        <f>IF(IFERROR(VLOOKUP(A117,$A$10:$I116,1,0),0)=0,"",VLOOKUP(A117,$A$10:$I116,3,0))</f>
        <v xml:space="preserve">Sala de cuidados intermedios </v>
      </c>
      <c r="D117" s="29" t="str">
        <f>IF(IFERROR(VLOOKUP(A117,$A$10:$I116,1,0),0)=0,"",VLOOKUP(A117,$A$10:$I116,4,0))</f>
        <v>LUIS</v>
      </c>
      <c r="E117" s="29" t="str">
        <f>IF(IFERROR(VLOOKUP(A117,$A$10:$I116,1,0),0)=0,"",VLOOKUP(A117,$A$10:$I116,5,0))</f>
        <v>ARANEDA</v>
      </c>
      <c r="F117" s="29" t="str">
        <f>IF(IFERROR(VLOOKUP(A117,$A$10:$I116,1,0),0)=0,"",VLOOKUP(A117,$A$10:$I116,6,0))</f>
        <v>LOPEZ</v>
      </c>
      <c r="G117" s="49">
        <f>IF(IFERROR(VLOOKUP(A117,$A$10:$I116,1,0),0)=0,"",VLOOKUP(A117,$A$10:$I116,7,0))</f>
        <v>45570</v>
      </c>
      <c r="H117" s="49">
        <v>45577</v>
      </c>
      <c r="I117" s="29"/>
      <c r="J117" s="29" t="s">
        <v>46</v>
      </c>
      <c r="K117" s="24" t="s">
        <v>47</v>
      </c>
      <c r="L117" s="49">
        <v>45570</v>
      </c>
      <c r="M117" s="49">
        <v>45576</v>
      </c>
      <c r="N117" s="29">
        <f t="shared" si="3"/>
        <v>6</v>
      </c>
      <c r="O117" s="29"/>
      <c r="P117" t="s">
        <v>88</v>
      </c>
      <c r="Q117" t="s">
        <v>88</v>
      </c>
      <c r="R117" t="s">
        <v>88</v>
      </c>
      <c r="S117" t="s">
        <v>88</v>
      </c>
      <c r="T117" t="s">
        <v>88</v>
      </c>
      <c r="U117" t="s">
        <v>20</v>
      </c>
    </row>
    <row r="118" spans="1:21" ht="15.75" customHeight="1" x14ac:dyDescent="0.45">
      <c r="A118" s="79">
        <v>105845995</v>
      </c>
      <c r="B118" s="29" t="str">
        <f t="shared" si="2"/>
        <v>10.584.599-5</v>
      </c>
      <c r="C118" s="22" t="s">
        <v>38</v>
      </c>
      <c r="D118" s="29" t="s">
        <v>538</v>
      </c>
      <c r="E118" s="29" t="s">
        <v>1151</v>
      </c>
      <c r="F118" s="29" t="s">
        <v>442</v>
      </c>
      <c r="G118" s="49">
        <v>45571</v>
      </c>
      <c r="H118" s="49">
        <v>45575</v>
      </c>
      <c r="I118" s="29"/>
      <c r="J118" s="29" t="s">
        <v>26</v>
      </c>
      <c r="K118" s="24" t="s">
        <v>47</v>
      </c>
      <c r="L118" s="49">
        <v>45571</v>
      </c>
      <c r="M118" s="49">
        <v>45575</v>
      </c>
      <c r="N118" s="29">
        <f t="shared" si="3"/>
        <v>4</v>
      </c>
      <c r="O118" s="29"/>
      <c r="P118" t="s">
        <v>88</v>
      </c>
      <c r="Q118" t="s">
        <v>88</v>
      </c>
      <c r="R118" t="s">
        <v>88</v>
      </c>
      <c r="S118" t="s">
        <v>88</v>
      </c>
      <c r="T118" t="s">
        <v>88</v>
      </c>
      <c r="U118" t="s">
        <v>20</v>
      </c>
    </row>
    <row r="119" spans="1:21" ht="15.75" customHeight="1" x14ac:dyDescent="0.45">
      <c r="A119" s="79" t="s">
        <v>1489</v>
      </c>
      <c r="B119" s="29" t="str">
        <f t="shared" si="2"/>
        <v>26.786.084-k</v>
      </c>
      <c r="C119" s="22" t="s">
        <v>38</v>
      </c>
      <c r="D119" s="29" t="s">
        <v>336</v>
      </c>
      <c r="E119" s="29" t="s">
        <v>1490</v>
      </c>
      <c r="F119" s="29" t="s">
        <v>473</v>
      </c>
      <c r="G119" s="49">
        <v>45581</v>
      </c>
      <c r="H119" s="49">
        <v>45587</v>
      </c>
      <c r="I119" s="29"/>
      <c r="J119" s="29"/>
      <c r="K119" s="24" t="s">
        <v>18</v>
      </c>
      <c r="L119" s="49">
        <v>45581</v>
      </c>
      <c r="M119" s="49">
        <v>45587</v>
      </c>
      <c r="N119" s="29">
        <f t="shared" si="3"/>
        <v>6</v>
      </c>
      <c r="O119" s="29" t="s">
        <v>14</v>
      </c>
      <c r="P119" t="s">
        <v>88</v>
      </c>
      <c r="Q119" t="s">
        <v>88</v>
      </c>
      <c r="R119" t="s">
        <v>88</v>
      </c>
      <c r="S119" t="s">
        <v>88</v>
      </c>
      <c r="T119" t="s">
        <v>88</v>
      </c>
      <c r="U119" t="s">
        <v>20</v>
      </c>
    </row>
    <row r="120" spans="1:21" ht="15.75" customHeight="1" x14ac:dyDescent="0.45">
      <c r="A120" s="79" t="s">
        <v>1491</v>
      </c>
      <c r="B120" s="29" t="str">
        <f t="shared" si="2"/>
        <v>9.070.818-k</v>
      </c>
      <c r="C120" s="22" t="s">
        <v>38</v>
      </c>
      <c r="D120" s="29" t="s">
        <v>1492</v>
      </c>
      <c r="E120" s="29" t="s">
        <v>924</v>
      </c>
      <c r="F120" s="29" t="s">
        <v>1259</v>
      </c>
      <c r="G120" s="49">
        <v>45586</v>
      </c>
      <c r="H120" s="29"/>
      <c r="I120" s="29"/>
      <c r="J120" s="29"/>
      <c r="K120" s="24" t="s">
        <v>47</v>
      </c>
      <c r="L120" s="49">
        <v>45586</v>
      </c>
      <c r="M120" s="49">
        <v>45590</v>
      </c>
      <c r="N120" s="29">
        <f t="shared" si="3"/>
        <v>4</v>
      </c>
      <c r="O120" s="29"/>
      <c r="P120" t="s">
        <v>88</v>
      </c>
      <c r="Q120" t="s">
        <v>88</v>
      </c>
      <c r="R120" t="s">
        <v>88</v>
      </c>
      <c r="S120" t="s">
        <v>88</v>
      </c>
      <c r="T120" t="s">
        <v>88</v>
      </c>
      <c r="U120" t="s">
        <v>20</v>
      </c>
    </row>
    <row r="121" spans="1:21" ht="15.75" customHeight="1" x14ac:dyDescent="0.45">
      <c r="A121" s="79">
        <v>109596876</v>
      </c>
      <c r="B121" s="29" t="str">
        <f t="shared" si="2"/>
        <v>10.959.687-6</v>
      </c>
      <c r="C121" s="22" t="s">
        <v>38</v>
      </c>
      <c r="D121" s="29" t="s">
        <v>308</v>
      </c>
      <c r="E121" s="29" t="s">
        <v>1011</v>
      </c>
      <c r="F121" s="29" t="s">
        <v>267</v>
      </c>
      <c r="G121" s="49">
        <v>45586</v>
      </c>
      <c r="H121" s="29"/>
      <c r="I121" s="29"/>
      <c r="J121" s="29"/>
      <c r="K121" s="24" t="s">
        <v>43</v>
      </c>
      <c r="L121" s="49">
        <v>45586</v>
      </c>
      <c r="M121" s="49">
        <v>45588</v>
      </c>
      <c r="N121" s="29">
        <f t="shared" si="3"/>
        <v>2</v>
      </c>
      <c r="O121" s="29"/>
      <c r="P121" t="s">
        <v>88</v>
      </c>
      <c r="Q121" t="s">
        <v>88</v>
      </c>
      <c r="R121" t="s">
        <v>88</v>
      </c>
      <c r="S121" t="s">
        <v>88</v>
      </c>
      <c r="T121" t="s">
        <v>88</v>
      </c>
      <c r="U121" t="s">
        <v>20</v>
      </c>
    </row>
    <row r="122" spans="1:21" ht="15.75" customHeight="1" x14ac:dyDescent="0.45">
      <c r="A122" s="79">
        <v>109596876</v>
      </c>
      <c r="B122" s="29" t="str">
        <f t="shared" si="2"/>
        <v>10.959.687-6</v>
      </c>
      <c r="C122" s="22" t="str">
        <f>IF(IFERROR(VLOOKUP(A122,$A$10:$I121,1,0),0)=0,"",VLOOKUP(A122,$A$10:$I121,3,0))</f>
        <v xml:space="preserve">Sala de cuidados intermedios </v>
      </c>
      <c r="D122" s="29" t="str">
        <f>IF(IFERROR(VLOOKUP(A122,$A$10:$I121,1,0),0)=0,"",VLOOKUP(A122,$A$10:$I121,4,0))</f>
        <v>MIRIAM</v>
      </c>
      <c r="E122" s="29" t="str">
        <f>IF(IFERROR(VLOOKUP(A122,$A$10:$I121,1,0),0)=0,"",VLOOKUP(A122,$A$10:$I121,5,0))</f>
        <v>JAQUES</v>
      </c>
      <c r="F122" s="29" t="str">
        <f>IF(IFERROR(VLOOKUP(A122,$A$10:$I121,1,0),0)=0,"",VLOOKUP(A122,$A$10:$I121,6,0))</f>
        <v>RUBILAR</v>
      </c>
      <c r="G122" s="49">
        <f>IF(IFERROR(VLOOKUP(A122,$A$10:$I121,1,0),0)=0,"",VLOOKUP(A122,$A$10:$I121,7,0))</f>
        <v>45586</v>
      </c>
      <c r="H122" s="29"/>
      <c r="I122" s="29"/>
      <c r="J122" s="29"/>
      <c r="K122" s="24" t="s">
        <v>47</v>
      </c>
      <c r="L122" s="49">
        <v>45586</v>
      </c>
      <c r="M122" s="49">
        <v>45588</v>
      </c>
      <c r="N122" s="29">
        <f t="shared" si="3"/>
        <v>2</v>
      </c>
      <c r="O122" s="29"/>
      <c r="P122" t="s">
        <v>88</v>
      </c>
      <c r="Q122" t="s">
        <v>88</v>
      </c>
      <c r="R122" t="s">
        <v>88</v>
      </c>
      <c r="S122" t="s">
        <v>88</v>
      </c>
      <c r="T122" t="s">
        <v>88</v>
      </c>
      <c r="U122" t="s">
        <v>20</v>
      </c>
    </row>
    <row r="123" spans="1:21" ht="15.75" customHeight="1" x14ac:dyDescent="0.45">
      <c r="A123" s="79">
        <v>281716212</v>
      </c>
      <c r="B123" s="29" t="str">
        <f t="shared" si="2"/>
        <v>28.171.621-2</v>
      </c>
      <c r="C123" s="22" t="s">
        <v>10</v>
      </c>
      <c r="D123" s="29" t="s">
        <v>1493</v>
      </c>
      <c r="E123" s="29" t="s">
        <v>393</v>
      </c>
      <c r="F123" s="29" t="s">
        <v>1494</v>
      </c>
      <c r="G123" s="49">
        <v>45566</v>
      </c>
      <c r="H123" s="49">
        <v>45571</v>
      </c>
      <c r="I123" s="29"/>
      <c r="J123" s="29" t="s">
        <v>69</v>
      </c>
      <c r="K123" s="24" t="s">
        <v>43</v>
      </c>
      <c r="L123" s="49">
        <v>45566</v>
      </c>
      <c r="M123" s="49">
        <v>45571</v>
      </c>
      <c r="N123" s="29">
        <f t="shared" si="3"/>
        <v>5</v>
      </c>
      <c r="O123" s="29"/>
      <c r="P123" t="s">
        <v>88</v>
      </c>
      <c r="Q123" t="s">
        <v>88</v>
      </c>
      <c r="R123" t="s">
        <v>88</v>
      </c>
      <c r="S123" t="s">
        <v>88</v>
      </c>
      <c r="T123" t="s">
        <v>88</v>
      </c>
      <c r="U123" t="s">
        <v>20</v>
      </c>
    </row>
    <row r="124" spans="1:21" ht="15.75" customHeight="1" x14ac:dyDescent="0.45">
      <c r="A124" s="79">
        <v>281716212</v>
      </c>
      <c r="B124" s="29" t="str">
        <f t="shared" si="2"/>
        <v>28.171.621-2</v>
      </c>
      <c r="C124" s="22" t="str">
        <f>IF(IFERROR(VLOOKUP(A124,$A$10:$I123,1,0),0)=0,"",VLOOKUP(A124,$A$10:$I123,3,0))</f>
        <v>UCI infanto juvenil</v>
      </c>
      <c r="D124" s="29" t="str">
        <f>IF(IFERROR(VLOOKUP(A124,$A$10:$I123,1,0),0)=0,"",VLOOKUP(A124,$A$10:$I123,4,0))</f>
        <v>ARTEMIO</v>
      </c>
      <c r="E124" s="29" t="str">
        <f>IF(IFERROR(VLOOKUP(A124,$A$10:$I123,1,0),0)=0,"",VLOOKUP(A124,$A$10:$I123,5,0))</f>
        <v>FERNANDEZ</v>
      </c>
      <c r="F124" s="29" t="str">
        <f>IF(IFERROR(VLOOKUP(A124,$A$10:$I123,1,0),0)=0,"",VLOOKUP(A124,$A$10:$I123,6,0))</f>
        <v>LEPILLAN</v>
      </c>
      <c r="G124" s="49">
        <f>IF(IFERROR(VLOOKUP(A124,$A$10:$I123,1,0),0)=0,"",VLOOKUP(A124,$A$10:$I123,7,0))</f>
        <v>45566</v>
      </c>
      <c r="H124" s="29"/>
      <c r="I124" s="29"/>
      <c r="J124" s="29" t="s">
        <v>69</v>
      </c>
      <c r="K124" s="24" t="s">
        <v>55</v>
      </c>
      <c r="L124" s="49">
        <v>45566</v>
      </c>
      <c r="M124" s="49">
        <v>45571</v>
      </c>
      <c r="N124" s="29">
        <f t="shared" si="3"/>
        <v>5</v>
      </c>
      <c r="O124" s="29"/>
      <c r="P124" t="s">
        <v>88</v>
      </c>
      <c r="Q124" t="s">
        <v>88</v>
      </c>
      <c r="R124" t="s">
        <v>88</v>
      </c>
      <c r="S124" t="s">
        <v>88</v>
      </c>
      <c r="T124" t="s">
        <v>88</v>
      </c>
      <c r="U124" t="s">
        <v>20</v>
      </c>
    </row>
    <row r="125" spans="1:21" ht="15.75" customHeight="1" x14ac:dyDescent="0.45">
      <c r="A125" s="79">
        <v>171703700</v>
      </c>
      <c r="B125" s="29" t="str">
        <f t="shared" si="2"/>
        <v>17.170.370-0</v>
      </c>
      <c r="C125" s="22" t="s">
        <v>22</v>
      </c>
      <c r="D125" s="29" t="s">
        <v>793</v>
      </c>
      <c r="E125" s="29" t="s">
        <v>893</v>
      </c>
      <c r="F125" s="29" t="s">
        <v>723</v>
      </c>
      <c r="G125" s="49">
        <v>45577</v>
      </c>
      <c r="H125" s="49">
        <v>45584</v>
      </c>
      <c r="I125" s="29"/>
      <c r="J125" s="29"/>
      <c r="K125" s="24" t="s">
        <v>43</v>
      </c>
      <c r="L125" s="49">
        <v>45577</v>
      </c>
      <c r="M125" s="49">
        <v>45584</v>
      </c>
      <c r="N125" s="29">
        <f t="shared" si="3"/>
        <v>7</v>
      </c>
      <c r="O125" s="29"/>
      <c r="P125" t="s">
        <v>88</v>
      </c>
      <c r="Q125" t="s">
        <v>88</v>
      </c>
      <c r="R125" t="s">
        <v>88</v>
      </c>
      <c r="S125" t="s">
        <v>88</v>
      </c>
      <c r="T125" t="s">
        <v>88</v>
      </c>
      <c r="U125" t="s">
        <v>20</v>
      </c>
    </row>
    <row r="126" spans="1:21" ht="15.75" customHeight="1" x14ac:dyDescent="0.45">
      <c r="A126" s="79">
        <v>171703700</v>
      </c>
      <c r="B126" s="29" t="str">
        <f t="shared" si="2"/>
        <v>17.170.370-0</v>
      </c>
      <c r="C126" s="22" t="str">
        <f>IF(IFERROR(VLOOKUP(A126,$A$10:$I125,1,0),0)=0,"",VLOOKUP(A126,$A$10:$I125,3,0))</f>
        <v>UCI</v>
      </c>
      <c r="D126" s="29" t="str">
        <f>IF(IFERROR(VLOOKUP(A126,$A$10:$I125,1,0),0)=0,"",VLOOKUP(A126,$A$10:$I125,4,0))</f>
        <v>MIGUEL</v>
      </c>
      <c r="E126" s="29" t="str">
        <f>IF(IFERROR(VLOOKUP(A126,$A$10:$I125,1,0),0)=0,"",VLOOKUP(A126,$A$10:$I125,5,0))</f>
        <v>CARCAMO</v>
      </c>
      <c r="F126" s="29" t="str">
        <f>IF(IFERROR(VLOOKUP(A126,$A$10:$I125,1,0),0)=0,"",VLOOKUP(A126,$A$10:$I125,6,0))</f>
        <v>PALMA</v>
      </c>
      <c r="G126" s="49">
        <f>IF(IFERROR(VLOOKUP(A126,$A$10:$I125,1,0),0)=0,"",VLOOKUP(A126,$A$10:$I125,7,0))</f>
        <v>45577</v>
      </c>
      <c r="H126" s="49">
        <v>45584</v>
      </c>
      <c r="I126" s="29"/>
      <c r="J126" s="29"/>
      <c r="K126" s="24" t="s">
        <v>47</v>
      </c>
      <c r="L126" s="49">
        <v>45577</v>
      </c>
      <c r="M126" s="49">
        <v>45584</v>
      </c>
      <c r="N126" s="29">
        <f t="shared" si="3"/>
        <v>7</v>
      </c>
      <c r="O126" s="29"/>
      <c r="P126" t="s">
        <v>88</v>
      </c>
      <c r="Q126" t="s">
        <v>88</v>
      </c>
      <c r="R126" t="s">
        <v>88</v>
      </c>
      <c r="S126" t="s">
        <v>88</v>
      </c>
      <c r="T126" t="s">
        <v>88</v>
      </c>
      <c r="U126" t="s">
        <v>20</v>
      </c>
    </row>
    <row r="127" spans="1:21" ht="15.75" customHeight="1" x14ac:dyDescent="0.45">
      <c r="A127" s="79">
        <v>171703700</v>
      </c>
      <c r="B127" s="29" t="str">
        <f t="shared" si="2"/>
        <v>17.170.370-0</v>
      </c>
      <c r="C127" s="22" t="str">
        <f>IF(IFERROR(VLOOKUP(A127,$A$10:$I126,1,0),0)=0,"",VLOOKUP(A127,$A$10:$I126,3,0))</f>
        <v>UCI</v>
      </c>
      <c r="D127" s="29" t="str">
        <f>IF(IFERROR(VLOOKUP(A127,$A$10:$I126,1,0),0)=0,"",VLOOKUP(A127,$A$10:$I126,4,0))</f>
        <v>MIGUEL</v>
      </c>
      <c r="E127" s="29" t="str">
        <f>IF(IFERROR(VLOOKUP(A127,$A$10:$I126,1,0),0)=0,"",VLOOKUP(A127,$A$10:$I126,5,0))</f>
        <v>CARCAMO</v>
      </c>
      <c r="F127" s="29" t="str">
        <f>IF(IFERROR(VLOOKUP(A127,$A$10:$I126,1,0),0)=0,"",VLOOKUP(A127,$A$10:$I126,6,0))</f>
        <v>PALMA</v>
      </c>
      <c r="G127" s="49">
        <f>IF(IFERROR(VLOOKUP(A127,$A$10:$I126,1,0),0)=0,"",VLOOKUP(A127,$A$10:$I126,7,0))</f>
        <v>45577</v>
      </c>
      <c r="H127" s="49">
        <v>45584</v>
      </c>
      <c r="I127" s="29"/>
      <c r="J127" s="29"/>
      <c r="K127" s="24" t="s">
        <v>55</v>
      </c>
      <c r="L127" s="49">
        <v>45577</v>
      </c>
      <c r="M127" s="49">
        <v>45582</v>
      </c>
      <c r="N127" s="29">
        <f t="shared" si="3"/>
        <v>5</v>
      </c>
      <c r="O127" s="29"/>
      <c r="P127" t="s">
        <v>88</v>
      </c>
      <c r="Q127" t="s">
        <v>88</v>
      </c>
      <c r="R127" t="s">
        <v>88</v>
      </c>
      <c r="S127" t="s">
        <v>88</v>
      </c>
      <c r="T127" t="s">
        <v>88</v>
      </c>
      <c r="U127" t="s">
        <v>20</v>
      </c>
    </row>
    <row r="128" spans="1:21" ht="15.75" customHeight="1" x14ac:dyDescent="0.45">
      <c r="A128" s="79">
        <v>110619391</v>
      </c>
      <c r="B128" s="29" t="str">
        <f t="shared" si="2"/>
        <v>11.061.939-1</v>
      </c>
      <c r="C128" s="22" t="s">
        <v>22</v>
      </c>
      <c r="D128" s="29" t="s">
        <v>346</v>
      </c>
      <c r="E128" s="29" t="s">
        <v>384</v>
      </c>
      <c r="F128" s="29" t="s">
        <v>675</v>
      </c>
      <c r="G128" s="49">
        <v>45578</v>
      </c>
      <c r="H128" s="29"/>
      <c r="I128" s="29"/>
      <c r="J128" s="29"/>
      <c r="K128" s="24" t="s">
        <v>43</v>
      </c>
      <c r="L128" s="49">
        <v>45578</v>
      </c>
      <c r="M128" s="49">
        <v>45595</v>
      </c>
      <c r="N128" s="29">
        <f t="shared" si="3"/>
        <v>17</v>
      </c>
      <c r="O128" s="29"/>
      <c r="P128" t="s">
        <v>88</v>
      </c>
      <c r="Q128" t="s">
        <v>88</v>
      </c>
      <c r="R128" t="s">
        <v>88</v>
      </c>
      <c r="S128" t="s">
        <v>88</v>
      </c>
      <c r="T128" t="s">
        <v>88</v>
      </c>
      <c r="U128" t="s">
        <v>20</v>
      </c>
    </row>
    <row r="129" spans="1:21" ht="15.75" customHeight="1" x14ac:dyDescent="0.45">
      <c r="A129" s="79">
        <v>110619391</v>
      </c>
      <c r="B129" s="29" t="str">
        <f t="shared" si="2"/>
        <v>11.061.939-1</v>
      </c>
      <c r="C129" s="22" t="str">
        <f>IF(IFERROR(VLOOKUP(A129,$A$10:$I128,1,0),0)=0,"",VLOOKUP(A129,$A$10:$I128,3,0))</f>
        <v>UCI</v>
      </c>
      <c r="D129" s="29" t="str">
        <f>IF(IFERROR(VLOOKUP(A129,$A$10:$I128,1,0),0)=0,"",VLOOKUP(A129,$A$10:$I128,4,0))</f>
        <v>MARCELA</v>
      </c>
      <c r="E129" s="29" t="str">
        <f>IF(IFERROR(VLOOKUP(A129,$A$10:$I128,1,0),0)=0,"",VLOOKUP(A129,$A$10:$I128,5,0))</f>
        <v>MUÑOZ</v>
      </c>
      <c r="F129" s="29" t="str">
        <f>IF(IFERROR(VLOOKUP(A129,$A$10:$I128,1,0),0)=0,"",VLOOKUP(A129,$A$10:$I128,6,0))</f>
        <v>SANDOVAL</v>
      </c>
      <c r="G129" s="49">
        <f>IF(IFERROR(VLOOKUP(A129,$A$10:$I128,1,0),0)=0,"",VLOOKUP(A129,$A$10:$I128,7,0))</f>
        <v>45578</v>
      </c>
      <c r="H129" s="29"/>
      <c r="I129" s="29"/>
      <c r="J129" s="29"/>
      <c r="K129" s="24" t="s">
        <v>47</v>
      </c>
      <c r="L129" s="49">
        <v>45578</v>
      </c>
      <c r="M129" s="49">
        <v>45596</v>
      </c>
      <c r="N129" s="29">
        <f t="shared" si="3"/>
        <v>18</v>
      </c>
      <c r="O129" s="29"/>
      <c r="P129" t="s">
        <v>88</v>
      </c>
      <c r="Q129" t="s">
        <v>88</v>
      </c>
      <c r="R129" t="s">
        <v>88</v>
      </c>
      <c r="S129" t="s">
        <v>88</v>
      </c>
      <c r="T129" t="s">
        <v>88</v>
      </c>
      <c r="U129" t="s">
        <v>20</v>
      </c>
    </row>
    <row r="130" spans="1:21" ht="15.75" customHeight="1" x14ac:dyDescent="0.45">
      <c r="A130" s="79">
        <v>110619391</v>
      </c>
      <c r="B130" s="29" t="str">
        <f t="shared" si="2"/>
        <v>11.061.939-1</v>
      </c>
      <c r="C130" s="22" t="str">
        <f>IF(IFERROR(VLOOKUP(A130,$A$10:$I129,1,0),0)=0,"",VLOOKUP(A130,$A$10:$I129,3,0))</f>
        <v>UCI</v>
      </c>
      <c r="D130" s="29" t="str">
        <f>IF(IFERROR(VLOOKUP(A130,$A$10:$I129,1,0),0)=0,"",VLOOKUP(A130,$A$10:$I129,4,0))</f>
        <v>MARCELA</v>
      </c>
      <c r="E130" s="29" t="str">
        <f>IF(IFERROR(VLOOKUP(A130,$A$10:$I129,1,0),0)=0,"",VLOOKUP(A130,$A$10:$I129,5,0))</f>
        <v>MUÑOZ</v>
      </c>
      <c r="F130" s="29" t="str">
        <f>IF(IFERROR(VLOOKUP(A130,$A$10:$I129,1,0),0)=0,"",VLOOKUP(A130,$A$10:$I129,6,0))</f>
        <v>SANDOVAL</v>
      </c>
      <c r="G130" s="49">
        <f>IF(IFERROR(VLOOKUP(A130,$A$10:$I129,1,0),0)=0,"",VLOOKUP(A130,$A$10:$I129,7,0))</f>
        <v>45578</v>
      </c>
      <c r="H130" s="29"/>
      <c r="I130" s="29"/>
      <c r="J130" s="29"/>
      <c r="K130" s="24" t="s">
        <v>55</v>
      </c>
      <c r="L130" s="49">
        <v>45578</v>
      </c>
      <c r="M130" s="49">
        <v>45585</v>
      </c>
      <c r="N130" s="29">
        <f t="shared" si="3"/>
        <v>7</v>
      </c>
      <c r="O130" s="29"/>
      <c r="P130" t="s">
        <v>88</v>
      </c>
      <c r="Q130" t="s">
        <v>88</v>
      </c>
      <c r="R130" t="s">
        <v>88</v>
      </c>
      <c r="S130" t="s">
        <v>88</v>
      </c>
      <c r="T130" t="s">
        <v>88</v>
      </c>
      <c r="U130" t="s">
        <v>20</v>
      </c>
    </row>
    <row r="131" spans="1:21" ht="15.75" customHeight="1" x14ac:dyDescent="0.45">
      <c r="A131" s="79">
        <v>78286970</v>
      </c>
      <c r="B131" s="29" t="str">
        <f t="shared" si="2"/>
        <v>7.828.697-0</v>
      </c>
      <c r="C131" s="22" t="s">
        <v>22</v>
      </c>
      <c r="D131" s="29" t="s">
        <v>481</v>
      </c>
      <c r="E131" s="29" t="s">
        <v>631</v>
      </c>
      <c r="F131" s="29" t="s">
        <v>1495</v>
      </c>
      <c r="G131" s="49">
        <v>45579</v>
      </c>
      <c r="H131" s="49">
        <v>45582</v>
      </c>
      <c r="I131" s="29"/>
      <c r="J131" s="29" t="s">
        <v>19</v>
      </c>
      <c r="K131" s="24" t="s">
        <v>43</v>
      </c>
      <c r="L131" s="49">
        <v>45579</v>
      </c>
      <c r="M131" s="49">
        <v>45582</v>
      </c>
      <c r="N131" s="29">
        <f t="shared" si="3"/>
        <v>3</v>
      </c>
      <c r="O131" s="29"/>
      <c r="P131" t="s">
        <v>88</v>
      </c>
      <c r="Q131" t="s">
        <v>88</v>
      </c>
      <c r="R131" t="s">
        <v>88</v>
      </c>
      <c r="S131" t="s">
        <v>88</v>
      </c>
      <c r="T131" t="s">
        <v>88</v>
      </c>
      <c r="U131" t="s">
        <v>20</v>
      </c>
    </row>
    <row r="132" spans="1:21" ht="15.75" customHeight="1" x14ac:dyDescent="0.45">
      <c r="A132" s="79">
        <v>78286970</v>
      </c>
      <c r="B132" s="29" t="str">
        <f t="shared" si="2"/>
        <v>7.828.697-0</v>
      </c>
      <c r="C132" s="22" t="str">
        <f>IF(IFERROR(VLOOKUP(A132,$A$10:$I131,1,0),0)=0,"",VLOOKUP(A132,$A$10:$I131,3,0))</f>
        <v>UCI</v>
      </c>
      <c r="D132" s="29" t="str">
        <f>IF(IFERROR(VLOOKUP(A132,$A$10:$I131,1,0),0)=0,"",VLOOKUP(A132,$A$10:$I131,4,0))</f>
        <v>JUAN</v>
      </c>
      <c r="E132" s="29" t="str">
        <f>IF(IFERROR(VLOOKUP(A132,$A$10:$I131,1,0),0)=0,"",VLOOKUP(A132,$A$10:$I131,5,0))</f>
        <v>ALARCON</v>
      </c>
      <c r="F132" s="29" t="str">
        <f>IF(IFERROR(VLOOKUP(A132,$A$10:$I131,1,0),0)=0,"",VLOOKUP(A132,$A$10:$I131,6,0))</f>
        <v>VIVANCO</v>
      </c>
      <c r="G132" s="49">
        <f>IF(IFERROR(VLOOKUP(A132,$A$10:$I131,1,0),0)=0,"",VLOOKUP(A132,$A$10:$I131,7,0))</f>
        <v>45579</v>
      </c>
      <c r="H132" s="49">
        <v>45582</v>
      </c>
      <c r="I132" s="29"/>
      <c r="J132" s="29" t="s">
        <v>19</v>
      </c>
      <c r="K132" s="24" t="s">
        <v>47</v>
      </c>
      <c r="L132" s="49">
        <v>45579</v>
      </c>
      <c r="M132" s="49">
        <v>45582</v>
      </c>
      <c r="N132" s="29">
        <f t="shared" si="3"/>
        <v>3</v>
      </c>
      <c r="O132" s="29"/>
      <c r="P132" t="s">
        <v>88</v>
      </c>
      <c r="Q132" t="s">
        <v>88</v>
      </c>
      <c r="R132" t="s">
        <v>88</v>
      </c>
      <c r="S132" t="s">
        <v>88</v>
      </c>
      <c r="T132" t="s">
        <v>88</v>
      </c>
      <c r="U132" t="s">
        <v>20</v>
      </c>
    </row>
    <row r="133" spans="1:21" ht="15.75" customHeight="1" x14ac:dyDescent="0.45">
      <c r="A133" s="79">
        <v>78286970</v>
      </c>
      <c r="B133" s="29" t="str">
        <f t="shared" si="2"/>
        <v>7.828.697-0</v>
      </c>
      <c r="C133" s="22" t="str">
        <f>IF(IFERROR(VLOOKUP(A133,$A$10:$I132,1,0),0)=0,"",VLOOKUP(A133,$A$10:$I132,3,0))</f>
        <v>UCI</v>
      </c>
      <c r="D133" s="29" t="str">
        <f>IF(IFERROR(VLOOKUP(A133,$A$10:$I132,1,0),0)=0,"",VLOOKUP(A133,$A$10:$I132,4,0))</f>
        <v>JUAN</v>
      </c>
      <c r="E133" s="29" t="str">
        <f>IF(IFERROR(VLOOKUP(A133,$A$10:$I132,1,0),0)=0,"",VLOOKUP(A133,$A$10:$I132,5,0))</f>
        <v>ALARCON</v>
      </c>
      <c r="F133" s="29" t="str">
        <f>IF(IFERROR(VLOOKUP(A133,$A$10:$I132,1,0),0)=0,"",VLOOKUP(A133,$A$10:$I132,6,0))</f>
        <v>VIVANCO</v>
      </c>
      <c r="G133" s="49">
        <f>IF(IFERROR(VLOOKUP(A133,$A$10:$I132,1,0),0)=0,"",VLOOKUP(A133,$A$10:$I132,7,0))</f>
        <v>45579</v>
      </c>
      <c r="H133" s="49">
        <v>45582</v>
      </c>
      <c r="I133" s="29"/>
      <c r="J133" s="29" t="s">
        <v>19</v>
      </c>
      <c r="K133" s="24" t="s">
        <v>55</v>
      </c>
      <c r="L133" s="49">
        <v>45579</v>
      </c>
      <c r="M133" s="49">
        <v>45582</v>
      </c>
      <c r="N133" s="29">
        <f t="shared" si="3"/>
        <v>3</v>
      </c>
      <c r="O133" s="29"/>
      <c r="P133" t="s">
        <v>88</v>
      </c>
      <c r="Q133" t="s">
        <v>88</v>
      </c>
      <c r="R133" t="s">
        <v>88</v>
      </c>
      <c r="S133" t="s">
        <v>88</v>
      </c>
      <c r="T133" t="s">
        <v>88</v>
      </c>
      <c r="U133" t="s">
        <v>20</v>
      </c>
    </row>
    <row r="134" spans="1:21" ht="15.75" customHeight="1" x14ac:dyDescent="0.45">
      <c r="A134" s="79">
        <v>79513067</v>
      </c>
      <c r="B134" s="29" t="str">
        <f t="shared" si="2"/>
        <v>7.951.306-7</v>
      </c>
      <c r="C134" s="22" t="s">
        <v>22</v>
      </c>
      <c r="D134" s="29" t="s">
        <v>489</v>
      </c>
      <c r="E134" s="29" t="s">
        <v>1496</v>
      </c>
      <c r="F134" s="29" t="s">
        <v>442</v>
      </c>
      <c r="G134" s="49">
        <v>45578</v>
      </c>
      <c r="H134" s="49">
        <v>45582</v>
      </c>
      <c r="I134" s="29"/>
      <c r="J134" s="29"/>
      <c r="K134" s="24" t="s">
        <v>43</v>
      </c>
      <c r="L134" s="49">
        <v>45578</v>
      </c>
      <c r="M134" s="49">
        <v>45582</v>
      </c>
      <c r="N134" s="29">
        <f t="shared" si="3"/>
        <v>4</v>
      </c>
      <c r="O134" s="29"/>
      <c r="P134" t="s">
        <v>88</v>
      </c>
      <c r="Q134" t="s">
        <v>88</v>
      </c>
      <c r="R134" t="s">
        <v>88</v>
      </c>
      <c r="S134" t="s">
        <v>88</v>
      </c>
      <c r="T134" t="s">
        <v>88</v>
      </c>
      <c r="U134" t="s">
        <v>20</v>
      </c>
    </row>
    <row r="135" spans="1:21" ht="15.75" customHeight="1" x14ac:dyDescent="0.45">
      <c r="A135" s="79">
        <v>79513067</v>
      </c>
      <c r="B135" s="29" t="str">
        <f t="shared" si="2"/>
        <v>7.951.306-7</v>
      </c>
      <c r="C135" s="22" t="str">
        <f>IF(IFERROR(VLOOKUP(A135,$A$10:$I134,1,0),0)=0,"",VLOOKUP(A135,$A$10:$I134,3,0))</f>
        <v>UCI</v>
      </c>
      <c r="D135" s="29" t="str">
        <f>IF(IFERROR(VLOOKUP(A135,$A$10:$I134,1,0),0)=0,"",VLOOKUP(A135,$A$10:$I134,4,0))</f>
        <v>HECTOR</v>
      </c>
      <c r="E135" s="29" t="str">
        <f>IF(IFERROR(VLOOKUP(A135,$A$10:$I134,1,0),0)=0,"",VLOOKUP(A135,$A$10:$I134,5,0))</f>
        <v>BURBOA</v>
      </c>
      <c r="F135" s="29" t="str">
        <f>IF(IFERROR(VLOOKUP(A135,$A$10:$I134,1,0),0)=0,"",VLOOKUP(A135,$A$10:$I134,6,0))</f>
        <v>FUENTEALBA</v>
      </c>
      <c r="G135" s="49">
        <f>IF(IFERROR(VLOOKUP(A135,$A$10:$I134,1,0),0)=0,"",VLOOKUP(A135,$A$10:$I134,7,0))</f>
        <v>45578</v>
      </c>
      <c r="H135" s="49">
        <v>45582</v>
      </c>
      <c r="I135" s="29"/>
      <c r="J135" s="29"/>
      <c r="K135" s="24" t="s">
        <v>47</v>
      </c>
      <c r="L135" s="49">
        <v>45578</v>
      </c>
      <c r="M135" s="49">
        <v>45582</v>
      </c>
      <c r="N135" s="29">
        <f t="shared" si="3"/>
        <v>4</v>
      </c>
      <c r="O135" s="29"/>
      <c r="P135" t="s">
        <v>88</v>
      </c>
      <c r="Q135" t="s">
        <v>88</v>
      </c>
      <c r="R135" t="s">
        <v>88</v>
      </c>
      <c r="S135" t="s">
        <v>88</v>
      </c>
      <c r="T135" t="s">
        <v>88</v>
      </c>
      <c r="U135" t="s">
        <v>20</v>
      </c>
    </row>
    <row r="136" spans="1:21" ht="15.75" customHeight="1" x14ac:dyDescent="0.45">
      <c r="A136" s="79" t="s">
        <v>1445</v>
      </c>
      <c r="B136" s="29" t="str">
        <f t="shared" ref="B136:B199" si="4">IF(LEN(A136)=8,MID(A136,1,1)&amp;"."&amp;MID(A136,2,3)&amp;"."&amp;MID(A136,5,3)&amp;"-"&amp;RIGHT(A136,1),IF(LEFT(RIGHT(A136,2),1)="-",MID(A136,1,1)&amp;"."&amp;MID(A136,2,3)&amp;"."&amp;MID(A136,5,3)&amp;"-"&amp;RIGHT(A136,1),MID(A136,1,2)&amp;"."&amp;MID(A136,3,3)&amp;"."&amp;MID(A136,6,3)&amp;"-"&amp;MID(A136,9,1)))</f>
        <v>15.615.461-k</v>
      </c>
      <c r="C136" s="22" t="str">
        <f>IF(IFERROR(VLOOKUP(A136,$A$10:$I135,1,0),0)=0,"",VLOOKUP(A136,$A$10:$I135,3,0))</f>
        <v>UCI</v>
      </c>
      <c r="D136" s="29" t="str">
        <f>IF(IFERROR(VLOOKUP(A136,$A$10:$I135,1,0),0)=0,"",VLOOKUP(A136,$A$10:$I135,4,0))</f>
        <v>MARIA</v>
      </c>
      <c r="E136" s="29" t="str">
        <f>IF(IFERROR(VLOOKUP(A136,$A$10:$I135,1,0),0)=0,"",VLOOKUP(A136,$A$10:$I135,5,0))</f>
        <v>HERNANDEZ</v>
      </c>
      <c r="F136" s="29" t="str">
        <f>IF(IFERROR(VLOOKUP(A136,$A$10:$I135,1,0),0)=0,"",VLOOKUP(A136,$A$10:$I135,6,0))</f>
        <v>CASTRO</v>
      </c>
      <c r="G136" s="49">
        <f>IF(IFERROR(VLOOKUP(A136,$A$10:$I135,1,0),0)=0,"",VLOOKUP(A136,$A$10:$I135,7,0))</f>
        <v>45569</v>
      </c>
      <c r="H136" s="49">
        <v>45582</v>
      </c>
      <c r="I136" s="29"/>
      <c r="J136" s="29" t="s">
        <v>22</v>
      </c>
      <c r="K136" s="24" t="s">
        <v>18</v>
      </c>
      <c r="L136" s="49">
        <v>45576</v>
      </c>
      <c r="M136" s="49">
        <v>45582</v>
      </c>
      <c r="N136" s="29">
        <f t="shared" ref="N136:N199" si="5">+M136-L136</f>
        <v>6</v>
      </c>
      <c r="O136" s="29"/>
      <c r="P136" t="s">
        <v>88</v>
      </c>
      <c r="Q136" t="s">
        <v>88</v>
      </c>
      <c r="R136" t="s">
        <v>88</v>
      </c>
      <c r="S136" t="s">
        <v>88</v>
      </c>
      <c r="T136" t="s">
        <v>88</v>
      </c>
      <c r="U136" t="s">
        <v>20</v>
      </c>
    </row>
    <row r="137" spans="1:21" ht="15.75" customHeight="1" x14ac:dyDescent="0.45">
      <c r="A137" s="79">
        <v>46317696</v>
      </c>
      <c r="B137" s="29" t="str">
        <f t="shared" si="4"/>
        <v>4.631.769-6</v>
      </c>
      <c r="C137" s="22" t="s">
        <v>22</v>
      </c>
      <c r="D137" s="29" t="s">
        <v>1009</v>
      </c>
      <c r="E137" s="29" t="s">
        <v>435</v>
      </c>
      <c r="F137" s="29" t="s">
        <v>312</v>
      </c>
      <c r="G137" s="49">
        <v>45579</v>
      </c>
      <c r="H137" s="49">
        <v>45585</v>
      </c>
      <c r="I137" s="29"/>
      <c r="J137" s="29" t="s">
        <v>19</v>
      </c>
      <c r="K137" s="24" t="s">
        <v>43</v>
      </c>
      <c r="L137" s="49">
        <v>45579</v>
      </c>
      <c r="M137" s="49">
        <v>45585</v>
      </c>
      <c r="N137" s="29">
        <f t="shared" si="5"/>
        <v>6</v>
      </c>
      <c r="O137" s="29"/>
      <c r="P137" t="s">
        <v>88</v>
      </c>
      <c r="Q137" t="s">
        <v>88</v>
      </c>
      <c r="R137" t="s">
        <v>88</v>
      </c>
      <c r="S137" t="s">
        <v>88</v>
      </c>
      <c r="T137" t="s">
        <v>88</v>
      </c>
      <c r="U137" t="s">
        <v>20</v>
      </c>
    </row>
    <row r="138" spans="1:21" ht="15.75" customHeight="1" x14ac:dyDescent="0.45">
      <c r="A138" s="79">
        <v>46317696</v>
      </c>
      <c r="B138" s="29" t="str">
        <f t="shared" si="4"/>
        <v>4.631.769-6</v>
      </c>
      <c r="C138" s="22" t="str">
        <f>IF(IFERROR(VLOOKUP(A138,$A$10:$I137,1,0),0)=0,"",VLOOKUP(A138,$A$10:$I137,3,0))</f>
        <v>UCI</v>
      </c>
      <c r="D138" s="29" t="str">
        <f>IF(IFERROR(VLOOKUP(A138,$A$10:$I137,1,0),0)=0,"",VLOOKUP(A138,$A$10:$I137,4,0))</f>
        <v>VIOLETA</v>
      </c>
      <c r="E138" s="29" t="str">
        <f>IF(IFERROR(VLOOKUP(A138,$A$10:$I137,1,0),0)=0,"",VLOOKUP(A138,$A$10:$I137,5,0))</f>
        <v>VALLEJOS</v>
      </c>
      <c r="F138" s="29" t="str">
        <f>IF(IFERROR(VLOOKUP(A138,$A$10:$I137,1,0),0)=0,"",VLOOKUP(A138,$A$10:$I137,6,0))</f>
        <v>BUSTOS</v>
      </c>
      <c r="G138" s="49">
        <f>IF(IFERROR(VLOOKUP(A138,$A$10:$I137,1,0),0)=0,"",VLOOKUP(A138,$A$10:$I137,7,0))</f>
        <v>45579</v>
      </c>
      <c r="H138" s="49">
        <v>45585</v>
      </c>
      <c r="I138" s="29"/>
      <c r="J138" s="29" t="s">
        <v>19</v>
      </c>
      <c r="K138" s="24" t="s">
        <v>47</v>
      </c>
      <c r="L138" s="49">
        <v>45579</v>
      </c>
      <c r="M138" s="49">
        <v>45585</v>
      </c>
      <c r="N138" s="29">
        <f t="shared" si="5"/>
        <v>6</v>
      </c>
      <c r="O138" s="29"/>
      <c r="P138" t="s">
        <v>88</v>
      </c>
      <c r="Q138" t="s">
        <v>88</v>
      </c>
      <c r="R138" t="s">
        <v>88</v>
      </c>
      <c r="S138" t="s">
        <v>88</v>
      </c>
      <c r="T138" t="s">
        <v>88</v>
      </c>
      <c r="U138" t="s">
        <v>20</v>
      </c>
    </row>
    <row r="139" spans="1:21" ht="15.75" customHeight="1" x14ac:dyDescent="0.45">
      <c r="A139" s="79">
        <v>46317696</v>
      </c>
      <c r="B139" s="29" t="str">
        <f t="shared" si="4"/>
        <v>4.631.769-6</v>
      </c>
      <c r="C139" s="22" t="str">
        <f>IF(IFERROR(VLOOKUP(A139,$A$10:$I138,1,0),0)=0,"",VLOOKUP(A139,$A$10:$I138,3,0))</f>
        <v>UCI</v>
      </c>
      <c r="D139" s="29" t="str">
        <f>IF(IFERROR(VLOOKUP(A139,$A$10:$I138,1,0),0)=0,"",VLOOKUP(A139,$A$10:$I138,4,0))</f>
        <v>VIOLETA</v>
      </c>
      <c r="E139" s="29" t="str">
        <f>IF(IFERROR(VLOOKUP(A139,$A$10:$I138,1,0),0)=0,"",VLOOKUP(A139,$A$10:$I138,5,0))</f>
        <v>VALLEJOS</v>
      </c>
      <c r="F139" s="29" t="str">
        <f>IF(IFERROR(VLOOKUP(A139,$A$10:$I138,1,0),0)=0,"",VLOOKUP(A139,$A$10:$I138,6,0))</f>
        <v>BUSTOS</v>
      </c>
      <c r="G139" s="49">
        <f>IF(IFERROR(VLOOKUP(A139,$A$10:$I138,1,0),0)=0,"",VLOOKUP(A139,$A$10:$I138,7,0))</f>
        <v>45579</v>
      </c>
      <c r="H139" s="49">
        <v>45585</v>
      </c>
      <c r="I139" s="29"/>
      <c r="J139" s="29" t="s">
        <v>19</v>
      </c>
      <c r="K139" s="24" t="s">
        <v>55</v>
      </c>
      <c r="L139" s="49">
        <v>45579</v>
      </c>
      <c r="M139" s="49">
        <v>45585</v>
      </c>
      <c r="N139" s="29">
        <f t="shared" si="5"/>
        <v>6</v>
      </c>
      <c r="O139" s="29"/>
      <c r="P139" t="s">
        <v>88</v>
      </c>
      <c r="Q139" t="s">
        <v>88</v>
      </c>
      <c r="R139" t="s">
        <v>88</v>
      </c>
      <c r="S139" t="s">
        <v>88</v>
      </c>
      <c r="T139" t="s">
        <v>88</v>
      </c>
      <c r="U139" t="s">
        <v>20</v>
      </c>
    </row>
    <row r="140" spans="1:21" ht="15.75" customHeight="1" x14ac:dyDescent="0.45">
      <c r="A140" s="79">
        <v>127637768</v>
      </c>
      <c r="B140" s="29" t="str">
        <f t="shared" si="4"/>
        <v>12.763.776-8</v>
      </c>
      <c r="C140" s="22" t="s">
        <v>22</v>
      </c>
      <c r="D140" s="29" t="s">
        <v>1497</v>
      </c>
      <c r="E140" s="29" t="s">
        <v>379</v>
      </c>
      <c r="F140" s="29" t="s">
        <v>1271</v>
      </c>
      <c r="G140" s="49">
        <v>45579</v>
      </c>
      <c r="H140" s="49">
        <v>45587</v>
      </c>
      <c r="I140" s="29"/>
      <c r="J140" s="29" t="s">
        <v>26</v>
      </c>
      <c r="K140" s="24" t="s">
        <v>43</v>
      </c>
      <c r="L140" s="49">
        <v>45579</v>
      </c>
      <c r="M140" s="49">
        <v>45585</v>
      </c>
      <c r="N140" s="29">
        <f t="shared" si="5"/>
        <v>6</v>
      </c>
      <c r="O140" s="29"/>
      <c r="P140" t="s">
        <v>88</v>
      </c>
      <c r="Q140" t="s">
        <v>88</v>
      </c>
      <c r="R140" t="s">
        <v>88</v>
      </c>
      <c r="S140" t="s">
        <v>88</v>
      </c>
      <c r="T140" t="s">
        <v>88</v>
      </c>
      <c r="U140" t="s">
        <v>20</v>
      </c>
    </row>
    <row r="141" spans="1:21" ht="15.75" customHeight="1" x14ac:dyDescent="0.45">
      <c r="A141" s="79">
        <v>127637768</v>
      </c>
      <c r="B141" s="29" t="str">
        <f t="shared" si="4"/>
        <v>12.763.776-8</v>
      </c>
      <c r="C141" s="22" t="str">
        <f>IF(IFERROR(VLOOKUP(A141,$A$10:$I140,1,0),0)=0,"",VLOOKUP(A141,$A$10:$I140,3,0))</f>
        <v>UCI</v>
      </c>
      <c r="D141" s="29" t="str">
        <f>IF(IFERROR(VLOOKUP(A141,$A$10:$I140,1,0),0)=0,"",VLOOKUP(A141,$A$10:$I140,4,0))</f>
        <v>YOHANNINA</v>
      </c>
      <c r="E141" s="29" t="str">
        <f>IF(IFERROR(VLOOKUP(A141,$A$10:$I140,1,0),0)=0,"",VLOOKUP(A141,$A$10:$I140,5,0))</f>
        <v>MENDOZA</v>
      </c>
      <c r="F141" s="29" t="str">
        <f>IF(IFERROR(VLOOKUP(A141,$A$10:$I140,1,0),0)=0,"",VLOOKUP(A141,$A$10:$I140,6,0))</f>
        <v>BARRIENTOS</v>
      </c>
      <c r="G141" s="49">
        <f>IF(IFERROR(VLOOKUP(A141,$A$10:$I140,1,0),0)=0,"",VLOOKUP(A141,$A$10:$I140,7,0))</f>
        <v>45579</v>
      </c>
      <c r="H141" s="49">
        <v>45587</v>
      </c>
      <c r="I141" s="29"/>
      <c r="J141" s="29" t="s">
        <v>26</v>
      </c>
      <c r="K141" s="24" t="s">
        <v>47</v>
      </c>
      <c r="L141" s="49">
        <v>45579</v>
      </c>
      <c r="M141" s="49">
        <v>45585</v>
      </c>
      <c r="N141" s="29">
        <f t="shared" si="5"/>
        <v>6</v>
      </c>
      <c r="O141" s="29"/>
      <c r="P141" t="s">
        <v>88</v>
      </c>
      <c r="Q141" t="s">
        <v>88</v>
      </c>
      <c r="R141" t="s">
        <v>88</v>
      </c>
      <c r="S141" t="s">
        <v>88</v>
      </c>
      <c r="T141" t="s">
        <v>88</v>
      </c>
      <c r="U141" t="s">
        <v>20</v>
      </c>
    </row>
    <row r="142" spans="1:21" ht="15.75" customHeight="1" x14ac:dyDescent="0.45">
      <c r="A142" s="79">
        <v>127637768</v>
      </c>
      <c r="B142" s="29" t="str">
        <f t="shared" si="4"/>
        <v>12.763.776-8</v>
      </c>
      <c r="C142" s="22" t="str">
        <f>IF(IFERROR(VLOOKUP(A142,$A$10:$I141,1,0),0)=0,"",VLOOKUP(A142,$A$10:$I141,3,0))</f>
        <v>UCI</v>
      </c>
      <c r="D142" s="29" t="str">
        <f>IF(IFERROR(VLOOKUP(A142,$A$10:$I141,1,0),0)=0,"",VLOOKUP(A142,$A$10:$I141,4,0))</f>
        <v>YOHANNINA</v>
      </c>
      <c r="E142" s="29" t="str">
        <f>IF(IFERROR(VLOOKUP(A142,$A$10:$I141,1,0),0)=0,"",VLOOKUP(A142,$A$10:$I141,5,0))</f>
        <v>MENDOZA</v>
      </c>
      <c r="F142" s="29" t="str">
        <f>IF(IFERROR(VLOOKUP(A142,$A$10:$I141,1,0),0)=0,"",VLOOKUP(A142,$A$10:$I141,6,0))</f>
        <v>BARRIENTOS</v>
      </c>
      <c r="G142" s="49">
        <f>IF(IFERROR(VLOOKUP(A142,$A$10:$I141,1,0),0)=0,"",VLOOKUP(A142,$A$10:$I141,7,0))</f>
        <v>45579</v>
      </c>
      <c r="H142" s="49">
        <v>45587</v>
      </c>
      <c r="I142" s="29"/>
      <c r="J142" s="29" t="s">
        <v>26</v>
      </c>
      <c r="K142" s="24" t="s">
        <v>55</v>
      </c>
      <c r="L142" s="49">
        <v>45579</v>
      </c>
      <c r="M142" s="49">
        <v>45584</v>
      </c>
      <c r="N142" s="29">
        <f t="shared" si="5"/>
        <v>5</v>
      </c>
      <c r="O142" s="29"/>
      <c r="P142" t="s">
        <v>88</v>
      </c>
      <c r="Q142" t="s">
        <v>88</v>
      </c>
      <c r="R142" t="s">
        <v>88</v>
      </c>
      <c r="S142" t="s">
        <v>88</v>
      </c>
      <c r="T142" t="s">
        <v>88</v>
      </c>
      <c r="U142" t="s">
        <v>20</v>
      </c>
    </row>
    <row r="143" spans="1:21" ht="15.75" customHeight="1" x14ac:dyDescent="0.45">
      <c r="A143" s="79">
        <v>163286947</v>
      </c>
      <c r="B143" s="29" t="str">
        <f t="shared" si="4"/>
        <v>16.328.694-7</v>
      </c>
      <c r="C143" s="22" t="s">
        <v>22</v>
      </c>
      <c r="D143" s="29" t="str">
        <f>IF(IFERROR(VLOOKUP(A143,$A$10:$I142,1,0),0)=0,"",VLOOKUP(A143,$A$10:$I142,4,0))</f>
        <v>CRISTIAN</v>
      </c>
      <c r="E143" s="29" t="str">
        <f>IF(IFERROR(VLOOKUP(A143,$A$10:$I142,1,0),0)=0,"",VLOOKUP(A143,$A$10:$I142,5,0))</f>
        <v>BARRAZA</v>
      </c>
      <c r="F143" s="29" t="str">
        <f>IF(IFERROR(VLOOKUP(A143,$A$10:$I142,1,0),0)=0,"",VLOOKUP(A143,$A$10:$I142,6,0))</f>
        <v>PEREZ</v>
      </c>
      <c r="G143" s="49">
        <v>45577</v>
      </c>
      <c r="H143" s="49">
        <v>45590</v>
      </c>
      <c r="I143" s="29"/>
      <c r="J143" s="29" t="s">
        <v>26</v>
      </c>
      <c r="K143" s="24" t="s">
        <v>43</v>
      </c>
      <c r="L143" s="49">
        <v>45570</v>
      </c>
      <c r="M143" s="49">
        <v>45577</v>
      </c>
      <c r="N143" s="29">
        <f t="shared" si="5"/>
        <v>7</v>
      </c>
      <c r="O143" s="29"/>
      <c r="P143" t="s">
        <v>88</v>
      </c>
      <c r="Q143" t="s">
        <v>88</v>
      </c>
      <c r="R143" t="s">
        <v>88</v>
      </c>
      <c r="S143" t="s">
        <v>88</v>
      </c>
      <c r="T143" t="s">
        <v>88</v>
      </c>
      <c r="U143" t="s">
        <v>20</v>
      </c>
    </row>
    <row r="144" spans="1:21" ht="15.75" customHeight="1" x14ac:dyDescent="0.45">
      <c r="A144" s="79">
        <v>163286947</v>
      </c>
      <c r="B144" s="29" t="str">
        <f t="shared" si="4"/>
        <v>16.328.694-7</v>
      </c>
      <c r="C144" s="22" t="s">
        <v>22</v>
      </c>
      <c r="D144" s="29" t="str">
        <f>IF(IFERROR(VLOOKUP(A144,$A$10:$I143,1,0),0)=0,"",VLOOKUP(A144,$A$10:$I143,4,0))</f>
        <v>CRISTIAN</v>
      </c>
      <c r="E144" s="29" t="str">
        <f>IF(IFERROR(VLOOKUP(A144,$A$10:$I143,1,0),0)=0,"",VLOOKUP(A144,$A$10:$I143,5,0))</f>
        <v>BARRAZA</v>
      </c>
      <c r="F144" s="29" t="str">
        <f>IF(IFERROR(VLOOKUP(A144,$A$10:$I143,1,0),0)=0,"",VLOOKUP(A144,$A$10:$I143,6,0))</f>
        <v>PEREZ</v>
      </c>
      <c r="G144" s="49">
        <v>45577</v>
      </c>
      <c r="H144" s="49">
        <v>45590</v>
      </c>
      <c r="I144" s="29"/>
      <c r="J144" s="29" t="s">
        <v>26</v>
      </c>
      <c r="K144" s="24" t="s">
        <v>47</v>
      </c>
      <c r="L144" s="49">
        <v>45570</v>
      </c>
      <c r="M144" s="49">
        <v>45577</v>
      </c>
      <c r="N144" s="29">
        <f t="shared" si="5"/>
        <v>7</v>
      </c>
      <c r="O144" s="29"/>
      <c r="P144" t="s">
        <v>88</v>
      </c>
      <c r="Q144" t="s">
        <v>88</v>
      </c>
      <c r="R144" t="s">
        <v>88</v>
      </c>
      <c r="S144" t="s">
        <v>88</v>
      </c>
      <c r="T144" t="s">
        <v>88</v>
      </c>
      <c r="U144" t="s">
        <v>20</v>
      </c>
    </row>
    <row r="145" spans="1:21" ht="15.75" customHeight="1" x14ac:dyDescent="0.45">
      <c r="A145" s="79">
        <v>216622065</v>
      </c>
      <c r="B145" s="29" t="str">
        <f t="shared" si="4"/>
        <v>21.662.206-5</v>
      </c>
      <c r="C145" s="22" t="s">
        <v>22</v>
      </c>
      <c r="D145" s="29" t="s">
        <v>1498</v>
      </c>
      <c r="E145" s="29" t="s">
        <v>736</v>
      </c>
      <c r="F145" s="29" t="s">
        <v>640</v>
      </c>
      <c r="G145" s="49">
        <v>45575</v>
      </c>
      <c r="H145" s="49">
        <v>45579</v>
      </c>
      <c r="I145" s="29"/>
      <c r="J145" s="29" t="s">
        <v>66</v>
      </c>
      <c r="K145" s="24" t="s">
        <v>43</v>
      </c>
      <c r="L145" s="49">
        <v>45575</v>
      </c>
      <c r="M145" s="49">
        <v>45579</v>
      </c>
      <c r="N145" s="29">
        <f t="shared" si="5"/>
        <v>4</v>
      </c>
      <c r="O145" s="29"/>
      <c r="P145" t="s">
        <v>88</v>
      </c>
      <c r="Q145" t="s">
        <v>88</v>
      </c>
      <c r="R145" t="s">
        <v>88</v>
      </c>
      <c r="S145" t="s">
        <v>88</v>
      </c>
      <c r="T145" t="s">
        <v>88</v>
      </c>
      <c r="U145" t="s">
        <v>20</v>
      </c>
    </row>
    <row r="146" spans="1:21" ht="15.75" customHeight="1" x14ac:dyDescent="0.45">
      <c r="A146" s="79">
        <v>216622065</v>
      </c>
      <c r="B146" s="29" t="str">
        <f t="shared" si="4"/>
        <v>21.662.206-5</v>
      </c>
      <c r="C146" s="22" t="str">
        <f>IF(IFERROR(VLOOKUP(A146,$A$10:$I145,1,0),0)=0,"",VLOOKUP(A146,$A$10:$I145,3,0))</f>
        <v>UCI</v>
      </c>
      <c r="D146" s="29" t="str">
        <f>IF(IFERROR(VLOOKUP(A146,$A$10:$I145,1,0),0)=0,"",VLOOKUP(A146,$A$10:$I145,4,0))</f>
        <v>VALENTINA</v>
      </c>
      <c r="E146" s="29" t="str">
        <f>IF(IFERROR(VLOOKUP(A146,$A$10:$I145,1,0),0)=0,"",VLOOKUP(A146,$A$10:$I145,5,0))</f>
        <v>BURGOS</v>
      </c>
      <c r="F146" s="29" t="str">
        <f>IF(IFERROR(VLOOKUP(A146,$A$10:$I145,1,0),0)=0,"",VLOOKUP(A146,$A$10:$I145,6,0))</f>
        <v>ORELLANA</v>
      </c>
      <c r="G146" s="49">
        <f>IF(IFERROR(VLOOKUP(A146,$A$10:$I145,1,0),0)=0,"",VLOOKUP(A146,$A$10:$I145,7,0))</f>
        <v>45575</v>
      </c>
      <c r="H146" s="29"/>
      <c r="I146" s="29"/>
      <c r="J146" s="29" t="s">
        <v>66</v>
      </c>
      <c r="K146" s="24" t="s">
        <v>47</v>
      </c>
      <c r="L146" s="49">
        <v>45575</v>
      </c>
      <c r="M146" s="49">
        <v>45579</v>
      </c>
      <c r="N146" s="29">
        <f t="shared" si="5"/>
        <v>4</v>
      </c>
      <c r="O146" s="29"/>
      <c r="P146" t="s">
        <v>88</v>
      </c>
      <c r="Q146" t="s">
        <v>88</v>
      </c>
      <c r="R146" t="s">
        <v>88</v>
      </c>
      <c r="S146" t="s">
        <v>88</v>
      </c>
      <c r="T146" t="s">
        <v>88</v>
      </c>
      <c r="U146" t="s">
        <v>20</v>
      </c>
    </row>
    <row r="147" spans="1:21" ht="15.75" customHeight="1" x14ac:dyDescent="0.45">
      <c r="A147" s="79">
        <v>93242971</v>
      </c>
      <c r="B147" s="29" t="str">
        <f t="shared" si="4"/>
        <v>9.324.297-1</v>
      </c>
      <c r="C147" s="22" t="s">
        <v>22</v>
      </c>
      <c r="D147" s="29" t="s">
        <v>1499</v>
      </c>
      <c r="E147" s="29" t="s">
        <v>680</v>
      </c>
      <c r="F147" s="29" t="s">
        <v>1500</v>
      </c>
      <c r="G147" s="49">
        <v>45575</v>
      </c>
      <c r="H147" s="49">
        <v>45576</v>
      </c>
      <c r="I147" s="29"/>
      <c r="J147" s="29" t="s">
        <v>22</v>
      </c>
      <c r="K147" s="24" t="s">
        <v>43</v>
      </c>
      <c r="L147" s="49">
        <v>45575</v>
      </c>
      <c r="M147" s="49">
        <v>45576</v>
      </c>
      <c r="N147" s="29">
        <f t="shared" si="5"/>
        <v>1</v>
      </c>
      <c r="O147" s="29"/>
      <c r="P147" t="s">
        <v>88</v>
      </c>
      <c r="Q147" t="s">
        <v>88</v>
      </c>
      <c r="R147" t="s">
        <v>88</v>
      </c>
      <c r="S147" t="s">
        <v>88</v>
      </c>
      <c r="T147" t="s">
        <v>88</v>
      </c>
      <c r="U147" t="s">
        <v>20</v>
      </c>
    </row>
    <row r="148" spans="1:21" ht="15.75" customHeight="1" x14ac:dyDescent="0.45">
      <c r="A148" s="79">
        <v>1</v>
      </c>
      <c r="B148" s="29" t="str">
        <f t="shared" si="4"/>
        <v>1..-</v>
      </c>
      <c r="C148" s="22" t="s">
        <v>16</v>
      </c>
      <c r="D148" s="29" t="s">
        <v>1501</v>
      </c>
      <c r="E148" s="29" t="s">
        <v>241</v>
      </c>
      <c r="F148" s="29" t="s">
        <v>747</v>
      </c>
      <c r="G148" s="49">
        <v>45572</v>
      </c>
      <c r="H148" s="29"/>
      <c r="I148" s="29"/>
      <c r="J148" s="29"/>
      <c r="K148" s="24" t="s">
        <v>55</v>
      </c>
      <c r="L148" s="49">
        <v>45572</v>
      </c>
      <c r="M148" s="49">
        <v>45575</v>
      </c>
      <c r="N148" s="29">
        <f t="shared" si="5"/>
        <v>3</v>
      </c>
      <c r="O148" s="29"/>
      <c r="P148" t="s">
        <v>88</v>
      </c>
      <c r="Q148" t="s">
        <v>88</v>
      </c>
      <c r="R148" t="s">
        <v>88</v>
      </c>
      <c r="S148" t="s">
        <v>88</v>
      </c>
      <c r="T148" t="s">
        <v>88</v>
      </c>
      <c r="U148" t="s">
        <v>20</v>
      </c>
    </row>
    <row r="149" spans="1:21" ht="15.75" customHeight="1" x14ac:dyDescent="0.45">
      <c r="A149" s="79">
        <v>285309239</v>
      </c>
      <c r="B149" s="29" t="str">
        <f t="shared" si="4"/>
        <v>28.530.923-9</v>
      </c>
      <c r="C149" s="22" t="s">
        <v>16</v>
      </c>
      <c r="D149" s="29" t="s">
        <v>1405</v>
      </c>
      <c r="E149" s="29" t="s">
        <v>990</v>
      </c>
      <c r="F149" s="29" t="s">
        <v>1225</v>
      </c>
      <c r="G149" s="49">
        <v>45563</v>
      </c>
      <c r="H149" s="49">
        <v>45573</v>
      </c>
      <c r="I149" s="29"/>
      <c r="J149" s="29"/>
      <c r="K149" s="24" t="s">
        <v>18</v>
      </c>
      <c r="L149" s="49">
        <v>45566</v>
      </c>
      <c r="M149" s="49"/>
      <c r="N149" s="29">
        <f t="shared" si="5"/>
        <v>-45566</v>
      </c>
      <c r="O149" s="29"/>
      <c r="P149" t="s">
        <v>88</v>
      </c>
      <c r="Q149" t="s">
        <v>88</v>
      </c>
      <c r="R149" t="s">
        <v>88</v>
      </c>
      <c r="S149" t="s">
        <v>88</v>
      </c>
      <c r="T149" t="s">
        <v>88</v>
      </c>
      <c r="U149" t="s">
        <v>20</v>
      </c>
    </row>
    <row r="150" spans="1:21" ht="15.75" customHeight="1" x14ac:dyDescent="0.45">
      <c r="A150" s="79">
        <v>54975392</v>
      </c>
      <c r="B150" s="29" t="str">
        <f t="shared" si="4"/>
        <v>5.497.539-2</v>
      </c>
      <c r="C150" s="22" t="s">
        <v>46</v>
      </c>
      <c r="D150" s="29" t="s">
        <v>250</v>
      </c>
      <c r="E150" s="29" t="s">
        <v>312</v>
      </c>
      <c r="F150" s="29" t="s">
        <v>248</v>
      </c>
      <c r="G150" s="49">
        <v>45558</v>
      </c>
      <c r="H150" s="49">
        <v>45569</v>
      </c>
      <c r="I150" s="29"/>
      <c r="J150" s="29"/>
      <c r="K150" s="24" t="s">
        <v>43</v>
      </c>
      <c r="L150" s="49">
        <v>45566</v>
      </c>
      <c r="M150" s="49">
        <v>45569</v>
      </c>
      <c r="N150" s="29">
        <f t="shared" si="5"/>
        <v>3</v>
      </c>
      <c r="O150" s="29"/>
      <c r="P150" t="s">
        <v>88</v>
      </c>
      <c r="Q150" t="s">
        <v>88</v>
      </c>
      <c r="R150" t="s">
        <v>88</v>
      </c>
      <c r="S150" t="s">
        <v>88</v>
      </c>
      <c r="T150" t="s">
        <v>88</v>
      </c>
      <c r="U150" t="s">
        <v>20</v>
      </c>
    </row>
    <row r="151" spans="1:21" ht="15.75" customHeight="1" x14ac:dyDescent="0.45">
      <c r="A151" s="79">
        <v>94486149</v>
      </c>
      <c r="B151" s="29" t="str">
        <f t="shared" si="4"/>
        <v>9.448.614-9</v>
      </c>
      <c r="C151" s="22" t="s">
        <v>46</v>
      </c>
      <c r="D151" s="29" t="s">
        <v>348</v>
      </c>
      <c r="E151" s="29" t="s">
        <v>559</v>
      </c>
      <c r="F151" s="29" t="s">
        <v>303</v>
      </c>
      <c r="G151" s="49">
        <v>45560</v>
      </c>
      <c r="H151" s="49">
        <v>45576</v>
      </c>
      <c r="I151" s="29"/>
      <c r="J151" s="29"/>
      <c r="K151" s="24" t="s">
        <v>43</v>
      </c>
      <c r="L151" s="49">
        <v>45566</v>
      </c>
      <c r="M151" s="49">
        <v>45568</v>
      </c>
      <c r="N151" s="29">
        <f t="shared" si="5"/>
        <v>2</v>
      </c>
      <c r="O151" s="29"/>
      <c r="P151" t="s">
        <v>88</v>
      </c>
      <c r="Q151" t="s">
        <v>88</v>
      </c>
      <c r="R151" t="s">
        <v>88</v>
      </c>
      <c r="S151" t="s">
        <v>88</v>
      </c>
      <c r="T151" t="s">
        <v>88</v>
      </c>
      <c r="U151" t="s">
        <v>20</v>
      </c>
    </row>
    <row r="152" spans="1:21" ht="15.75" customHeight="1" x14ac:dyDescent="0.45">
      <c r="A152" s="79">
        <v>159922936</v>
      </c>
      <c r="B152" s="29" t="str">
        <f t="shared" si="4"/>
        <v>15.992.293-6</v>
      </c>
      <c r="C152" s="22" t="s">
        <v>46</v>
      </c>
      <c r="D152" s="29" t="s">
        <v>1145</v>
      </c>
      <c r="E152" s="29" t="s">
        <v>344</v>
      </c>
      <c r="F152" s="49" t="s">
        <v>344</v>
      </c>
      <c r="G152" s="49">
        <v>45564</v>
      </c>
      <c r="H152" s="49">
        <v>45581</v>
      </c>
      <c r="I152" s="29" t="s">
        <v>69</v>
      </c>
      <c r="J152" s="29" t="s">
        <v>52</v>
      </c>
      <c r="K152" s="24" t="s">
        <v>43</v>
      </c>
      <c r="L152" s="49">
        <v>45566</v>
      </c>
      <c r="M152" s="49">
        <v>45573</v>
      </c>
      <c r="N152" s="29">
        <f t="shared" si="5"/>
        <v>7</v>
      </c>
      <c r="O152" s="29"/>
      <c r="P152" t="s">
        <v>88</v>
      </c>
      <c r="Q152" t="s">
        <v>88</v>
      </c>
      <c r="R152" t="s">
        <v>88</v>
      </c>
      <c r="S152" t="s">
        <v>88</v>
      </c>
      <c r="T152" t="s">
        <v>88</v>
      </c>
      <c r="U152" t="s">
        <v>20</v>
      </c>
    </row>
    <row r="153" spans="1:21" ht="15.75" customHeight="1" x14ac:dyDescent="0.45">
      <c r="A153" s="79">
        <v>75559763</v>
      </c>
      <c r="B153" s="29" t="str">
        <f t="shared" si="4"/>
        <v>7.555.976-3</v>
      </c>
      <c r="C153" s="22" t="s">
        <v>46</v>
      </c>
      <c r="D153" s="29" t="s">
        <v>373</v>
      </c>
      <c r="E153" s="29" t="s">
        <v>270</v>
      </c>
      <c r="F153" s="29" t="s">
        <v>439</v>
      </c>
      <c r="G153" s="49">
        <v>45559</v>
      </c>
      <c r="H153" s="49">
        <v>45581</v>
      </c>
      <c r="I153" s="29"/>
      <c r="J153" s="29"/>
      <c r="K153" s="24" t="s">
        <v>47</v>
      </c>
      <c r="L153" s="49">
        <v>45566</v>
      </c>
      <c r="M153" s="49">
        <v>45581</v>
      </c>
      <c r="N153" s="29">
        <f t="shared" si="5"/>
        <v>15</v>
      </c>
      <c r="O153" s="29"/>
      <c r="P153" t="s">
        <v>88</v>
      </c>
      <c r="Q153" t="s">
        <v>88</v>
      </c>
      <c r="R153" t="s">
        <v>88</v>
      </c>
      <c r="S153" t="s">
        <v>88</v>
      </c>
      <c r="T153" t="s">
        <v>88</v>
      </c>
      <c r="U153" t="s">
        <v>20</v>
      </c>
    </row>
    <row r="154" spans="1:21" ht="15.75" customHeight="1" x14ac:dyDescent="0.45">
      <c r="A154" s="79">
        <v>58577669</v>
      </c>
      <c r="B154" s="29" t="str">
        <f t="shared" si="4"/>
        <v>5.857.766-9</v>
      </c>
      <c r="C154" s="22" t="s">
        <v>46</v>
      </c>
      <c r="D154" s="29" t="s">
        <v>654</v>
      </c>
      <c r="E154" s="29" t="s">
        <v>631</v>
      </c>
      <c r="F154" s="29" t="s">
        <v>856</v>
      </c>
      <c r="G154" s="49">
        <v>45566</v>
      </c>
      <c r="H154" s="49">
        <v>45577</v>
      </c>
      <c r="I154" s="29"/>
      <c r="J154" s="29" t="s">
        <v>19</v>
      </c>
      <c r="K154" s="24" t="s">
        <v>43</v>
      </c>
      <c r="L154" s="49">
        <v>45566</v>
      </c>
      <c r="M154" s="49">
        <v>45577</v>
      </c>
      <c r="N154" s="29">
        <f t="shared" si="5"/>
        <v>11</v>
      </c>
      <c r="O154" s="29"/>
      <c r="P154" t="s">
        <v>88</v>
      </c>
      <c r="Q154" t="s">
        <v>88</v>
      </c>
      <c r="R154" t="s">
        <v>88</v>
      </c>
      <c r="S154" t="s">
        <v>88</v>
      </c>
      <c r="T154" t="s">
        <v>88</v>
      </c>
      <c r="U154" t="s">
        <v>20</v>
      </c>
    </row>
    <row r="155" spans="1:21" ht="15.75" customHeight="1" x14ac:dyDescent="0.45">
      <c r="A155" s="79" t="s">
        <v>1502</v>
      </c>
      <c r="B155" s="29" t="str">
        <f t="shared" si="4"/>
        <v>7.607.653-7</v>
      </c>
      <c r="C155" s="22" t="s">
        <v>22</v>
      </c>
      <c r="D155" s="29" t="s">
        <v>475</v>
      </c>
      <c r="E155" s="29" t="s">
        <v>341</v>
      </c>
      <c r="F155" s="29" t="s">
        <v>261</v>
      </c>
      <c r="G155" s="49">
        <v>45575</v>
      </c>
      <c r="H155" s="49">
        <v>45577</v>
      </c>
      <c r="I155" s="29"/>
      <c r="J155" s="29"/>
      <c r="K155" s="24" t="s">
        <v>43</v>
      </c>
      <c r="L155" s="49">
        <v>45575</v>
      </c>
      <c r="M155" s="49">
        <v>45577</v>
      </c>
      <c r="N155" s="29">
        <f t="shared" si="5"/>
        <v>2</v>
      </c>
      <c r="O155" s="29"/>
      <c r="P155" t="s">
        <v>88</v>
      </c>
      <c r="Q155" t="s">
        <v>88</v>
      </c>
      <c r="R155" t="s">
        <v>88</v>
      </c>
      <c r="S155" t="s">
        <v>88</v>
      </c>
      <c r="T155" t="s">
        <v>88</v>
      </c>
      <c r="U155" t="s">
        <v>20</v>
      </c>
    </row>
    <row r="156" spans="1:21" ht="15.75" customHeight="1" x14ac:dyDescent="0.45">
      <c r="A156" s="79">
        <v>64397036</v>
      </c>
      <c r="B156" s="29" t="str">
        <f t="shared" si="4"/>
        <v>6.439.703-6</v>
      </c>
      <c r="C156" s="22" t="s">
        <v>22</v>
      </c>
      <c r="D156" s="29" t="s">
        <v>506</v>
      </c>
      <c r="E156" s="29" t="s">
        <v>768</v>
      </c>
      <c r="F156" s="29" t="s">
        <v>344</v>
      </c>
      <c r="G156" s="49">
        <v>45576</v>
      </c>
      <c r="H156" s="49">
        <v>45576</v>
      </c>
      <c r="I156" s="29"/>
      <c r="J156" s="29"/>
      <c r="K156" s="24" t="s">
        <v>43</v>
      </c>
      <c r="L156" s="49">
        <v>45576</v>
      </c>
      <c r="M156" s="49">
        <v>45576</v>
      </c>
      <c r="N156" s="29">
        <f t="shared" si="5"/>
        <v>0</v>
      </c>
      <c r="O156" s="29"/>
      <c r="P156" t="s">
        <v>88</v>
      </c>
      <c r="Q156" t="s">
        <v>88</v>
      </c>
      <c r="R156" t="s">
        <v>88</v>
      </c>
      <c r="S156" t="s">
        <v>88</v>
      </c>
      <c r="T156" t="s">
        <v>88</v>
      </c>
      <c r="U156" t="s">
        <v>20</v>
      </c>
    </row>
    <row r="157" spans="1:21" ht="15.75" customHeight="1" x14ac:dyDescent="0.45">
      <c r="A157" s="79">
        <v>72304012</v>
      </c>
      <c r="B157" s="29" t="str">
        <f t="shared" si="4"/>
        <v>7.230.401-2</v>
      </c>
      <c r="C157" s="22" t="s">
        <v>22</v>
      </c>
      <c r="D157" s="29" t="s">
        <v>1503</v>
      </c>
      <c r="E157" s="29" t="s">
        <v>1382</v>
      </c>
      <c r="F157" s="29" t="s">
        <v>1399</v>
      </c>
      <c r="G157" s="49">
        <v>45573</v>
      </c>
      <c r="H157" s="49">
        <v>45576</v>
      </c>
      <c r="I157" s="29"/>
      <c r="J157" s="29" t="s">
        <v>56</v>
      </c>
      <c r="K157" s="24" t="s">
        <v>43</v>
      </c>
      <c r="L157" s="49">
        <v>45573</v>
      </c>
      <c r="M157" s="49">
        <v>45576</v>
      </c>
      <c r="N157" s="29">
        <f t="shared" si="5"/>
        <v>3</v>
      </c>
      <c r="O157" s="29"/>
      <c r="P157" t="s">
        <v>88</v>
      </c>
      <c r="Q157" t="s">
        <v>88</v>
      </c>
      <c r="R157" t="s">
        <v>88</v>
      </c>
      <c r="S157" t="s">
        <v>88</v>
      </c>
      <c r="T157" t="s">
        <v>88</v>
      </c>
      <c r="U157" t="s">
        <v>20</v>
      </c>
    </row>
    <row r="158" spans="1:21" ht="15.75" customHeight="1" x14ac:dyDescent="0.45">
      <c r="A158" s="79">
        <v>50152626</v>
      </c>
      <c r="B158" s="29" t="str">
        <f t="shared" si="4"/>
        <v>5.015.262-6</v>
      </c>
      <c r="C158" s="22" t="s">
        <v>22</v>
      </c>
      <c r="D158" s="29" t="s">
        <v>820</v>
      </c>
      <c r="E158" s="29" t="s">
        <v>318</v>
      </c>
      <c r="F158" s="29" t="s">
        <v>675</v>
      </c>
      <c r="G158" s="49">
        <v>45574</v>
      </c>
      <c r="H158" s="49">
        <v>45581</v>
      </c>
      <c r="I158" s="29"/>
      <c r="J158" s="29"/>
      <c r="K158" s="24" t="s">
        <v>43</v>
      </c>
      <c r="L158" s="49">
        <v>45574</v>
      </c>
      <c r="M158" s="49">
        <v>45581</v>
      </c>
      <c r="N158" s="29">
        <f t="shared" si="5"/>
        <v>7</v>
      </c>
      <c r="O158" s="29"/>
      <c r="P158" t="s">
        <v>88</v>
      </c>
      <c r="Q158" t="s">
        <v>88</v>
      </c>
      <c r="R158" t="s">
        <v>88</v>
      </c>
      <c r="S158" t="s">
        <v>88</v>
      </c>
      <c r="T158" t="s">
        <v>88</v>
      </c>
      <c r="U158" t="s">
        <v>20</v>
      </c>
    </row>
    <row r="159" spans="1:21" ht="15.75" customHeight="1" x14ac:dyDescent="0.45">
      <c r="A159" s="79">
        <v>151776744</v>
      </c>
      <c r="B159" s="29" t="str">
        <f t="shared" si="4"/>
        <v>15.177.674-4</v>
      </c>
      <c r="C159" s="22" t="s">
        <v>22</v>
      </c>
      <c r="D159" s="29" t="s">
        <v>1504</v>
      </c>
      <c r="E159" s="29" t="s">
        <v>556</v>
      </c>
      <c r="F159" s="29" t="s">
        <v>1505</v>
      </c>
      <c r="G159" s="49">
        <v>45579</v>
      </c>
      <c r="H159" s="49">
        <v>45584</v>
      </c>
      <c r="I159" s="29" t="s">
        <v>22</v>
      </c>
      <c r="J159" s="29" t="s">
        <v>13</v>
      </c>
      <c r="K159" s="24" t="s">
        <v>43</v>
      </c>
      <c r="L159" s="49">
        <v>45579</v>
      </c>
      <c r="M159" s="49">
        <v>45584</v>
      </c>
      <c r="N159" s="29">
        <f t="shared" si="5"/>
        <v>5</v>
      </c>
      <c r="O159" s="29"/>
      <c r="P159" t="s">
        <v>88</v>
      </c>
      <c r="Q159" t="s">
        <v>88</v>
      </c>
      <c r="R159" t="s">
        <v>88</v>
      </c>
      <c r="S159" t="s">
        <v>88</v>
      </c>
      <c r="T159" t="s">
        <v>88</v>
      </c>
      <c r="U159" t="s">
        <v>20</v>
      </c>
    </row>
    <row r="160" spans="1:21" ht="15.75" customHeight="1" x14ac:dyDescent="0.45">
      <c r="A160" s="79">
        <v>50670457</v>
      </c>
      <c r="B160" s="29" t="str">
        <f t="shared" si="4"/>
        <v>5.067.045-7</v>
      </c>
      <c r="C160" s="22" t="s">
        <v>22</v>
      </c>
      <c r="D160" s="29" t="s">
        <v>1506</v>
      </c>
      <c r="E160" s="29" t="s">
        <v>1169</v>
      </c>
      <c r="F160" s="29" t="s">
        <v>539</v>
      </c>
      <c r="G160" s="49">
        <v>45576</v>
      </c>
      <c r="H160" s="49">
        <v>45579</v>
      </c>
      <c r="I160" s="29"/>
      <c r="J160" s="29"/>
      <c r="K160" s="24" t="s">
        <v>43</v>
      </c>
      <c r="L160" s="49">
        <v>45576</v>
      </c>
      <c r="M160" s="49">
        <v>45579</v>
      </c>
      <c r="N160" s="29">
        <f t="shared" si="5"/>
        <v>3</v>
      </c>
      <c r="O160" s="29"/>
      <c r="P160" t="s">
        <v>88</v>
      </c>
      <c r="Q160" t="s">
        <v>88</v>
      </c>
      <c r="R160" t="s">
        <v>88</v>
      </c>
      <c r="S160" t="s">
        <v>88</v>
      </c>
      <c r="T160" t="s">
        <v>88</v>
      </c>
      <c r="U160" t="s">
        <v>20</v>
      </c>
    </row>
    <row r="161" spans="1:21" ht="15.75" customHeight="1" x14ac:dyDescent="0.45">
      <c r="A161" s="79">
        <v>92737675</v>
      </c>
      <c r="B161" s="29" t="str">
        <f t="shared" si="4"/>
        <v>9.273.767-5</v>
      </c>
      <c r="C161" s="22" t="s">
        <v>22</v>
      </c>
      <c r="D161" s="29" t="str">
        <f>IF(IFERROR(VLOOKUP(A161,$A$10:$I160,1,0),0)=0,"",VLOOKUP(A161,$A$10:$I160,4,0))</f>
        <v>MARIO</v>
      </c>
      <c r="E161" s="29" t="str">
        <f>IF(IFERROR(VLOOKUP(A161,$A$10:$I160,1,0),0)=0,"",VLOOKUP(A161,$A$10:$I160,5,0))</f>
        <v>CASTILLO</v>
      </c>
      <c r="F161" s="29" t="str">
        <f>IF(IFERROR(VLOOKUP(A161,$A$10:$I160,1,0),0)=0,"",VLOOKUP(A161,$A$10:$I160,6,0))</f>
        <v>SANHUEZA</v>
      </c>
      <c r="G161" s="49">
        <v>45579</v>
      </c>
      <c r="H161" s="49">
        <v>45581</v>
      </c>
      <c r="I161" s="29" t="s">
        <v>22</v>
      </c>
      <c r="J161" s="29" t="s">
        <v>22</v>
      </c>
      <c r="K161" s="24" t="s">
        <v>43</v>
      </c>
      <c r="L161" s="49">
        <v>45579</v>
      </c>
      <c r="M161" s="49">
        <v>45581</v>
      </c>
      <c r="N161" s="29">
        <f t="shared" si="5"/>
        <v>2</v>
      </c>
      <c r="O161" s="29"/>
      <c r="P161" t="s">
        <v>88</v>
      </c>
      <c r="Q161" t="s">
        <v>88</v>
      </c>
      <c r="R161" t="s">
        <v>88</v>
      </c>
      <c r="S161" t="s">
        <v>88</v>
      </c>
      <c r="T161" t="s">
        <v>88</v>
      </c>
      <c r="U161" t="s">
        <v>20</v>
      </c>
    </row>
    <row r="162" spans="1:21" ht="15.75" customHeight="1" x14ac:dyDescent="0.45">
      <c r="A162" s="79">
        <v>89714796</v>
      </c>
      <c r="B162" s="29" t="str">
        <f t="shared" si="4"/>
        <v>8.971.479-6</v>
      </c>
      <c r="C162" s="22" t="s">
        <v>22</v>
      </c>
      <c r="D162" s="29" t="str">
        <f>IF(IFERROR(VLOOKUP(A162,$A$10:$I161,1,0),0)=0,"",VLOOKUP(A162,$A$10:$I161,4,0))</f>
        <v>NICANOR</v>
      </c>
      <c r="E162" s="29" t="str">
        <f>IF(IFERROR(VLOOKUP(A162,$A$10:$I161,1,0),0)=0,"",VLOOKUP(A162,$A$10:$I161,5,0))</f>
        <v>AMIGO</v>
      </c>
      <c r="F162" s="29" t="str">
        <f>IF(IFERROR(VLOOKUP(A162,$A$10:$I161,1,0),0)=0,"",VLOOKUP(A162,$A$10:$I161,6,0))</f>
        <v>SANHUEZA</v>
      </c>
      <c r="G162" s="49">
        <v>45580</v>
      </c>
      <c r="H162" s="49">
        <v>45595</v>
      </c>
      <c r="I162" s="29" t="s">
        <v>22</v>
      </c>
      <c r="J162" s="29" t="s">
        <v>26</v>
      </c>
      <c r="K162" s="24" t="s">
        <v>18</v>
      </c>
      <c r="L162" s="49">
        <v>45580</v>
      </c>
      <c r="M162" s="49">
        <v>45595</v>
      </c>
      <c r="N162" s="29">
        <f t="shared" si="5"/>
        <v>15</v>
      </c>
      <c r="O162" s="29"/>
      <c r="P162" t="s">
        <v>88</v>
      </c>
      <c r="Q162" t="s">
        <v>88</v>
      </c>
      <c r="R162" t="s">
        <v>88</v>
      </c>
      <c r="S162" t="s">
        <v>88</v>
      </c>
      <c r="T162" t="s">
        <v>88</v>
      </c>
      <c r="U162" t="s">
        <v>20</v>
      </c>
    </row>
    <row r="163" spans="1:21" ht="15.75" customHeight="1" x14ac:dyDescent="0.45">
      <c r="A163" s="79">
        <v>89714796</v>
      </c>
      <c r="B163" s="29" t="str">
        <f t="shared" si="4"/>
        <v>8.971.479-6</v>
      </c>
      <c r="C163" s="22" t="s">
        <v>22</v>
      </c>
      <c r="D163" s="29" t="str">
        <f>IF(IFERROR(VLOOKUP(A163,$A$10:$I162,1,0),0)=0,"",VLOOKUP(A163,$A$10:$I162,4,0))</f>
        <v>NICANOR</v>
      </c>
      <c r="E163" s="29" t="str">
        <f>IF(IFERROR(VLOOKUP(A163,$A$10:$I162,1,0),0)=0,"",VLOOKUP(A163,$A$10:$I162,5,0))</f>
        <v>AMIGO</v>
      </c>
      <c r="F163" s="29" t="str">
        <f>IF(IFERROR(VLOOKUP(A163,$A$10:$I162,1,0),0)=0,"",VLOOKUP(A163,$A$10:$I162,6,0))</f>
        <v>SANHUEZA</v>
      </c>
      <c r="G163" s="49">
        <v>45580</v>
      </c>
      <c r="H163" s="49">
        <v>45595</v>
      </c>
      <c r="I163" s="29" t="s">
        <v>22</v>
      </c>
      <c r="J163" s="29" t="s">
        <v>26</v>
      </c>
      <c r="K163" s="24" t="s">
        <v>47</v>
      </c>
      <c r="L163" s="49">
        <v>45580</v>
      </c>
      <c r="M163" s="49">
        <v>45595</v>
      </c>
      <c r="N163" s="29">
        <f t="shared" si="5"/>
        <v>15</v>
      </c>
      <c r="O163" s="29"/>
      <c r="P163" t="s">
        <v>88</v>
      </c>
      <c r="Q163" t="s">
        <v>88</v>
      </c>
      <c r="R163" t="s">
        <v>88</v>
      </c>
      <c r="S163" t="s">
        <v>88</v>
      </c>
      <c r="T163" t="s">
        <v>88</v>
      </c>
      <c r="U163" t="s">
        <v>20</v>
      </c>
    </row>
    <row r="164" spans="1:21" ht="15.75" customHeight="1" x14ac:dyDescent="0.45">
      <c r="A164" s="79">
        <v>201970202</v>
      </c>
      <c r="B164" s="29" t="str">
        <f t="shared" si="4"/>
        <v>20.197.020-2</v>
      </c>
      <c r="C164" s="22" t="s">
        <v>22</v>
      </c>
      <c r="D164" s="29" t="s">
        <v>1057</v>
      </c>
      <c r="E164" s="29" t="s">
        <v>559</v>
      </c>
      <c r="F164" s="29" t="s">
        <v>1235</v>
      </c>
      <c r="G164" s="49">
        <v>45579</v>
      </c>
      <c r="H164" s="29"/>
      <c r="I164" s="29" t="s">
        <v>22</v>
      </c>
      <c r="J164" s="29"/>
      <c r="K164" s="24" t="s">
        <v>43</v>
      </c>
      <c r="L164" s="49">
        <v>45579</v>
      </c>
      <c r="M164" s="49">
        <v>45592</v>
      </c>
      <c r="N164" s="29">
        <f t="shared" si="5"/>
        <v>13</v>
      </c>
      <c r="O164" s="29" t="s">
        <v>14</v>
      </c>
      <c r="P164" t="s">
        <v>88</v>
      </c>
      <c r="Q164" t="s">
        <v>88</v>
      </c>
      <c r="R164" t="s">
        <v>88</v>
      </c>
      <c r="S164" t="s">
        <v>88</v>
      </c>
      <c r="T164" t="s">
        <v>88</v>
      </c>
      <c r="U164" t="s">
        <v>20</v>
      </c>
    </row>
    <row r="165" spans="1:21" ht="15.75" customHeight="1" x14ac:dyDescent="0.45">
      <c r="A165" s="79">
        <v>201970202</v>
      </c>
      <c r="B165" s="29" t="str">
        <f t="shared" si="4"/>
        <v>20.197.020-2</v>
      </c>
      <c r="C165" s="22" t="str">
        <f>IF(IFERROR(VLOOKUP(A165,$A$10:$I164,1,0),0)=0,"",VLOOKUP(A165,$A$10:$I164,3,0))</f>
        <v>UCI</v>
      </c>
      <c r="D165" s="29" t="str">
        <f>IF(IFERROR(VLOOKUP(A165,$A$10:$I164,1,0),0)=0,"",VLOOKUP(A165,$A$10:$I164,4,0))</f>
        <v>DIEGO</v>
      </c>
      <c r="E165" s="29" t="str">
        <f>IF(IFERROR(VLOOKUP(A165,$A$10:$I164,1,0),0)=0,"",VLOOKUP(A165,$A$10:$I164,5,0))</f>
        <v>SEPULVEDA</v>
      </c>
      <c r="F165" s="29" t="str">
        <f>IF(IFERROR(VLOOKUP(A165,$A$10:$I164,1,0),0)=0,"",VLOOKUP(A165,$A$10:$I164,6,0))</f>
        <v>GAETE</v>
      </c>
      <c r="G165" s="49">
        <f>IF(IFERROR(VLOOKUP(A165,$A$10:$I164,1,0),0)=0,"",VLOOKUP(A165,$A$10:$I164,7,0))</f>
        <v>45579</v>
      </c>
      <c r="H165" s="29"/>
      <c r="I165" s="49"/>
      <c r="J165" s="29"/>
      <c r="K165" s="24" t="s">
        <v>47</v>
      </c>
      <c r="L165" s="49">
        <v>45580</v>
      </c>
      <c r="M165" s="49">
        <v>45596</v>
      </c>
      <c r="N165" s="29">
        <f t="shared" si="5"/>
        <v>16</v>
      </c>
      <c r="O165" s="29"/>
      <c r="P165" t="s">
        <v>88</v>
      </c>
      <c r="Q165" t="s">
        <v>88</v>
      </c>
      <c r="R165" t="s">
        <v>88</v>
      </c>
      <c r="S165" t="s">
        <v>88</v>
      </c>
      <c r="T165" t="s">
        <v>88</v>
      </c>
      <c r="U165" t="s">
        <v>20</v>
      </c>
    </row>
    <row r="166" spans="1:21" ht="15.75" customHeight="1" x14ac:dyDescent="0.45">
      <c r="A166" s="79" t="s">
        <v>1507</v>
      </c>
      <c r="B166" s="29" t="str">
        <f t="shared" si="4"/>
        <v>11.155.157-K</v>
      </c>
      <c r="C166" s="22" t="s">
        <v>46</v>
      </c>
      <c r="D166" s="29" t="str">
        <f>IF(IFERROR(VLOOKUP(A166,$A$10:$I165,1,0),0)=0,"",VLOOKUP(A166,$A$10:$I165,4,0))</f>
        <v>LUIS</v>
      </c>
      <c r="E166" s="29" t="str">
        <f>IF(IFERROR(VLOOKUP(A166,$A$10:$I165,1,0),0)=0,"",VLOOKUP(A166,$A$10:$I165,5,0))</f>
        <v>ARANEDA</v>
      </c>
      <c r="F166" s="29" t="str">
        <f>IF(IFERROR(VLOOKUP(A166,$A$10:$I165,1,0),0)=0,"",VLOOKUP(A166,$A$10:$I165,6,0))</f>
        <v>LOPEZ</v>
      </c>
      <c r="G166" s="49">
        <v>45577</v>
      </c>
      <c r="H166" s="49">
        <v>45581</v>
      </c>
      <c r="I166" s="29" t="s">
        <v>78</v>
      </c>
      <c r="J166" s="29" t="s">
        <v>13</v>
      </c>
      <c r="K166" s="24" t="s">
        <v>43</v>
      </c>
      <c r="L166" s="49">
        <v>45577</v>
      </c>
      <c r="M166" s="49">
        <v>45581</v>
      </c>
      <c r="N166" s="29">
        <f t="shared" si="5"/>
        <v>4</v>
      </c>
      <c r="O166" s="29"/>
      <c r="P166" t="s">
        <v>88</v>
      </c>
      <c r="Q166" t="s">
        <v>88</v>
      </c>
      <c r="R166" t="s">
        <v>88</v>
      </c>
      <c r="S166" t="s">
        <v>88</v>
      </c>
      <c r="T166" t="s">
        <v>88</v>
      </c>
      <c r="U166" t="s">
        <v>20</v>
      </c>
    </row>
    <row r="167" spans="1:21" ht="15.75" customHeight="1" x14ac:dyDescent="0.45">
      <c r="A167" s="79">
        <v>53015786</v>
      </c>
      <c r="B167" s="29" t="str">
        <f t="shared" si="4"/>
        <v>5.301.578-6</v>
      </c>
      <c r="C167" s="22" t="s">
        <v>46</v>
      </c>
      <c r="D167" s="29" t="s">
        <v>1017</v>
      </c>
      <c r="E167" s="29" t="s">
        <v>1508</v>
      </c>
      <c r="F167" s="29" t="s">
        <v>285</v>
      </c>
      <c r="G167" s="49">
        <v>45577</v>
      </c>
      <c r="H167" s="49">
        <v>45583</v>
      </c>
      <c r="I167" s="29"/>
      <c r="J167" s="29"/>
      <c r="K167" s="24" t="s">
        <v>47</v>
      </c>
      <c r="L167" s="49"/>
      <c r="M167" s="49"/>
      <c r="N167" s="29">
        <f t="shared" si="5"/>
        <v>0</v>
      </c>
      <c r="O167" s="29"/>
      <c r="P167" t="s">
        <v>88</v>
      </c>
      <c r="Q167" t="s">
        <v>88</v>
      </c>
      <c r="R167" t="s">
        <v>88</v>
      </c>
      <c r="S167" t="s">
        <v>88</v>
      </c>
      <c r="T167" t="s">
        <v>88</v>
      </c>
      <c r="U167" t="s">
        <v>20</v>
      </c>
    </row>
    <row r="168" spans="1:21" ht="15.75" customHeight="1" x14ac:dyDescent="0.45">
      <c r="A168" s="79">
        <v>65685809</v>
      </c>
      <c r="B168" s="29" t="str">
        <f t="shared" si="4"/>
        <v>6.568.580-9</v>
      </c>
      <c r="C168" s="22" t="s">
        <v>46</v>
      </c>
      <c r="D168" s="29" t="s">
        <v>1509</v>
      </c>
      <c r="E168" s="29" t="s">
        <v>1241</v>
      </c>
      <c r="F168" s="29" t="s">
        <v>266</v>
      </c>
      <c r="G168" s="49">
        <v>45564</v>
      </c>
      <c r="H168" s="49">
        <v>45580</v>
      </c>
      <c r="I168" s="29"/>
      <c r="J168" s="29"/>
      <c r="K168" s="24" t="s">
        <v>47</v>
      </c>
      <c r="L168" s="49">
        <v>45574</v>
      </c>
      <c r="M168" s="49">
        <v>45580</v>
      </c>
      <c r="N168" s="29">
        <f t="shared" si="5"/>
        <v>6</v>
      </c>
      <c r="O168" s="29"/>
      <c r="P168" t="s">
        <v>88</v>
      </c>
      <c r="Q168" t="s">
        <v>88</v>
      </c>
      <c r="R168" t="s">
        <v>88</v>
      </c>
      <c r="S168" t="s">
        <v>88</v>
      </c>
      <c r="T168" t="s">
        <v>88</v>
      </c>
      <c r="U168" t="s">
        <v>20</v>
      </c>
    </row>
    <row r="169" spans="1:21" ht="15.75" customHeight="1" x14ac:dyDescent="0.45">
      <c r="A169" s="79">
        <v>50613704</v>
      </c>
      <c r="B169" s="29" t="str">
        <f t="shared" si="4"/>
        <v>5.061.370-4</v>
      </c>
      <c r="C169" s="22" t="s">
        <v>46</v>
      </c>
      <c r="D169" s="29" t="s">
        <v>601</v>
      </c>
      <c r="E169" s="29" t="s">
        <v>498</v>
      </c>
      <c r="F169" s="29" t="s">
        <v>352</v>
      </c>
      <c r="G169" s="49">
        <v>45575</v>
      </c>
      <c r="H169" s="49">
        <v>45583</v>
      </c>
      <c r="I169" s="29"/>
      <c r="J169" s="29" t="s">
        <v>13</v>
      </c>
      <c r="K169" s="24" t="s">
        <v>43</v>
      </c>
      <c r="L169" s="49">
        <v>45575</v>
      </c>
      <c r="M169" s="49">
        <v>45583</v>
      </c>
      <c r="N169" s="29">
        <f t="shared" si="5"/>
        <v>8</v>
      </c>
      <c r="O169" s="29"/>
      <c r="P169" t="s">
        <v>88</v>
      </c>
      <c r="Q169" t="s">
        <v>88</v>
      </c>
      <c r="R169" t="s">
        <v>88</v>
      </c>
      <c r="S169" t="s">
        <v>88</v>
      </c>
      <c r="T169" t="s">
        <v>88</v>
      </c>
      <c r="U169" t="s">
        <v>20</v>
      </c>
    </row>
    <row r="170" spans="1:21" ht="15.75" customHeight="1" x14ac:dyDescent="0.45">
      <c r="A170" s="79">
        <v>50613704</v>
      </c>
      <c r="B170" s="29" t="str">
        <f t="shared" si="4"/>
        <v>5.061.370-4</v>
      </c>
      <c r="C170" s="22" t="str">
        <f>IF(IFERROR(VLOOKUP(A170,$A$10:$I169,1,0),0)=0,"",VLOOKUP(A170,$A$10:$I169,3,0))</f>
        <v>Pensionado</v>
      </c>
      <c r="D170" s="29" t="str">
        <f>IF(IFERROR(VLOOKUP(A170,$A$10:$I169,1,0),0)=0,"",VLOOKUP(A170,$A$10:$I169,4,0))</f>
        <v>FRANCISCO</v>
      </c>
      <c r="E170" s="29" t="str">
        <f>IF(IFERROR(VLOOKUP(A170,$A$10:$I169,1,0),0)=0,"",VLOOKUP(A170,$A$10:$I169,5,0))</f>
        <v>TOLEDO</v>
      </c>
      <c r="F170" s="29" t="str">
        <f>IF(IFERROR(VLOOKUP(A170,$A$10:$I169,1,0),0)=0,"",VLOOKUP(A170,$A$10:$I169,6,0))</f>
        <v>CONTRERAS</v>
      </c>
      <c r="G170" s="49">
        <f>IF(IFERROR(VLOOKUP(A170,$A$10:$I169,1,0),0)=0,"",VLOOKUP(A170,$A$10:$I169,7,0))</f>
        <v>45575</v>
      </c>
      <c r="H170" s="49">
        <v>45583</v>
      </c>
      <c r="I170" s="29"/>
      <c r="J170" s="29" t="s">
        <v>13</v>
      </c>
      <c r="K170" s="24" t="s">
        <v>47</v>
      </c>
      <c r="L170" s="49">
        <v>45575</v>
      </c>
      <c r="M170" s="49">
        <v>45583</v>
      </c>
      <c r="N170" s="29">
        <f t="shared" si="5"/>
        <v>8</v>
      </c>
      <c r="O170" s="29"/>
      <c r="P170" t="s">
        <v>88</v>
      </c>
      <c r="Q170" t="s">
        <v>88</v>
      </c>
      <c r="R170" t="s">
        <v>88</v>
      </c>
      <c r="S170" t="s">
        <v>88</v>
      </c>
      <c r="T170" t="s">
        <v>88</v>
      </c>
      <c r="U170" t="s">
        <v>20</v>
      </c>
    </row>
    <row r="171" spans="1:21" ht="15.75" customHeight="1" x14ac:dyDescent="0.45">
      <c r="A171" s="79">
        <v>58515604</v>
      </c>
      <c r="B171" s="29" t="str">
        <f t="shared" si="4"/>
        <v>5.851.560-4</v>
      </c>
      <c r="C171" s="22" t="s">
        <v>46</v>
      </c>
      <c r="D171" s="29" t="s">
        <v>1291</v>
      </c>
      <c r="E171" s="29" t="s">
        <v>566</v>
      </c>
      <c r="F171" s="29" t="s">
        <v>366</v>
      </c>
      <c r="G171" s="49">
        <v>45568</v>
      </c>
      <c r="H171" s="49"/>
      <c r="I171" s="29" t="s">
        <v>56</v>
      </c>
      <c r="J171" s="29"/>
      <c r="K171" s="24" t="s">
        <v>43</v>
      </c>
      <c r="L171" s="49">
        <v>45568</v>
      </c>
      <c r="M171" s="49">
        <v>45596</v>
      </c>
      <c r="N171" s="29">
        <f t="shared" si="5"/>
        <v>28</v>
      </c>
      <c r="O171" s="29"/>
      <c r="P171" t="s">
        <v>88</v>
      </c>
      <c r="Q171" t="s">
        <v>88</v>
      </c>
      <c r="R171" t="s">
        <v>88</v>
      </c>
      <c r="S171" t="s">
        <v>88</v>
      </c>
      <c r="T171" t="s">
        <v>88</v>
      </c>
      <c r="U171" t="s">
        <v>20</v>
      </c>
    </row>
    <row r="172" spans="1:21" ht="15.75" customHeight="1" x14ac:dyDescent="0.45">
      <c r="A172" s="79">
        <v>284458796</v>
      </c>
      <c r="B172" s="29" t="str">
        <f t="shared" si="4"/>
        <v>28.445.879-6</v>
      </c>
      <c r="C172" s="22" t="str">
        <f>IF(IFERROR(VLOOKUP(A172,$A$10:$I171,1,0),0)=0,"",VLOOKUP(A172,$A$10:$I171,3,0))</f>
        <v>UCI infanto juvenil</v>
      </c>
      <c r="D172" s="29" t="str">
        <f>IF(IFERROR(VLOOKUP(A172,$A$10:$I171,1,0),0)=0,"",VLOOKUP(A172,$A$10:$I171,4,0))</f>
        <v>NICOLAS</v>
      </c>
      <c r="E172" s="29" t="str">
        <f>IF(IFERROR(VLOOKUP(A172,$A$10:$I171,1,0),0)=0,"",VLOOKUP(A172,$A$10:$I171,5,0))</f>
        <v>MEDINA</v>
      </c>
      <c r="F172" s="29" t="str">
        <f>IF(IFERROR(VLOOKUP(A172,$A$10:$I171,1,0),0)=0,"",VLOOKUP(A172,$A$10:$I171,6,0))</f>
        <v>LEPEZ</v>
      </c>
      <c r="G172" s="49">
        <f>IF(IFERROR(VLOOKUP(A172,$A$10:$I171,1,0),0)=0,"",VLOOKUP(A172,$A$10:$I171,7,0))</f>
        <v>45531</v>
      </c>
      <c r="H172" s="29"/>
      <c r="I172" s="29"/>
      <c r="J172" s="29"/>
      <c r="K172" s="24" t="s">
        <v>18</v>
      </c>
      <c r="L172" s="49">
        <v>45589</v>
      </c>
      <c r="M172" s="49">
        <v>45596</v>
      </c>
      <c r="N172" s="29">
        <f t="shared" si="5"/>
        <v>7</v>
      </c>
      <c r="O172" s="29"/>
      <c r="P172" t="s">
        <v>88</v>
      </c>
      <c r="Q172" t="s">
        <v>88</v>
      </c>
      <c r="R172" t="s">
        <v>88</v>
      </c>
      <c r="S172" t="s">
        <v>88</v>
      </c>
      <c r="T172" t="s">
        <v>88</v>
      </c>
      <c r="U172" t="s">
        <v>20</v>
      </c>
    </row>
    <row r="173" spans="1:21" ht="15.75" customHeight="1" x14ac:dyDescent="0.45">
      <c r="A173" s="79">
        <v>285561434</v>
      </c>
      <c r="B173" s="29" t="str">
        <f t="shared" si="4"/>
        <v>28.556.143-4</v>
      </c>
      <c r="C173" s="22" t="str">
        <f>IF(IFERROR(VLOOKUP(A173,$A$10:$I172,1,0),0)=0,"",VLOOKUP(A173,$A$10:$I172,3,0))</f>
        <v/>
      </c>
      <c r="D173" s="29" t="str">
        <f>IF(IFERROR(VLOOKUP(A173,$A$10:$I172,1,0),0)=0,"",VLOOKUP(A173,$A$10:$I172,4,0))</f>
        <v/>
      </c>
      <c r="E173" s="29" t="str">
        <f>IF(IFERROR(VLOOKUP(A173,$A$10:$I172,1,0),0)=0,"",VLOOKUP(A173,$A$10:$I172,5,0))</f>
        <v/>
      </c>
      <c r="F173" s="29" t="str">
        <f>IF(IFERROR(VLOOKUP(A173,$A$10:$I172,1,0),0)=0,"",VLOOKUP(A173,$A$10:$I172,6,0))</f>
        <v/>
      </c>
      <c r="G173" s="49" t="str">
        <f>IF(IFERROR(VLOOKUP(A173,$A$10:$I172,1,0),0)=0,"",VLOOKUP(A173,$A$10:$I172,7,0))</f>
        <v/>
      </c>
      <c r="H173" s="29"/>
      <c r="I173" s="29"/>
      <c r="J173" s="29"/>
      <c r="K173" s="24" t="s">
        <v>55</v>
      </c>
      <c r="L173" s="49">
        <v>45583</v>
      </c>
      <c r="M173" s="49">
        <v>45593</v>
      </c>
      <c r="N173" s="29">
        <f t="shared" si="5"/>
        <v>10</v>
      </c>
      <c r="O173" s="29"/>
      <c r="P173" t="s">
        <v>88</v>
      </c>
      <c r="Q173" t="s">
        <v>88</v>
      </c>
      <c r="R173" t="s">
        <v>88</v>
      </c>
      <c r="S173" t="s">
        <v>88</v>
      </c>
      <c r="T173" t="s">
        <v>88</v>
      </c>
      <c r="U173" t="s">
        <v>20</v>
      </c>
    </row>
    <row r="174" spans="1:21" ht="15.75" customHeight="1" x14ac:dyDescent="0.45">
      <c r="A174" s="79">
        <v>285561434</v>
      </c>
      <c r="B174" s="29" t="str">
        <f t="shared" si="4"/>
        <v>28.556.143-4</v>
      </c>
      <c r="C174" s="22" t="str">
        <f>IF(IFERROR(VLOOKUP(A174,$A$10:$I173,1,0),0)=0,"",VLOOKUP(A174,$A$10:$I173,3,0))</f>
        <v/>
      </c>
      <c r="D174" s="29" t="str">
        <f>IF(IFERROR(VLOOKUP(A174,$A$10:$I173,1,0),0)=0,"",VLOOKUP(A174,$A$10:$I173,4,0))</f>
        <v/>
      </c>
      <c r="E174" s="29" t="str">
        <f>IF(IFERROR(VLOOKUP(A174,$A$10:$I173,1,0),0)=0,"",VLOOKUP(A174,$A$10:$I173,5,0))</f>
        <v/>
      </c>
      <c r="F174" s="29" t="str">
        <f>IF(IFERROR(VLOOKUP(A174,$A$10:$I173,1,0),0)=0,"",VLOOKUP(A174,$A$10:$I173,6,0))</f>
        <v/>
      </c>
      <c r="G174" s="49" t="str">
        <f>IF(IFERROR(VLOOKUP(A174,$A$10:$I173,1,0),0)=0,"",VLOOKUP(A174,$A$10:$I173,7,0))</f>
        <v/>
      </c>
      <c r="H174" s="29"/>
      <c r="I174" s="29"/>
      <c r="J174" s="29"/>
      <c r="K174" s="24" t="s">
        <v>18</v>
      </c>
      <c r="L174" s="49">
        <v>45580</v>
      </c>
      <c r="M174" s="49">
        <v>45593</v>
      </c>
      <c r="N174" s="29">
        <f t="shared" si="5"/>
        <v>13</v>
      </c>
      <c r="O174" s="29"/>
      <c r="P174" t="s">
        <v>88</v>
      </c>
      <c r="Q174" t="s">
        <v>88</v>
      </c>
      <c r="R174" t="s">
        <v>88</v>
      </c>
      <c r="S174" t="s">
        <v>88</v>
      </c>
      <c r="T174" t="s">
        <v>88</v>
      </c>
      <c r="U174" t="s">
        <v>20</v>
      </c>
    </row>
    <row r="175" spans="1:21" ht="15.75" customHeight="1" x14ac:dyDescent="0.45">
      <c r="A175" s="79">
        <v>285653479</v>
      </c>
      <c r="B175" s="29" t="str">
        <f t="shared" si="4"/>
        <v>28.565.347-9</v>
      </c>
      <c r="C175" s="22" t="s">
        <v>16</v>
      </c>
      <c r="D175" s="29" t="s">
        <v>1240</v>
      </c>
      <c r="E175" s="29" t="s">
        <v>1075</v>
      </c>
      <c r="F175" s="29" t="s">
        <v>788</v>
      </c>
      <c r="G175" s="49">
        <v>45577</v>
      </c>
      <c r="H175" s="29"/>
      <c r="I175" s="29"/>
      <c r="J175" s="29"/>
      <c r="K175" s="24" t="s">
        <v>35</v>
      </c>
      <c r="L175" s="49">
        <v>45577</v>
      </c>
      <c r="M175" s="49"/>
      <c r="N175" s="29">
        <f t="shared" si="5"/>
        <v>-45577</v>
      </c>
      <c r="O175" s="29"/>
      <c r="P175" t="s">
        <v>88</v>
      </c>
      <c r="Q175" t="s">
        <v>88</v>
      </c>
      <c r="R175" t="s">
        <v>88</v>
      </c>
      <c r="S175" t="s">
        <v>88</v>
      </c>
      <c r="T175" t="s">
        <v>88</v>
      </c>
      <c r="U175" t="s">
        <v>20</v>
      </c>
    </row>
    <row r="176" spans="1:21" ht="15.75" customHeight="1" x14ac:dyDescent="0.45">
      <c r="A176" s="79">
        <v>285653479</v>
      </c>
      <c r="B176" s="29" t="str">
        <f t="shared" si="4"/>
        <v>28.565.347-9</v>
      </c>
      <c r="C176" s="22" t="str">
        <f>IF(IFERROR(VLOOKUP(A176,$A$10:$I175,1,0),0)=0,"",VLOOKUP(A176,$A$10:$I175,3,0))</f>
        <v>UCI neonatal</v>
      </c>
      <c r="D176" s="29" t="str">
        <f>IF(IFERROR(VLOOKUP(A176,$A$10:$I175,1,0),0)=0,"",VLOOKUP(A176,$A$10:$I175,4,0))</f>
        <v>SEBASTIAN</v>
      </c>
      <c r="E176" s="29" t="str">
        <f>IF(IFERROR(VLOOKUP(A176,$A$10:$I175,1,0),0)=0,"",VLOOKUP(A176,$A$10:$I175,5,0))</f>
        <v>MONTERO</v>
      </c>
      <c r="F176" s="29" t="str">
        <f>IF(IFERROR(VLOOKUP(A176,$A$10:$I175,1,0),0)=0,"",VLOOKUP(A176,$A$10:$I175,6,0))</f>
        <v>SANCHEZ</v>
      </c>
      <c r="G176" s="49">
        <f>IF(IFERROR(VLOOKUP(A176,$A$10:$I175,1,0),0)=0,"",VLOOKUP(A176,$A$10:$I175,7,0))</f>
        <v>45577</v>
      </c>
      <c r="H176" s="29"/>
      <c r="I176" s="29"/>
      <c r="J176" s="29"/>
      <c r="K176" s="24" t="s">
        <v>43</v>
      </c>
      <c r="L176" s="49">
        <v>45577</v>
      </c>
      <c r="M176" s="49"/>
      <c r="N176" s="29">
        <f t="shared" si="5"/>
        <v>-45577</v>
      </c>
      <c r="O176" s="29"/>
      <c r="P176" t="s">
        <v>88</v>
      </c>
      <c r="Q176" t="s">
        <v>88</v>
      </c>
      <c r="R176" t="s">
        <v>88</v>
      </c>
      <c r="S176" t="s">
        <v>88</v>
      </c>
      <c r="T176" t="s">
        <v>88</v>
      </c>
      <c r="U176" t="s">
        <v>20</v>
      </c>
    </row>
    <row r="177" spans="1:21" ht="15.75" customHeight="1" x14ac:dyDescent="0.45">
      <c r="A177" s="79">
        <v>285726530</v>
      </c>
      <c r="B177" s="29" t="str">
        <f t="shared" si="4"/>
        <v>28.572.653-0</v>
      </c>
      <c r="C177" s="22" t="s">
        <v>16</v>
      </c>
      <c r="D177" s="29" t="s">
        <v>1510</v>
      </c>
      <c r="E177" s="29" t="s">
        <v>723</v>
      </c>
      <c r="F177" s="29" t="s">
        <v>768</v>
      </c>
      <c r="G177" s="49">
        <v>45586</v>
      </c>
      <c r="H177" s="29"/>
      <c r="I177" s="29"/>
      <c r="J177" s="29"/>
      <c r="K177" s="24" t="s">
        <v>35</v>
      </c>
      <c r="L177" s="49">
        <v>45587</v>
      </c>
      <c r="M177" s="49"/>
      <c r="N177" s="29">
        <f t="shared" si="5"/>
        <v>-45587</v>
      </c>
      <c r="O177" s="29"/>
      <c r="P177" t="s">
        <v>88</v>
      </c>
      <c r="Q177" t="s">
        <v>88</v>
      </c>
      <c r="R177" t="s">
        <v>88</v>
      </c>
      <c r="S177" t="s">
        <v>88</v>
      </c>
      <c r="T177" t="s">
        <v>88</v>
      </c>
      <c r="U177" t="s">
        <v>20</v>
      </c>
    </row>
    <row r="178" spans="1:21" ht="15.75" customHeight="1" x14ac:dyDescent="0.45">
      <c r="A178" s="79">
        <v>285726530</v>
      </c>
      <c r="B178" s="29" t="str">
        <f t="shared" si="4"/>
        <v>28.572.653-0</v>
      </c>
      <c r="C178" s="22" t="str">
        <f>IF(IFERROR(VLOOKUP(A178,$A$10:$I177,1,0),0)=0,"",VLOOKUP(A178,$A$10:$I177,3,0))</f>
        <v>UCI neonatal</v>
      </c>
      <c r="D178" s="29" t="str">
        <f>IF(IFERROR(VLOOKUP(A178,$A$10:$I177,1,0),0)=0,"",VLOOKUP(A178,$A$10:$I177,4,0))</f>
        <v>KEVIN</v>
      </c>
      <c r="E178" s="29" t="str">
        <f>IF(IFERROR(VLOOKUP(A178,$A$10:$I177,1,0),0)=0,"",VLOOKUP(A178,$A$10:$I177,5,0))</f>
        <v>PALMA</v>
      </c>
      <c r="F178" s="29" t="str">
        <f>IF(IFERROR(VLOOKUP(A178,$A$10:$I177,1,0),0)=0,"",VLOOKUP(A178,$A$10:$I177,6,0))</f>
        <v>SUAZO</v>
      </c>
      <c r="G178" s="49">
        <f>IF(IFERROR(VLOOKUP(A178,$A$10:$I177,1,0),0)=0,"",VLOOKUP(A178,$A$10:$I177,7,0))</f>
        <v>45586</v>
      </c>
      <c r="H178" s="29"/>
      <c r="I178" s="29"/>
      <c r="J178" s="29"/>
      <c r="K178" s="24" t="s">
        <v>55</v>
      </c>
      <c r="L178" s="49">
        <v>45586</v>
      </c>
      <c r="M178" s="49"/>
      <c r="N178" s="29">
        <f t="shared" si="5"/>
        <v>-45586</v>
      </c>
      <c r="O178" s="29"/>
      <c r="P178" t="s">
        <v>88</v>
      </c>
      <c r="Q178" t="s">
        <v>88</v>
      </c>
      <c r="R178" t="s">
        <v>88</v>
      </c>
      <c r="S178" t="s">
        <v>88</v>
      </c>
      <c r="T178" t="s">
        <v>88</v>
      </c>
      <c r="U178" t="s">
        <v>20</v>
      </c>
    </row>
    <row r="179" spans="1:21" ht="15.75" customHeight="1" x14ac:dyDescent="0.45">
      <c r="A179" s="79">
        <v>53065325</v>
      </c>
      <c r="B179" s="29" t="str">
        <f t="shared" si="4"/>
        <v>5.306.532-5</v>
      </c>
      <c r="C179" s="22" t="s">
        <v>22</v>
      </c>
      <c r="D179" s="29" t="s">
        <v>250</v>
      </c>
      <c r="E179" s="29" t="s">
        <v>523</v>
      </c>
      <c r="F179" s="29" t="s">
        <v>558</v>
      </c>
      <c r="G179" s="49">
        <v>45568</v>
      </c>
      <c r="H179" s="49">
        <v>45570</v>
      </c>
      <c r="I179" s="29"/>
      <c r="J179" s="29" t="s">
        <v>61</v>
      </c>
      <c r="K179" s="24" t="s">
        <v>43</v>
      </c>
      <c r="L179" s="49">
        <v>45568</v>
      </c>
      <c r="M179" s="49">
        <v>45570</v>
      </c>
      <c r="N179" s="29">
        <f t="shared" si="5"/>
        <v>2</v>
      </c>
      <c r="O179" s="29"/>
      <c r="P179" t="s">
        <v>88</v>
      </c>
      <c r="Q179" t="s">
        <v>88</v>
      </c>
      <c r="R179" t="s">
        <v>88</v>
      </c>
      <c r="S179" t="s">
        <v>88</v>
      </c>
      <c r="T179" t="s">
        <v>88</v>
      </c>
      <c r="U179" t="s">
        <v>20</v>
      </c>
    </row>
    <row r="180" spans="1:21" ht="15.75" customHeight="1" x14ac:dyDescent="0.45">
      <c r="A180" s="79">
        <v>53065325</v>
      </c>
      <c r="B180" s="29" t="str">
        <f t="shared" si="4"/>
        <v>5.306.532-5</v>
      </c>
      <c r="C180" s="22" t="str">
        <f>IF(IFERROR(VLOOKUP(A180,$A$10:$I179,1,0),0)=0,"",VLOOKUP(A180,$A$10:$I179,3,0))</f>
        <v>UCI</v>
      </c>
      <c r="D180" s="29" t="str">
        <f>IF(IFERROR(VLOOKUP(A180,$A$10:$I179,1,0),0)=0,"",VLOOKUP(A180,$A$10:$I179,4,0))</f>
        <v>JOSE</v>
      </c>
      <c r="E180" s="29" t="str">
        <f>IF(IFERROR(VLOOKUP(A180,$A$10:$I179,1,0),0)=0,"",VLOOKUP(A180,$A$10:$I179,5,0))</f>
        <v>MATAMALA</v>
      </c>
      <c r="F180" s="29" t="str">
        <f>IF(IFERROR(VLOOKUP(A180,$A$10:$I179,1,0),0)=0,"",VLOOKUP(A180,$A$10:$I179,6,0))</f>
        <v>CIFUENTES</v>
      </c>
      <c r="G180" s="49">
        <f>IF(IFERROR(VLOOKUP(A180,$A$10:$I179,1,0),0)=0,"",VLOOKUP(A180,$A$10:$I179,7,0))</f>
        <v>45568</v>
      </c>
      <c r="H180" s="49">
        <v>45570</v>
      </c>
      <c r="I180" s="29"/>
      <c r="J180" s="29" t="s">
        <v>61</v>
      </c>
      <c r="K180" s="24" t="s">
        <v>47</v>
      </c>
      <c r="L180" s="49">
        <v>45568</v>
      </c>
      <c r="M180" s="49">
        <v>45570</v>
      </c>
      <c r="N180" s="29">
        <f t="shared" si="5"/>
        <v>2</v>
      </c>
      <c r="O180" s="29"/>
      <c r="P180" t="s">
        <v>88</v>
      </c>
      <c r="Q180" t="s">
        <v>88</v>
      </c>
      <c r="R180" t="s">
        <v>88</v>
      </c>
      <c r="S180" t="s">
        <v>88</v>
      </c>
      <c r="T180" t="s">
        <v>88</v>
      </c>
      <c r="U180" t="s">
        <v>20</v>
      </c>
    </row>
    <row r="181" spans="1:21" ht="15.75" customHeight="1" x14ac:dyDescent="0.45">
      <c r="A181" s="79" t="s">
        <v>1445</v>
      </c>
      <c r="B181" s="29" t="str">
        <f t="shared" si="4"/>
        <v>15.615.461-k</v>
      </c>
      <c r="C181" s="22" t="s">
        <v>22</v>
      </c>
      <c r="D181" s="29" t="str">
        <f>IF(IFERROR(VLOOKUP(A181,$A$10:$I180,1,0),0)=0,"",VLOOKUP(A181,$A$10:$I180,4,0))</f>
        <v>MARIA</v>
      </c>
      <c r="E181" s="29" t="str">
        <f>IF(IFERROR(VLOOKUP(A181,$A$10:$I180,1,0),0)=0,"",VLOOKUP(A181,$A$10:$I180,5,0))</f>
        <v>HERNANDEZ</v>
      </c>
      <c r="F181" s="29" t="str">
        <f>IF(IFERROR(VLOOKUP(A181,$A$10:$I180,1,0),0)=0,"",VLOOKUP(A181,$A$10:$I180,6,0))</f>
        <v>CASTRO</v>
      </c>
      <c r="G181" s="49">
        <v>45582</v>
      </c>
      <c r="H181" s="29"/>
      <c r="I181" s="29"/>
      <c r="J181" s="29"/>
      <c r="K181" s="24" t="s">
        <v>18</v>
      </c>
      <c r="L181" s="49">
        <v>45582</v>
      </c>
      <c r="M181" s="49">
        <v>45596</v>
      </c>
      <c r="N181" s="29">
        <f t="shared" si="5"/>
        <v>14</v>
      </c>
      <c r="O181" s="29"/>
      <c r="P181" t="s">
        <v>88</v>
      </c>
      <c r="Q181" t="s">
        <v>88</v>
      </c>
      <c r="R181" t="s">
        <v>88</v>
      </c>
      <c r="S181" t="s">
        <v>88</v>
      </c>
      <c r="T181" t="s">
        <v>88</v>
      </c>
      <c r="U181" t="s">
        <v>20</v>
      </c>
    </row>
    <row r="182" spans="1:21" ht="15.75" customHeight="1" x14ac:dyDescent="0.45">
      <c r="A182" s="79">
        <v>59698125</v>
      </c>
      <c r="B182" s="29" t="str">
        <f t="shared" si="4"/>
        <v>5.969.812-5</v>
      </c>
      <c r="C182" s="22" t="s">
        <v>22</v>
      </c>
      <c r="D182" s="29" t="s">
        <v>481</v>
      </c>
      <c r="E182" s="29" t="s">
        <v>1511</v>
      </c>
      <c r="F182" s="29" t="s">
        <v>339</v>
      </c>
      <c r="G182" s="49">
        <v>45565</v>
      </c>
      <c r="H182" s="49">
        <v>45573</v>
      </c>
      <c r="I182" s="29"/>
      <c r="J182" s="29"/>
      <c r="K182" s="24" t="s">
        <v>43</v>
      </c>
      <c r="L182" s="49">
        <v>45566</v>
      </c>
      <c r="M182" s="49">
        <v>45568</v>
      </c>
      <c r="N182" s="29">
        <f t="shared" si="5"/>
        <v>2</v>
      </c>
      <c r="O182" s="29"/>
      <c r="P182" t="s">
        <v>88</v>
      </c>
      <c r="Q182" t="s">
        <v>88</v>
      </c>
      <c r="R182" t="s">
        <v>88</v>
      </c>
      <c r="S182" t="s">
        <v>88</v>
      </c>
      <c r="T182" t="s">
        <v>88</v>
      </c>
      <c r="U182" t="s">
        <v>20</v>
      </c>
    </row>
    <row r="183" spans="1:21" ht="15.75" customHeight="1" x14ac:dyDescent="0.45">
      <c r="A183" s="79">
        <v>95217052</v>
      </c>
      <c r="B183" s="29" t="str">
        <f t="shared" si="4"/>
        <v>9.521.705-2</v>
      </c>
      <c r="C183" s="22" t="s">
        <v>22</v>
      </c>
      <c r="D183" s="29" t="str">
        <f>IF(IFERROR(VLOOKUP(A183,$A$10:$I181,1,0),0)=0,"",VLOOKUP(A183,$A$10:$I181,4,0))</f>
        <v>JUAN</v>
      </c>
      <c r="E183" s="29" t="str">
        <f>IF(IFERROR(VLOOKUP(A183,$A$10:$I181,1,0),0)=0,"",VLOOKUP(A183,$A$10:$I181,5,0))</f>
        <v>SOTO</v>
      </c>
      <c r="F183" s="29" t="str">
        <f>IF(IFERROR(VLOOKUP(A183,$A$10:$I181,1,0),0)=0,"",VLOOKUP(A183,$A$10:$I181,6,0))</f>
        <v>PARRA</v>
      </c>
      <c r="G183" s="49">
        <v>45580</v>
      </c>
      <c r="H183" s="49">
        <v>45588</v>
      </c>
      <c r="I183" s="29"/>
      <c r="J183" s="29" t="s">
        <v>26</v>
      </c>
      <c r="K183" s="24" t="s">
        <v>18</v>
      </c>
      <c r="L183" s="49">
        <v>45580</v>
      </c>
      <c r="M183" s="49">
        <v>45588</v>
      </c>
      <c r="N183" s="29">
        <f t="shared" si="5"/>
        <v>8</v>
      </c>
      <c r="O183" s="29"/>
      <c r="P183" t="s">
        <v>88</v>
      </c>
      <c r="Q183" t="s">
        <v>88</v>
      </c>
      <c r="R183" t="s">
        <v>88</v>
      </c>
      <c r="S183" t="s">
        <v>88</v>
      </c>
      <c r="T183" t="s">
        <v>88</v>
      </c>
      <c r="U183" t="s">
        <v>20</v>
      </c>
    </row>
    <row r="184" spans="1:21" ht="15.75" customHeight="1" x14ac:dyDescent="0.45">
      <c r="A184" s="79">
        <v>95217052</v>
      </c>
      <c r="B184" s="29" t="str">
        <f t="shared" si="4"/>
        <v>9.521.705-2</v>
      </c>
      <c r="C184" s="22" t="s">
        <v>22</v>
      </c>
      <c r="D184" s="29" t="str">
        <f>IF(IFERROR(VLOOKUP(A184,$A$10:$I182,1,0),0)=0,"",VLOOKUP(A184,$A$10:$I182,4,0))</f>
        <v>JUAN</v>
      </c>
      <c r="E184" s="29" t="str">
        <f>IF(IFERROR(VLOOKUP(A184,$A$10:$I182,1,0),0)=0,"",VLOOKUP(A184,$A$10:$I182,5,0))</f>
        <v>SOTO</v>
      </c>
      <c r="F184" s="29" t="str">
        <f>IF(IFERROR(VLOOKUP(A184,$A$10:$I182,1,0),0)=0,"",VLOOKUP(A184,$A$10:$I182,6,0))</f>
        <v>PARRA</v>
      </c>
      <c r="G184" s="49">
        <v>45580</v>
      </c>
      <c r="H184" s="49">
        <v>45588</v>
      </c>
      <c r="I184" s="29"/>
      <c r="J184" s="29" t="s">
        <v>26</v>
      </c>
      <c r="K184" s="24" t="s">
        <v>47</v>
      </c>
      <c r="L184" s="49">
        <v>45580</v>
      </c>
      <c r="M184" s="49">
        <v>45588</v>
      </c>
      <c r="N184" s="29">
        <f t="shared" si="5"/>
        <v>8</v>
      </c>
      <c r="O184" s="29"/>
      <c r="P184" t="s">
        <v>88</v>
      </c>
      <c r="Q184" t="s">
        <v>88</v>
      </c>
      <c r="R184" t="s">
        <v>88</v>
      </c>
      <c r="S184" t="s">
        <v>88</v>
      </c>
      <c r="T184" t="s">
        <v>88</v>
      </c>
      <c r="U184" t="s">
        <v>20</v>
      </c>
    </row>
    <row r="185" spans="1:21" ht="15.75" customHeight="1" x14ac:dyDescent="0.45">
      <c r="A185" s="79">
        <v>46842049</v>
      </c>
      <c r="B185" s="29" t="str">
        <f t="shared" si="4"/>
        <v>4.684.204-9</v>
      </c>
      <c r="C185" s="22" t="s">
        <v>46</v>
      </c>
      <c r="D185" s="29" t="s">
        <v>362</v>
      </c>
      <c r="E185" s="29" t="s">
        <v>523</v>
      </c>
      <c r="F185" s="29" t="s">
        <v>1442</v>
      </c>
      <c r="G185" s="49">
        <v>45567</v>
      </c>
      <c r="H185" s="49">
        <v>45579</v>
      </c>
      <c r="I185" s="29"/>
      <c r="J185" s="29" t="s">
        <v>19</v>
      </c>
      <c r="K185" s="24" t="s">
        <v>47</v>
      </c>
      <c r="L185" s="49">
        <v>45570</v>
      </c>
      <c r="M185" s="49">
        <v>45579</v>
      </c>
      <c r="N185" s="29">
        <f t="shared" si="5"/>
        <v>9</v>
      </c>
      <c r="O185" s="29"/>
      <c r="P185" t="s">
        <v>88</v>
      </c>
      <c r="Q185" t="s">
        <v>88</v>
      </c>
      <c r="R185" t="s">
        <v>88</v>
      </c>
      <c r="S185" t="s">
        <v>88</v>
      </c>
      <c r="T185" t="s">
        <v>88</v>
      </c>
      <c r="U185" t="s">
        <v>20</v>
      </c>
    </row>
    <row r="186" spans="1:21" ht="15.75" customHeight="1" x14ac:dyDescent="0.45">
      <c r="A186" s="79">
        <v>58577669</v>
      </c>
      <c r="B186" s="29" t="str">
        <f t="shared" si="4"/>
        <v>5.857.766-9</v>
      </c>
      <c r="C186" s="22" t="str">
        <f>IF(IFERROR(VLOOKUP(A186,$A$10:$I185,1,0),0)=0,"",VLOOKUP(A186,$A$10:$I185,3,0))</f>
        <v>Pensionado</v>
      </c>
      <c r="D186" s="29" t="str">
        <f>IF(IFERROR(VLOOKUP(A186,$A$10:$I185,1,0),0)=0,"",VLOOKUP(A186,$A$10:$I185,4,0))</f>
        <v>SERGIO</v>
      </c>
      <c r="E186" s="29" t="str">
        <f>IF(IFERROR(VLOOKUP(A186,$A$10:$I185,1,0),0)=0,"",VLOOKUP(A186,$A$10:$I185,5,0))</f>
        <v>ALARCON</v>
      </c>
      <c r="F186" s="29" t="str">
        <f>IF(IFERROR(VLOOKUP(A186,$A$10:$I185,1,0),0)=0,"",VLOOKUP(A186,$A$10:$I185,6,0))</f>
        <v>VILLABLANCA</v>
      </c>
      <c r="G186" s="49">
        <f>IF(IFERROR(VLOOKUP(A186,$A$10:$I185,1,0),0)=0,"",VLOOKUP(A186,$A$10:$I185,7,0))</f>
        <v>45566</v>
      </c>
      <c r="H186" s="49">
        <v>45577</v>
      </c>
      <c r="I186" s="29"/>
      <c r="J186" s="29" t="s">
        <v>19</v>
      </c>
      <c r="K186" s="24" t="s">
        <v>47</v>
      </c>
      <c r="L186" s="49">
        <v>45566</v>
      </c>
      <c r="M186" s="49">
        <v>45577</v>
      </c>
      <c r="N186" s="29">
        <f t="shared" si="5"/>
        <v>11</v>
      </c>
      <c r="O186" s="29"/>
      <c r="P186" t="s">
        <v>88</v>
      </c>
      <c r="Q186" t="s">
        <v>88</v>
      </c>
      <c r="R186" t="s">
        <v>88</v>
      </c>
      <c r="S186" t="s">
        <v>88</v>
      </c>
      <c r="T186" t="s">
        <v>88</v>
      </c>
      <c r="U186" t="s">
        <v>20</v>
      </c>
    </row>
    <row r="187" spans="1:21" ht="15.75" customHeight="1" x14ac:dyDescent="0.45">
      <c r="A187" s="79">
        <v>415129157</v>
      </c>
      <c r="B187" s="29" t="str">
        <f t="shared" si="4"/>
        <v>41.512.915-7</v>
      </c>
      <c r="C187" s="22" t="s">
        <v>22</v>
      </c>
      <c r="D187" s="29" t="s">
        <v>1512</v>
      </c>
      <c r="E187" s="29" t="s">
        <v>555</v>
      </c>
      <c r="F187" s="29" t="s">
        <v>1087</v>
      </c>
      <c r="G187" s="49">
        <v>45584</v>
      </c>
      <c r="H187" s="49">
        <v>45589</v>
      </c>
      <c r="I187" s="29"/>
      <c r="J187" s="29"/>
      <c r="K187" s="24" t="s">
        <v>18</v>
      </c>
      <c r="L187" s="49">
        <v>45572</v>
      </c>
      <c r="M187" s="49">
        <v>45589</v>
      </c>
      <c r="N187" s="29">
        <f t="shared" si="5"/>
        <v>17</v>
      </c>
      <c r="O187" s="29"/>
      <c r="P187" t="s">
        <v>88</v>
      </c>
      <c r="Q187" t="s">
        <v>88</v>
      </c>
      <c r="R187" t="s">
        <v>88</v>
      </c>
      <c r="S187" t="s">
        <v>88</v>
      </c>
      <c r="T187" t="s">
        <v>88</v>
      </c>
      <c r="U187" t="s">
        <v>20</v>
      </c>
    </row>
    <row r="188" spans="1:21" ht="15.75" customHeight="1" x14ac:dyDescent="0.45">
      <c r="A188" s="79">
        <v>415129157</v>
      </c>
      <c r="B188" s="29" t="str">
        <f t="shared" si="4"/>
        <v>41.512.915-7</v>
      </c>
      <c r="C188" s="22" t="str">
        <f>IF(IFERROR(VLOOKUP(A188,$A$10:$I187,1,0),0)=0,"",VLOOKUP(A188,$A$10:$I187,3,0))</f>
        <v>UCI</v>
      </c>
      <c r="D188" s="29" t="str">
        <f>IF(IFERROR(VLOOKUP(A188,$A$10:$I187,1,0),0)=0,"",VLOOKUP(A188,$A$10:$I187,4,0))</f>
        <v>FRANCY</v>
      </c>
      <c r="E188" s="29" t="str">
        <f>IF(IFERROR(VLOOKUP(A188,$A$10:$I187,1,0),0)=0,"",VLOOKUP(A188,$A$10:$I187,5,0))</f>
        <v>MENDEZ</v>
      </c>
      <c r="F188" s="29" t="str">
        <f>IF(IFERROR(VLOOKUP(A188,$A$10:$I187,1,0),0)=0,"",VLOOKUP(A188,$A$10:$I187,6,0))</f>
        <v>ORTEGA</v>
      </c>
      <c r="G188" s="49">
        <f>IF(IFERROR(VLOOKUP(A188,$A$10:$I187,1,0),0)=0,"",VLOOKUP(A188,$A$10:$I187,7,0))</f>
        <v>45584</v>
      </c>
      <c r="H188" s="29"/>
      <c r="I188" s="29"/>
      <c r="J188" s="29"/>
      <c r="K188" s="24" t="s">
        <v>47</v>
      </c>
      <c r="L188" s="49">
        <v>45579</v>
      </c>
      <c r="M188" s="49">
        <v>45589</v>
      </c>
      <c r="N188" s="29">
        <f t="shared" si="5"/>
        <v>10</v>
      </c>
      <c r="O188" s="29"/>
      <c r="P188" t="s">
        <v>88</v>
      </c>
      <c r="Q188" t="s">
        <v>88</v>
      </c>
      <c r="R188" t="s">
        <v>88</v>
      </c>
      <c r="S188" t="s">
        <v>88</v>
      </c>
      <c r="T188" t="s">
        <v>88</v>
      </c>
      <c r="U188" t="s">
        <v>20</v>
      </c>
    </row>
    <row r="189" spans="1:21" ht="15.75" customHeight="1" x14ac:dyDescent="0.45">
      <c r="A189" s="79" t="s">
        <v>1513</v>
      </c>
      <c r="B189" s="29" t="str">
        <f t="shared" si="4"/>
        <v>10.086.214-k</v>
      </c>
      <c r="C189" s="22" t="s">
        <v>22</v>
      </c>
      <c r="D189" s="29" t="s">
        <v>385</v>
      </c>
      <c r="E189" s="29" t="s">
        <v>318</v>
      </c>
      <c r="F189" s="29" t="s">
        <v>1514</v>
      </c>
      <c r="G189" s="49">
        <v>45581</v>
      </c>
      <c r="H189" s="49">
        <v>45593</v>
      </c>
      <c r="I189" s="29"/>
      <c r="J189" s="29" t="s">
        <v>56</v>
      </c>
      <c r="K189" s="24" t="s">
        <v>18</v>
      </c>
      <c r="L189" s="49">
        <v>45584</v>
      </c>
      <c r="M189" s="49">
        <v>45584</v>
      </c>
      <c r="N189" s="29">
        <f t="shared" si="5"/>
        <v>0</v>
      </c>
      <c r="O189" s="29"/>
      <c r="P189" t="s">
        <v>88</v>
      </c>
      <c r="Q189" t="s">
        <v>88</v>
      </c>
      <c r="R189" t="s">
        <v>88</v>
      </c>
      <c r="S189" t="s">
        <v>88</v>
      </c>
      <c r="T189" t="s">
        <v>88</v>
      </c>
      <c r="U189" t="s">
        <v>20</v>
      </c>
    </row>
    <row r="190" spans="1:21" ht="15.75" customHeight="1" x14ac:dyDescent="0.45">
      <c r="A190" s="79">
        <v>201970202</v>
      </c>
      <c r="B190" s="29" t="str">
        <f t="shared" si="4"/>
        <v>20.197.020-2</v>
      </c>
      <c r="C190" s="22" t="str">
        <f>IF(IFERROR(VLOOKUP(A190,$A$10:$I189,1,0),0)=0,"",VLOOKUP(A190,$A$10:$I189,3,0))</f>
        <v>UCI</v>
      </c>
      <c r="D190" s="29" t="str">
        <f>IF(IFERROR(VLOOKUP(A190,$A$10:$I189,1,0),0)=0,"",VLOOKUP(A190,$A$10:$I189,4,0))</f>
        <v>DIEGO</v>
      </c>
      <c r="E190" s="29" t="str">
        <f>IF(IFERROR(VLOOKUP(A190,$A$10:$I189,1,0),0)=0,"",VLOOKUP(A190,$A$10:$I189,5,0))</f>
        <v>SEPULVEDA</v>
      </c>
      <c r="F190" s="29" t="str">
        <f>IF(IFERROR(VLOOKUP(A190,$A$10:$I189,1,0),0)=0,"",VLOOKUP(A190,$A$10:$I189,6,0))</f>
        <v>GAETE</v>
      </c>
      <c r="G190" s="49">
        <f>IF(IFERROR(VLOOKUP(A190,$A$10:$I189,1,0),0)=0,"",VLOOKUP(A190,$A$10:$I189,7,0))</f>
        <v>45579</v>
      </c>
      <c r="H190" s="29"/>
      <c r="I190" s="29"/>
      <c r="J190" s="29"/>
      <c r="K190" s="24" t="s">
        <v>43</v>
      </c>
      <c r="L190" s="49">
        <v>45592</v>
      </c>
      <c r="M190" s="49">
        <v>45596</v>
      </c>
      <c r="N190" s="29">
        <f t="shared" si="5"/>
        <v>4</v>
      </c>
      <c r="O190" s="29"/>
      <c r="P190" t="s">
        <v>88</v>
      </c>
      <c r="Q190" t="s">
        <v>88</v>
      </c>
      <c r="R190" t="s">
        <v>88</v>
      </c>
      <c r="S190" t="s">
        <v>88</v>
      </c>
      <c r="T190" t="s">
        <v>88</v>
      </c>
      <c r="U190" t="s">
        <v>20</v>
      </c>
    </row>
    <row r="191" spans="1:21" ht="15.75" customHeight="1" x14ac:dyDescent="0.45">
      <c r="A191" s="79" t="s">
        <v>1515</v>
      </c>
      <c r="B191" s="29" t="str">
        <f t="shared" si="4"/>
        <v>9.313.183-5</v>
      </c>
      <c r="C191" s="22" t="s">
        <v>22</v>
      </c>
      <c r="D191" s="29" t="s">
        <v>564</v>
      </c>
      <c r="E191" s="29" t="s">
        <v>563</v>
      </c>
      <c r="F191" s="29" t="s">
        <v>536</v>
      </c>
      <c r="G191" s="49">
        <v>45586</v>
      </c>
      <c r="H191" s="49">
        <v>45589</v>
      </c>
      <c r="I191" s="29"/>
      <c r="J191" s="29" t="s">
        <v>56</v>
      </c>
      <c r="K191" s="24" t="s">
        <v>43</v>
      </c>
      <c r="L191" s="49">
        <v>45586</v>
      </c>
      <c r="M191" s="49">
        <v>45589</v>
      </c>
      <c r="N191" s="29">
        <f t="shared" si="5"/>
        <v>3</v>
      </c>
      <c r="O191" s="29"/>
      <c r="P191" t="s">
        <v>88</v>
      </c>
      <c r="Q191" t="s">
        <v>88</v>
      </c>
      <c r="R191" t="s">
        <v>88</v>
      </c>
      <c r="S191" t="s">
        <v>88</v>
      </c>
      <c r="T191" t="s">
        <v>88</v>
      </c>
      <c r="U191" t="s">
        <v>20</v>
      </c>
    </row>
    <row r="192" spans="1:21" ht="15.75" customHeight="1" x14ac:dyDescent="0.45">
      <c r="A192" s="79">
        <v>123792580</v>
      </c>
      <c r="B192" s="29" t="str">
        <f t="shared" si="4"/>
        <v>12.379.258-0</v>
      </c>
      <c r="C192" s="22" t="s">
        <v>22</v>
      </c>
      <c r="D192" s="29" t="s">
        <v>981</v>
      </c>
      <c r="E192" s="29" t="s">
        <v>860</v>
      </c>
      <c r="F192" s="29" t="s">
        <v>980</v>
      </c>
      <c r="G192" s="49">
        <v>45581</v>
      </c>
      <c r="H192" s="49">
        <v>45588</v>
      </c>
      <c r="I192" s="29"/>
      <c r="J192" s="29" t="s">
        <v>56</v>
      </c>
      <c r="K192" s="24" t="s">
        <v>43</v>
      </c>
      <c r="L192" s="49">
        <v>45581</v>
      </c>
      <c r="M192" s="49">
        <v>45588</v>
      </c>
      <c r="N192" s="29">
        <f t="shared" si="5"/>
        <v>7</v>
      </c>
      <c r="O192" s="29"/>
      <c r="P192" t="s">
        <v>88</v>
      </c>
      <c r="Q192" t="s">
        <v>88</v>
      </c>
      <c r="R192" t="s">
        <v>88</v>
      </c>
      <c r="S192" t="s">
        <v>88</v>
      </c>
      <c r="T192" t="s">
        <v>88</v>
      </c>
      <c r="U192" t="s">
        <v>20</v>
      </c>
    </row>
    <row r="193" spans="1:21" ht="15.75" customHeight="1" x14ac:dyDescent="0.45">
      <c r="A193" s="79" t="s">
        <v>1516</v>
      </c>
      <c r="B193" s="29" t="str">
        <f t="shared" si="4"/>
        <v>6.721.343-2</v>
      </c>
      <c r="C193" s="22" t="s">
        <v>22</v>
      </c>
      <c r="D193" s="29" t="s">
        <v>738</v>
      </c>
      <c r="E193" s="29" t="s">
        <v>465</v>
      </c>
      <c r="F193" s="29" t="s">
        <v>573</v>
      </c>
      <c r="G193" s="49">
        <v>45589</v>
      </c>
      <c r="H193" s="29"/>
      <c r="I193" s="29"/>
      <c r="J193" s="29"/>
      <c r="K193" s="24" t="s">
        <v>43</v>
      </c>
      <c r="L193" s="49">
        <v>45589</v>
      </c>
      <c r="M193" s="49">
        <v>45596</v>
      </c>
      <c r="N193" s="29">
        <f t="shared" si="5"/>
        <v>7</v>
      </c>
      <c r="O193" s="29"/>
      <c r="P193" t="s">
        <v>88</v>
      </c>
      <c r="Q193" t="s">
        <v>88</v>
      </c>
      <c r="R193" t="s">
        <v>88</v>
      </c>
      <c r="S193" t="s">
        <v>88</v>
      </c>
      <c r="T193" t="s">
        <v>88</v>
      </c>
      <c r="U193" t="s">
        <v>20</v>
      </c>
    </row>
    <row r="194" spans="1:21" ht="15.75" customHeight="1" x14ac:dyDescent="0.45">
      <c r="A194" s="79" t="s">
        <v>1516</v>
      </c>
      <c r="B194" s="29" t="str">
        <f t="shared" si="4"/>
        <v>6.721.343-2</v>
      </c>
      <c r="C194" s="22" t="str">
        <f>IF(IFERROR(VLOOKUP(A194,$A$10:$I193,1,0),0)=0,"",VLOOKUP(A194,$A$10:$I193,3,0))</f>
        <v>UCI</v>
      </c>
      <c r="D194" s="29" t="str">
        <f>IF(IFERROR(VLOOKUP(A194,$A$10:$I193,1,0),0)=0,"",VLOOKUP(A194,$A$10:$I193,4,0))</f>
        <v>MARGARITA</v>
      </c>
      <c r="E194" s="29" t="str">
        <f>IF(IFERROR(VLOOKUP(A194,$A$10:$I193,1,0),0)=0,"",VLOOKUP(A194,$A$10:$I193,5,0))</f>
        <v>NAVARRO</v>
      </c>
      <c r="F194" s="29" t="str">
        <f>IF(IFERROR(VLOOKUP(A194,$A$10:$I193,1,0),0)=0,"",VLOOKUP(A194,$A$10:$I193,6,0))</f>
        <v>CHAMORRO</v>
      </c>
      <c r="G194" s="49">
        <f>IF(IFERROR(VLOOKUP(A194,$A$10:$I193,1,0),0)=0,"",VLOOKUP(A194,$A$10:$I193,7,0))</f>
        <v>45589</v>
      </c>
      <c r="H194" s="29"/>
      <c r="I194" s="29"/>
      <c r="J194" s="29"/>
      <c r="K194" s="24" t="s">
        <v>47</v>
      </c>
      <c r="L194" s="49">
        <v>45589</v>
      </c>
      <c r="M194" s="49">
        <v>45596</v>
      </c>
      <c r="N194" s="29">
        <f t="shared" si="5"/>
        <v>7</v>
      </c>
      <c r="O194" s="29"/>
      <c r="P194" t="s">
        <v>88</v>
      </c>
      <c r="Q194" t="s">
        <v>88</v>
      </c>
      <c r="R194" t="s">
        <v>88</v>
      </c>
      <c r="S194" t="s">
        <v>88</v>
      </c>
      <c r="T194" t="s">
        <v>88</v>
      </c>
      <c r="U194" t="s">
        <v>20</v>
      </c>
    </row>
    <row r="195" spans="1:21" ht="15.75" customHeight="1" x14ac:dyDescent="0.45">
      <c r="A195" s="79">
        <v>101209571</v>
      </c>
      <c r="B195" s="29" t="str">
        <f t="shared" si="4"/>
        <v>10.120.957-1</v>
      </c>
      <c r="C195" s="22" t="str">
        <f>IF(IFERROR(VLOOKUP(A195,$A$10:$I194,1,0),0)=0,"",VLOOKUP(A195,$A$10:$I194,3,0))</f>
        <v>UCO</v>
      </c>
      <c r="D195" s="29" t="str">
        <f>IF(IFERROR(VLOOKUP(A195,$A$10:$I194,1,0),0)=0,"",VLOOKUP(A195,$A$10:$I194,4,0))</f>
        <v>HERMINIA</v>
      </c>
      <c r="E195" s="29" t="str">
        <f>IF(IFERROR(VLOOKUP(A195,$A$10:$I194,1,0),0)=0,"",VLOOKUP(A195,$A$10:$I194,5,0))</f>
        <v>ARANEDA</v>
      </c>
      <c r="F195" s="29" t="str">
        <f>IF(IFERROR(VLOOKUP(A195,$A$10:$I194,1,0),0)=0,"",VLOOKUP(A195,$A$10:$I194,6,0))</f>
        <v>FLORES</v>
      </c>
      <c r="G195" s="49">
        <f>IF(IFERROR(VLOOKUP(A195,$A$10:$I194,1,0),0)=0,"",VLOOKUP(A195,$A$10:$I194,7,0))</f>
        <v>45586</v>
      </c>
      <c r="H195" s="49">
        <v>45588</v>
      </c>
      <c r="I195" s="29"/>
      <c r="J195" s="29" t="s">
        <v>22</v>
      </c>
      <c r="K195" s="24" t="s">
        <v>43</v>
      </c>
      <c r="L195" s="49">
        <v>45586</v>
      </c>
      <c r="M195" s="49">
        <v>45588</v>
      </c>
      <c r="N195" s="29">
        <f t="shared" si="5"/>
        <v>2</v>
      </c>
      <c r="O195" s="29"/>
      <c r="P195" t="s">
        <v>88</v>
      </c>
      <c r="Q195" t="s">
        <v>88</v>
      </c>
      <c r="R195" t="s">
        <v>88</v>
      </c>
      <c r="S195" t="s">
        <v>88</v>
      </c>
      <c r="T195" t="s">
        <v>88</v>
      </c>
      <c r="U195" t="s">
        <v>20</v>
      </c>
    </row>
    <row r="196" spans="1:21" ht="15.75" customHeight="1" x14ac:dyDescent="0.45">
      <c r="A196" s="79">
        <v>101209571</v>
      </c>
      <c r="B196" s="29" t="str">
        <f t="shared" si="4"/>
        <v>10.120.957-1</v>
      </c>
      <c r="C196" s="22" t="s">
        <v>22</v>
      </c>
      <c r="D196" s="29" t="str">
        <f>IF(IFERROR(VLOOKUP(A196,$A$10:$I195,1,0),0)=0,"",VLOOKUP(A196,$A$10:$I195,4,0))</f>
        <v>HERMINIA</v>
      </c>
      <c r="E196" s="29" t="str">
        <f>IF(IFERROR(VLOOKUP(A196,$A$10:$I195,1,0),0)=0,"",VLOOKUP(A196,$A$10:$I195,5,0))</f>
        <v>ARANEDA</v>
      </c>
      <c r="F196" s="29" t="str">
        <f>IF(IFERROR(VLOOKUP(A196,$A$10:$I195,1,0),0)=0,"",VLOOKUP(A196,$A$10:$I195,6,0))</f>
        <v>FLORES</v>
      </c>
      <c r="G196" s="49">
        <v>45588</v>
      </c>
      <c r="H196" s="29"/>
      <c r="I196" s="29" t="s">
        <v>22</v>
      </c>
      <c r="J196" s="29" t="s">
        <v>24</v>
      </c>
      <c r="K196" s="24" t="s">
        <v>43</v>
      </c>
      <c r="L196" s="49">
        <v>45588</v>
      </c>
      <c r="M196" s="49">
        <v>45590</v>
      </c>
      <c r="N196" s="29">
        <f t="shared" si="5"/>
        <v>2</v>
      </c>
      <c r="O196" s="29"/>
      <c r="P196" t="s">
        <v>88</v>
      </c>
      <c r="Q196" t="s">
        <v>88</v>
      </c>
      <c r="R196" t="s">
        <v>88</v>
      </c>
      <c r="S196" t="s">
        <v>88</v>
      </c>
      <c r="T196" t="s">
        <v>88</v>
      </c>
      <c r="U196" t="s">
        <v>20</v>
      </c>
    </row>
    <row r="197" spans="1:21" ht="15.75" customHeight="1" x14ac:dyDescent="0.45">
      <c r="A197" s="79">
        <v>74937632</v>
      </c>
      <c r="B197" s="29" t="str">
        <f t="shared" si="4"/>
        <v>7.493.763-2</v>
      </c>
      <c r="C197" s="22" t="s">
        <v>22</v>
      </c>
      <c r="D197" s="29" t="s">
        <v>1517</v>
      </c>
      <c r="E197" s="29" t="s">
        <v>1397</v>
      </c>
      <c r="F197" s="29" t="s">
        <v>1518</v>
      </c>
      <c r="G197" s="49">
        <v>45589</v>
      </c>
      <c r="H197" s="49">
        <v>45595</v>
      </c>
      <c r="I197" s="29"/>
      <c r="J197" s="29" t="s">
        <v>24</v>
      </c>
      <c r="K197" s="24" t="s">
        <v>43</v>
      </c>
      <c r="L197" s="49">
        <v>45589</v>
      </c>
      <c r="M197" s="49">
        <v>45595</v>
      </c>
      <c r="N197" s="29">
        <f t="shared" si="5"/>
        <v>6</v>
      </c>
      <c r="O197" s="29"/>
      <c r="P197" t="s">
        <v>88</v>
      </c>
      <c r="Q197" t="s">
        <v>88</v>
      </c>
      <c r="R197" t="s">
        <v>88</v>
      </c>
      <c r="S197" t="s">
        <v>88</v>
      </c>
      <c r="T197" t="s">
        <v>88</v>
      </c>
      <c r="U197" t="s">
        <v>20</v>
      </c>
    </row>
    <row r="198" spans="1:21" ht="15.75" customHeight="1" x14ac:dyDescent="0.45">
      <c r="A198" s="79">
        <v>74937632</v>
      </c>
      <c r="B198" s="29" t="str">
        <f t="shared" si="4"/>
        <v>7.493.763-2</v>
      </c>
      <c r="C198" s="22" t="str">
        <f>IF(IFERROR(VLOOKUP(A198,$A$10:$I197,1,0),0)=0,"",VLOOKUP(A198,$A$10:$I197,3,0))</f>
        <v>UCI</v>
      </c>
      <c r="D198" s="29" t="str">
        <f>IF(IFERROR(VLOOKUP(A198,$A$10:$I197,1,0),0)=0,"",VLOOKUP(A198,$A$10:$I197,4,0))</f>
        <v>PUBLIO</v>
      </c>
      <c r="E198" s="29" t="str">
        <f>IF(IFERROR(VLOOKUP(A198,$A$10:$I197,1,0),0)=0,"",VLOOKUP(A198,$A$10:$I197,5,0))</f>
        <v>GONZÁLEZ</v>
      </c>
      <c r="F198" s="29" t="str">
        <f>IF(IFERROR(VLOOKUP(A198,$A$10:$I197,1,0),0)=0,"",VLOOKUP(A198,$A$10:$I197,6,0))</f>
        <v>CARRERAS</v>
      </c>
      <c r="G198" s="49">
        <f>IF(IFERROR(VLOOKUP(A198,$A$10:$I197,1,0),0)=0,"",VLOOKUP(A198,$A$10:$I197,7,0))</f>
        <v>45589</v>
      </c>
      <c r="H198" s="49">
        <v>45595</v>
      </c>
      <c r="I198" s="29"/>
      <c r="J198" s="29" t="s">
        <v>24</v>
      </c>
      <c r="K198" s="24" t="s">
        <v>47</v>
      </c>
      <c r="L198" s="49">
        <v>45589</v>
      </c>
      <c r="M198" s="49">
        <v>45595</v>
      </c>
      <c r="N198" s="29">
        <f t="shared" si="5"/>
        <v>6</v>
      </c>
      <c r="O198" s="29"/>
      <c r="P198" t="s">
        <v>88</v>
      </c>
      <c r="Q198" t="s">
        <v>88</v>
      </c>
      <c r="R198" t="s">
        <v>88</v>
      </c>
      <c r="S198" t="s">
        <v>88</v>
      </c>
      <c r="T198" t="s">
        <v>88</v>
      </c>
      <c r="U198" t="s">
        <v>20</v>
      </c>
    </row>
    <row r="199" spans="1:21" ht="15.75" customHeight="1" x14ac:dyDescent="0.45">
      <c r="A199" s="79">
        <v>143605221</v>
      </c>
      <c r="B199" s="29" t="str">
        <f t="shared" si="4"/>
        <v>14.360.522-1</v>
      </c>
      <c r="C199" s="22" t="s">
        <v>22</v>
      </c>
      <c r="D199" s="29" t="s">
        <v>802</v>
      </c>
      <c r="E199" s="29" t="s">
        <v>699</v>
      </c>
      <c r="F199" s="29" t="s">
        <v>680</v>
      </c>
      <c r="G199" s="49">
        <v>45590</v>
      </c>
      <c r="H199" s="49">
        <v>45593</v>
      </c>
      <c r="I199" s="29"/>
      <c r="J199" s="29" t="s">
        <v>66</v>
      </c>
      <c r="K199" s="24" t="s">
        <v>43</v>
      </c>
      <c r="L199" s="49">
        <v>45590</v>
      </c>
      <c r="M199" s="49">
        <v>45593</v>
      </c>
      <c r="N199" s="29">
        <f t="shared" si="5"/>
        <v>3</v>
      </c>
      <c r="O199" s="29"/>
      <c r="P199" t="s">
        <v>88</v>
      </c>
      <c r="Q199" t="s">
        <v>88</v>
      </c>
      <c r="R199" t="s">
        <v>88</v>
      </c>
      <c r="S199" t="s">
        <v>88</v>
      </c>
      <c r="T199" t="s">
        <v>88</v>
      </c>
      <c r="U199" t="s">
        <v>20</v>
      </c>
    </row>
    <row r="200" spans="1:21" ht="15.75" customHeight="1" x14ac:dyDescent="0.45">
      <c r="A200" s="79">
        <v>143605221</v>
      </c>
      <c r="B200" s="29" t="str">
        <f t="shared" ref="B200:B263" si="6">IF(LEN(A200)=8,MID(A200,1,1)&amp;"."&amp;MID(A200,2,3)&amp;"."&amp;MID(A200,5,3)&amp;"-"&amp;RIGHT(A200,1),IF(LEFT(RIGHT(A200,2),1)="-",MID(A200,1,1)&amp;"."&amp;MID(A200,2,3)&amp;"."&amp;MID(A200,5,3)&amp;"-"&amp;RIGHT(A200,1),MID(A200,1,2)&amp;"."&amp;MID(A200,3,3)&amp;"."&amp;MID(A200,6,3)&amp;"-"&amp;MID(A200,9,1)))</f>
        <v>14.360.522-1</v>
      </c>
      <c r="C200" s="22" t="str">
        <f>IF(IFERROR(VLOOKUP(A200,$A$10:$I199,1,0),0)=0,"",VLOOKUP(A200,$A$10:$I199,3,0))</f>
        <v>UCI</v>
      </c>
      <c r="D200" s="29" t="str">
        <f>IF(IFERROR(VLOOKUP(A200,$A$10:$I199,1,0),0)=0,"",VLOOKUP(A200,$A$10:$I199,4,0))</f>
        <v>RODRIGO</v>
      </c>
      <c r="E200" s="29" t="str">
        <f>IF(IFERROR(VLOOKUP(A200,$A$10:$I199,1,0),0)=0,"",VLOOKUP(A200,$A$10:$I199,5,0))</f>
        <v>SALGADO</v>
      </c>
      <c r="F200" s="29" t="str">
        <f>IF(IFERROR(VLOOKUP(A200,$A$10:$I199,1,0),0)=0,"",VLOOKUP(A200,$A$10:$I199,6,0))</f>
        <v>INOSTROZA</v>
      </c>
      <c r="G200" s="49">
        <f>IF(IFERROR(VLOOKUP(A200,$A$10:$I199,1,0),0)=0,"",VLOOKUP(A200,$A$10:$I199,7,0))</f>
        <v>45590</v>
      </c>
      <c r="H200" s="49">
        <v>45593</v>
      </c>
      <c r="I200" s="29"/>
      <c r="J200" s="29" t="s">
        <v>66</v>
      </c>
      <c r="K200" s="24" t="s">
        <v>47</v>
      </c>
      <c r="L200" s="49">
        <v>45590</v>
      </c>
      <c r="M200" s="49">
        <v>45593</v>
      </c>
      <c r="N200" s="29">
        <f t="shared" ref="N200:N263" si="7">+M200-L200</f>
        <v>3</v>
      </c>
      <c r="O200" s="29"/>
      <c r="P200" t="s">
        <v>88</v>
      </c>
      <c r="Q200" t="s">
        <v>88</v>
      </c>
      <c r="R200" t="s">
        <v>88</v>
      </c>
      <c r="S200" t="s">
        <v>88</v>
      </c>
      <c r="T200" t="s">
        <v>88</v>
      </c>
      <c r="U200" t="s">
        <v>20</v>
      </c>
    </row>
    <row r="201" spans="1:21" ht="15.75" customHeight="1" x14ac:dyDescent="0.45">
      <c r="A201" s="79">
        <v>166011132</v>
      </c>
      <c r="B201" s="29" t="str">
        <f t="shared" si="6"/>
        <v>16.601.113-2</v>
      </c>
      <c r="C201" s="22" t="s">
        <v>22</v>
      </c>
      <c r="D201" s="29" t="s">
        <v>1519</v>
      </c>
      <c r="E201" s="29" t="s">
        <v>1520</v>
      </c>
      <c r="F201" s="29" t="s">
        <v>1521</v>
      </c>
      <c r="G201" s="49">
        <v>45593</v>
      </c>
      <c r="H201" s="49">
        <v>45598</v>
      </c>
      <c r="I201" s="29" t="s">
        <v>22</v>
      </c>
      <c r="J201" s="29" t="s">
        <v>24</v>
      </c>
      <c r="K201" s="24" t="s">
        <v>43</v>
      </c>
      <c r="L201" s="49">
        <v>45593</v>
      </c>
      <c r="M201" s="49">
        <v>45595</v>
      </c>
      <c r="N201" s="29">
        <f t="shared" si="7"/>
        <v>2</v>
      </c>
      <c r="O201" s="29"/>
      <c r="P201" t="s">
        <v>88</v>
      </c>
      <c r="Q201" t="s">
        <v>88</v>
      </c>
      <c r="R201" t="s">
        <v>88</v>
      </c>
      <c r="S201" t="s">
        <v>88</v>
      </c>
      <c r="T201" t="s">
        <v>88</v>
      </c>
      <c r="U201" t="s">
        <v>20</v>
      </c>
    </row>
    <row r="202" spans="1:21" ht="15.75" customHeight="1" x14ac:dyDescent="0.45">
      <c r="A202" s="79">
        <v>166011132</v>
      </c>
      <c r="B202" s="29" t="str">
        <f t="shared" si="6"/>
        <v>16.601.113-2</v>
      </c>
      <c r="C202" s="22" t="str">
        <f>IF(IFERROR(VLOOKUP(A202,$A$10:$I201,1,0),0)=0,"",VLOOKUP(A202,$A$10:$I201,3,0))</f>
        <v>UCI</v>
      </c>
      <c r="D202" s="29" t="str">
        <f>IF(IFERROR(VLOOKUP(A202,$A$10:$I201,1,0),0)=0,"",VLOOKUP(A202,$A$10:$I201,4,0))</f>
        <v>PAOLA</v>
      </c>
      <c r="E202" s="29" t="str">
        <f>IF(IFERROR(VLOOKUP(A202,$A$10:$I201,1,0),0)=0,"",VLOOKUP(A202,$A$10:$I201,5,0))</f>
        <v>QUIJADA</v>
      </c>
      <c r="F202" s="29" t="str">
        <f>IF(IFERROR(VLOOKUP(A202,$A$10:$I201,1,0),0)=0,"",VLOOKUP(A202,$A$10:$I201,6,0))</f>
        <v>LINARES</v>
      </c>
      <c r="G202" s="49">
        <f>IF(IFERROR(VLOOKUP(A202,$A$10:$I201,1,0),0)=0,"",VLOOKUP(A202,$A$10:$I201,7,0))</f>
        <v>45593</v>
      </c>
      <c r="H202" s="49">
        <v>45598</v>
      </c>
      <c r="I202" s="29" t="s">
        <v>22</v>
      </c>
      <c r="J202" s="29" t="s">
        <v>24</v>
      </c>
      <c r="K202" s="24" t="s">
        <v>47</v>
      </c>
      <c r="L202" s="49">
        <v>45593</v>
      </c>
      <c r="M202" s="49">
        <v>45595</v>
      </c>
      <c r="N202" s="29">
        <f t="shared" si="7"/>
        <v>2</v>
      </c>
      <c r="O202" s="29"/>
      <c r="P202" t="s">
        <v>88</v>
      </c>
      <c r="Q202" t="s">
        <v>88</v>
      </c>
      <c r="R202" t="s">
        <v>88</v>
      </c>
      <c r="S202" t="s">
        <v>88</v>
      </c>
      <c r="T202" t="s">
        <v>88</v>
      </c>
      <c r="U202" t="s">
        <v>20</v>
      </c>
    </row>
    <row r="203" spans="1:21" ht="15.75" customHeight="1" x14ac:dyDescent="0.45">
      <c r="A203" s="79" t="s">
        <v>1522</v>
      </c>
      <c r="B203" s="29" t="str">
        <f t="shared" si="6"/>
        <v>9.931.342-0</v>
      </c>
      <c r="C203" s="22" t="s">
        <v>22</v>
      </c>
      <c r="D203" s="29" t="s">
        <v>386</v>
      </c>
      <c r="E203" s="29" t="s">
        <v>532</v>
      </c>
      <c r="F203" s="29" t="s">
        <v>341</v>
      </c>
      <c r="G203" s="49">
        <v>45592</v>
      </c>
      <c r="H203" s="49">
        <v>45593</v>
      </c>
      <c r="I203" s="29" t="s">
        <v>22</v>
      </c>
      <c r="J203" s="29"/>
      <c r="K203" s="24" t="s">
        <v>43</v>
      </c>
      <c r="L203" s="49">
        <v>45592</v>
      </c>
      <c r="M203" s="49">
        <v>45593</v>
      </c>
      <c r="N203" s="29">
        <f t="shared" si="7"/>
        <v>1</v>
      </c>
      <c r="O203" s="29"/>
      <c r="P203" t="s">
        <v>88</v>
      </c>
      <c r="Q203" t="s">
        <v>88</v>
      </c>
      <c r="R203" t="s">
        <v>88</v>
      </c>
      <c r="S203" t="s">
        <v>88</v>
      </c>
      <c r="T203" t="s">
        <v>88</v>
      </c>
      <c r="U203" t="s">
        <v>20</v>
      </c>
    </row>
    <row r="204" spans="1:21" ht="15.75" customHeight="1" x14ac:dyDescent="0.45">
      <c r="A204" s="79" t="s">
        <v>1522</v>
      </c>
      <c r="B204" s="29" t="str">
        <f t="shared" si="6"/>
        <v>9.931.342-0</v>
      </c>
      <c r="C204" s="22" t="str">
        <f>IF(IFERROR(VLOOKUP(A204,$A$10:$I203,1,0),0)=0,"",VLOOKUP(A204,$A$10:$I203,3,0))</f>
        <v>UCI</v>
      </c>
      <c r="D204" s="29" t="str">
        <f>IF(IFERROR(VLOOKUP(A204,$A$10:$I203,1,0),0)=0,"",VLOOKUP(A204,$A$10:$I203,4,0))</f>
        <v>OLGA</v>
      </c>
      <c r="E204" s="29" t="str">
        <f>IF(IFERROR(VLOOKUP(A204,$A$10:$I203,1,0),0)=0,"",VLOOKUP(A204,$A$10:$I203,5,0))</f>
        <v>GRANDON</v>
      </c>
      <c r="F204" s="29" t="str">
        <f>IF(IFERROR(VLOOKUP(A204,$A$10:$I203,1,0),0)=0,"",VLOOKUP(A204,$A$10:$I203,6,0))</f>
        <v>LAGOS</v>
      </c>
      <c r="G204" s="49">
        <f>IF(IFERROR(VLOOKUP(A204,$A$10:$I203,1,0),0)=0,"",VLOOKUP(A204,$A$10:$I203,7,0))</f>
        <v>45592</v>
      </c>
      <c r="H204" s="49">
        <v>45593</v>
      </c>
      <c r="I204" s="29" t="s">
        <v>22</v>
      </c>
      <c r="J204" s="29"/>
      <c r="K204" s="24" t="s">
        <v>47</v>
      </c>
      <c r="L204" s="49">
        <v>45592</v>
      </c>
      <c r="M204" s="49">
        <v>45593</v>
      </c>
      <c r="N204" s="29">
        <f t="shared" si="7"/>
        <v>1</v>
      </c>
      <c r="O204" s="29"/>
      <c r="P204" t="s">
        <v>88</v>
      </c>
      <c r="Q204" t="s">
        <v>88</v>
      </c>
      <c r="R204" t="s">
        <v>88</v>
      </c>
      <c r="S204" t="s">
        <v>88</v>
      </c>
      <c r="T204" t="s">
        <v>88</v>
      </c>
      <c r="U204" t="s">
        <v>20</v>
      </c>
    </row>
    <row r="205" spans="1:21" ht="15.75" customHeight="1" x14ac:dyDescent="0.45">
      <c r="A205" s="79">
        <v>107318399</v>
      </c>
      <c r="B205" s="29" t="str">
        <f t="shared" si="6"/>
        <v>10.731.839-9</v>
      </c>
      <c r="C205" s="22" t="s">
        <v>38</v>
      </c>
      <c r="D205" s="29" t="s">
        <v>348</v>
      </c>
      <c r="E205" s="29" t="s">
        <v>1081</v>
      </c>
      <c r="F205" s="29" t="s">
        <v>1523</v>
      </c>
      <c r="G205" s="49">
        <v>45578</v>
      </c>
      <c r="H205" s="49">
        <v>45582</v>
      </c>
      <c r="I205" s="29"/>
      <c r="J205" s="29" t="s">
        <v>66</v>
      </c>
      <c r="K205" s="24" t="s">
        <v>43</v>
      </c>
      <c r="L205" s="49">
        <v>45578</v>
      </c>
      <c r="M205" s="49">
        <v>45582</v>
      </c>
      <c r="N205" s="29">
        <f t="shared" si="7"/>
        <v>4</v>
      </c>
      <c r="O205" s="29"/>
      <c r="P205" t="s">
        <v>88</v>
      </c>
      <c r="Q205" t="s">
        <v>88</v>
      </c>
      <c r="R205" t="s">
        <v>88</v>
      </c>
      <c r="S205" t="s">
        <v>88</v>
      </c>
      <c r="T205" t="s">
        <v>88</v>
      </c>
      <c r="U205" t="s">
        <v>20</v>
      </c>
    </row>
    <row r="206" spans="1:21" ht="15.75" customHeight="1" x14ac:dyDescent="0.45">
      <c r="A206" s="79">
        <v>107318399</v>
      </c>
      <c r="B206" s="29" t="str">
        <f t="shared" si="6"/>
        <v>10.731.839-9</v>
      </c>
      <c r="C206" s="22" t="str">
        <f>IF(IFERROR(VLOOKUP(A206,$A$10:$I205,1,0),0)=0,"",VLOOKUP(A206,$A$10:$I205,3,0))</f>
        <v xml:space="preserve">Sala de cuidados intermedios </v>
      </c>
      <c r="D206" s="29" t="str">
        <f>IF(IFERROR(VLOOKUP(A206,$A$10:$I205,1,0),0)=0,"",VLOOKUP(A206,$A$10:$I205,4,0))</f>
        <v>MARIA</v>
      </c>
      <c r="E206" s="29" t="str">
        <f>IF(IFERROR(VLOOKUP(A206,$A$10:$I205,1,0),0)=0,"",VLOOKUP(A206,$A$10:$I205,5,0))</f>
        <v>VALDEBENITO</v>
      </c>
      <c r="F206" s="29" t="str">
        <f>IF(IFERROR(VLOOKUP(A206,$A$10:$I205,1,0),0)=0,"",VLOOKUP(A206,$A$10:$I205,6,0))</f>
        <v>LIZAMA</v>
      </c>
      <c r="G206" s="49">
        <f>IF(IFERROR(VLOOKUP(A206,$A$10:$I205,1,0),0)=0,"",VLOOKUP(A206,$A$10:$I205,7,0))</f>
        <v>45578</v>
      </c>
      <c r="H206" s="49">
        <v>45582</v>
      </c>
      <c r="I206" s="29"/>
      <c r="J206" s="29" t="s">
        <v>66</v>
      </c>
      <c r="K206" s="24" t="s">
        <v>47</v>
      </c>
      <c r="L206" s="49">
        <v>45578</v>
      </c>
      <c r="M206" s="49">
        <v>45582</v>
      </c>
      <c r="N206" s="29">
        <f t="shared" si="7"/>
        <v>4</v>
      </c>
      <c r="O206" s="29"/>
      <c r="P206" t="s">
        <v>88</v>
      </c>
      <c r="Q206" t="s">
        <v>88</v>
      </c>
      <c r="R206" t="s">
        <v>88</v>
      </c>
      <c r="S206" t="s">
        <v>88</v>
      </c>
      <c r="T206" t="s">
        <v>88</v>
      </c>
      <c r="U206" t="s">
        <v>20</v>
      </c>
    </row>
    <row r="207" spans="1:21" ht="15.75" customHeight="1" x14ac:dyDescent="0.45">
      <c r="A207" s="79">
        <v>65873540</v>
      </c>
      <c r="B207" s="29" t="str">
        <f t="shared" si="6"/>
        <v>6.587.354-0</v>
      </c>
      <c r="C207" s="22" t="s">
        <v>38</v>
      </c>
      <c r="D207" s="29" t="s">
        <v>368</v>
      </c>
      <c r="E207" s="29" t="s">
        <v>307</v>
      </c>
      <c r="F207" s="29" t="s">
        <v>253</v>
      </c>
      <c r="G207" s="49">
        <v>45580</v>
      </c>
      <c r="H207" s="49">
        <v>45584</v>
      </c>
      <c r="I207" s="29"/>
      <c r="J207" s="29" t="s">
        <v>24</v>
      </c>
      <c r="K207" s="24" t="s">
        <v>43</v>
      </c>
      <c r="L207" s="49">
        <v>45580</v>
      </c>
      <c r="M207" s="49">
        <v>45584</v>
      </c>
      <c r="N207" s="29">
        <f t="shared" si="7"/>
        <v>4</v>
      </c>
      <c r="O207" s="29"/>
      <c r="P207" t="s">
        <v>88</v>
      </c>
      <c r="Q207" t="s">
        <v>88</v>
      </c>
      <c r="R207" t="s">
        <v>88</v>
      </c>
      <c r="S207" t="s">
        <v>88</v>
      </c>
      <c r="T207" t="s">
        <v>88</v>
      </c>
      <c r="U207" t="s">
        <v>20</v>
      </c>
    </row>
    <row r="208" spans="1:21" ht="15.75" customHeight="1" x14ac:dyDescent="0.45">
      <c r="A208" s="79">
        <v>65873540</v>
      </c>
      <c r="B208" s="29" t="str">
        <f t="shared" si="6"/>
        <v>6.587.354-0</v>
      </c>
      <c r="C208" s="22" t="str">
        <f>IF(IFERROR(VLOOKUP(A208,$A$10:$I207,1,0),0)=0,"",VLOOKUP(A208,$A$10:$I207,3,0))</f>
        <v xml:space="preserve">Sala de cuidados intermedios </v>
      </c>
      <c r="D208" s="29" t="str">
        <f>IF(IFERROR(VLOOKUP(A208,$A$10:$I207,1,0),0)=0,"",VLOOKUP(A208,$A$10:$I207,4,0))</f>
        <v>JUANA</v>
      </c>
      <c r="E208" s="29" t="str">
        <f>IF(IFERROR(VLOOKUP(A208,$A$10:$I207,1,0),0)=0,"",VLOOKUP(A208,$A$10:$I207,5,0))</f>
        <v>ESCOBAR</v>
      </c>
      <c r="F208" s="29" t="str">
        <f>IF(IFERROR(VLOOKUP(A208,$A$10:$I207,1,0),0)=0,"",VLOOKUP(A208,$A$10:$I207,6,0))</f>
        <v>SAEZ</v>
      </c>
      <c r="G208" s="49">
        <f>IF(IFERROR(VLOOKUP(A208,$A$10:$I207,1,0),0)=0,"",VLOOKUP(A208,$A$10:$I207,7,0))</f>
        <v>45580</v>
      </c>
      <c r="H208" s="49">
        <v>45584</v>
      </c>
      <c r="I208" s="29"/>
      <c r="J208" s="29" t="s">
        <v>24</v>
      </c>
      <c r="K208" s="24" t="s">
        <v>47</v>
      </c>
      <c r="L208" s="49">
        <v>45580</v>
      </c>
      <c r="M208" s="49">
        <v>45584</v>
      </c>
      <c r="N208" s="29">
        <f t="shared" si="7"/>
        <v>4</v>
      </c>
      <c r="O208" s="29"/>
      <c r="P208" t="s">
        <v>88</v>
      </c>
      <c r="Q208" t="s">
        <v>88</v>
      </c>
      <c r="R208" t="s">
        <v>88</v>
      </c>
      <c r="S208" t="s">
        <v>88</v>
      </c>
      <c r="T208" t="s">
        <v>88</v>
      </c>
      <c r="U208" t="s">
        <v>20</v>
      </c>
    </row>
    <row r="209" spans="1:21" ht="15.75" customHeight="1" x14ac:dyDescent="0.45">
      <c r="A209" s="79">
        <v>57285052</v>
      </c>
      <c r="B209" s="29" t="str">
        <f t="shared" si="6"/>
        <v>5.728.505-2</v>
      </c>
      <c r="C209" s="22" t="s">
        <v>38</v>
      </c>
      <c r="D209" s="29" t="s">
        <v>638</v>
      </c>
      <c r="E209" s="29" t="s">
        <v>537</v>
      </c>
      <c r="F209" s="29" t="s">
        <v>339</v>
      </c>
      <c r="G209" s="49">
        <v>45581</v>
      </c>
      <c r="H209" s="49">
        <v>45584</v>
      </c>
      <c r="I209" s="29"/>
      <c r="J209" s="29" t="s">
        <v>66</v>
      </c>
      <c r="K209" s="24" t="s">
        <v>47</v>
      </c>
      <c r="L209" s="49">
        <v>45581</v>
      </c>
      <c r="M209" s="49">
        <v>45584</v>
      </c>
      <c r="N209" s="29">
        <f t="shared" si="7"/>
        <v>3</v>
      </c>
      <c r="O209" s="29"/>
      <c r="P209" t="s">
        <v>88</v>
      </c>
      <c r="Q209" t="s">
        <v>88</v>
      </c>
      <c r="R209" t="s">
        <v>88</v>
      </c>
      <c r="S209" t="s">
        <v>88</v>
      </c>
      <c r="T209" t="s">
        <v>88</v>
      </c>
      <c r="U209" t="s">
        <v>20</v>
      </c>
    </row>
    <row r="210" spans="1:21" ht="15.75" customHeight="1" x14ac:dyDescent="0.45">
      <c r="A210" s="79">
        <v>110619391</v>
      </c>
      <c r="B210" s="29" t="str">
        <f t="shared" si="6"/>
        <v>11.061.939-1</v>
      </c>
      <c r="C210" s="22" t="str">
        <f>IF(IFERROR(VLOOKUP(A210,$A$10:$I209,1,0),0)=0,"",VLOOKUP(A210,$A$10:$I209,3,0))</f>
        <v>UCI</v>
      </c>
      <c r="D210" s="29" t="str">
        <f>IF(IFERROR(VLOOKUP(A210,$A$10:$I209,1,0),0)=0,"",VLOOKUP(A210,$A$10:$I209,4,0))</f>
        <v>MARCELA</v>
      </c>
      <c r="E210" s="29" t="str">
        <f>IF(IFERROR(VLOOKUP(A210,$A$10:$I209,1,0),0)=0,"",VLOOKUP(A210,$A$10:$I209,5,0))</f>
        <v>MUÑOZ</v>
      </c>
      <c r="F210" s="29" t="str">
        <f>IF(IFERROR(VLOOKUP(A210,$A$10:$I209,1,0),0)=0,"",VLOOKUP(A210,$A$10:$I209,6,0))</f>
        <v>SANDOVAL</v>
      </c>
      <c r="G210" s="49">
        <f>IF(IFERROR(VLOOKUP(A210,$A$10:$I209,1,0),0)=0,"",VLOOKUP(A210,$A$10:$I209,7,0))</f>
        <v>45578</v>
      </c>
      <c r="H210" s="29"/>
      <c r="I210" s="29"/>
      <c r="J210" s="29"/>
      <c r="K210" s="24" t="s">
        <v>18</v>
      </c>
      <c r="L210" s="49">
        <v>45595</v>
      </c>
      <c r="M210" s="49">
        <v>45596</v>
      </c>
      <c r="N210" s="29">
        <f t="shared" si="7"/>
        <v>1</v>
      </c>
      <c r="O210" s="29"/>
      <c r="P210" t="s">
        <v>88</v>
      </c>
      <c r="Q210" t="s">
        <v>88</v>
      </c>
      <c r="R210" t="s">
        <v>88</v>
      </c>
      <c r="S210" t="s">
        <v>88</v>
      </c>
      <c r="T210" t="s">
        <v>88</v>
      </c>
      <c r="U210" t="s">
        <v>20</v>
      </c>
    </row>
    <row r="211" spans="1:21" ht="15.75" customHeight="1" x14ac:dyDescent="0.45">
      <c r="A211" s="79">
        <v>175411267</v>
      </c>
      <c r="B211" s="29" t="str">
        <f t="shared" si="6"/>
        <v>17.541.126-7</v>
      </c>
      <c r="C211" s="22" t="s">
        <v>22</v>
      </c>
      <c r="D211" s="29" t="s">
        <v>1524</v>
      </c>
      <c r="E211" s="29" t="s">
        <v>482</v>
      </c>
      <c r="F211" s="29" t="s">
        <v>306</v>
      </c>
      <c r="G211" s="49">
        <v>45581</v>
      </c>
      <c r="H211" s="49">
        <v>45590</v>
      </c>
      <c r="I211" s="29"/>
      <c r="J211" s="29" t="s">
        <v>46</v>
      </c>
      <c r="K211" s="24" t="s">
        <v>43</v>
      </c>
      <c r="L211" s="49">
        <v>45581</v>
      </c>
      <c r="M211" s="49">
        <v>45590</v>
      </c>
      <c r="N211" s="29">
        <f t="shared" si="7"/>
        <v>9</v>
      </c>
      <c r="O211" s="29"/>
      <c r="P211" t="s">
        <v>88</v>
      </c>
      <c r="Q211" t="s">
        <v>88</v>
      </c>
      <c r="R211" t="s">
        <v>88</v>
      </c>
      <c r="S211" t="s">
        <v>88</v>
      </c>
      <c r="T211" t="s">
        <v>88</v>
      </c>
      <c r="U211" t="s">
        <v>20</v>
      </c>
    </row>
    <row r="212" spans="1:21" ht="15.75" customHeight="1" x14ac:dyDescent="0.45">
      <c r="A212" s="79">
        <v>175411267</v>
      </c>
      <c r="B212" s="29" t="str">
        <f t="shared" si="6"/>
        <v>17.541.126-7</v>
      </c>
      <c r="C212" s="22" t="str">
        <f>IF(IFERROR(VLOOKUP(A212,$A$10:$I211,1,0),0)=0,"",VLOOKUP(A212,$A$10:$I211,3,0))</f>
        <v>UCI</v>
      </c>
      <c r="D212" s="29" t="str">
        <f>IF(IFERROR(VLOOKUP(A212,$A$10:$I211,1,0),0)=0,"",VLOOKUP(A212,$A$10:$I211,4,0))</f>
        <v>ELVIS</v>
      </c>
      <c r="E212" s="29" t="str">
        <f>IF(IFERROR(VLOOKUP(A212,$A$10:$I211,1,0),0)=0,"",VLOOKUP(A212,$A$10:$I211,5,0))</f>
        <v>PEREZ</v>
      </c>
      <c r="F212" s="29" t="str">
        <f>IF(IFERROR(VLOOKUP(A212,$A$10:$I211,1,0),0)=0,"",VLOOKUP(A212,$A$10:$I211,6,0))</f>
        <v>RIVERA</v>
      </c>
      <c r="G212" s="49">
        <f>IF(IFERROR(VLOOKUP(A212,$A$10:$I211,1,0),0)=0,"",VLOOKUP(A212,$A$10:$I211,7,0))</f>
        <v>45581</v>
      </c>
      <c r="H212" s="49">
        <v>45590</v>
      </c>
      <c r="I212" s="29"/>
      <c r="J212" s="29" t="s">
        <v>46</v>
      </c>
      <c r="K212" s="24" t="s">
        <v>47</v>
      </c>
      <c r="L212" s="49">
        <v>45581</v>
      </c>
      <c r="M212" s="49">
        <v>45589</v>
      </c>
      <c r="N212" s="29">
        <f t="shared" si="7"/>
        <v>8</v>
      </c>
      <c r="O212" s="29"/>
      <c r="P212" t="s">
        <v>88</v>
      </c>
      <c r="Q212" t="s">
        <v>88</v>
      </c>
      <c r="R212" t="s">
        <v>88</v>
      </c>
      <c r="S212" t="s">
        <v>88</v>
      </c>
      <c r="T212" t="s">
        <v>88</v>
      </c>
      <c r="U212" t="s">
        <v>20</v>
      </c>
    </row>
    <row r="213" spans="1:21" ht="15.75" customHeight="1" x14ac:dyDescent="0.45">
      <c r="A213" s="79">
        <v>175411267</v>
      </c>
      <c r="B213" s="29" t="str">
        <f t="shared" si="6"/>
        <v>17.541.126-7</v>
      </c>
      <c r="C213" s="22" t="str">
        <f>IF(IFERROR(VLOOKUP(A213,$A$10:$I212,1,0),0)=0,"",VLOOKUP(A213,$A$10:$I212,3,0))</f>
        <v>UCI</v>
      </c>
      <c r="D213" s="29" t="str">
        <f>IF(IFERROR(VLOOKUP(A213,$A$10:$I212,1,0),0)=0,"",VLOOKUP(A213,$A$10:$I212,4,0))</f>
        <v>ELVIS</v>
      </c>
      <c r="E213" s="29" t="str">
        <f>IF(IFERROR(VLOOKUP(A213,$A$10:$I212,1,0),0)=0,"",VLOOKUP(A213,$A$10:$I212,5,0))</f>
        <v>PEREZ</v>
      </c>
      <c r="F213" s="29" t="str">
        <f>IF(IFERROR(VLOOKUP(A213,$A$10:$I212,1,0),0)=0,"",VLOOKUP(A213,$A$10:$I212,6,0))</f>
        <v>RIVERA</v>
      </c>
      <c r="G213" s="49">
        <f>IF(IFERROR(VLOOKUP(A213,$A$10:$I212,1,0),0)=0,"",VLOOKUP(A213,$A$10:$I212,7,0))</f>
        <v>45581</v>
      </c>
      <c r="H213" s="49">
        <v>45590</v>
      </c>
      <c r="I213" s="29"/>
      <c r="J213" s="29" t="s">
        <v>46</v>
      </c>
      <c r="K213" s="24" t="s">
        <v>55</v>
      </c>
      <c r="L213" s="49">
        <v>45581</v>
      </c>
      <c r="M213" s="49">
        <v>45587</v>
      </c>
      <c r="N213" s="29">
        <f t="shared" si="7"/>
        <v>6</v>
      </c>
      <c r="O213" s="29"/>
      <c r="P213" t="s">
        <v>88</v>
      </c>
      <c r="Q213" t="s">
        <v>88</v>
      </c>
      <c r="R213" t="s">
        <v>88</v>
      </c>
      <c r="S213" t="s">
        <v>88</v>
      </c>
      <c r="T213" t="s">
        <v>88</v>
      </c>
      <c r="U213" t="s">
        <v>20</v>
      </c>
    </row>
    <row r="214" spans="1:21" ht="15.75" customHeight="1" x14ac:dyDescent="0.45">
      <c r="A214" s="79">
        <v>123792580</v>
      </c>
      <c r="B214" s="29" t="str">
        <f t="shared" si="6"/>
        <v>12.379.258-0</v>
      </c>
      <c r="C214" s="22" t="str">
        <f>IF(IFERROR(VLOOKUP(A214,$A$10:$I213,1,0),0)=0,"",VLOOKUP(A214,$A$10:$I213,3,0))</f>
        <v>UCI</v>
      </c>
      <c r="D214" s="29" t="str">
        <f>IF(IFERROR(VLOOKUP(A214,$A$10:$I213,1,0),0)=0,"",VLOOKUP(A214,$A$10:$I213,4,0))</f>
        <v>ISIDRO</v>
      </c>
      <c r="E214" s="29" t="str">
        <f>IF(IFERROR(VLOOKUP(A214,$A$10:$I213,1,0),0)=0,"",VLOOKUP(A214,$A$10:$I213,5,0))</f>
        <v>CISTERNAS</v>
      </c>
      <c r="F214" s="29" t="str">
        <f>IF(IFERROR(VLOOKUP(A214,$A$10:$I213,1,0),0)=0,"",VLOOKUP(A214,$A$10:$I213,6,0))</f>
        <v>LUNA</v>
      </c>
      <c r="G214" s="49">
        <f>IF(IFERROR(VLOOKUP(A214,$A$10:$I213,1,0),0)=0,"",VLOOKUP(A214,$A$10:$I213,7,0))</f>
        <v>45581</v>
      </c>
      <c r="H214" s="49">
        <v>45588</v>
      </c>
      <c r="I214" s="29"/>
      <c r="J214" s="29" t="s">
        <v>56</v>
      </c>
      <c r="K214" s="24" t="s">
        <v>47</v>
      </c>
      <c r="L214" s="49">
        <v>45581</v>
      </c>
      <c r="M214" s="49">
        <v>45586</v>
      </c>
      <c r="N214" s="29">
        <f t="shared" si="7"/>
        <v>5</v>
      </c>
      <c r="O214" s="29"/>
      <c r="P214" t="s">
        <v>88</v>
      </c>
      <c r="Q214" t="s">
        <v>88</v>
      </c>
      <c r="R214" t="s">
        <v>88</v>
      </c>
      <c r="S214" t="s">
        <v>88</v>
      </c>
      <c r="T214" t="s">
        <v>88</v>
      </c>
      <c r="U214" t="s">
        <v>20</v>
      </c>
    </row>
    <row r="215" spans="1:21" ht="15.75" customHeight="1" x14ac:dyDescent="0.45">
      <c r="A215" s="79">
        <v>123808274</v>
      </c>
      <c r="B215" s="29" t="str">
        <f t="shared" si="6"/>
        <v>12.380.827-4</v>
      </c>
      <c r="C215" s="22" t="s">
        <v>22</v>
      </c>
      <c r="D215" s="29" t="s">
        <v>1525</v>
      </c>
      <c r="E215" s="29" t="s">
        <v>439</v>
      </c>
      <c r="F215" s="29" t="s">
        <v>457</v>
      </c>
      <c r="G215" s="49">
        <v>45586</v>
      </c>
      <c r="H215" s="49">
        <v>45601</v>
      </c>
      <c r="I215" s="29"/>
      <c r="J215" s="29" t="s">
        <v>56</v>
      </c>
      <c r="K215" s="24" t="s">
        <v>43</v>
      </c>
      <c r="L215" s="49">
        <v>45586</v>
      </c>
      <c r="M215" s="49">
        <v>45596</v>
      </c>
      <c r="N215" s="29">
        <f t="shared" si="7"/>
        <v>10</v>
      </c>
      <c r="O215" s="29"/>
      <c r="P215" t="s">
        <v>88</v>
      </c>
      <c r="Q215" t="s">
        <v>88</v>
      </c>
      <c r="R215" t="s">
        <v>88</v>
      </c>
      <c r="S215" t="s">
        <v>88</v>
      </c>
      <c r="T215" t="s">
        <v>88</v>
      </c>
      <c r="U215" t="s">
        <v>20</v>
      </c>
    </row>
    <row r="216" spans="1:21" ht="15.75" customHeight="1" x14ac:dyDescent="0.45">
      <c r="A216" s="79">
        <v>123808274</v>
      </c>
      <c r="B216" s="29" t="str">
        <f t="shared" si="6"/>
        <v>12.380.827-4</v>
      </c>
      <c r="C216" s="22" t="str">
        <f>IF(IFERROR(VLOOKUP(A216,$A$10:$I215,1,0),0)=0,"",VLOOKUP(A216,$A$10:$I215,3,0))</f>
        <v>UCI</v>
      </c>
      <c r="D216" s="29" t="str">
        <f>IF(IFERROR(VLOOKUP(A216,$A$10:$I215,1,0),0)=0,"",VLOOKUP(A216,$A$10:$I215,4,0))</f>
        <v>ARICELLY</v>
      </c>
      <c r="E216" s="29" t="str">
        <f>IF(IFERROR(VLOOKUP(A216,$A$10:$I215,1,0),0)=0,"",VLOOKUP(A216,$A$10:$I215,5,0))</f>
        <v>GONZALEZ</v>
      </c>
      <c r="F216" s="29" t="str">
        <f>IF(IFERROR(VLOOKUP(A216,$A$10:$I215,1,0),0)=0,"",VLOOKUP(A216,$A$10:$I215,6,0))</f>
        <v>CANALES</v>
      </c>
      <c r="G216" s="49">
        <f>IF(IFERROR(VLOOKUP(A216,$A$10:$I215,1,0),0)=0,"",VLOOKUP(A216,$A$10:$I215,7,0))</f>
        <v>45586</v>
      </c>
      <c r="H216" s="49">
        <v>45601</v>
      </c>
      <c r="I216" s="29"/>
      <c r="J216" s="29" t="s">
        <v>56</v>
      </c>
      <c r="K216" s="24" t="s">
        <v>47</v>
      </c>
      <c r="L216" s="49">
        <v>45586</v>
      </c>
      <c r="M216" s="49">
        <v>45596</v>
      </c>
      <c r="N216" s="29">
        <f t="shared" si="7"/>
        <v>10</v>
      </c>
      <c r="O216" s="29"/>
      <c r="P216" t="s">
        <v>88</v>
      </c>
      <c r="Q216" t="s">
        <v>88</v>
      </c>
      <c r="R216" t="s">
        <v>88</v>
      </c>
      <c r="S216" t="s">
        <v>88</v>
      </c>
      <c r="T216" t="s">
        <v>88</v>
      </c>
      <c r="U216" t="s">
        <v>20</v>
      </c>
    </row>
    <row r="217" spans="1:21" ht="15.75" customHeight="1" x14ac:dyDescent="0.45">
      <c r="A217" s="79">
        <v>123808274</v>
      </c>
      <c r="B217" s="29" t="str">
        <f t="shared" si="6"/>
        <v>12.380.827-4</v>
      </c>
      <c r="C217" s="22" t="str">
        <f>IF(IFERROR(VLOOKUP(A217,$A$10:$I216,1,0),0)=0,"",VLOOKUP(A217,$A$10:$I216,3,0))</f>
        <v>UCI</v>
      </c>
      <c r="D217" s="29" t="str">
        <f>IF(IFERROR(VLOOKUP(A217,$A$10:$I216,1,0),0)=0,"",VLOOKUP(A217,$A$10:$I216,4,0))</f>
        <v>ARICELLY</v>
      </c>
      <c r="E217" s="29" t="str">
        <f>IF(IFERROR(VLOOKUP(A217,$A$10:$I216,1,0),0)=0,"",VLOOKUP(A217,$A$10:$I216,5,0))</f>
        <v>GONZALEZ</v>
      </c>
      <c r="F217" s="29" t="str">
        <f>IF(IFERROR(VLOOKUP(A217,$A$10:$I216,1,0),0)=0,"",VLOOKUP(A217,$A$10:$I216,6,0))</f>
        <v>CANALES</v>
      </c>
      <c r="G217" s="49">
        <f>IF(IFERROR(VLOOKUP(A217,$A$10:$I216,1,0),0)=0,"",VLOOKUP(A217,$A$10:$I216,7,0))</f>
        <v>45586</v>
      </c>
      <c r="H217" s="49">
        <v>45601</v>
      </c>
      <c r="I217" s="29"/>
      <c r="J217" s="29" t="s">
        <v>56</v>
      </c>
      <c r="K217" s="24" t="s">
        <v>55</v>
      </c>
      <c r="L217" s="49">
        <v>45586</v>
      </c>
      <c r="M217" s="49">
        <v>45596</v>
      </c>
      <c r="N217" s="29">
        <f t="shared" si="7"/>
        <v>10</v>
      </c>
      <c r="O217" s="29"/>
      <c r="P217" t="s">
        <v>88</v>
      </c>
      <c r="Q217" t="s">
        <v>88</v>
      </c>
      <c r="R217" t="s">
        <v>88</v>
      </c>
      <c r="S217" t="s">
        <v>88</v>
      </c>
      <c r="T217" t="s">
        <v>88</v>
      </c>
      <c r="U217" t="s">
        <v>20</v>
      </c>
    </row>
    <row r="218" spans="1:21" ht="15.75" customHeight="1" x14ac:dyDescent="0.45">
      <c r="A218" s="79">
        <v>90917528</v>
      </c>
      <c r="B218" s="29" t="str">
        <f t="shared" si="6"/>
        <v>9.091.752-8</v>
      </c>
      <c r="C218" s="22" t="s">
        <v>22</v>
      </c>
      <c r="D218" s="29" t="str">
        <f>IF(IFERROR(VLOOKUP(A218,$A$10:$I217,1,0),0)=0,"",VLOOKUP(A218,$A$10:$I217,4,0))</f>
        <v>HÉCTOR</v>
      </c>
      <c r="E218" s="29" t="str">
        <f>IF(IFERROR(VLOOKUP(A218,$A$10:$I217,1,0),0)=0,"",VLOOKUP(A218,$A$10:$I217,5,0))</f>
        <v>BURGOS</v>
      </c>
      <c r="F218" s="29" t="str">
        <f>IF(IFERROR(VLOOKUP(A218,$A$10:$I217,1,0),0)=0,"",VLOOKUP(A218,$A$10:$I217,6,0))</f>
        <v>ABELLO</v>
      </c>
      <c r="G218" s="49">
        <v>45587</v>
      </c>
      <c r="H218" s="49">
        <v>45590</v>
      </c>
      <c r="I218" s="29"/>
      <c r="J218" s="29"/>
      <c r="K218" s="24" t="s">
        <v>43</v>
      </c>
      <c r="L218" s="49">
        <v>45587</v>
      </c>
      <c r="M218" s="49">
        <v>45590</v>
      </c>
      <c r="N218" s="29">
        <f t="shared" si="7"/>
        <v>3</v>
      </c>
      <c r="O218" s="29"/>
      <c r="P218" t="s">
        <v>88</v>
      </c>
      <c r="Q218" t="s">
        <v>88</v>
      </c>
      <c r="R218" t="s">
        <v>88</v>
      </c>
      <c r="S218" t="s">
        <v>88</v>
      </c>
      <c r="T218" t="s">
        <v>88</v>
      </c>
      <c r="U218" t="s">
        <v>20</v>
      </c>
    </row>
    <row r="219" spans="1:21" ht="15.75" customHeight="1" x14ac:dyDescent="0.45">
      <c r="A219" s="79">
        <v>90917528</v>
      </c>
      <c r="B219" s="29" t="str">
        <f t="shared" si="6"/>
        <v>9.091.752-8</v>
      </c>
      <c r="C219" s="22" t="s">
        <v>22</v>
      </c>
      <c r="D219" s="29" t="str">
        <f>IF(IFERROR(VLOOKUP(A219,$A$10:$I218,1,0),0)=0,"",VLOOKUP(A219,$A$10:$I218,4,0))</f>
        <v>HÉCTOR</v>
      </c>
      <c r="E219" s="29" t="str">
        <f>IF(IFERROR(VLOOKUP(A219,$A$10:$I218,1,0),0)=0,"",VLOOKUP(A219,$A$10:$I218,5,0))</f>
        <v>BURGOS</v>
      </c>
      <c r="F219" s="29" t="str">
        <f>IF(IFERROR(VLOOKUP(A219,$A$10:$I218,1,0),0)=0,"",VLOOKUP(A219,$A$10:$I218,6,0))</f>
        <v>ABELLO</v>
      </c>
      <c r="G219" s="49">
        <v>45587</v>
      </c>
      <c r="H219" s="49">
        <v>45590</v>
      </c>
      <c r="I219" s="29"/>
      <c r="J219" s="29"/>
      <c r="K219" s="24" t="s">
        <v>47</v>
      </c>
      <c r="L219" s="49">
        <v>45587</v>
      </c>
      <c r="M219" s="49">
        <v>45590</v>
      </c>
      <c r="N219" s="29">
        <f t="shared" si="7"/>
        <v>3</v>
      </c>
      <c r="O219" s="29"/>
      <c r="P219" t="s">
        <v>88</v>
      </c>
      <c r="Q219" t="s">
        <v>88</v>
      </c>
      <c r="R219" t="s">
        <v>88</v>
      </c>
      <c r="S219" t="s">
        <v>88</v>
      </c>
      <c r="T219" t="s">
        <v>88</v>
      </c>
      <c r="U219" t="s">
        <v>20</v>
      </c>
    </row>
    <row r="220" spans="1:21" ht="15.75" customHeight="1" x14ac:dyDescent="0.45">
      <c r="A220" s="79">
        <v>96987552</v>
      </c>
      <c r="B220" s="29" t="str">
        <f t="shared" si="6"/>
        <v>9.698.755-2</v>
      </c>
      <c r="C220" s="22" t="s">
        <v>22</v>
      </c>
      <c r="D220" s="29" t="s">
        <v>1526</v>
      </c>
      <c r="E220" s="29" t="s">
        <v>391</v>
      </c>
      <c r="F220" s="29" t="s">
        <v>517</v>
      </c>
      <c r="G220" s="49">
        <v>45588</v>
      </c>
      <c r="H220" s="49">
        <v>45598</v>
      </c>
      <c r="I220" s="29"/>
      <c r="J220" s="29" t="s">
        <v>19</v>
      </c>
      <c r="K220" s="24" t="s">
        <v>43</v>
      </c>
      <c r="L220" s="49">
        <v>45588</v>
      </c>
      <c r="M220" s="49">
        <v>45596</v>
      </c>
      <c r="N220" s="29">
        <f t="shared" si="7"/>
        <v>8</v>
      </c>
      <c r="O220" s="29"/>
      <c r="P220" t="s">
        <v>88</v>
      </c>
      <c r="Q220" t="s">
        <v>88</v>
      </c>
      <c r="R220" t="s">
        <v>88</v>
      </c>
      <c r="S220" t="s">
        <v>88</v>
      </c>
      <c r="T220" t="s">
        <v>88</v>
      </c>
      <c r="U220" t="s">
        <v>20</v>
      </c>
    </row>
    <row r="221" spans="1:21" ht="15.75" customHeight="1" x14ac:dyDescent="0.45">
      <c r="A221" s="79">
        <v>96987552</v>
      </c>
      <c r="B221" s="29" t="str">
        <f t="shared" si="6"/>
        <v>9.698.755-2</v>
      </c>
      <c r="C221" s="22" t="str">
        <f>IF(IFERROR(VLOOKUP(A221,$A$10:$I220,1,0),0)=0,"",VLOOKUP(A221,$A$10:$I220,3,0))</f>
        <v>UCI</v>
      </c>
      <c r="D221" s="29" t="str">
        <f>IF(IFERROR(VLOOKUP(A221,$A$10:$I220,1,0),0)=0,"",VLOOKUP(A221,$A$10:$I220,4,0))</f>
        <v>FELINDO</v>
      </c>
      <c r="E221" s="29" t="str">
        <f>IF(IFERROR(VLOOKUP(A221,$A$10:$I220,1,0),0)=0,"",VLOOKUP(A221,$A$10:$I220,5,0))</f>
        <v>CONCHA</v>
      </c>
      <c r="F221" s="29" t="str">
        <f>IF(IFERROR(VLOOKUP(A221,$A$10:$I220,1,0),0)=0,"",VLOOKUP(A221,$A$10:$I220,6,0))</f>
        <v>CARVAJAL</v>
      </c>
      <c r="G221" s="49">
        <f>IF(IFERROR(VLOOKUP(A221,$A$10:$I220,1,0),0)=0,"",VLOOKUP(A221,$A$10:$I220,7,0))</f>
        <v>45588</v>
      </c>
      <c r="H221" s="49">
        <v>45598</v>
      </c>
      <c r="I221" s="29"/>
      <c r="J221" s="29" t="s">
        <v>19</v>
      </c>
      <c r="K221" s="24" t="s">
        <v>47</v>
      </c>
      <c r="L221" s="49">
        <v>45588</v>
      </c>
      <c r="M221" s="49">
        <v>45596</v>
      </c>
      <c r="N221" s="29">
        <f t="shared" si="7"/>
        <v>8</v>
      </c>
      <c r="O221" s="29"/>
      <c r="P221" t="s">
        <v>88</v>
      </c>
      <c r="Q221" t="s">
        <v>88</v>
      </c>
      <c r="R221" t="s">
        <v>88</v>
      </c>
      <c r="S221" t="s">
        <v>88</v>
      </c>
      <c r="T221" t="s">
        <v>88</v>
      </c>
      <c r="U221" t="s">
        <v>20</v>
      </c>
    </row>
    <row r="222" spans="1:21" ht="15.75" customHeight="1" x14ac:dyDescent="0.45">
      <c r="A222" s="79">
        <v>96987552</v>
      </c>
      <c r="B222" s="29" t="str">
        <f t="shared" si="6"/>
        <v>9.698.755-2</v>
      </c>
      <c r="C222" s="22" t="str">
        <f>IF(IFERROR(VLOOKUP(A222,$A$10:$I221,1,0),0)=0,"",VLOOKUP(A222,$A$10:$I221,3,0))</f>
        <v>UCI</v>
      </c>
      <c r="D222" s="29" t="str">
        <f>IF(IFERROR(VLOOKUP(A222,$A$10:$I221,1,0),0)=0,"",VLOOKUP(A222,$A$10:$I221,4,0))</f>
        <v>FELINDO</v>
      </c>
      <c r="E222" s="29" t="str">
        <f>IF(IFERROR(VLOOKUP(A222,$A$10:$I221,1,0),0)=0,"",VLOOKUP(A222,$A$10:$I221,5,0))</f>
        <v>CONCHA</v>
      </c>
      <c r="F222" s="29" t="str">
        <f>IF(IFERROR(VLOOKUP(A222,$A$10:$I221,1,0),0)=0,"",VLOOKUP(A222,$A$10:$I221,6,0))</f>
        <v>CARVAJAL</v>
      </c>
      <c r="G222" s="49">
        <f>IF(IFERROR(VLOOKUP(A222,$A$10:$I221,1,0),0)=0,"",VLOOKUP(A222,$A$10:$I221,7,0))</f>
        <v>45588</v>
      </c>
      <c r="H222" s="49">
        <v>45598</v>
      </c>
      <c r="I222" s="29"/>
      <c r="J222" s="29" t="s">
        <v>19</v>
      </c>
      <c r="K222" s="24" t="s">
        <v>55</v>
      </c>
      <c r="L222" s="49">
        <v>45588</v>
      </c>
      <c r="M222" s="49">
        <v>45596</v>
      </c>
      <c r="N222" s="29">
        <f t="shared" si="7"/>
        <v>8</v>
      </c>
      <c r="O222" s="29"/>
      <c r="P222" t="s">
        <v>88</v>
      </c>
      <c r="Q222" t="s">
        <v>88</v>
      </c>
      <c r="R222" t="s">
        <v>88</v>
      </c>
      <c r="S222" t="s">
        <v>88</v>
      </c>
      <c r="T222" t="s">
        <v>88</v>
      </c>
      <c r="U222" t="s">
        <v>20</v>
      </c>
    </row>
    <row r="223" spans="1:21" ht="15.75" customHeight="1" x14ac:dyDescent="0.45">
      <c r="A223" s="79">
        <v>123015584</v>
      </c>
      <c r="B223" s="29" t="str">
        <f t="shared" si="6"/>
        <v>12.301.558-4</v>
      </c>
      <c r="C223" s="22" t="s">
        <v>22</v>
      </c>
      <c r="D223" s="29" t="s">
        <v>560</v>
      </c>
      <c r="E223" s="29" t="s">
        <v>352</v>
      </c>
      <c r="F223" s="29" t="s">
        <v>266</v>
      </c>
      <c r="G223" s="49">
        <v>45587</v>
      </c>
      <c r="H223" s="49">
        <v>45589</v>
      </c>
      <c r="I223" s="29"/>
      <c r="J223" s="29" t="s">
        <v>56</v>
      </c>
      <c r="K223" s="24" t="s">
        <v>43</v>
      </c>
      <c r="L223" s="49">
        <v>45587</v>
      </c>
      <c r="M223" s="49">
        <v>45589</v>
      </c>
      <c r="N223" s="29">
        <f t="shared" si="7"/>
        <v>2</v>
      </c>
      <c r="O223" s="29"/>
      <c r="P223" t="s">
        <v>88</v>
      </c>
      <c r="Q223" t="s">
        <v>88</v>
      </c>
      <c r="R223" t="s">
        <v>88</v>
      </c>
      <c r="S223" t="s">
        <v>88</v>
      </c>
      <c r="T223" t="s">
        <v>88</v>
      </c>
      <c r="U223" t="s">
        <v>20</v>
      </c>
    </row>
    <row r="224" spans="1:21" ht="15.75" customHeight="1" x14ac:dyDescent="0.45">
      <c r="A224" s="79">
        <v>123015584</v>
      </c>
      <c r="B224" s="29" t="str">
        <f t="shared" si="6"/>
        <v>12.301.558-4</v>
      </c>
      <c r="C224" s="22" t="str">
        <f>IF(IFERROR(VLOOKUP(A224,$A$10:$I223,1,0),0)=0,"",VLOOKUP(A224,$A$10:$I223,3,0))</f>
        <v>UCI</v>
      </c>
      <c r="D224" s="29" t="str">
        <f>IF(IFERROR(VLOOKUP(A224,$A$10:$I223,1,0),0)=0,"",VLOOKUP(A224,$A$10:$I223,4,0))</f>
        <v>MAURICIO</v>
      </c>
      <c r="E224" s="29" t="str">
        <f>IF(IFERROR(VLOOKUP(A224,$A$10:$I223,1,0),0)=0,"",VLOOKUP(A224,$A$10:$I223,5,0))</f>
        <v>CONTRERAS</v>
      </c>
      <c r="F224" s="29" t="str">
        <f>IF(IFERROR(VLOOKUP(A224,$A$10:$I223,1,0),0)=0,"",VLOOKUP(A224,$A$10:$I223,6,0))</f>
        <v>SOTO</v>
      </c>
      <c r="G224" s="49">
        <f>IF(IFERROR(VLOOKUP(A224,$A$10:$I223,1,0),0)=0,"",VLOOKUP(A224,$A$10:$I223,7,0))</f>
        <v>45587</v>
      </c>
      <c r="H224" s="49">
        <v>45589</v>
      </c>
      <c r="I224" s="29"/>
      <c r="J224" s="29" t="s">
        <v>56</v>
      </c>
      <c r="K224" s="24" t="s">
        <v>47</v>
      </c>
      <c r="L224" s="49">
        <v>45587</v>
      </c>
      <c r="M224" s="49">
        <v>45589</v>
      </c>
      <c r="N224" s="29">
        <f t="shared" si="7"/>
        <v>2</v>
      </c>
      <c r="O224" s="29"/>
      <c r="P224" t="s">
        <v>88</v>
      </c>
      <c r="Q224" t="s">
        <v>88</v>
      </c>
      <c r="R224" t="s">
        <v>88</v>
      </c>
      <c r="S224" t="s">
        <v>88</v>
      </c>
      <c r="T224" t="s">
        <v>88</v>
      </c>
      <c r="U224" t="s">
        <v>20</v>
      </c>
    </row>
    <row r="225" spans="1:21" ht="15.75" customHeight="1" x14ac:dyDescent="0.45">
      <c r="A225" s="79">
        <v>143605221</v>
      </c>
      <c r="B225" s="29" t="str">
        <f t="shared" si="6"/>
        <v>14.360.522-1</v>
      </c>
      <c r="C225" s="22" t="s">
        <v>22</v>
      </c>
      <c r="D225" s="29" t="str">
        <f>IF(IFERROR(VLOOKUP(A225,$A$10:$I224,1,0),0)=0,"",VLOOKUP(A225,$A$10:$I224,4,0))</f>
        <v>RODRIGO</v>
      </c>
      <c r="E225" s="29" t="str">
        <f>IF(IFERROR(VLOOKUP(A225,$A$10:$I224,1,0),0)=0,"",VLOOKUP(A225,$A$10:$I224,5,0))</f>
        <v>SALGADO</v>
      </c>
      <c r="F225" s="29" t="str">
        <f>IF(IFERROR(VLOOKUP(A225,$A$10:$I224,1,0),0)=0,"",VLOOKUP(A225,$A$10:$I224,6,0))</f>
        <v>INOSTROZA</v>
      </c>
      <c r="G225" s="49">
        <v>45584</v>
      </c>
      <c r="H225" s="49">
        <v>45590</v>
      </c>
      <c r="I225" s="29"/>
      <c r="J225" s="29" t="s">
        <v>22</v>
      </c>
      <c r="K225" s="24" t="s">
        <v>43</v>
      </c>
      <c r="L225" s="49">
        <v>45584</v>
      </c>
      <c r="M225" s="49">
        <v>45590</v>
      </c>
      <c r="N225" s="29">
        <f t="shared" si="7"/>
        <v>6</v>
      </c>
      <c r="O225" s="29"/>
      <c r="P225" t="s">
        <v>88</v>
      </c>
      <c r="Q225" t="s">
        <v>88</v>
      </c>
      <c r="R225" t="s">
        <v>88</v>
      </c>
      <c r="S225" t="s">
        <v>88</v>
      </c>
      <c r="T225" t="s">
        <v>88</v>
      </c>
      <c r="U225" t="s">
        <v>20</v>
      </c>
    </row>
    <row r="226" spans="1:21" ht="15.75" customHeight="1" x14ac:dyDescent="0.45">
      <c r="A226" s="79">
        <v>143605221</v>
      </c>
      <c r="B226" s="29" t="str">
        <f t="shared" si="6"/>
        <v>14.360.522-1</v>
      </c>
      <c r="C226" s="22" t="s">
        <v>22</v>
      </c>
      <c r="D226" s="29" t="str">
        <f>IF(IFERROR(VLOOKUP(A226,$A$10:$I225,1,0),0)=0,"",VLOOKUP(A226,$A$10:$I225,4,0))</f>
        <v>RODRIGO</v>
      </c>
      <c r="E226" s="29" t="str">
        <f>IF(IFERROR(VLOOKUP(A226,$A$10:$I225,1,0),0)=0,"",VLOOKUP(A226,$A$10:$I225,5,0))</f>
        <v>SALGADO</v>
      </c>
      <c r="F226" s="29" t="str">
        <f>IF(IFERROR(VLOOKUP(A226,$A$10:$I225,1,0),0)=0,"",VLOOKUP(A226,$A$10:$I225,6,0))</f>
        <v>INOSTROZA</v>
      </c>
      <c r="G226" s="49">
        <v>45584</v>
      </c>
      <c r="H226" s="49">
        <v>45590</v>
      </c>
      <c r="I226" s="29"/>
      <c r="J226" s="29" t="s">
        <v>22</v>
      </c>
      <c r="K226" s="24" t="s">
        <v>47</v>
      </c>
      <c r="L226" s="49">
        <v>45584</v>
      </c>
      <c r="M226" s="49">
        <v>45590</v>
      </c>
      <c r="N226" s="29">
        <f t="shared" si="7"/>
        <v>6</v>
      </c>
      <c r="O226" s="29"/>
      <c r="P226" t="s">
        <v>88</v>
      </c>
      <c r="Q226" t="s">
        <v>88</v>
      </c>
      <c r="R226" t="s">
        <v>88</v>
      </c>
      <c r="S226" t="s">
        <v>88</v>
      </c>
      <c r="T226" t="s">
        <v>88</v>
      </c>
      <c r="U226" t="s">
        <v>20</v>
      </c>
    </row>
    <row r="227" spans="1:21" ht="15.75" customHeight="1" x14ac:dyDescent="0.45">
      <c r="A227" s="79">
        <v>59183621</v>
      </c>
      <c r="B227" s="29" t="str">
        <f t="shared" si="6"/>
        <v>5.918.362-1</v>
      </c>
      <c r="C227" s="22" t="s">
        <v>22</v>
      </c>
      <c r="D227" s="29" t="s">
        <v>538</v>
      </c>
      <c r="E227" s="29" t="s">
        <v>442</v>
      </c>
      <c r="F227" s="29" t="s">
        <v>1527</v>
      </c>
      <c r="G227" s="49">
        <v>45588</v>
      </c>
      <c r="H227" s="49">
        <v>45592</v>
      </c>
      <c r="I227" s="29"/>
      <c r="J227" s="29" t="s">
        <v>56</v>
      </c>
      <c r="K227" s="24" t="s">
        <v>43</v>
      </c>
      <c r="L227" s="49">
        <v>45588</v>
      </c>
      <c r="M227" s="49">
        <v>45592</v>
      </c>
      <c r="N227" s="29">
        <f t="shared" si="7"/>
        <v>4</v>
      </c>
      <c r="O227" s="29"/>
      <c r="P227" t="s">
        <v>88</v>
      </c>
      <c r="Q227" t="s">
        <v>88</v>
      </c>
      <c r="R227" t="s">
        <v>88</v>
      </c>
      <c r="S227" t="s">
        <v>88</v>
      </c>
      <c r="T227" t="s">
        <v>88</v>
      </c>
      <c r="U227" t="s">
        <v>20</v>
      </c>
    </row>
    <row r="228" spans="1:21" ht="15.75" customHeight="1" x14ac:dyDescent="0.45">
      <c r="A228" s="79">
        <v>59183621</v>
      </c>
      <c r="B228" s="29" t="str">
        <f t="shared" si="6"/>
        <v>5.918.362-1</v>
      </c>
      <c r="C228" s="22" t="str">
        <f>IF(IFERROR(VLOOKUP(A228,$A$10:$I227,1,0),0)=0,"",VLOOKUP(A228,$A$10:$I227,3,0))</f>
        <v>UCI</v>
      </c>
      <c r="D228" s="29" t="str">
        <f>IF(IFERROR(VLOOKUP(A228,$A$10:$I227,1,0),0)=0,"",VLOOKUP(A228,$A$10:$I227,4,0))</f>
        <v>ELBA</v>
      </c>
      <c r="E228" s="29" t="str">
        <f>IF(IFERROR(VLOOKUP(A228,$A$10:$I227,1,0),0)=0,"",VLOOKUP(A228,$A$10:$I227,5,0))</f>
        <v>FUENTEALBA</v>
      </c>
      <c r="F228" s="29" t="str">
        <f>IF(IFERROR(VLOOKUP(A228,$A$10:$I227,1,0),0)=0,"",VLOOKUP(A228,$A$10:$I227,6,0))</f>
        <v>OLIVEROS</v>
      </c>
      <c r="G228" s="49">
        <f>IF(IFERROR(VLOOKUP(A228,$A$10:$I227,1,0),0)=0,"",VLOOKUP(A228,$A$10:$I227,7,0))</f>
        <v>45588</v>
      </c>
      <c r="H228" s="49">
        <v>45592</v>
      </c>
      <c r="I228" s="29"/>
      <c r="J228" s="29" t="s">
        <v>56</v>
      </c>
      <c r="K228" s="24" t="s">
        <v>47</v>
      </c>
      <c r="L228" s="49">
        <v>45588</v>
      </c>
      <c r="M228" s="49">
        <v>45592</v>
      </c>
      <c r="N228" s="29">
        <f t="shared" si="7"/>
        <v>4</v>
      </c>
      <c r="O228" s="29"/>
      <c r="P228" t="s">
        <v>88</v>
      </c>
      <c r="Q228" t="s">
        <v>88</v>
      </c>
      <c r="R228" t="s">
        <v>88</v>
      </c>
      <c r="S228" t="s">
        <v>88</v>
      </c>
      <c r="T228" t="s">
        <v>88</v>
      </c>
      <c r="U228" t="s">
        <v>20</v>
      </c>
    </row>
    <row r="229" spans="1:21" ht="15.75" customHeight="1" x14ac:dyDescent="0.45">
      <c r="A229" s="79">
        <v>277188244</v>
      </c>
      <c r="B229" s="29" t="str">
        <f t="shared" si="6"/>
        <v>27.718.824-4</v>
      </c>
      <c r="C229" s="22" t="s">
        <v>30</v>
      </c>
      <c r="D229" s="29" t="s">
        <v>1528</v>
      </c>
      <c r="E229" s="29" t="s">
        <v>1529</v>
      </c>
      <c r="F229" s="29" t="s">
        <v>417</v>
      </c>
      <c r="G229" s="49">
        <v>45590</v>
      </c>
      <c r="H229" s="49">
        <v>45594</v>
      </c>
      <c r="I229" s="29"/>
      <c r="J229" s="29" t="s">
        <v>46</v>
      </c>
      <c r="K229" s="24" t="s">
        <v>43</v>
      </c>
      <c r="L229" s="49">
        <v>45590</v>
      </c>
      <c r="M229" s="49">
        <v>45594</v>
      </c>
      <c r="N229" s="29">
        <f t="shared" si="7"/>
        <v>4</v>
      </c>
      <c r="O229" s="29"/>
      <c r="P229" t="s">
        <v>88</v>
      </c>
      <c r="Q229" t="s">
        <v>88</v>
      </c>
      <c r="R229" t="s">
        <v>88</v>
      </c>
      <c r="S229" t="s">
        <v>88</v>
      </c>
      <c r="T229" t="s">
        <v>88</v>
      </c>
      <c r="U229" t="s">
        <v>20</v>
      </c>
    </row>
    <row r="230" spans="1:21" ht="15.75" customHeight="1" x14ac:dyDescent="0.45">
      <c r="A230" s="79">
        <v>277188244</v>
      </c>
      <c r="B230" s="29" t="str">
        <f t="shared" si="6"/>
        <v>27.718.824-4</v>
      </c>
      <c r="C230" s="22" t="str">
        <f>IF(IFERROR(VLOOKUP(A230,$A$10:$I229,1,0),0)=0,"",VLOOKUP(A230,$A$10:$I229,3,0))</f>
        <v>UCO</v>
      </c>
      <c r="D230" s="29" t="str">
        <f>IF(IFERROR(VLOOKUP(A230,$A$10:$I229,1,0),0)=0,"",VLOOKUP(A230,$A$10:$I229,4,0))</f>
        <v>YANETH</v>
      </c>
      <c r="E230" s="29" t="str">
        <f>IF(IFERROR(VLOOKUP(A230,$A$10:$I229,1,0),0)=0,"",VLOOKUP(A230,$A$10:$I229,5,0))</f>
        <v>GUERRA</v>
      </c>
      <c r="F230" s="29" t="str">
        <f>IF(IFERROR(VLOOKUP(A230,$A$10:$I229,1,0),0)=0,"",VLOOKUP(A230,$A$10:$I229,6,0))</f>
        <v>LOPEZ</v>
      </c>
      <c r="G230" s="49">
        <f>IF(IFERROR(VLOOKUP(A230,$A$10:$I229,1,0),0)=0,"",VLOOKUP(A230,$A$10:$I229,7,0))</f>
        <v>45590</v>
      </c>
      <c r="H230" s="49">
        <v>45594</v>
      </c>
      <c r="I230" s="29"/>
      <c r="J230" s="29" t="s">
        <v>46</v>
      </c>
      <c r="K230" s="24" t="s">
        <v>47</v>
      </c>
      <c r="L230" s="49">
        <v>45590</v>
      </c>
      <c r="M230" s="49">
        <v>45593</v>
      </c>
      <c r="N230" s="29">
        <f t="shared" si="7"/>
        <v>3</v>
      </c>
      <c r="O230" s="29"/>
      <c r="P230" t="s">
        <v>88</v>
      </c>
      <c r="Q230" t="s">
        <v>88</v>
      </c>
      <c r="R230" t="s">
        <v>88</v>
      </c>
      <c r="S230" t="s">
        <v>88</v>
      </c>
      <c r="T230" t="s">
        <v>88</v>
      </c>
      <c r="U230" t="s">
        <v>20</v>
      </c>
    </row>
    <row r="231" spans="1:21" ht="15.75" customHeight="1" x14ac:dyDescent="0.45">
      <c r="A231" s="79">
        <v>162212397</v>
      </c>
      <c r="B231" s="29" t="str">
        <f t="shared" si="6"/>
        <v>16.221.239-7</v>
      </c>
      <c r="C231" s="22" t="s">
        <v>30</v>
      </c>
      <c r="D231" s="29" t="s">
        <v>1275</v>
      </c>
      <c r="E231" s="29" t="s">
        <v>261</v>
      </c>
      <c r="F231" s="29" t="s">
        <v>982</v>
      </c>
      <c r="G231" s="49">
        <v>45590</v>
      </c>
      <c r="H231" s="49">
        <v>45594</v>
      </c>
      <c r="I231" s="29"/>
      <c r="J231" s="29"/>
      <c r="K231" s="24" t="s">
        <v>43</v>
      </c>
      <c r="L231" s="49">
        <v>45590</v>
      </c>
      <c r="M231" s="49">
        <v>45594</v>
      </c>
      <c r="N231" s="29">
        <f t="shared" si="7"/>
        <v>4</v>
      </c>
      <c r="O231" s="29"/>
      <c r="P231" t="s">
        <v>88</v>
      </c>
      <c r="Q231" t="s">
        <v>88</v>
      </c>
      <c r="R231" t="s">
        <v>88</v>
      </c>
      <c r="S231" t="s">
        <v>88</v>
      </c>
      <c r="T231" t="s">
        <v>88</v>
      </c>
      <c r="U231" t="s">
        <v>20</v>
      </c>
    </row>
    <row r="232" spans="1:21" ht="15.75" customHeight="1" x14ac:dyDescent="0.45">
      <c r="A232" s="79">
        <v>113186879</v>
      </c>
      <c r="B232" s="29" t="str">
        <f t="shared" si="6"/>
        <v>11.318.687-9</v>
      </c>
      <c r="C232" s="22" t="s">
        <v>30</v>
      </c>
      <c r="D232" s="29" t="s">
        <v>250</v>
      </c>
      <c r="E232" s="29" t="s">
        <v>1530</v>
      </c>
      <c r="F232" s="22" t="s">
        <v>458</v>
      </c>
      <c r="G232" s="49">
        <v>45591</v>
      </c>
      <c r="H232" s="49">
        <v>45595</v>
      </c>
      <c r="I232" s="29"/>
      <c r="J232" s="29"/>
      <c r="K232" s="24" t="s">
        <v>43</v>
      </c>
      <c r="L232" s="49">
        <v>45591</v>
      </c>
      <c r="M232" s="49">
        <v>45595</v>
      </c>
      <c r="N232" s="29">
        <f t="shared" si="7"/>
        <v>4</v>
      </c>
      <c r="O232" s="29"/>
      <c r="P232" t="s">
        <v>88</v>
      </c>
      <c r="Q232" t="s">
        <v>88</v>
      </c>
      <c r="R232" t="s">
        <v>88</v>
      </c>
      <c r="S232" t="s">
        <v>88</v>
      </c>
      <c r="T232" t="s">
        <v>88</v>
      </c>
      <c r="U232" t="s">
        <v>20</v>
      </c>
    </row>
    <row r="233" spans="1:21" ht="15.75" customHeight="1" x14ac:dyDescent="0.45">
      <c r="A233" s="79">
        <v>113186879</v>
      </c>
      <c r="B233" s="29" t="str">
        <f t="shared" si="6"/>
        <v>11.318.687-9</v>
      </c>
      <c r="C233" s="22" t="str">
        <f>IF(IFERROR(VLOOKUP(A233,$A$10:$I232,1,0),0)=0,"",VLOOKUP(A233,$A$10:$I232,3,0))</f>
        <v>UCO</v>
      </c>
      <c r="D233" s="29" t="str">
        <f>IF(IFERROR(VLOOKUP(A233,$A$10:$I232,1,0),0)=0,"",VLOOKUP(A233,$A$10:$I232,4,0))</f>
        <v>JOSE</v>
      </c>
      <c r="E233" s="29" t="str">
        <f>IF(IFERROR(VLOOKUP(A233,$A$10:$I232,1,0),0)=0,"",VLOOKUP(A233,$A$10:$I232,5,0))</f>
        <v>ÑANCUL</v>
      </c>
      <c r="F233" s="29" t="str">
        <f>IF(IFERROR(VLOOKUP(A233,$A$10:$I232,1,0),0)=0,"",VLOOKUP(A233,$A$10:$I232,6,0))</f>
        <v>BENAVIDES</v>
      </c>
      <c r="G233" s="49">
        <f>IF(IFERROR(VLOOKUP(A233,$A$10:$I232,1,0),0)=0,"",VLOOKUP(A233,$A$10:$I232,7,0))</f>
        <v>45591</v>
      </c>
      <c r="H233" s="49">
        <v>45595</v>
      </c>
      <c r="I233" s="29"/>
      <c r="J233" s="29"/>
      <c r="K233" s="24" t="s">
        <v>47</v>
      </c>
      <c r="L233" s="49">
        <v>45591</v>
      </c>
      <c r="M233" s="49">
        <v>45593</v>
      </c>
      <c r="N233" s="29">
        <f t="shared" si="7"/>
        <v>2</v>
      </c>
      <c r="O233" s="29"/>
      <c r="P233" t="s">
        <v>88</v>
      </c>
      <c r="Q233" t="s">
        <v>88</v>
      </c>
      <c r="R233" t="s">
        <v>88</v>
      </c>
      <c r="S233" t="s">
        <v>88</v>
      </c>
      <c r="T233" t="s">
        <v>88</v>
      </c>
      <c r="U233" t="s">
        <v>20</v>
      </c>
    </row>
    <row r="234" spans="1:21" ht="15.75" customHeight="1" x14ac:dyDescent="0.45">
      <c r="A234" s="79">
        <v>45686345</v>
      </c>
      <c r="B234" s="29" t="str">
        <f t="shared" si="6"/>
        <v>4.568.634-5</v>
      </c>
      <c r="C234" s="22" t="s">
        <v>30</v>
      </c>
      <c r="D234" s="29" t="s">
        <v>1531</v>
      </c>
      <c r="E234" s="29" t="s">
        <v>288</v>
      </c>
      <c r="F234" s="29" t="s">
        <v>288</v>
      </c>
      <c r="G234" s="49">
        <v>45589</v>
      </c>
      <c r="H234" s="49">
        <v>45593</v>
      </c>
      <c r="I234" s="29"/>
      <c r="J234" s="29"/>
      <c r="K234" s="24" t="s">
        <v>43</v>
      </c>
      <c r="L234" s="49">
        <v>45589</v>
      </c>
      <c r="M234" s="49">
        <v>45593</v>
      </c>
      <c r="N234" s="29">
        <f t="shared" si="7"/>
        <v>4</v>
      </c>
      <c r="O234" s="29"/>
      <c r="P234" t="s">
        <v>88</v>
      </c>
      <c r="Q234" t="s">
        <v>88</v>
      </c>
      <c r="R234" t="s">
        <v>88</v>
      </c>
      <c r="S234" t="s">
        <v>88</v>
      </c>
      <c r="T234" t="s">
        <v>88</v>
      </c>
      <c r="U234" t="s">
        <v>20</v>
      </c>
    </row>
    <row r="235" spans="1:21" ht="15.75" customHeight="1" x14ac:dyDescent="0.45">
      <c r="A235" s="79">
        <v>59889443</v>
      </c>
      <c r="B235" s="29" t="str">
        <f t="shared" si="6"/>
        <v>5.988.944-3</v>
      </c>
      <c r="C235" s="22" t="s">
        <v>46</v>
      </c>
      <c r="D235" s="29" t="s">
        <v>933</v>
      </c>
      <c r="E235" s="29" t="s">
        <v>393</v>
      </c>
      <c r="F235" s="29" t="s">
        <v>427</v>
      </c>
      <c r="G235" s="49">
        <v>45593</v>
      </c>
      <c r="H235" s="49">
        <v>45595</v>
      </c>
      <c r="I235" s="29"/>
      <c r="J235" s="29" t="s">
        <v>13</v>
      </c>
      <c r="K235" s="24" t="s">
        <v>47</v>
      </c>
      <c r="L235" s="49">
        <v>45594</v>
      </c>
      <c r="M235" s="49">
        <v>45595</v>
      </c>
      <c r="N235" s="29">
        <f t="shared" si="7"/>
        <v>1</v>
      </c>
      <c r="O235" s="29"/>
      <c r="P235" t="s">
        <v>88</v>
      </c>
      <c r="Q235" t="s">
        <v>88</v>
      </c>
      <c r="R235" t="s">
        <v>88</v>
      </c>
      <c r="S235" t="s">
        <v>88</v>
      </c>
      <c r="T235" t="s">
        <v>88</v>
      </c>
      <c r="U235" t="s">
        <v>20</v>
      </c>
    </row>
    <row r="236" spans="1:21" ht="15.75" customHeight="1" x14ac:dyDescent="0.45">
      <c r="A236" s="79">
        <v>277188244</v>
      </c>
      <c r="B236" s="29" t="str">
        <f t="shared" si="6"/>
        <v>27.718.824-4</v>
      </c>
      <c r="C236" s="22" t="s">
        <v>46</v>
      </c>
      <c r="D236" s="29" t="str">
        <f>IF(IFERROR(VLOOKUP(A236,$A$10:$I235,1,0),0)=0,"",VLOOKUP(A236,$A$10:$I235,4,0))</f>
        <v>YANETH</v>
      </c>
      <c r="E236" s="29" t="str">
        <f>IF(IFERROR(VLOOKUP(A236,$A$10:$I235,1,0),0)=0,"",VLOOKUP(A236,$A$10:$I235,5,0))</f>
        <v>GUERRA</v>
      </c>
      <c r="F236" s="29" t="str">
        <f>IF(IFERROR(VLOOKUP(A236,$A$10:$I235,1,0),0)=0,"",VLOOKUP(A236,$A$10:$I235,6,0))</f>
        <v>LOPEZ</v>
      </c>
      <c r="G236" s="49">
        <v>45594</v>
      </c>
      <c r="H236" s="49">
        <v>45596</v>
      </c>
      <c r="I236" s="29"/>
      <c r="J236" s="29"/>
      <c r="K236" s="24" t="s">
        <v>43</v>
      </c>
      <c r="L236" s="49">
        <v>45594</v>
      </c>
      <c r="M236" s="49">
        <v>45595</v>
      </c>
      <c r="N236" s="29">
        <f t="shared" si="7"/>
        <v>1</v>
      </c>
      <c r="O236" s="29"/>
      <c r="P236" t="s">
        <v>88</v>
      </c>
      <c r="Q236" t="s">
        <v>88</v>
      </c>
      <c r="R236" t="s">
        <v>88</v>
      </c>
      <c r="S236" t="s">
        <v>88</v>
      </c>
      <c r="T236" t="s">
        <v>88</v>
      </c>
      <c r="U236" t="s">
        <v>20</v>
      </c>
    </row>
    <row r="237" spans="1:21" ht="15.75" customHeight="1" x14ac:dyDescent="0.45">
      <c r="A237" s="79">
        <v>49326696</v>
      </c>
      <c r="B237" s="29" t="str">
        <f t="shared" si="6"/>
        <v>4.932.669-6</v>
      </c>
      <c r="C237" s="22" t="s">
        <v>46</v>
      </c>
      <c r="D237" s="29" t="s">
        <v>1043</v>
      </c>
      <c r="E237" s="29" t="s">
        <v>561</v>
      </c>
      <c r="F237" s="29" t="s">
        <v>318</v>
      </c>
      <c r="G237" s="49">
        <v>45591</v>
      </c>
      <c r="H237" s="49">
        <v>45602</v>
      </c>
      <c r="I237" s="29"/>
      <c r="J237" s="29" t="s">
        <v>19</v>
      </c>
      <c r="K237" s="24" t="s">
        <v>47</v>
      </c>
      <c r="L237" s="49">
        <v>45591</v>
      </c>
      <c r="M237" s="49">
        <v>45596</v>
      </c>
      <c r="N237" s="29">
        <f t="shared" si="7"/>
        <v>5</v>
      </c>
      <c r="O237" s="29"/>
      <c r="P237" t="s">
        <v>88</v>
      </c>
      <c r="Q237" t="s">
        <v>88</v>
      </c>
      <c r="R237" t="s">
        <v>88</v>
      </c>
      <c r="S237" t="s">
        <v>88</v>
      </c>
      <c r="T237" t="s">
        <v>88</v>
      </c>
      <c r="U237" t="s">
        <v>20</v>
      </c>
    </row>
    <row r="238" spans="1:21" ht="15.75" customHeight="1" x14ac:dyDescent="0.45">
      <c r="A238" s="79">
        <v>54176112</v>
      </c>
      <c r="B238" s="29" t="str">
        <f t="shared" si="6"/>
        <v>5.417.611-2</v>
      </c>
      <c r="C238" s="22" t="s">
        <v>46</v>
      </c>
      <c r="D238" s="29" t="s">
        <v>1532</v>
      </c>
      <c r="E238" s="29" t="s">
        <v>369</v>
      </c>
      <c r="F238" s="29" t="s">
        <v>1533</v>
      </c>
      <c r="G238" s="49">
        <v>45579</v>
      </c>
      <c r="H238" s="49"/>
      <c r="I238" s="29"/>
      <c r="J238" s="29"/>
      <c r="K238" s="24" t="s">
        <v>47</v>
      </c>
      <c r="L238" s="49">
        <v>45589</v>
      </c>
      <c r="M238" s="49">
        <v>45596</v>
      </c>
      <c r="N238" s="29">
        <f t="shared" si="7"/>
        <v>7</v>
      </c>
      <c r="O238" s="29"/>
      <c r="P238" t="s">
        <v>106</v>
      </c>
      <c r="Q238" t="s">
        <v>100</v>
      </c>
      <c r="R238" t="s">
        <v>88</v>
      </c>
      <c r="S238" t="s">
        <v>88</v>
      </c>
      <c r="T238" t="s">
        <v>88</v>
      </c>
      <c r="U238" t="s">
        <v>14</v>
      </c>
    </row>
    <row r="239" spans="1:21" ht="15.75" customHeight="1" x14ac:dyDescent="0.45">
      <c r="A239" s="79">
        <v>209780860</v>
      </c>
      <c r="B239" s="29" t="str">
        <f t="shared" si="6"/>
        <v>20.978.086-0</v>
      </c>
      <c r="C239" s="22" t="s">
        <v>22</v>
      </c>
      <c r="D239" s="29" t="s">
        <v>1534</v>
      </c>
      <c r="E239" s="29" t="s">
        <v>1271</v>
      </c>
      <c r="F239" s="29" t="s">
        <v>1044</v>
      </c>
      <c r="G239" s="49">
        <v>45592</v>
      </c>
      <c r="H239" s="49">
        <v>45599</v>
      </c>
      <c r="I239" s="29"/>
      <c r="J239" s="29" t="s">
        <v>34</v>
      </c>
      <c r="K239" s="24" t="s">
        <v>43</v>
      </c>
      <c r="L239" s="49">
        <v>45592</v>
      </c>
      <c r="M239" s="49">
        <v>45596</v>
      </c>
      <c r="N239" s="29">
        <f t="shared" si="7"/>
        <v>4</v>
      </c>
      <c r="O239" s="29" t="s">
        <v>14</v>
      </c>
      <c r="P239" t="s">
        <v>88</v>
      </c>
      <c r="Q239" t="s">
        <v>88</v>
      </c>
      <c r="R239" t="s">
        <v>88</v>
      </c>
      <c r="S239" t="s">
        <v>88</v>
      </c>
      <c r="T239" t="s">
        <v>88</v>
      </c>
      <c r="U239" t="s">
        <v>20</v>
      </c>
    </row>
    <row r="240" spans="1:21" ht="15.75" customHeight="1" x14ac:dyDescent="0.45">
      <c r="A240" s="79">
        <v>209780860</v>
      </c>
      <c r="B240" s="29" t="str">
        <f t="shared" si="6"/>
        <v>20.978.086-0</v>
      </c>
      <c r="C240" s="22" t="str">
        <f>IF(IFERROR(VLOOKUP(A240,$A$10:$I239,1,0),0)=0,"",VLOOKUP(A240,$A$10:$I239,3,0))</f>
        <v>UCI</v>
      </c>
      <c r="D240" s="29" t="str">
        <f>IF(IFERROR(VLOOKUP(A240,$A$10:$I239,1,0),0)=0,"",VLOOKUP(A240,$A$10:$I239,4,0))</f>
        <v>JONATHAN</v>
      </c>
      <c r="E240" s="29" t="str">
        <f>IF(IFERROR(VLOOKUP(A240,$A$10:$I239,1,0),0)=0,"",VLOOKUP(A240,$A$10:$I239,5,0))</f>
        <v>BARRIENTOS</v>
      </c>
      <c r="F240" s="29" t="str">
        <f>IF(IFERROR(VLOOKUP(A240,$A$10:$I239,1,0),0)=0,"",VLOOKUP(A240,$A$10:$I239,6,0))</f>
        <v>MALDONADO</v>
      </c>
      <c r="G240" s="49">
        <f>IF(IFERROR(VLOOKUP(A240,$A$10:$I239,1,0),0)=0,"",VLOOKUP(A240,$A$10:$I239,7,0))</f>
        <v>45592</v>
      </c>
      <c r="H240" s="49">
        <v>45599</v>
      </c>
      <c r="I240" s="29"/>
      <c r="J240" s="29" t="s">
        <v>34</v>
      </c>
      <c r="K240" s="24" t="s">
        <v>47</v>
      </c>
      <c r="L240" s="49">
        <v>45592</v>
      </c>
      <c r="M240" s="49">
        <v>45596</v>
      </c>
      <c r="N240" s="29">
        <f t="shared" si="7"/>
        <v>4</v>
      </c>
      <c r="O240" s="29"/>
      <c r="P240" t="s">
        <v>88</v>
      </c>
      <c r="Q240" t="s">
        <v>88</v>
      </c>
      <c r="R240" t="s">
        <v>88</v>
      </c>
      <c r="S240" t="s">
        <v>88</v>
      </c>
      <c r="T240" t="s">
        <v>88</v>
      </c>
      <c r="U240" t="s">
        <v>20</v>
      </c>
    </row>
    <row r="241" spans="1:21" ht="15.75" customHeight="1" x14ac:dyDescent="0.45">
      <c r="A241" s="79">
        <v>209780860</v>
      </c>
      <c r="B241" s="29" t="str">
        <f t="shared" si="6"/>
        <v>20.978.086-0</v>
      </c>
      <c r="C241" s="22" t="str">
        <f>IF(IFERROR(VLOOKUP(A241,$A$10:$I240,1,0),0)=0,"",VLOOKUP(A241,$A$10:$I240,3,0))</f>
        <v>UCI</v>
      </c>
      <c r="D241" s="29" t="str">
        <f>IF(IFERROR(VLOOKUP(A241,$A$10:$I240,1,0),0)=0,"",VLOOKUP(A241,$A$10:$I240,4,0))</f>
        <v>JONATHAN</v>
      </c>
      <c r="E241" s="29" t="str">
        <f>IF(IFERROR(VLOOKUP(A241,$A$10:$I240,1,0),0)=0,"",VLOOKUP(A241,$A$10:$I240,5,0))</f>
        <v>BARRIENTOS</v>
      </c>
      <c r="F241" s="29" t="str">
        <f>IF(IFERROR(VLOOKUP(A241,$A$10:$I240,1,0),0)=0,"",VLOOKUP(A241,$A$10:$I240,6,0))</f>
        <v>MALDONADO</v>
      </c>
      <c r="G241" s="49">
        <f>IF(IFERROR(VLOOKUP(A241,$A$10:$I240,1,0),0)=0,"",VLOOKUP(A241,$A$10:$I240,7,0))</f>
        <v>45592</v>
      </c>
      <c r="H241" s="49">
        <v>45599</v>
      </c>
      <c r="I241" s="29"/>
      <c r="J241" s="29" t="s">
        <v>34</v>
      </c>
      <c r="K241" s="24" t="s">
        <v>55</v>
      </c>
      <c r="L241" s="49">
        <v>45592</v>
      </c>
      <c r="M241" s="49">
        <v>45596</v>
      </c>
      <c r="N241" s="29">
        <f t="shared" si="7"/>
        <v>4</v>
      </c>
      <c r="O241" s="29"/>
      <c r="P241" t="s">
        <v>132</v>
      </c>
      <c r="Q241" t="s">
        <v>88</v>
      </c>
      <c r="R241" t="s">
        <v>88</v>
      </c>
      <c r="S241" t="s">
        <v>88</v>
      </c>
      <c r="T241" t="s">
        <v>88</v>
      </c>
      <c r="U241" t="s">
        <v>20</v>
      </c>
    </row>
    <row r="242" spans="1:21" ht="15.75" customHeight="1" x14ac:dyDescent="0.45">
      <c r="A242" s="79">
        <v>79686271</v>
      </c>
      <c r="B242" s="29" t="str">
        <f t="shared" si="6"/>
        <v>7.968.627-1</v>
      </c>
      <c r="C242" s="22" t="s">
        <v>22</v>
      </c>
      <c r="D242" s="29" t="s">
        <v>1535</v>
      </c>
      <c r="E242" s="29" t="s">
        <v>631</v>
      </c>
      <c r="F242" s="29" t="s">
        <v>561</v>
      </c>
      <c r="G242" s="49">
        <v>45591</v>
      </c>
      <c r="H242" s="49">
        <v>45600</v>
      </c>
      <c r="I242" s="29"/>
      <c r="J242" s="29" t="s">
        <v>22</v>
      </c>
      <c r="K242" s="24" t="s">
        <v>43</v>
      </c>
      <c r="L242" s="49">
        <v>45591</v>
      </c>
      <c r="M242" s="49">
        <v>45596</v>
      </c>
      <c r="N242" s="29">
        <f t="shared" si="7"/>
        <v>5</v>
      </c>
      <c r="O242" s="29"/>
      <c r="P242" t="s">
        <v>88</v>
      </c>
      <c r="Q242" t="s">
        <v>88</v>
      </c>
      <c r="R242" t="s">
        <v>88</v>
      </c>
      <c r="S242" t="s">
        <v>88</v>
      </c>
      <c r="T242" t="s">
        <v>88</v>
      </c>
      <c r="U242" t="s">
        <v>20</v>
      </c>
    </row>
    <row r="243" spans="1:21" ht="15.75" customHeight="1" x14ac:dyDescent="0.45">
      <c r="A243" s="79">
        <v>79686271</v>
      </c>
      <c r="B243" s="29" t="str">
        <f t="shared" si="6"/>
        <v>7.968.627-1</v>
      </c>
      <c r="C243" s="22" t="str">
        <f>IF(IFERROR(VLOOKUP(A243,$A$10:$I242,1,0),0)=0,"",VLOOKUP(A243,$A$10:$I242,3,0))</f>
        <v>UCI</v>
      </c>
      <c r="D243" s="29" t="str">
        <f>IF(IFERROR(VLOOKUP(A243,$A$10:$I242,1,0),0)=0,"",VLOOKUP(A243,$A$10:$I242,4,0))</f>
        <v>RUPERTO</v>
      </c>
      <c r="E243" s="29" t="str">
        <f>IF(IFERROR(VLOOKUP(A243,$A$10:$I242,1,0),0)=0,"",VLOOKUP(A243,$A$10:$I242,5,0))</f>
        <v>ALARCON</v>
      </c>
      <c r="F243" s="29" t="str">
        <f>IF(IFERROR(VLOOKUP(A243,$A$10:$I242,1,0),0)=0,"",VLOOKUP(A243,$A$10:$I242,6,0))</f>
        <v>VERGARA</v>
      </c>
      <c r="G243" s="49">
        <f>IF(IFERROR(VLOOKUP(A243,$A$10:$I242,1,0),0)=0,"",VLOOKUP(A243,$A$10:$I242,7,0))</f>
        <v>45591</v>
      </c>
      <c r="H243" s="49">
        <v>45600</v>
      </c>
      <c r="I243" s="29"/>
      <c r="J243" s="29" t="s">
        <v>22</v>
      </c>
      <c r="K243" s="24" t="s">
        <v>47</v>
      </c>
      <c r="L243" s="49">
        <v>45591</v>
      </c>
      <c r="M243" s="49">
        <v>45596</v>
      </c>
      <c r="N243" s="29">
        <f t="shared" si="7"/>
        <v>5</v>
      </c>
      <c r="O243" s="29"/>
      <c r="P243" t="s">
        <v>88</v>
      </c>
      <c r="Q243" t="s">
        <v>88</v>
      </c>
      <c r="R243" t="s">
        <v>88</v>
      </c>
      <c r="S243" t="s">
        <v>88</v>
      </c>
      <c r="T243" t="s">
        <v>88</v>
      </c>
      <c r="U243" t="s">
        <v>20</v>
      </c>
    </row>
    <row r="244" spans="1:21" ht="15.75" customHeight="1" x14ac:dyDescent="0.45">
      <c r="A244" s="79">
        <v>79686271</v>
      </c>
      <c r="B244" s="29" t="str">
        <f t="shared" si="6"/>
        <v>7.968.627-1</v>
      </c>
      <c r="C244" s="22" t="str">
        <f>IF(IFERROR(VLOOKUP(A244,$A$10:$I243,1,0),0)=0,"",VLOOKUP(A244,$A$10:$I243,3,0))</f>
        <v>UCI</v>
      </c>
      <c r="D244" s="29" t="str">
        <f>IF(IFERROR(VLOOKUP(A244,$A$10:$I243,1,0),0)=0,"",VLOOKUP(A244,$A$10:$I243,4,0))</f>
        <v>RUPERTO</v>
      </c>
      <c r="E244" s="29" t="str">
        <f>IF(IFERROR(VLOOKUP(A244,$A$10:$I243,1,0),0)=0,"",VLOOKUP(A244,$A$10:$I243,5,0))</f>
        <v>ALARCON</v>
      </c>
      <c r="F244" s="29" t="str">
        <f>IF(IFERROR(VLOOKUP(A244,$A$10:$I243,1,0),0)=0,"",VLOOKUP(A244,$A$10:$I243,6,0))</f>
        <v>VERGARA</v>
      </c>
      <c r="G244" s="49">
        <f>IF(IFERROR(VLOOKUP(A244,$A$10:$I243,1,0),0)=0,"",VLOOKUP(A244,$A$10:$I243,7,0))</f>
        <v>45591</v>
      </c>
      <c r="H244" s="49">
        <v>45600</v>
      </c>
      <c r="I244" s="29"/>
      <c r="J244" s="29" t="s">
        <v>22</v>
      </c>
      <c r="K244" s="24" t="s">
        <v>55</v>
      </c>
      <c r="L244" s="49">
        <v>45591</v>
      </c>
      <c r="M244" s="49">
        <v>45596</v>
      </c>
      <c r="N244" s="29">
        <f t="shared" si="7"/>
        <v>5</v>
      </c>
      <c r="O244" s="29"/>
      <c r="P244" t="s">
        <v>88</v>
      </c>
      <c r="Q244" t="s">
        <v>88</v>
      </c>
      <c r="R244" t="s">
        <v>88</v>
      </c>
      <c r="S244" t="s">
        <v>88</v>
      </c>
      <c r="T244" t="s">
        <v>88</v>
      </c>
      <c r="U244" t="s">
        <v>20</v>
      </c>
    </row>
    <row r="245" spans="1:21" ht="15.75" customHeight="1" x14ac:dyDescent="0.45">
      <c r="A245" s="79">
        <v>71646793</v>
      </c>
      <c r="B245" s="29" t="str">
        <f t="shared" si="6"/>
        <v>7.164.679-3</v>
      </c>
      <c r="C245" s="22" t="s">
        <v>22</v>
      </c>
      <c r="D245" s="29" t="s">
        <v>685</v>
      </c>
      <c r="E245" s="29" t="s">
        <v>312</v>
      </c>
      <c r="F245" s="29" t="s">
        <v>767</v>
      </c>
      <c r="G245" s="49">
        <v>45590</v>
      </c>
      <c r="H245" s="49">
        <v>45597</v>
      </c>
      <c r="I245" s="29"/>
      <c r="J245" s="29" t="s">
        <v>19</v>
      </c>
      <c r="K245" s="24" t="s">
        <v>43</v>
      </c>
      <c r="L245" s="49">
        <v>45592</v>
      </c>
      <c r="M245" s="49">
        <v>45596</v>
      </c>
      <c r="N245" s="29">
        <f t="shared" si="7"/>
        <v>4</v>
      </c>
      <c r="O245" s="29"/>
      <c r="P245" t="s">
        <v>88</v>
      </c>
      <c r="Q245" t="s">
        <v>88</v>
      </c>
      <c r="R245" t="s">
        <v>88</v>
      </c>
      <c r="S245" t="s">
        <v>88</v>
      </c>
      <c r="T245" t="s">
        <v>88</v>
      </c>
      <c r="U245" t="s">
        <v>20</v>
      </c>
    </row>
    <row r="246" spans="1:21" ht="15.75" customHeight="1" x14ac:dyDescent="0.45">
      <c r="A246" s="79">
        <v>71646793</v>
      </c>
      <c r="B246" s="29" t="str">
        <f t="shared" si="6"/>
        <v>7.164.679-3</v>
      </c>
      <c r="C246" s="22" t="str">
        <f>IF(IFERROR(VLOOKUP(A246,$A$10:$I245,1,0),0)=0,"",VLOOKUP(A246,$A$10:$I245,3,0))</f>
        <v>UCI</v>
      </c>
      <c r="D246" s="29" t="str">
        <f>IF(IFERROR(VLOOKUP(A246,$A$10:$I245,1,0),0)=0,"",VLOOKUP(A246,$A$10:$I245,4,0))</f>
        <v>ERICA</v>
      </c>
      <c r="E246" s="29" t="str">
        <f>IF(IFERROR(VLOOKUP(A246,$A$10:$I245,1,0),0)=0,"",VLOOKUP(A246,$A$10:$I245,5,0))</f>
        <v>BUSTOS</v>
      </c>
      <c r="F246" s="29" t="str">
        <f>IF(IFERROR(VLOOKUP(A246,$A$10:$I245,1,0),0)=0,"",VLOOKUP(A246,$A$10:$I245,6,0))</f>
        <v>NEIRA</v>
      </c>
      <c r="G246" s="49">
        <f>IF(IFERROR(VLOOKUP(A246,$A$10:$I245,1,0),0)=0,"",VLOOKUP(A246,$A$10:$I245,7,0))</f>
        <v>45590</v>
      </c>
      <c r="H246" s="49">
        <v>45597</v>
      </c>
      <c r="I246" s="29"/>
      <c r="J246" s="29" t="s">
        <v>19</v>
      </c>
      <c r="K246" s="24" t="s">
        <v>47</v>
      </c>
      <c r="L246" s="49">
        <v>45591</v>
      </c>
      <c r="M246" s="49">
        <v>45596</v>
      </c>
      <c r="N246" s="29">
        <f t="shared" si="7"/>
        <v>5</v>
      </c>
      <c r="O246" s="29"/>
      <c r="P246" t="s">
        <v>88</v>
      </c>
      <c r="Q246" t="s">
        <v>88</v>
      </c>
      <c r="R246" t="s">
        <v>88</v>
      </c>
      <c r="S246" t="s">
        <v>88</v>
      </c>
      <c r="T246" t="s">
        <v>88</v>
      </c>
      <c r="U246" t="s">
        <v>20</v>
      </c>
    </row>
    <row r="247" spans="1:21" ht="15.75" customHeight="1" x14ac:dyDescent="0.45">
      <c r="A247" s="79">
        <v>125258727</v>
      </c>
      <c r="B247" s="29" t="str">
        <f t="shared" si="6"/>
        <v>12.525.872-7</v>
      </c>
      <c r="C247" s="22" t="s">
        <v>22</v>
      </c>
      <c r="D247" s="29" t="s">
        <v>380</v>
      </c>
      <c r="E247" s="29" t="s">
        <v>471</v>
      </c>
      <c r="F247" s="29" t="s">
        <v>278</v>
      </c>
      <c r="G247" s="49">
        <v>45591</v>
      </c>
      <c r="H247" s="49">
        <v>45609</v>
      </c>
      <c r="I247" s="29"/>
      <c r="J247" s="29"/>
      <c r="K247" s="24" t="s">
        <v>43</v>
      </c>
      <c r="L247" s="49">
        <v>45591</v>
      </c>
      <c r="M247" s="49">
        <v>45596</v>
      </c>
      <c r="N247" s="29">
        <f t="shared" si="7"/>
        <v>5</v>
      </c>
      <c r="O247" s="29"/>
      <c r="P247" t="s">
        <v>88</v>
      </c>
      <c r="Q247" t="s">
        <v>88</v>
      </c>
      <c r="R247" t="s">
        <v>88</v>
      </c>
      <c r="S247" t="s">
        <v>88</v>
      </c>
      <c r="T247" t="s">
        <v>88</v>
      </c>
      <c r="U247" t="s">
        <v>20</v>
      </c>
    </row>
    <row r="248" spans="1:21" ht="15.75" customHeight="1" x14ac:dyDescent="0.45">
      <c r="A248" s="79">
        <v>125258727</v>
      </c>
      <c r="B248" s="29" t="str">
        <f t="shared" si="6"/>
        <v>12.525.872-7</v>
      </c>
      <c r="C248" s="22" t="str">
        <f>IF(IFERROR(VLOOKUP(A248,$A$10:$I247,1,0),0)=0,"",VLOOKUP(A248,$A$10:$I247,3,0))</f>
        <v>UCI</v>
      </c>
      <c r="D248" s="29" t="str">
        <f>IF(IFERROR(VLOOKUP(A248,$A$10:$I247,1,0),0)=0,"",VLOOKUP(A248,$A$10:$I247,4,0))</f>
        <v>VICTOR</v>
      </c>
      <c r="E248" s="29" t="str">
        <f>IF(IFERROR(VLOOKUP(A248,$A$10:$I247,1,0),0)=0,"",VLOOKUP(A248,$A$10:$I247,5,0))</f>
        <v>VASQUEZ</v>
      </c>
      <c r="F248" s="29" t="str">
        <f>IF(IFERROR(VLOOKUP(A248,$A$10:$I247,1,0),0)=0,"",VLOOKUP(A248,$A$10:$I247,6,0))</f>
        <v>RIVAS</v>
      </c>
      <c r="G248" s="49">
        <f>IF(IFERROR(VLOOKUP(A248,$A$10:$I247,1,0),0)=0,"",VLOOKUP(A248,$A$10:$I247,7,0))</f>
        <v>45591</v>
      </c>
      <c r="H248" s="49">
        <v>45609</v>
      </c>
      <c r="I248" s="29"/>
      <c r="J248" s="29"/>
      <c r="K248" s="24" t="s">
        <v>47</v>
      </c>
      <c r="L248" s="49">
        <v>45591</v>
      </c>
      <c r="M248" s="49">
        <v>45596</v>
      </c>
      <c r="N248" s="29">
        <f t="shared" si="7"/>
        <v>5</v>
      </c>
      <c r="O248" s="29"/>
      <c r="P248" t="s">
        <v>88</v>
      </c>
      <c r="Q248" t="s">
        <v>88</v>
      </c>
      <c r="R248" t="s">
        <v>88</v>
      </c>
      <c r="S248" t="s">
        <v>88</v>
      </c>
      <c r="T248" t="s">
        <v>88</v>
      </c>
      <c r="U248" t="s">
        <v>20</v>
      </c>
    </row>
    <row r="249" spans="1:21" ht="15.75" customHeight="1" x14ac:dyDescent="0.45">
      <c r="A249" s="79">
        <v>125258727</v>
      </c>
      <c r="B249" s="29" t="str">
        <f t="shared" si="6"/>
        <v>12.525.872-7</v>
      </c>
      <c r="C249" s="22" t="str">
        <f>IF(IFERROR(VLOOKUP(A249,$A$10:$I248,1,0),0)=0,"",VLOOKUP(A249,$A$10:$I248,3,0))</f>
        <v>UCI</v>
      </c>
      <c r="D249" s="29" t="str">
        <f>IF(IFERROR(VLOOKUP(A249,$A$10:$I248,1,0),0)=0,"",VLOOKUP(A249,$A$10:$I248,4,0))</f>
        <v>VICTOR</v>
      </c>
      <c r="E249" s="29" t="str">
        <f>IF(IFERROR(VLOOKUP(A249,$A$10:$I248,1,0),0)=0,"",VLOOKUP(A249,$A$10:$I248,5,0))</f>
        <v>VASQUEZ</v>
      </c>
      <c r="F249" s="29" t="str">
        <f>IF(IFERROR(VLOOKUP(A249,$A$10:$I248,1,0),0)=0,"",VLOOKUP(A249,$A$10:$I248,6,0))</f>
        <v>RIVAS</v>
      </c>
      <c r="G249" s="49">
        <f>IF(IFERROR(VLOOKUP(A249,$A$10:$I248,1,0),0)=0,"",VLOOKUP(A249,$A$10:$I248,7,0))</f>
        <v>45591</v>
      </c>
      <c r="H249" s="49">
        <v>45609</v>
      </c>
      <c r="I249" s="29"/>
      <c r="J249" s="29"/>
      <c r="K249" s="24" t="s">
        <v>55</v>
      </c>
      <c r="L249" s="49">
        <v>45591</v>
      </c>
      <c r="M249" s="49">
        <v>45596</v>
      </c>
      <c r="N249" s="29">
        <f t="shared" si="7"/>
        <v>5</v>
      </c>
      <c r="O249" s="29"/>
      <c r="P249" t="s">
        <v>88</v>
      </c>
      <c r="Q249" t="s">
        <v>88</v>
      </c>
      <c r="R249" t="s">
        <v>88</v>
      </c>
      <c r="S249" t="s">
        <v>88</v>
      </c>
      <c r="T249" t="s">
        <v>88</v>
      </c>
      <c r="U249" t="s">
        <v>20</v>
      </c>
    </row>
    <row r="250" spans="1:21" ht="15.75" customHeight="1" x14ac:dyDescent="0.45">
      <c r="A250" s="79">
        <v>125258727</v>
      </c>
      <c r="B250" s="29" t="str">
        <f t="shared" si="6"/>
        <v>12.525.872-7</v>
      </c>
      <c r="C250" s="22" t="str">
        <f>IF(IFERROR(VLOOKUP(A250,$A$10:$I249,1,0),0)=0,"",VLOOKUP(A250,$A$10:$I249,3,0))</f>
        <v>UCI</v>
      </c>
      <c r="D250" s="29" t="str">
        <f>IF(IFERROR(VLOOKUP(A250,$A$10:$I249,1,0),0)=0,"",VLOOKUP(A250,$A$10:$I249,4,0))</f>
        <v>VICTOR</v>
      </c>
      <c r="E250" s="29" t="str">
        <f>IF(IFERROR(VLOOKUP(A250,$A$10:$I249,1,0),0)=0,"",VLOOKUP(A250,$A$10:$I249,5,0))</f>
        <v>VASQUEZ</v>
      </c>
      <c r="F250" s="29" t="str">
        <f>IF(IFERROR(VLOOKUP(A250,$A$10:$I249,1,0),0)=0,"",VLOOKUP(A250,$A$10:$I249,6,0))</f>
        <v>RIVAS</v>
      </c>
      <c r="G250" s="49">
        <f>IF(IFERROR(VLOOKUP(A250,$A$10:$I249,1,0),0)=0,"",VLOOKUP(A250,$A$10:$I249,7,0))</f>
        <v>45591</v>
      </c>
      <c r="H250" s="49">
        <v>45609</v>
      </c>
      <c r="I250" s="29"/>
      <c r="J250" s="29"/>
      <c r="K250" s="24" t="s">
        <v>59</v>
      </c>
      <c r="L250" s="49">
        <v>45591</v>
      </c>
      <c r="M250" s="49">
        <v>45596</v>
      </c>
      <c r="N250" s="29">
        <f t="shared" si="7"/>
        <v>5</v>
      </c>
      <c r="O250" s="29"/>
      <c r="P250" t="s">
        <v>88</v>
      </c>
      <c r="Q250" t="s">
        <v>88</v>
      </c>
      <c r="R250" t="s">
        <v>88</v>
      </c>
      <c r="S250" t="s">
        <v>88</v>
      </c>
      <c r="T250" t="s">
        <v>88</v>
      </c>
      <c r="U250" t="s">
        <v>20</v>
      </c>
    </row>
    <row r="251" spans="1:21" ht="15.75" customHeight="1" x14ac:dyDescent="0.45">
      <c r="A251" s="79">
        <v>193729673</v>
      </c>
      <c r="B251" s="29" t="str">
        <f t="shared" si="6"/>
        <v>19.372.967-3</v>
      </c>
      <c r="C251" s="22" t="s">
        <v>22</v>
      </c>
      <c r="D251" s="29" t="s">
        <v>1534</v>
      </c>
      <c r="E251" s="29" t="s">
        <v>1536</v>
      </c>
      <c r="F251" s="29" t="s">
        <v>245</v>
      </c>
      <c r="G251" s="49">
        <v>45591</v>
      </c>
      <c r="H251" s="49">
        <v>45595</v>
      </c>
      <c r="I251" s="29"/>
      <c r="J251" s="29" t="s">
        <v>22</v>
      </c>
      <c r="K251" s="24" t="s">
        <v>43</v>
      </c>
      <c r="L251" s="49">
        <v>45591</v>
      </c>
      <c r="M251" s="49">
        <v>45595</v>
      </c>
      <c r="N251" s="29">
        <f t="shared" si="7"/>
        <v>4</v>
      </c>
      <c r="O251" s="29"/>
      <c r="P251" t="s">
        <v>88</v>
      </c>
      <c r="Q251" t="s">
        <v>88</v>
      </c>
      <c r="R251" t="s">
        <v>88</v>
      </c>
      <c r="S251" t="s">
        <v>88</v>
      </c>
      <c r="T251" t="s">
        <v>88</v>
      </c>
      <c r="U251" t="s">
        <v>20</v>
      </c>
    </row>
    <row r="252" spans="1:21" ht="15.75" customHeight="1" x14ac:dyDescent="0.45">
      <c r="A252" s="79">
        <v>193729673</v>
      </c>
      <c r="B252" s="29" t="str">
        <f t="shared" si="6"/>
        <v>19.372.967-3</v>
      </c>
      <c r="C252" s="22" t="str">
        <f>IF(IFERROR(VLOOKUP(A252,$A$10:$I251,1,0),0)=0,"",VLOOKUP(A252,$A$10:$I251,3,0))</f>
        <v>UCI</v>
      </c>
      <c r="D252" s="29" t="str">
        <f>IF(IFERROR(VLOOKUP(A252,$A$10:$I251,1,0),0)=0,"",VLOOKUP(A252,$A$10:$I251,4,0))</f>
        <v>JONATHAN</v>
      </c>
      <c r="E252" s="29" t="str">
        <f>IF(IFERROR(VLOOKUP(A252,$A$10:$I251,1,0),0)=0,"",VLOOKUP(A252,$A$10:$I251,5,0))</f>
        <v>JAQUE</v>
      </c>
      <c r="F252" s="29" t="str">
        <f>IF(IFERROR(VLOOKUP(A252,$A$10:$I251,1,0),0)=0,"",VLOOKUP(A252,$A$10:$I251,6,0))</f>
        <v>DAZA</v>
      </c>
      <c r="G252" s="49">
        <f>IF(IFERROR(VLOOKUP(A252,$A$10:$I251,1,0),0)=0,"",VLOOKUP(A252,$A$10:$I251,7,0))</f>
        <v>45591</v>
      </c>
      <c r="H252" s="49">
        <v>45595</v>
      </c>
      <c r="I252" s="29"/>
      <c r="J252" s="29" t="s">
        <v>22</v>
      </c>
      <c r="K252" s="24" t="s">
        <v>47</v>
      </c>
      <c r="L252" s="49">
        <v>45591</v>
      </c>
      <c r="M252" s="49">
        <v>45595</v>
      </c>
      <c r="N252" s="29">
        <f t="shared" si="7"/>
        <v>4</v>
      </c>
      <c r="O252" s="29"/>
      <c r="P252" t="s">
        <v>88</v>
      </c>
      <c r="Q252" t="s">
        <v>88</v>
      </c>
      <c r="R252" t="s">
        <v>88</v>
      </c>
      <c r="S252" t="s">
        <v>88</v>
      </c>
      <c r="T252" t="s">
        <v>88</v>
      </c>
      <c r="U252" t="s">
        <v>20</v>
      </c>
    </row>
    <row r="253" spans="1:21" ht="15.75" customHeight="1" x14ac:dyDescent="0.45">
      <c r="A253" s="79" t="s">
        <v>1537</v>
      </c>
      <c r="B253" s="29" t="str">
        <f t="shared" si="6"/>
        <v>22.284.553-k</v>
      </c>
      <c r="C253" s="22" t="s">
        <v>22</v>
      </c>
      <c r="D253" s="29" t="s">
        <v>1538</v>
      </c>
      <c r="E253" s="29" t="s">
        <v>496</v>
      </c>
      <c r="F253" s="29" t="s">
        <v>391</v>
      </c>
      <c r="G253" s="49">
        <v>45590</v>
      </c>
      <c r="H253" s="49">
        <v>45596</v>
      </c>
      <c r="I253" s="29"/>
      <c r="J253" s="29"/>
      <c r="K253" s="24" t="s">
        <v>43</v>
      </c>
      <c r="L253" s="49">
        <v>45590</v>
      </c>
      <c r="M253" s="49">
        <v>45596</v>
      </c>
      <c r="N253" s="29">
        <f t="shared" si="7"/>
        <v>6</v>
      </c>
      <c r="O253" s="29"/>
      <c r="P253" t="s">
        <v>88</v>
      </c>
      <c r="Q253" t="s">
        <v>88</v>
      </c>
      <c r="R253" t="s">
        <v>88</v>
      </c>
      <c r="S253" t="s">
        <v>88</v>
      </c>
      <c r="T253" t="s">
        <v>88</v>
      </c>
      <c r="U253" t="s">
        <v>20</v>
      </c>
    </row>
    <row r="254" spans="1:21" ht="15.75" customHeight="1" x14ac:dyDescent="0.45">
      <c r="A254" s="79" t="s">
        <v>1537</v>
      </c>
      <c r="B254" s="29" t="str">
        <f t="shared" si="6"/>
        <v>22.284.553-k</v>
      </c>
      <c r="C254" s="22" t="str">
        <f>IF(IFERROR(VLOOKUP(A254,$A$10:$I253,1,0),0)=0,"",VLOOKUP(A254,$A$10:$I253,3,0))</f>
        <v>UCI</v>
      </c>
      <c r="D254" s="29" t="str">
        <f>IF(IFERROR(VLOOKUP(A254,$A$10:$I253,1,0),0)=0,"",VLOOKUP(A254,$A$10:$I253,4,0))</f>
        <v>ALVARO</v>
      </c>
      <c r="E254" s="29" t="str">
        <f>IF(IFERROR(VLOOKUP(A254,$A$10:$I253,1,0),0)=0,"",VLOOKUP(A254,$A$10:$I253,5,0))</f>
        <v>ACUÑA</v>
      </c>
      <c r="F254" s="29" t="str">
        <f>IF(IFERROR(VLOOKUP(A254,$A$10:$I253,1,0),0)=0,"",VLOOKUP(A254,$A$10:$I253,6,0))</f>
        <v>CONCHA</v>
      </c>
      <c r="G254" s="49">
        <f>IF(IFERROR(VLOOKUP(A254,$A$10:$I253,1,0),0)=0,"",VLOOKUP(A254,$A$10:$I253,7,0))</f>
        <v>45590</v>
      </c>
      <c r="H254" s="49">
        <v>45596</v>
      </c>
      <c r="I254" s="29"/>
      <c r="J254" s="29"/>
      <c r="K254" s="24" t="s">
        <v>47</v>
      </c>
      <c r="L254" s="49">
        <v>45590</v>
      </c>
      <c r="M254" s="49">
        <v>45596</v>
      </c>
      <c r="N254" s="29">
        <f t="shared" si="7"/>
        <v>6</v>
      </c>
      <c r="O254" s="29"/>
      <c r="P254" t="s">
        <v>88</v>
      </c>
      <c r="Q254" t="s">
        <v>88</v>
      </c>
      <c r="R254" t="s">
        <v>88</v>
      </c>
      <c r="S254" t="s">
        <v>88</v>
      </c>
      <c r="T254" t="s">
        <v>88</v>
      </c>
      <c r="U254" t="s">
        <v>20</v>
      </c>
    </row>
    <row r="255" spans="1:21" ht="15.75" customHeight="1" x14ac:dyDescent="0.45">
      <c r="A255" s="79">
        <v>74031234</v>
      </c>
      <c r="B255" s="29" t="str">
        <f t="shared" si="6"/>
        <v>7.403.123-4</v>
      </c>
      <c r="C255" s="22" t="s">
        <v>46</v>
      </c>
      <c r="D255" s="29" t="s">
        <v>1539</v>
      </c>
      <c r="E255" s="29" t="s">
        <v>873</v>
      </c>
      <c r="F255" s="29" t="s">
        <v>536</v>
      </c>
      <c r="G255" s="49">
        <v>45587</v>
      </c>
      <c r="H255" s="49">
        <v>45591</v>
      </c>
      <c r="I255" s="29"/>
      <c r="J255" s="29"/>
      <c r="K255" s="24" t="s">
        <v>47</v>
      </c>
      <c r="L255" s="49">
        <v>45587</v>
      </c>
      <c r="M255" s="49">
        <v>45591</v>
      </c>
      <c r="N255" s="29">
        <f t="shared" si="7"/>
        <v>4</v>
      </c>
      <c r="O255" s="29"/>
      <c r="P255" t="s">
        <v>88</v>
      </c>
      <c r="Q255" t="s">
        <v>88</v>
      </c>
      <c r="R255" t="s">
        <v>88</v>
      </c>
      <c r="S255" t="s">
        <v>88</v>
      </c>
      <c r="T255" t="s">
        <v>88</v>
      </c>
      <c r="U255" t="s">
        <v>20</v>
      </c>
    </row>
    <row r="256" spans="1:21" ht="15.75" customHeight="1" x14ac:dyDescent="0.45">
      <c r="A256" s="79">
        <v>73025982</v>
      </c>
      <c r="B256" s="29" t="str">
        <f t="shared" si="6"/>
        <v>7.302.598-2</v>
      </c>
      <c r="C256" s="22" t="s">
        <v>46</v>
      </c>
      <c r="D256" s="29" t="s">
        <v>271</v>
      </c>
      <c r="E256" s="29" t="s">
        <v>1422</v>
      </c>
      <c r="F256" s="29" t="s">
        <v>1278</v>
      </c>
      <c r="G256" s="49">
        <v>45586</v>
      </c>
      <c r="H256" s="49">
        <v>45593</v>
      </c>
      <c r="I256" s="29"/>
      <c r="J256" s="29"/>
      <c r="K256" s="24" t="s">
        <v>47</v>
      </c>
      <c r="L256" s="49">
        <v>45586</v>
      </c>
      <c r="M256" s="49">
        <v>45593</v>
      </c>
      <c r="N256" s="29">
        <f t="shared" si="7"/>
        <v>7</v>
      </c>
      <c r="O256" s="29"/>
      <c r="P256" t="s">
        <v>88</v>
      </c>
      <c r="Q256" t="s">
        <v>88</v>
      </c>
      <c r="R256" t="s">
        <v>88</v>
      </c>
      <c r="S256" t="s">
        <v>88</v>
      </c>
      <c r="T256" t="s">
        <v>88</v>
      </c>
      <c r="U256" t="s">
        <v>20</v>
      </c>
    </row>
    <row r="257" spans="1:21" ht="15.75" customHeight="1" x14ac:dyDescent="0.45">
      <c r="A257" s="79" t="s">
        <v>1540</v>
      </c>
      <c r="B257" s="29" t="str">
        <f t="shared" si="6"/>
        <v>6.703.807-k</v>
      </c>
      <c r="C257" s="22" t="s">
        <v>46</v>
      </c>
      <c r="D257" s="29" t="s">
        <v>1435</v>
      </c>
      <c r="E257" s="29" t="s">
        <v>1298</v>
      </c>
      <c r="F257" s="29" t="s">
        <v>873</v>
      </c>
      <c r="G257" s="49">
        <v>45587</v>
      </c>
      <c r="H257" s="49">
        <v>45592</v>
      </c>
      <c r="I257" s="29"/>
      <c r="J257" s="29"/>
      <c r="K257" s="24" t="s">
        <v>43</v>
      </c>
      <c r="L257" s="49">
        <v>45587</v>
      </c>
      <c r="M257" s="49">
        <v>45592</v>
      </c>
      <c r="N257" s="29">
        <f t="shared" si="7"/>
        <v>5</v>
      </c>
      <c r="O257" s="29"/>
      <c r="P257" t="s">
        <v>88</v>
      </c>
      <c r="Q257" t="s">
        <v>88</v>
      </c>
      <c r="R257" t="s">
        <v>88</v>
      </c>
      <c r="S257" t="s">
        <v>88</v>
      </c>
      <c r="T257" t="s">
        <v>88</v>
      </c>
      <c r="U257" t="s">
        <v>20</v>
      </c>
    </row>
    <row r="258" spans="1:21" ht="15.75" customHeight="1" x14ac:dyDescent="0.45">
      <c r="A258" s="79">
        <v>61301984</v>
      </c>
      <c r="B258" s="29" t="str">
        <f t="shared" si="6"/>
        <v>6.130.198-4</v>
      </c>
      <c r="C258" s="22" t="s">
        <v>46</v>
      </c>
      <c r="D258" s="29" t="s">
        <v>348</v>
      </c>
      <c r="E258" s="29" t="s">
        <v>1541</v>
      </c>
      <c r="F258" s="29" t="s">
        <v>498</v>
      </c>
      <c r="G258" s="49">
        <v>45578</v>
      </c>
      <c r="H258" s="49">
        <v>45600</v>
      </c>
      <c r="I258" s="29"/>
      <c r="J258" s="29"/>
      <c r="K258" s="24" t="s">
        <v>47</v>
      </c>
      <c r="L258" s="49">
        <v>45578</v>
      </c>
      <c r="M258" s="49">
        <v>45596</v>
      </c>
      <c r="N258" s="29">
        <f t="shared" si="7"/>
        <v>18</v>
      </c>
      <c r="O258" s="29"/>
      <c r="P258" t="s">
        <v>88</v>
      </c>
      <c r="Q258" t="s">
        <v>88</v>
      </c>
      <c r="R258" t="s">
        <v>88</v>
      </c>
      <c r="S258" t="s">
        <v>88</v>
      </c>
      <c r="T258" t="s">
        <v>88</v>
      </c>
      <c r="U258" t="s">
        <v>20</v>
      </c>
    </row>
    <row r="259" spans="1:21" ht="15.75" customHeight="1" x14ac:dyDescent="0.45">
      <c r="A259" s="79" t="s">
        <v>1542</v>
      </c>
      <c r="B259" s="29" t="str">
        <f t="shared" si="6"/>
        <v>5.111.289-k</v>
      </c>
      <c r="C259" s="22" t="s">
        <v>46</v>
      </c>
      <c r="D259" s="29" t="s">
        <v>238</v>
      </c>
      <c r="E259" s="29" t="s">
        <v>1373</v>
      </c>
      <c r="F259" s="29" t="s">
        <v>467</v>
      </c>
      <c r="G259" s="49">
        <v>45589</v>
      </c>
      <c r="H259" s="49">
        <v>45590</v>
      </c>
      <c r="I259" s="29"/>
      <c r="J259" s="29"/>
      <c r="K259" s="24" t="s">
        <v>47</v>
      </c>
      <c r="L259" s="49">
        <v>45589</v>
      </c>
      <c r="M259" s="49">
        <v>45590</v>
      </c>
      <c r="N259" s="29">
        <f t="shared" si="7"/>
        <v>1</v>
      </c>
      <c r="O259" s="29"/>
      <c r="P259" t="s">
        <v>88</v>
      </c>
      <c r="Q259" t="s">
        <v>88</v>
      </c>
      <c r="R259" t="s">
        <v>88</v>
      </c>
      <c r="S259" t="s">
        <v>88</v>
      </c>
      <c r="T259" t="s">
        <v>88</v>
      </c>
      <c r="U259" t="s">
        <v>20</v>
      </c>
    </row>
    <row r="260" spans="1:21" ht="15.75" customHeight="1" x14ac:dyDescent="0.45">
      <c r="A260" s="79">
        <v>104059724</v>
      </c>
      <c r="B260" s="29" t="str">
        <f t="shared" si="6"/>
        <v>10.405.972-4</v>
      </c>
      <c r="C260" s="22" t="s">
        <v>46</v>
      </c>
      <c r="D260" s="29" t="s">
        <v>1543</v>
      </c>
      <c r="E260" s="29" t="s">
        <v>676</v>
      </c>
      <c r="F260" s="29" t="s">
        <v>435</v>
      </c>
      <c r="G260" s="49">
        <v>45589</v>
      </c>
      <c r="H260" s="49">
        <v>45598</v>
      </c>
      <c r="I260" s="29"/>
      <c r="J260" s="29"/>
      <c r="K260" s="24" t="s">
        <v>47</v>
      </c>
      <c r="L260" s="49">
        <v>45589</v>
      </c>
      <c r="M260" s="49">
        <v>45593</v>
      </c>
      <c r="N260" s="29">
        <f t="shared" si="7"/>
        <v>4</v>
      </c>
      <c r="O260" s="29"/>
      <c r="P260" t="s">
        <v>88</v>
      </c>
      <c r="Q260" t="s">
        <v>88</v>
      </c>
      <c r="R260" t="s">
        <v>88</v>
      </c>
      <c r="S260" t="s">
        <v>88</v>
      </c>
      <c r="T260" t="s">
        <v>88</v>
      </c>
      <c r="U260" t="s">
        <v>20</v>
      </c>
    </row>
    <row r="261" spans="1:21" ht="15.75" customHeight="1" x14ac:dyDescent="0.45">
      <c r="A261" s="79">
        <v>52875641</v>
      </c>
      <c r="B261" s="29" t="str">
        <f t="shared" si="6"/>
        <v>5.287.564-1</v>
      </c>
      <c r="C261" s="22" t="s">
        <v>38</v>
      </c>
      <c r="D261" s="29" t="s">
        <v>1544</v>
      </c>
      <c r="E261" s="29" t="s">
        <v>1545</v>
      </c>
      <c r="F261" s="29" t="s">
        <v>631</v>
      </c>
      <c r="G261" s="49">
        <v>45593</v>
      </c>
      <c r="H261" s="29"/>
      <c r="I261" s="29"/>
      <c r="J261" s="29"/>
      <c r="K261" s="24" t="s">
        <v>43</v>
      </c>
      <c r="L261" s="49">
        <v>45593</v>
      </c>
      <c r="M261" s="49">
        <v>45596</v>
      </c>
      <c r="N261" s="29">
        <f t="shared" si="7"/>
        <v>3</v>
      </c>
      <c r="O261" s="29"/>
      <c r="P261" t="s">
        <v>88</v>
      </c>
      <c r="Q261" t="s">
        <v>88</v>
      </c>
      <c r="R261" t="s">
        <v>88</v>
      </c>
      <c r="S261" t="s">
        <v>88</v>
      </c>
      <c r="T261" t="s">
        <v>88</v>
      </c>
      <c r="U261" t="s">
        <v>20</v>
      </c>
    </row>
    <row r="262" spans="1:21" ht="15.75" customHeight="1" x14ac:dyDescent="0.45">
      <c r="A262" s="79">
        <v>52875641</v>
      </c>
      <c r="B262" s="29" t="str">
        <f t="shared" si="6"/>
        <v>5.287.564-1</v>
      </c>
      <c r="C262" s="22" t="str">
        <f>IF(IFERROR(VLOOKUP(A262,$A$10:$I261,1,0),0)=0,"",VLOOKUP(A262,$A$10:$I261,3,0))</f>
        <v xml:space="preserve">Sala de cuidados intermedios </v>
      </c>
      <c r="D262" s="29" t="str">
        <f>IF(IFERROR(VLOOKUP(A262,$A$10:$I261,1,0),0)=0,"",VLOOKUP(A262,$A$10:$I261,4,0))</f>
        <v>GUSTAVO</v>
      </c>
      <c r="E262" s="29" t="str">
        <f>IF(IFERROR(VLOOKUP(A262,$A$10:$I261,1,0),0)=0,"",VLOOKUP(A262,$A$10:$I261,5,0))</f>
        <v>MULCHI</v>
      </c>
      <c r="F262" s="29" t="str">
        <f>IF(IFERROR(VLOOKUP(A262,$A$10:$I261,1,0),0)=0,"",VLOOKUP(A262,$A$10:$I261,6,0))</f>
        <v>ALARCON</v>
      </c>
      <c r="G262" s="49">
        <f>IF(IFERROR(VLOOKUP(A262,$A$10:$I261,1,0),0)=0,"",VLOOKUP(A262,$A$10:$I261,7,0))</f>
        <v>45593</v>
      </c>
      <c r="H262" s="29"/>
      <c r="I262" s="29"/>
      <c r="J262" s="29"/>
      <c r="K262" s="24" t="s">
        <v>47</v>
      </c>
      <c r="L262" s="49">
        <v>45593</v>
      </c>
      <c r="M262" s="49">
        <v>45596</v>
      </c>
      <c r="N262" s="29">
        <f t="shared" si="7"/>
        <v>3</v>
      </c>
      <c r="O262" s="29"/>
      <c r="P262" t="s">
        <v>88</v>
      </c>
      <c r="Q262" t="s">
        <v>88</v>
      </c>
      <c r="R262" t="s">
        <v>88</v>
      </c>
      <c r="S262" t="s">
        <v>88</v>
      </c>
      <c r="T262" t="s">
        <v>88</v>
      </c>
      <c r="U262" t="s">
        <v>20</v>
      </c>
    </row>
    <row r="263" spans="1:21" ht="15.75" customHeight="1" x14ac:dyDescent="0.45">
      <c r="A263" s="79">
        <v>93421329</v>
      </c>
      <c r="B263" s="29" t="str">
        <f t="shared" si="6"/>
        <v>9.342.132-9</v>
      </c>
      <c r="C263" s="22" t="s">
        <v>38</v>
      </c>
      <c r="D263" s="29" t="s">
        <v>268</v>
      </c>
      <c r="E263" s="29" t="s">
        <v>313</v>
      </c>
      <c r="F263" s="29" t="s">
        <v>329</v>
      </c>
      <c r="G263" s="49">
        <v>45594</v>
      </c>
      <c r="H263" s="29"/>
      <c r="I263" s="29"/>
      <c r="J263" s="29"/>
      <c r="K263" s="24" t="s">
        <v>43</v>
      </c>
      <c r="L263" s="49">
        <v>45594</v>
      </c>
      <c r="M263" s="49">
        <v>45596</v>
      </c>
      <c r="N263" s="29">
        <f t="shared" si="7"/>
        <v>2</v>
      </c>
      <c r="O263" s="29"/>
      <c r="P263" t="s">
        <v>88</v>
      </c>
      <c r="Q263" t="s">
        <v>88</v>
      </c>
      <c r="R263" t="s">
        <v>88</v>
      </c>
      <c r="S263" t="s">
        <v>88</v>
      </c>
      <c r="T263" t="s">
        <v>88</v>
      </c>
      <c r="U263" t="s">
        <v>20</v>
      </c>
    </row>
    <row r="264" spans="1:21" ht="15.75" customHeight="1" x14ac:dyDescent="0.45">
      <c r="A264" s="79">
        <v>93421329</v>
      </c>
      <c r="B264" s="29" t="str">
        <f t="shared" ref="B264:B265" si="8">IF(LEN(A264)=8,MID(A264,1,1)&amp;"."&amp;MID(A264,2,3)&amp;"."&amp;MID(A264,5,3)&amp;"-"&amp;RIGHT(A264,1),IF(LEFT(RIGHT(A264,2),1)="-",MID(A264,1,1)&amp;"."&amp;MID(A264,2,3)&amp;"."&amp;MID(A264,5,3)&amp;"-"&amp;RIGHT(A264,1),MID(A264,1,2)&amp;"."&amp;MID(A264,3,3)&amp;"."&amp;MID(A264,6,3)&amp;"-"&amp;MID(A264,9,1)))</f>
        <v>9.342.132-9</v>
      </c>
      <c r="C264" s="22" t="str">
        <f>IF(IFERROR(VLOOKUP(A264,$A$10:$I263,1,0),0)=0,"",VLOOKUP(A264,$A$10:$I263,3,0))</f>
        <v xml:space="preserve">Sala de cuidados intermedios </v>
      </c>
      <c r="D264" s="29" t="str">
        <f>IF(IFERROR(VLOOKUP(A264,$A$10:$I263,1,0),0)=0,"",VLOOKUP(A264,$A$10:$I263,4,0))</f>
        <v>SONIA</v>
      </c>
      <c r="E264" s="29" t="str">
        <f>IF(IFERROR(VLOOKUP(A264,$A$10:$I263,1,0),0)=0,"",VLOOKUP(A264,$A$10:$I263,5,0))</f>
        <v>AGUILERA</v>
      </c>
      <c r="F264" s="29" t="str">
        <f>IF(IFERROR(VLOOKUP(A264,$A$10:$I263,1,0),0)=0,"",VLOOKUP(A264,$A$10:$I263,6,0))</f>
        <v>NUÑEZ</v>
      </c>
      <c r="G264" s="49">
        <f>IF(IFERROR(VLOOKUP(A264,$A$10:$I263,1,0),0)=0,"",VLOOKUP(A264,$A$10:$I263,7,0))</f>
        <v>45594</v>
      </c>
      <c r="H264" s="29"/>
      <c r="I264" s="29"/>
      <c r="J264" s="29"/>
      <c r="K264" s="24" t="s">
        <v>47</v>
      </c>
      <c r="L264" s="49">
        <v>45594</v>
      </c>
      <c r="M264" s="49">
        <v>45596</v>
      </c>
      <c r="N264" s="29">
        <f t="shared" ref="N264:N265" si="9">+M264-L264</f>
        <v>2</v>
      </c>
      <c r="O264" s="29"/>
      <c r="P264" t="s">
        <v>88</v>
      </c>
      <c r="Q264" t="s">
        <v>88</v>
      </c>
      <c r="R264" t="s">
        <v>88</v>
      </c>
      <c r="S264" t="s">
        <v>88</v>
      </c>
      <c r="T264" t="s">
        <v>88</v>
      </c>
      <c r="U264" t="s">
        <v>20</v>
      </c>
    </row>
    <row r="265" spans="1:21" ht="15.75" customHeight="1" x14ac:dyDescent="0.45">
      <c r="A265" s="79">
        <v>159814211</v>
      </c>
      <c r="B265" s="29" t="str">
        <f t="shared" si="8"/>
        <v>15.981.421-1</v>
      </c>
      <c r="C265" s="22" t="s">
        <v>38</v>
      </c>
      <c r="D265" s="29" t="s">
        <v>1534</v>
      </c>
      <c r="E265" s="29" t="s">
        <v>285</v>
      </c>
      <c r="F265" s="29" t="s">
        <v>1104</v>
      </c>
      <c r="G265" s="49">
        <v>45594</v>
      </c>
      <c r="H265" s="29"/>
      <c r="I265" s="29"/>
      <c r="J265" s="29"/>
      <c r="K265" s="24" t="s">
        <v>43</v>
      </c>
      <c r="L265" s="49">
        <v>45594</v>
      </c>
      <c r="M265" s="49">
        <v>45596</v>
      </c>
      <c r="N265" s="29">
        <f t="shared" si="9"/>
        <v>2</v>
      </c>
      <c r="O265" s="29"/>
      <c r="P265" t="s">
        <v>88</v>
      </c>
      <c r="Q265" t="s">
        <v>88</v>
      </c>
      <c r="R265" t="s">
        <v>88</v>
      </c>
      <c r="S265" t="s">
        <v>88</v>
      </c>
      <c r="T265" t="s">
        <v>88</v>
      </c>
      <c r="U265" t="s">
        <v>20</v>
      </c>
    </row>
    <row r="266" spans="1:21" x14ac:dyDescent="0.45">
      <c r="U266">
        <f>COUNTIF(U8:U265,"si")</f>
        <v>3</v>
      </c>
    </row>
  </sheetData>
  <dataValidations count="2">
    <dataValidation allowBlank="1" sqref="N1:N7" xr:uid="{00000000-0002-0000-0B00-000000000000}"/>
    <dataValidation allowBlank="1" showInputMessage="1" sqref="O1:O7" xr:uid="{00000000-0002-0000-0B00-000001000000}"/>
  </dataValidations>
  <pageMargins left="0.7" right="0.7" top="0.75" bottom="0.75" header="0.3" footer="0.3"/>
  <pageSetup paperSize="5" scale="32" orientation="landscape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236"/>
  <sheetViews>
    <sheetView topLeftCell="A206" zoomScale="80" zoomScaleNormal="80" workbookViewId="0">
      <pane xSplit="2" topLeftCell="K1" activePane="topRight" state="frozen"/>
      <selection pane="topRight" activeCell="U202" sqref="U202"/>
    </sheetView>
  </sheetViews>
  <sheetFormatPr baseColWidth="10" defaultRowHeight="14.25" x14ac:dyDescent="0.45"/>
  <cols>
    <col min="11" max="11" width="20.265625" customWidth="1"/>
    <col min="15" max="15" width="6.73046875" customWidth="1"/>
  </cols>
  <sheetData>
    <row r="1" spans="1:22" x14ac:dyDescent="0.45">
      <c r="A1" s="94" t="s">
        <v>215</v>
      </c>
      <c r="B1" s="1"/>
      <c r="C1" s="94"/>
      <c r="D1" s="1"/>
      <c r="E1" s="1"/>
      <c r="F1" s="1"/>
      <c r="G1" s="103"/>
      <c r="H1" s="1"/>
      <c r="I1" s="1"/>
      <c r="J1" s="2"/>
      <c r="K1" s="87"/>
      <c r="L1" s="103"/>
      <c r="M1" s="103"/>
      <c r="N1" s="1"/>
      <c r="O1" s="1"/>
      <c r="P1" s="1"/>
    </row>
    <row r="2" spans="1:22" x14ac:dyDescent="0.45">
      <c r="A2" s="122"/>
      <c r="B2" s="3"/>
      <c r="C2" s="67"/>
      <c r="D2" s="3"/>
      <c r="E2" s="3"/>
      <c r="F2" s="3"/>
      <c r="G2" s="104"/>
      <c r="H2" s="3"/>
      <c r="I2" s="3"/>
      <c r="J2" s="54"/>
      <c r="K2" s="88"/>
      <c r="L2" s="104"/>
      <c r="M2" s="104"/>
      <c r="N2" s="3"/>
      <c r="O2" s="3"/>
      <c r="P2" s="3"/>
    </row>
    <row r="3" spans="1:22" x14ac:dyDescent="0.45">
      <c r="A3" s="123" t="s">
        <v>216</v>
      </c>
      <c r="B3" s="6"/>
      <c r="C3" s="95" t="s">
        <v>22</v>
      </c>
      <c r="D3" s="6" t="s">
        <v>217</v>
      </c>
      <c r="E3" s="7" t="s">
        <v>1091</v>
      </c>
      <c r="F3" s="6" t="s">
        <v>218</v>
      </c>
      <c r="G3" s="105"/>
      <c r="H3" s="6" t="s">
        <v>219</v>
      </c>
      <c r="I3" s="7">
        <v>2024</v>
      </c>
      <c r="J3" s="55"/>
      <c r="K3" s="89"/>
      <c r="L3" s="112"/>
      <c r="M3" s="112"/>
      <c r="N3" s="6"/>
      <c r="O3" s="6"/>
      <c r="P3" s="6"/>
    </row>
    <row r="4" spans="1:22" x14ac:dyDescent="0.45">
      <c r="A4" s="122"/>
      <c r="B4" s="3"/>
      <c r="C4" s="67"/>
      <c r="D4" s="3"/>
      <c r="E4" s="3"/>
      <c r="F4" s="3"/>
      <c r="G4" s="104"/>
      <c r="H4" s="3"/>
      <c r="I4" s="3"/>
      <c r="J4" s="54"/>
      <c r="K4" s="90"/>
      <c r="L4" s="104"/>
      <c r="M4" s="104"/>
      <c r="N4" s="3"/>
      <c r="O4" s="3"/>
      <c r="P4" s="3"/>
    </row>
    <row r="5" spans="1:22" x14ac:dyDescent="0.45">
      <c r="A5" s="122"/>
      <c r="B5" s="3"/>
      <c r="C5" s="67"/>
      <c r="E5" s="3"/>
      <c r="F5" s="3"/>
      <c r="G5" s="104"/>
      <c r="H5" s="3"/>
      <c r="I5" s="3"/>
      <c r="J5" s="54"/>
      <c r="K5" s="90"/>
      <c r="L5" s="104"/>
      <c r="M5" s="104"/>
      <c r="N5" s="3"/>
      <c r="O5" s="3"/>
      <c r="P5" s="3"/>
    </row>
    <row r="6" spans="1:22" ht="14.65" customHeight="1" thickBot="1" x14ac:dyDescent="0.5">
      <c r="A6" s="122"/>
      <c r="B6" s="3"/>
      <c r="C6" s="67"/>
      <c r="D6" s="3"/>
      <c r="E6" s="3"/>
      <c r="F6" s="3"/>
      <c r="G6" s="104"/>
      <c r="H6" s="3"/>
      <c r="I6" s="3"/>
      <c r="J6" s="54"/>
      <c r="K6" s="90"/>
      <c r="L6" s="104"/>
      <c r="M6" s="104"/>
      <c r="N6" s="3"/>
      <c r="O6" s="3"/>
      <c r="P6" s="3"/>
    </row>
    <row r="7" spans="1:22" ht="28.5" customHeight="1" x14ac:dyDescent="0.45">
      <c r="A7" s="124" t="s">
        <v>220</v>
      </c>
      <c r="B7" s="11" t="s">
        <v>221</v>
      </c>
      <c r="C7" s="96" t="s">
        <v>222</v>
      </c>
      <c r="D7" s="11" t="s">
        <v>225</v>
      </c>
      <c r="E7" s="12" t="s">
        <v>223</v>
      </c>
      <c r="F7" s="12" t="s">
        <v>224</v>
      </c>
      <c r="G7" s="106" t="s">
        <v>226</v>
      </c>
      <c r="H7" s="12" t="s">
        <v>227</v>
      </c>
      <c r="I7" s="11" t="s">
        <v>4</v>
      </c>
      <c r="J7" s="86" t="s">
        <v>5</v>
      </c>
      <c r="K7" s="91" t="s">
        <v>3</v>
      </c>
      <c r="L7" s="106" t="s">
        <v>228</v>
      </c>
      <c r="M7" s="106" t="s">
        <v>229</v>
      </c>
      <c r="N7" s="14" t="s">
        <v>230</v>
      </c>
      <c r="O7" s="15"/>
      <c r="P7" s="16" t="s">
        <v>7</v>
      </c>
      <c r="Q7" s="127" t="s">
        <v>231</v>
      </c>
      <c r="R7" s="127" t="s">
        <v>232</v>
      </c>
      <c r="S7" s="127" t="s">
        <v>233</v>
      </c>
      <c r="T7" s="127" t="s">
        <v>234</v>
      </c>
      <c r="U7" s="127" t="s">
        <v>235</v>
      </c>
      <c r="V7" s="127" t="s">
        <v>8</v>
      </c>
    </row>
    <row r="8" spans="1:22" ht="15.75" customHeight="1" x14ac:dyDescent="0.45">
      <c r="A8" s="79">
        <v>285726530</v>
      </c>
      <c r="B8" s="29" t="str">
        <f t="shared" ref="B8:B39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28.572.653-0</v>
      </c>
      <c r="C8" s="22" t="s">
        <v>16</v>
      </c>
      <c r="D8" s="29" t="s">
        <v>1510</v>
      </c>
      <c r="E8" s="29" t="s">
        <v>723</v>
      </c>
      <c r="F8" s="29" t="s">
        <v>768</v>
      </c>
      <c r="G8" s="49">
        <v>45586</v>
      </c>
      <c r="H8" s="29"/>
      <c r="I8" s="29"/>
      <c r="J8" s="29"/>
      <c r="K8" s="24" t="s">
        <v>18</v>
      </c>
      <c r="L8" s="49">
        <v>45597</v>
      </c>
      <c r="M8" s="49">
        <v>45607</v>
      </c>
      <c r="N8" s="34">
        <f t="shared" ref="N8:N39" si="1">+M8-L8</f>
        <v>10</v>
      </c>
      <c r="O8" s="29"/>
      <c r="P8" s="29" t="s">
        <v>1546</v>
      </c>
      <c r="Q8" t="s">
        <v>88</v>
      </c>
      <c r="R8" t="s">
        <v>88</v>
      </c>
      <c r="S8" t="s">
        <v>88</v>
      </c>
      <c r="T8" t="s">
        <v>88</v>
      </c>
      <c r="U8" t="s">
        <v>88</v>
      </c>
      <c r="V8" t="s">
        <v>20</v>
      </c>
    </row>
    <row r="9" spans="1:22" x14ac:dyDescent="0.45">
      <c r="A9" s="79">
        <v>285726530</v>
      </c>
      <c r="B9" s="29" t="str">
        <f t="shared" si="0"/>
        <v>28.572.653-0</v>
      </c>
      <c r="C9" s="22" t="str">
        <f>IF(IFERROR(VLOOKUP(A9,$A8:$I$10,1,0),0)=0,"",VLOOKUP(A9,$A8:$I$10,3,0))</f>
        <v>UCI neonatal</v>
      </c>
      <c r="D9" s="29" t="str">
        <f>IF(IFERROR(VLOOKUP(A9,$A8:$I$10,1,0),0)=0,"",VLOOKUP(A9,$A8:$I$10,4,0))</f>
        <v>KEVIN</v>
      </c>
      <c r="E9" s="29" t="str">
        <f>IF(IFERROR(VLOOKUP(A9,$A8:$I$10,1,0),0)=0,"",VLOOKUP(A9,$A8:$I$10,5,0))</f>
        <v>PALMA</v>
      </c>
      <c r="F9" s="29" t="str">
        <f>IF(IFERROR(VLOOKUP(A9,$A8:$I$10,1,0),0)=0,"",VLOOKUP(A9,$A8:$I$10,6,0))</f>
        <v>SUAZO</v>
      </c>
      <c r="G9" s="49">
        <f>IF(IFERROR(VLOOKUP(A9,$A8:$I$10,1,0),0)=0,"",VLOOKUP(A9,$A8:$I$10,7,0))</f>
        <v>45586</v>
      </c>
      <c r="H9" s="29"/>
      <c r="I9" s="29"/>
      <c r="J9" s="29"/>
      <c r="K9" s="24" t="s">
        <v>55</v>
      </c>
      <c r="L9" s="49">
        <v>45597</v>
      </c>
      <c r="M9" s="49">
        <v>45611</v>
      </c>
      <c r="N9" s="34">
        <f t="shared" si="1"/>
        <v>14</v>
      </c>
      <c r="O9" s="29"/>
      <c r="P9" s="29"/>
      <c r="Q9" t="s">
        <v>88</v>
      </c>
      <c r="R9" t="s">
        <v>88</v>
      </c>
      <c r="S9" t="s">
        <v>88</v>
      </c>
      <c r="T9" t="s">
        <v>88</v>
      </c>
      <c r="U9" t="s">
        <v>88</v>
      </c>
      <c r="V9" t="s">
        <v>20</v>
      </c>
    </row>
    <row r="10" spans="1:22" x14ac:dyDescent="0.45">
      <c r="A10" s="79">
        <v>123870212</v>
      </c>
      <c r="B10" s="29" t="str">
        <f t="shared" si="0"/>
        <v>12.387.021-2</v>
      </c>
      <c r="C10" s="22" t="s">
        <v>22</v>
      </c>
      <c r="D10" s="29" t="s">
        <v>1547</v>
      </c>
      <c r="E10" s="29" t="s">
        <v>501</v>
      </c>
      <c r="F10" s="29" t="s">
        <v>328</v>
      </c>
      <c r="G10" s="49" t="str">
        <f ca="1">IF(IFERROR(VLOOKUP(A10,$A9:$I$10,1,0),0)=0,"",VLOOKUP(A10,$A9:$I$10,7,0))</f>
        <v/>
      </c>
      <c r="H10" s="29"/>
      <c r="I10" s="29"/>
      <c r="J10" s="29"/>
      <c r="K10" s="24" t="s">
        <v>18</v>
      </c>
      <c r="L10" s="49">
        <v>45598</v>
      </c>
      <c r="M10" s="49">
        <v>45601</v>
      </c>
      <c r="N10" s="34">
        <f t="shared" si="1"/>
        <v>3</v>
      </c>
      <c r="O10" s="29"/>
      <c r="P10" s="29"/>
      <c r="Q10" t="s">
        <v>88</v>
      </c>
      <c r="R10" t="s">
        <v>88</v>
      </c>
      <c r="S10" t="s">
        <v>88</v>
      </c>
      <c r="T10" t="s">
        <v>88</v>
      </c>
      <c r="U10" t="s">
        <v>88</v>
      </c>
      <c r="V10" t="s">
        <v>20</v>
      </c>
    </row>
    <row r="11" spans="1:22" x14ac:dyDescent="0.45">
      <c r="A11" s="79">
        <v>81454442</v>
      </c>
      <c r="B11" s="29" t="str">
        <f t="shared" si="0"/>
        <v>8.145.444-2</v>
      </c>
      <c r="C11" s="22" t="s">
        <v>22</v>
      </c>
      <c r="D11" s="29" t="s">
        <v>504</v>
      </c>
      <c r="E11" s="29" t="s">
        <v>363</v>
      </c>
      <c r="F11" s="29" t="s">
        <v>1548</v>
      </c>
      <c r="G11" s="49">
        <v>45600</v>
      </c>
      <c r="H11" s="49">
        <v>45604</v>
      </c>
      <c r="I11" s="29"/>
      <c r="J11" s="29"/>
      <c r="K11" s="24" t="s">
        <v>47</v>
      </c>
      <c r="L11" s="49">
        <v>45600</v>
      </c>
      <c r="M11" s="49">
        <v>45600</v>
      </c>
      <c r="N11" s="34">
        <f t="shared" si="1"/>
        <v>0</v>
      </c>
      <c r="O11" s="29" t="s">
        <v>1549</v>
      </c>
      <c r="P11" s="29"/>
      <c r="Q11" t="s">
        <v>88</v>
      </c>
      <c r="R11" t="s">
        <v>88</v>
      </c>
      <c r="S11" t="s">
        <v>88</v>
      </c>
      <c r="T11" t="s">
        <v>88</v>
      </c>
      <c r="U11" t="s">
        <v>88</v>
      </c>
      <c r="V11" t="s">
        <v>20</v>
      </c>
    </row>
    <row r="12" spans="1:22" x14ac:dyDescent="0.45">
      <c r="A12" s="79">
        <v>81454442</v>
      </c>
      <c r="B12" s="29" t="str">
        <f t="shared" si="0"/>
        <v>8.145.444-2</v>
      </c>
      <c r="C12" s="22" t="str">
        <f>IF(IFERROR(VLOOKUP(A12,$A$10:$I11,1,0),0)=0,"",VLOOKUP(A12,$A$10:$I11,3,0))</f>
        <v>UCI</v>
      </c>
      <c r="D12" s="29" t="str">
        <f>IF(IFERROR(VLOOKUP(A12,$A$10:$I11,1,0),0)=0,"",VLOOKUP(A12,$A$10:$I11,4,0))</f>
        <v>PATRICIA</v>
      </c>
      <c r="E12" s="29" t="str">
        <f>IF(IFERROR(VLOOKUP(A12,$A$10:$I11,1,0),0)=0,"",VLOOKUP(A12,$A$10:$I11,5,0))</f>
        <v>DIAZ</v>
      </c>
      <c r="F12" s="29" t="str">
        <f>IF(IFERROR(VLOOKUP(A12,$A$10:$I11,1,0),0)=0,"",VLOOKUP(A12,$A$10:$I11,6,0))</f>
        <v>ALLENDES</v>
      </c>
      <c r="G12" s="49">
        <f>IF(IFERROR(VLOOKUP(A12,$A$10:$I11,1,0),0)=0,"",VLOOKUP(A12,$A$10:$I11,7,0))</f>
        <v>45600</v>
      </c>
      <c r="H12" s="49">
        <v>45604</v>
      </c>
      <c r="I12" s="29"/>
      <c r="J12" s="29"/>
      <c r="K12" s="24" t="s">
        <v>43</v>
      </c>
      <c r="L12" s="49">
        <v>45601</v>
      </c>
      <c r="M12" s="49">
        <v>45604</v>
      </c>
      <c r="N12" s="34">
        <f t="shared" si="1"/>
        <v>3</v>
      </c>
      <c r="O12" s="29"/>
      <c r="P12" s="29"/>
      <c r="Q12" t="s">
        <v>88</v>
      </c>
      <c r="R12" t="s">
        <v>88</v>
      </c>
      <c r="S12" t="s">
        <v>88</v>
      </c>
      <c r="T12" t="s">
        <v>88</v>
      </c>
      <c r="U12" t="s">
        <v>88</v>
      </c>
      <c r="V12" t="s">
        <v>20</v>
      </c>
    </row>
    <row r="13" spans="1:22" x14ac:dyDescent="0.45">
      <c r="A13" s="79">
        <v>110619391</v>
      </c>
      <c r="B13" s="29" t="str">
        <f t="shared" si="0"/>
        <v>11.061.939-1</v>
      </c>
      <c r="C13" s="22" t="s">
        <v>22</v>
      </c>
      <c r="D13" s="29" t="s">
        <v>346</v>
      </c>
      <c r="E13" s="29" t="s">
        <v>384</v>
      </c>
      <c r="F13" s="29" t="s">
        <v>675</v>
      </c>
      <c r="G13" s="49">
        <v>45578</v>
      </c>
      <c r="H13" s="49">
        <v>45628</v>
      </c>
      <c r="I13" s="29"/>
      <c r="J13" s="29" t="s">
        <v>19</v>
      </c>
      <c r="K13" s="24" t="s">
        <v>18</v>
      </c>
      <c r="L13" s="49">
        <v>45597</v>
      </c>
      <c r="M13" s="49">
        <v>45626</v>
      </c>
      <c r="N13" s="34">
        <f t="shared" si="1"/>
        <v>29</v>
      </c>
      <c r="O13" s="29"/>
      <c r="P13" s="29"/>
      <c r="Q13" t="s">
        <v>88</v>
      </c>
      <c r="R13" t="s">
        <v>88</v>
      </c>
      <c r="S13" t="s">
        <v>88</v>
      </c>
      <c r="T13" t="s">
        <v>88</v>
      </c>
      <c r="U13" t="s">
        <v>88</v>
      </c>
      <c r="V13" t="s">
        <v>20</v>
      </c>
    </row>
    <row r="14" spans="1:22" x14ac:dyDescent="0.45">
      <c r="A14" s="79">
        <v>110619391</v>
      </c>
      <c r="B14" s="29" t="str">
        <f t="shared" si="0"/>
        <v>11.061.939-1</v>
      </c>
      <c r="C14" s="22" t="str">
        <f>IF(IFERROR(VLOOKUP(A14,$A$10:$I13,1,0),0)=0,"",VLOOKUP(A14,$A$10:$I13,3,0))</f>
        <v>UCI</v>
      </c>
      <c r="D14" s="29" t="str">
        <f>IF(IFERROR(VLOOKUP(A14,$A$10:$I13,1,0),0)=0,"",VLOOKUP(A14,$A$10:$I13,4,0))</f>
        <v>MARCELA</v>
      </c>
      <c r="E14" s="29" t="str">
        <f>IF(IFERROR(VLOOKUP(A14,$A$10:$I13,1,0),0)=0,"",VLOOKUP(A14,$A$10:$I13,5,0))</f>
        <v>MUÑOZ</v>
      </c>
      <c r="F14" s="29" t="str">
        <f>IF(IFERROR(VLOOKUP(A14,$A$10:$I13,1,0),0)=0,"",VLOOKUP(A14,$A$10:$I13,6,0))</f>
        <v>SANDOVAL</v>
      </c>
      <c r="G14" s="49">
        <v>45578</v>
      </c>
      <c r="H14" s="49">
        <v>45628</v>
      </c>
      <c r="I14" s="29"/>
      <c r="J14" s="29" t="s">
        <v>19</v>
      </c>
      <c r="K14" s="24" t="s">
        <v>47</v>
      </c>
      <c r="L14" s="49">
        <v>45597</v>
      </c>
      <c r="M14" s="49">
        <v>45626</v>
      </c>
      <c r="N14" s="34">
        <f t="shared" si="1"/>
        <v>29</v>
      </c>
      <c r="O14" s="29"/>
      <c r="P14" s="29"/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20</v>
      </c>
    </row>
    <row r="15" spans="1:22" x14ac:dyDescent="0.45">
      <c r="A15" s="79">
        <v>110619391</v>
      </c>
      <c r="B15" s="29" t="str">
        <f t="shared" si="0"/>
        <v>11.061.939-1</v>
      </c>
      <c r="C15" s="22" t="str">
        <f>IF(IFERROR(VLOOKUP(A15,$A$10:$I14,1,0),0)=0,"",VLOOKUP(A15,$A$10:$I14,3,0))</f>
        <v>UCI</v>
      </c>
      <c r="D15" s="29" t="str">
        <f>IF(IFERROR(VLOOKUP(A15,$A$10:$I14,1,0),0)=0,"",VLOOKUP(A15,$A$10:$I14,4,0))</f>
        <v>MARCELA</v>
      </c>
      <c r="E15" s="29" t="str">
        <f>IF(IFERROR(VLOOKUP(A15,$A$10:$I14,1,0),0)=0,"",VLOOKUP(A15,$A$10:$I14,5,0))</f>
        <v>MUÑOZ</v>
      </c>
      <c r="F15" s="29" t="str">
        <f>IF(IFERROR(VLOOKUP(A15,$A$10:$I14,1,0),0)=0,"",VLOOKUP(A15,$A$10:$I14,6,0))</f>
        <v>SANDOVAL</v>
      </c>
      <c r="G15" s="49">
        <f>IF(IFERROR(VLOOKUP(A15,$A$10:$I14,1,0),0)=0,"",VLOOKUP(A15,$A$10:$I14,7,0))</f>
        <v>45578</v>
      </c>
      <c r="H15" s="49">
        <v>45628</v>
      </c>
      <c r="I15" s="29"/>
      <c r="J15" s="29" t="s">
        <v>19</v>
      </c>
      <c r="K15" s="24" t="s">
        <v>55</v>
      </c>
      <c r="L15" s="49">
        <v>45597</v>
      </c>
      <c r="M15" s="49">
        <v>45626</v>
      </c>
      <c r="N15" s="34">
        <f t="shared" si="1"/>
        <v>29</v>
      </c>
      <c r="O15" s="29" t="s">
        <v>1550</v>
      </c>
      <c r="P15" s="29"/>
      <c r="Q15" t="s">
        <v>88</v>
      </c>
      <c r="R15" t="s">
        <v>88</v>
      </c>
      <c r="S15" t="s">
        <v>88</v>
      </c>
      <c r="T15" t="s">
        <v>88</v>
      </c>
      <c r="U15" t="s">
        <v>88</v>
      </c>
      <c r="V15" t="s">
        <v>20</v>
      </c>
    </row>
    <row r="16" spans="1:22" x14ac:dyDescent="0.45">
      <c r="A16" s="79">
        <v>123808274</v>
      </c>
      <c r="B16" s="29" t="str">
        <f t="shared" si="0"/>
        <v>12.380.827-4</v>
      </c>
      <c r="C16" s="22" t="s">
        <v>22</v>
      </c>
      <c r="D16" s="29" t="s">
        <v>1525</v>
      </c>
      <c r="E16" s="29" t="s">
        <v>439</v>
      </c>
      <c r="F16" s="29" t="s">
        <v>457</v>
      </c>
      <c r="G16" s="49">
        <v>45586</v>
      </c>
      <c r="H16" s="49">
        <v>45601</v>
      </c>
      <c r="I16" s="29"/>
      <c r="J16" s="29"/>
      <c r="K16" s="24" t="s">
        <v>43</v>
      </c>
      <c r="L16" s="49">
        <v>45597</v>
      </c>
      <c r="M16" s="49">
        <v>45601</v>
      </c>
      <c r="N16" s="34">
        <f t="shared" si="1"/>
        <v>4</v>
      </c>
      <c r="O16" s="29"/>
      <c r="P16" s="29"/>
      <c r="Q16" t="s">
        <v>88</v>
      </c>
      <c r="R16" t="s">
        <v>88</v>
      </c>
      <c r="S16" t="s">
        <v>88</v>
      </c>
      <c r="T16" t="s">
        <v>88</v>
      </c>
      <c r="U16" t="s">
        <v>88</v>
      </c>
      <c r="V16" t="s">
        <v>20</v>
      </c>
    </row>
    <row r="17" spans="1:22" x14ac:dyDescent="0.45">
      <c r="A17" s="79" t="s">
        <v>1551</v>
      </c>
      <c r="B17" s="29" t="str">
        <f t="shared" si="0"/>
        <v>8.554.960-k</v>
      </c>
      <c r="C17" s="22" t="s">
        <v>22</v>
      </c>
      <c r="D17" s="29" t="s">
        <v>502</v>
      </c>
      <c r="E17" s="29" t="s">
        <v>315</v>
      </c>
      <c r="F17" s="29" t="s">
        <v>281</v>
      </c>
      <c r="G17" s="49">
        <v>45599</v>
      </c>
      <c r="H17" s="49">
        <v>45604</v>
      </c>
      <c r="I17" s="29"/>
      <c r="J17" s="29" t="s">
        <v>22</v>
      </c>
      <c r="K17" s="24" t="s">
        <v>43</v>
      </c>
      <c r="L17" s="49">
        <v>45599</v>
      </c>
      <c r="M17" s="49">
        <v>45604</v>
      </c>
      <c r="N17" s="34">
        <f t="shared" si="1"/>
        <v>5</v>
      </c>
      <c r="O17" s="29"/>
      <c r="P17" s="29"/>
      <c r="Q17" t="s">
        <v>88</v>
      </c>
      <c r="R17" t="s">
        <v>88</v>
      </c>
      <c r="S17" t="s">
        <v>88</v>
      </c>
      <c r="T17" t="s">
        <v>88</v>
      </c>
      <c r="U17" t="s">
        <v>88</v>
      </c>
      <c r="V17" t="s">
        <v>20</v>
      </c>
    </row>
    <row r="18" spans="1:22" x14ac:dyDescent="0.45">
      <c r="A18" s="79" t="s">
        <v>1551</v>
      </c>
      <c r="B18" s="29" t="str">
        <f t="shared" si="0"/>
        <v>8.554.960-k</v>
      </c>
      <c r="C18" s="22" t="str">
        <f>IF(IFERROR(VLOOKUP(A18,$A$10:$I17,1,0),0)=0,"",VLOOKUP(A18,$A$10:$I17,3,0))</f>
        <v>UCI</v>
      </c>
      <c r="D18" s="29" t="str">
        <f>IF(IFERROR(VLOOKUP(A18,$A$10:$I17,1,0),0)=0,"",VLOOKUP(A18,$A$10:$I17,4,0))</f>
        <v>RUBEN</v>
      </c>
      <c r="E18" s="29" t="str">
        <f>IF(IFERROR(VLOOKUP(A18,$A$10:$I17,1,0),0)=0,"",VLOOKUP(A18,$A$10:$I17,5,0))</f>
        <v>ARIAS</v>
      </c>
      <c r="F18" s="29" t="str">
        <f>IF(IFERROR(VLOOKUP(A18,$A$10:$I17,1,0),0)=0,"",VLOOKUP(A18,$A$10:$I17,6,0))</f>
        <v>FIGUEROA</v>
      </c>
      <c r="G18" s="49">
        <f>IF(IFERROR(VLOOKUP(A18,$A$10:$I17,1,0),0)=0,"",VLOOKUP(A18,$A$10:$I17,7,0))</f>
        <v>45599</v>
      </c>
      <c r="H18" s="49">
        <v>45604</v>
      </c>
      <c r="I18" s="29"/>
      <c r="J18" s="29" t="s">
        <v>22</v>
      </c>
      <c r="K18" s="24" t="s">
        <v>47</v>
      </c>
      <c r="L18" s="49">
        <v>45599</v>
      </c>
      <c r="M18" s="49">
        <v>45604</v>
      </c>
      <c r="N18" s="34">
        <f t="shared" si="1"/>
        <v>5</v>
      </c>
      <c r="O18" s="29"/>
      <c r="P18" s="29"/>
      <c r="Q18" t="s">
        <v>88</v>
      </c>
      <c r="R18" t="s">
        <v>88</v>
      </c>
      <c r="S18" t="s">
        <v>88</v>
      </c>
      <c r="T18" t="s">
        <v>88</v>
      </c>
      <c r="U18" t="s">
        <v>88</v>
      </c>
      <c r="V18" t="s">
        <v>20</v>
      </c>
    </row>
    <row r="19" spans="1:22" x14ac:dyDescent="0.45">
      <c r="A19" s="79" t="s">
        <v>1551</v>
      </c>
      <c r="B19" s="29" t="str">
        <f t="shared" si="0"/>
        <v>8.554.960-k</v>
      </c>
      <c r="C19" s="22" t="str">
        <f>IF(IFERROR(VLOOKUP(A19,$A$10:$I18,1,0),0)=0,"",VLOOKUP(A19,$A$10:$I18,3,0))</f>
        <v>UCI</v>
      </c>
      <c r="D19" s="29" t="str">
        <f>IF(IFERROR(VLOOKUP(A19,$A$10:$I18,1,0),0)=0,"",VLOOKUP(A19,$A$10:$I18,4,0))</f>
        <v>RUBEN</v>
      </c>
      <c r="E19" s="29" t="str">
        <f>IF(IFERROR(VLOOKUP(A19,$A$10:$I18,1,0),0)=0,"",VLOOKUP(A19,$A$10:$I18,5,0))</f>
        <v>ARIAS</v>
      </c>
      <c r="F19" s="29" t="str">
        <f>IF(IFERROR(VLOOKUP(A19,$A$10:$I18,1,0),0)=0,"",VLOOKUP(A19,$A$10:$I18,6,0))</f>
        <v>FIGUEROA</v>
      </c>
      <c r="G19" s="49">
        <f>IF(IFERROR(VLOOKUP(A19,$A$10:$I18,1,0),0)=0,"",VLOOKUP(A19,$A$10:$I18,7,0))</f>
        <v>45599</v>
      </c>
      <c r="H19" s="49">
        <v>45604</v>
      </c>
      <c r="I19" s="29"/>
      <c r="J19" s="29" t="s">
        <v>22</v>
      </c>
      <c r="K19" s="24" t="s">
        <v>55</v>
      </c>
      <c r="L19" s="49">
        <v>45599</v>
      </c>
      <c r="M19" s="49">
        <v>45603</v>
      </c>
      <c r="N19" s="34">
        <f t="shared" si="1"/>
        <v>4</v>
      </c>
      <c r="O19" s="29"/>
      <c r="P19" s="29"/>
      <c r="Q19" t="s">
        <v>88</v>
      </c>
      <c r="R19" t="s">
        <v>88</v>
      </c>
      <c r="S19" t="s">
        <v>88</v>
      </c>
      <c r="T19" t="s">
        <v>88</v>
      </c>
      <c r="U19" t="s">
        <v>88</v>
      </c>
      <c r="V19" t="s">
        <v>20</v>
      </c>
    </row>
    <row r="20" spans="1:22" x14ac:dyDescent="0.45">
      <c r="A20" s="79">
        <v>125258727</v>
      </c>
      <c r="B20" s="29" t="str">
        <f t="shared" si="0"/>
        <v>12.525.872-7</v>
      </c>
      <c r="C20" s="22" t="s">
        <v>22</v>
      </c>
      <c r="D20" s="29" t="s">
        <v>380</v>
      </c>
      <c r="E20" s="29" t="s">
        <v>471</v>
      </c>
      <c r="F20" s="29" t="s">
        <v>278</v>
      </c>
      <c r="G20" s="49">
        <v>45591</v>
      </c>
      <c r="H20" s="29"/>
      <c r="I20" s="29"/>
      <c r="J20" s="29"/>
      <c r="K20" s="24" t="s">
        <v>43</v>
      </c>
      <c r="L20" s="49">
        <v>45597</v>
      </c>
      <c r="M20" s="49">
        <v>45609</v>
      </c>
      <c r="N20" s="34">
        <f t="shared" si="1"/>
        <v>12</v>
      </c>
      <c r="O20" s="29"/>
      <c r="P20" s="29"/>
      <c r="Q20" t="s">
        <v>88</v>
      </c>
      <c r="R20" t="s">
        <v>88</v>
      </c>
      <c r="S20" t="s">
        <v>88</v>
      </c>
      <c r="T20" t="s">
        <v>88</v>
      </c>
      <c r="U20" t="s">
        <v>88</v>
      </c>
      <c r="V20" t="s">
        <v>20</v>
      </c>
    </row>
    <row r="21" spans="1:22" x14ac:dyDescent="0.45">
      <c r="A21" s="79">
        <v>125258727</v>
      </c>
      <c r="B21" s="29" t="str">
        <f t="shared" si="0"/>
        <v>12.525.872-7</v>
      </c>
      <c r="C21" s="22" t="str">
        <f>IF(IFERROR(VLOOKUP(A21,$A$10:$I20,1,0),0)=0,"",VLOOKUP(A21,$A$10:$I20,3,0))</f>
        <v>UCI</v>
      </c>
      <c r="D21" s="29" t="str">
        <f>IF(IFERROR(VLOOKUP(A21,$A$10:$I20,1,0),0)=0,"",VLOOKUP(A21,$A$10:$I20,4,0))</f>
        <v>VICTOR</v>
      </c>
      <c r="E21" s="29" t="str">
        <f>IF(IFERROR(VLOOKUP(A21,$A$10:$I20,1,0),0)=0,"",VLOOKUP(A21,$A$10:$I20,5,0))</f>
        <v>VASQUEZ</v>
      </c>
      <c r="F21" s="29" t="str">
        <f>IF(IFERROR(VLOOKUP(A21,$A$10:$I20,1,0),0)=0,"",VLOOKUP(A21,$A$10:$I20,6,0))</f>
        <v>RIVAS</v>
      </c>
      <c r="G21" s="49">
        <f>IF(IFERROR(VLOOKUP(A21,$A$10:$I20,1,0),0)=0,"",VLOOKUP(A21,$A$10:$I20,7,0))</f>
        <v>45591</v>
      </c>
      <c r="H21" s="49">
        <v>45609</v>
      </c>
      <c r="I21" s="29"/>
      <c r="J21" s="29"/>
      <c r="K21" s="24" t="s">
        <v>47</v>
      </c>
      <c r="L21" s="49">
        <v>45597</v>
      </c>
      <c r="M21" s="49">
        <v>45609</v>
      </c>
      <c r="N21" s="34">
        <f t="shared" si="1"/>
        <v>12</v>
      </c>
      <c r="O21" s="29"/>
      <c r="P21" s="29"/>
      <c r="Q21" t="s">
        <v>88</v>
      </c>
      <c r="R21" t="s">
        <v>88</v>
      </c>
      <c r="S21" t="s">
        <v>88</v>
      </c>
      <c r="T21" t="s">
        <v>88</v>
      </c>
      <c r="U21" t="s">
        <v>88</v>
      </c>
      <c r="V21" t="s">
        <v>20</v>
      </c>
    </row>
    <row r="22" spans="1:22" x14ac:dyDescent="0.45">
      <c r="A22" s="79">
        <v>125258727</v>
      </c>
      <c r="B22" s="29" t="str">
        <f t="shared" si="0"/>
        <v>12.525.872-7</v>
      </c>
      <c r="C22" s="22" t="str">
        <f>IF(IFERROR(VLOOKUP(A22,$A$10:$I21,1,0),0)=0,"",VLOOKUP(A22,$A$10:$I21,3,0))</f>
        <v>UCI</v>
      </c>
      <c r="D22" s="29" t="str">
        <f>IF(IFERROR(VLOOKUP(A22,$A$10:$I21,1,0),0)=0,"",VLOOKUP(A22,$A$10:$I21,4,0))</f>
        <v>VICTOR</v>
      </c>
      <c r="E22" s="29" t="str">
        <f>IF(IFERROR(VLOOKUP(A22,$A$10:$I21,1,0),0)=0,"",VLOOKUP(A22,$A$10:$I21,5,0))</f>
        <v>VASQUEZ</v>
      </c>
      <c r="F22" s="29" t="str">
        <f>IF(IFERROR(VLOOKUP(A22,$A$10:$I21,1,0),0)=0,"",VLOOKUP(A22,$A$10:$I21,6,0))</f>
        <v>RIVAS</v>
      </c>
      <c r="G22" s="49">
        <f>IF(IFERROR(VLOOKUP(A22,$A$10:$I21,1,0),0)=0,"",VLOOKUP(A22,$A$10:$I21,7,0))</f>
        <v>45591</v>
      </c>
      <c r="H22" s="49">
        <v>45609</v>
      </c>
      <c r="I22" s="29"/>
      <c r="J22" s="29"/>
      <c r="K22" s="24" t="s">
        <v>55</v>
      </c>
      <c r="L22" s="49">
        <v>45597</v>
      </c>
      <c r="M22" s="49">
        <v>45605</v>
      </c>
      <c r="N22" s="34">
        <f t="shared" si="1"/>
        <v>8</v>
      </c>
      <c r="O22" s="29"/>
      <c r="P22" s="29"/>
      <c r="Q22" t="s">
        <v>137</v>
      </c>
      <c r="R22" t="s">
        <v>88</v>
      </c>
      <c r="S22" t="s">
        <v>88</v>
      </c>
      <c r="T22" t="s">
        <v>88</v>
      </c>
      <c r="U22" t="s">
        <v>88</v>
      </c>
      <c r="V22" t="s">
        <v>20</v>
      </c>
    </row>
    <row r="23" spans="1:22" x14ac:dyDescent="0.45">
      <c r="A23" s="79">
        <v>125258727</v>
      </c>
      <c r="B23" s="29" t="str">
        <f t="shared" si="0"/>
        <v>12.525.872-7</v>
      </c>
      <c r="C23" s="22" t="str">
        <f>IF(IFERROR(VLOOKUP(A23,$A$10:$I21,1,0),0)=0,"",VLOOKUP(A23,$A$10:$I21,3,0))</f>
        <v>UCI</v>
      </c>
      <c r="D23" s="29" t="str">
        <f>IF(IFERROR(VLOOKUP(A23,$A$10:$I21,1,0),0)=0,"",VLOOKUP(A23,$A$10:$I21,4,0))</f>
        <v>VICTOR</v>
      </c>
      <c r="E23" s="29" t="str">
        <f>IF(IFERROR(VLOOKUP(A23,$A$10:$I21,1,0),0)=0,"",VLOOKUP(A23,$A$10:$I21,5,0))</f>
        <v>VASQUEZ</v>
      </c>
      <c r="F23" s="29" t="str">
        <f>IF(IFERROR(VLOOKUP(A23,$A$10:$I21,1,0),0)=0,"",VLOOKUP(A23,$A$10:$I21,6,0))</f>
        <v>RIVAS</v>
      </c>
      <c r="G23" s="49">
        <f>IF(IFERROR(VLOOKUP(A23,$A$10:$I21,1,0),0)=0,"",VLOOKUP(A23,$A$10:$I21,7,0))</f>
        <v>45591</v>
      </c>
      <c r="H23" s="49">
        <v>45609</v>
      </c>
      <c r="I23" s="29"/>
      <c r="J23" s="29" t="s">
        <v>22</v>
      </c>
      <c r="K23" s="24" t="s">
        <v>59</v>
      </c>
      <c r="L23" s="49">
        <v>45597</v>
      </c>
      <c r="M23" s="49">
        <v>45603</v>
      </c>
      <c r="N23" s="34">
        <f t="shared" si="1"/>
        <v>6</v>
      </c>
      <c r="O23" s="29"/>
      <c r="P23" s="29"/>
      <c r="Q23" t="s">
        <v>88</v>
      </c>
      <c r="R23" t="s">
        <v>88</v>
      </c>
      <c r="S23" t="s">
        <v>88</v>
      </c>
      <c r="T23" t="s">
        <v>88</v>
      </c>
      <c r="U23" t="s">
        <v>88</v>
      </c>
      <c r="V23" t="s">
        <v>20</v>
      </c>
    </row>
    <row r="24" spans="1:22" x14ac:dyDescent="0.45">
      <c r="A24" s="79">
        <v>125258727</v>
      </c>
      <c r="B24" s="29" t="str">
        <f t="shared" si="0"/>
        <v>12.525.872-7</v>
      </c>
      <c r="C24" s="22" t="str">
        <f>IF(IFERROR(VLOOKUP(A24,$A$10:$I22,1,0),0)=0,"",VLOOKUP(A24,$A$10:$I22,3,0))</f>
        <v>UCI</v>
      </c>
      <c r="D24" s="29" t="str">
        <f>IF(IFERROR(VLOOKUP(A24,$A$10:$I22,1,0),0)=0,"",VLOOKUP(A24,$A$10:$I22,4,0))</f>
        <v>VICTOR</v>
      </c>
      <c r="E24" s="29" t="str">
        <f>IF(IFERROR(VLOOKUP(A24,$A$10:$I22,1,0),0)=0,"",VLOOKUP(A24,$A$10:$I22,5,0))</f>
        <v>VASQUEZ</v>
      </c>
      <c r="F24" s="29" t="str">
        <f>IF(IFERROR(VLOOKUP(A24,$A$10:$I22,1,0),0)=0,"",VLOOKUP(A24,$A$10:$I22,6,0))</f>
        <v>RIVAS</v>
      </c>
      <c r="G24" s="49">
        <f>IF(IFERROR(VLOOKUP(A24,$A$10:$I22,1,0),0)=0,"",VLOOKUP(A24,$A$10:$I22,7,0))</f>
        <v>45591</v>
      </c>
      <c r="H24" s="49">
        <v>45609</v>
      </c>
      <c r="I24" s="29"/>
      <c r="J24" s="29" t="s">
        <v>22</v>
      </c>
      <c r="K24" s="24" t="s">
        <v>59</v>
      </c>
      <c r="L24" s="49">
        <v>45603</v>
      </c>
      <c r="M24" s="49">
        <v>45610</v>
      </c>
      <c r="N24" s="34">
        <f t="shared" si="1"/>
        <v>7</v>
      </c>
      <c r="O24" s="29"/>
      <c r="P24" s="29"/>
      <c r="Q24" t="s">
        <v>88</v>
      </c>
      <c r="R24" t="s">
        <v>88</v>
      </c>
      <c r="S24" t="s">
        <v>88</v>
      </c>
      <c r="T24" t="s">
        <v>88</v>
      </c>
      <c r="U24" t="s">
        <v>88</v>
      </c>
      <c r="V24" t="s">
        <v>20</v>
      </c>
    </row>
    <row r="25" spans="1:22" x14ac:dyDescent="0.45">
      <c r="A25" s="79">
        <v>65873540</v>
      </c>
      <c r="B25" s="29" t="str">
        <f t="shared" si="0"/>
        <v>6.587.354-0</v>
      </c>
      <c r="C25" s="22" t="s">
        <v>22</v>
      </c>
      <c r="D25" s="29" t="s">
        <v>368</v>
      </c>
      <c r="E25" s="29" t="s">
        <v>307</v>
      </c>
      <c r="F25" s="29" t="s">
        <v>253</v>
      </c>
      <c r="G25" s="49">
        <v>45602</v>
      </c>
      <c r="H25" s="49">
        <v>45611</v>
      </c>
      <c r="I25" s="29"/>
      <c r="J25" s="29" t="s">
        <v>46</v>
      </c>
      <c r="K25" s="24" t="s">
        <v>43</v>
      </c>
      <c r="L25" s="49">
        <v>45602</v>
      </c>
      <c r="M25" s="49">
        <v>45609</v>
      </c>
      <c r="N25" s="34">
        <f t="shared" si="1"/>
        <v>7</v>
      </c>
      <c r="O25" s="29"/>
      <c r="P25" s="29"/>
      <c r="Q25" t="s">
        <v>88</v>
      </c>
      <c r="R25" t="s">
        <v>88</v>
      </c>
      <c r="S25" t="s">
        <v>88</v>
      </c>
      <c r="T25" t="s">
        <v>88</v>
      </c>
      <c r="U25" t="s">
        <v>88</v>
      </c>
      <c r="V25" t="s">
        <v>20</v>
      </c>
    </row>
    <row r="26" spans="1:22" x14ac:dyDescent="0.45">
      <c r="A26" s="79">
        <v>65873540</v>
      </c>
      <c r="B26" s="29" t="str">
        <f t="shared" si="0"/>
        <v>6.587.354-0</v>
      </c>
      <c r="C26" s="22" t="s">
        <v>22</v>
      </c>
      <c r="D26" s="29" t="s">
        <v>368</v>
      </c>
      <c r="E26" s="29" t="s">
        <v>307</v>
      </c>
      <c r="F26" s="29" t="s">
        <v>253</v>
      </c>
      <c r="G26" s="49">
        <v>45602</v>
      </c>
      <c r="H26" s="49">
        <v>45611</v>
      </c>
      <c r="I26" s="29"/>
      <c r="J26" s="29" t="s">
        <v>46</v>
      </c>
      <c r="K26" s="24" t="s">
        <v>18</v>
      </c>
      <c r="L26" s="49">
        <v>45602</v>
      </c>
      <c r="M26" s="49">
        <v>45611</v>
      </c>
      <c r="N26" s="34">
        <f t="shared" si="1"/>
        <v>9</v>
      </c>
      <c r="O26" s="29"/>
      <c r="P26" s="29"/>
      <c r="Q26" t="s">
        <v>88</v>
      </c>
      <c r="R26" t="s">
        <v>88</v>
      </c>
      <c r="S26" t="s">
        <v>88</v>
      </c>
      <c r="T26" t="s">
        <v>88</v>
      </c>
      <c r="U26" t="s">
        <v>88</v>
      </c>
      <c r="V26" t="s">
        <v>20</v>
      </c>
    </row>
    <row r="27" spans="1:22" x14ac:dyDescent="0.45">
      <c r="A27" s="79">
        <v>65873540</v>
      </c>
      <c r="B27" s="29" t="str">
        <f t="shared" si="0"/>
        <v>6.587.354-0</v>
      </c>
      <c r="C27" s="22" t="str">
        <f>IF(IFERROR(VLOOKUP(A27,$A$10:$I25,1,0),0)=0,"",VLOOKUP(A27,$A$10:$I25,3,0))</f>
        <v>UCI</v>
      </c>
      <c r="D27" s="29" t="str">
        <f>IF(IFERROR(VLOOKUP(A27,$A$10:$I25,1,0),0)=0,"",VLOOKUP(A27,$A$10:$I25,4,0))</f>
        <v>JUANA</v>
      </c>
      <c r="E27" s="29" t="str">
        <f>IF(IFERROR(VLOOKUP(A27,$A$10:$I25,1,0),0)=0,"",VLOOKUP(A27,$A$10:$I25,5,0))</f>
        <v>ESCOBAR</v>
      </c>
      <c r="F27" s="29" t="str">
        <f>IF(IFERROR(VLOOKUP(A27,$A$10:$I25,1,0),0)=0,"",VLOOKUP(A27,$A$10:$I25,6,0))</f>
        <v>SAEZ</v>
      </c>
      <c r="G27" s="49">
        <f>IF(IFERROR(VLOOKUP(A27,$A$10:$I25,1,0),0)=0,"",VLOOKUP(A27,$A$10:$I25,7,0))</f>
        <v>45602</v>
      </c>
      <c r="H27" s="49">
        <v>45611</v>
      </c>
      <c r="I27" s="29"/>
      <c r="J27" s="29"/>
      <c r="K27" s="24" t="s">
        <v>47</v>
      </c>
      <c r="L27" s="49">
        <v>45602</v>
      </c>
      <c r="M27" s="49">
        <v>45604</v>
      </c>
      <c r="N27" s="34">
        <f t="shared" si="1"/>
        <v>2</v>
      </c>
      <c r="O27" s="29"/>
      <c r="P27" s="29"/>
      <c r="Q27" t="s">
        <v>88</v>
      </c>
      <c r="R27" t="s">
        <v>88</v>
      </c>
      <c r="S27" t="s">
        <v>88</v>
      </c>
      <c r="T27" t="s">
        <v>88</v>
      </c>
      <c r="U27" t="s">
        <v>88</v>
      </c>
      <c r="V27" t="s">
        <v>20</v>
      </c>
    </row>
    <row r="28" spans="1:22" x14ac:dyDescent="0.45">
      <c r="A28" s="79">
        <v>64222988</v>
      </c>
      <c r="B28" s="29" t="str">
        <f t="shared" si="0"/>
        <v>6.422.298-8</v>
      </c>
      <c r="C28" s="22" t="s">
        <v>22</v>
      </c>
      <c r="D28" s="29" t="s">
        <v>1482</v>
      </c>
      <c r="E28" s="29" t="s">
        <v>1552</v>
      </c>
      <c r="F28" s="29" t="s">
        <v>1364</v>
      </c>
      <c r="G28" s="49">
        <v>45601</v>
      </c>
      <c r="H28" s="29"/>
      <c r="I28" s="29"/>
      <c r="J28" s="29"/>
      <c r="K28" s="24" t="s">
        <v>43</v>
      </c>
      <c r="L28" s="49">
        <v>45601</v>
      </c>
      <c r="M28" s="49">
        <v>45602</v>
      </c>
      <c r="N28" s="34">
        <f t="shared" si="1"/>
        <v>1</v>
      </c>
      <c r="O28" s="29"/>
      <c r="P28" s="29"/>
      <c r="Q28" t="s">
        <v>88</v>
      </c>
      <c r="R28" t="s">
        <v>88</v>
      </c>
      <c r="S28" t="s">
        <v>88</v>
      </c>
      <c r="T28" t="s">
        <v>88</v>
      </c>
      <c r="U28" t="s">
        <v>88</v>
      </c>
      <c r="V28" t="s">
        <v>20</v>
      </c>
    </row>
    <row r="29" spans="1:22" x14ac:dyDescent="0.45">
      <c r="A29" s="79">
        <v>64222988</v>
      </c>
      <c r="B29" s="29" t="str">
        <f t="shared" si="0"/>
        <v>6.422.298-8</v>
      </c>
      <c r="C29" s="22" t="str">
        <f>IF(IFERROR(VLOOKUP(A29,$A$10:$I28,1,0),0)=0,"",VLOOKUP(A29,$A$10:$I28,3,0))</f>
        <v>UCI</v>
      </c>
      <c r="D29" s="29" t="str">
        <f>IF(IFERROR(VLOOKUP(A29,$A$10:$I28,1,0),0)=0,"",VLOOKUP(A29,$A$10:$I28,4,0))</f>
        <v>HÉCTOR</v>
      </c>
      <c r="E29" s="29" t="str">
        <f>IF(IFERROR(VLOOKUP(A29,$A$10:$I28,1,0),0)=0,"",VLOOKUP(A29,$A$10:$I28,5,0))</f>
        <v>SÁNCHEZ</v>
      </c>
      <c r="F29" s="29" t="str">
        <f>IF(IFERROR(VLOOKUP(A29,$A$10:$I28,1,0),0)=0,"",VLOOKUP(A29,$A$10:$I28,6,0))</f>
        <v>GUTIÉRREZ</v>
      </c>
      <c r="G29" s="49">
        <f>IF(IFERROR(VLOOKUP(A29,$A$10:$I28,1,0),0)=0,"",VLOOKUP(A29,$A$10:$I28,7,0))</f>
        <v>45601</v>
      </c>
      <c r="H29" s="29"/>
      <c r="I29" s="29"/>
      <c r="J29" s="29"/>
      <c r="K29" s="24" t="s">
        <v>47</v>
      </c>
      <c r="L29" s="49">
        <v>45601</v>
      </c>
      <c r="M29" s="49">
        <v>45602</v>
      </c>
      <c r="N29" s="34">
        <f t="shared" si="1"/>
        <v>1</v>
      </c>
      <c r="O29" s="29"/>
      <c r="P29" s="29"/>
      <c r="Q29" t="s">
        <v>88</v>
      </c>
      <c r="R29" t="s">
        <v>88</v>
      </c>
      <c r="S29" t="s">
        <v>88</v>
      </c>
      <c r="T29" t="s">
        <v>88</v>
      </c>
      <c r="U29" t="s">
        <v>88</v>
      </c>
      <c r="V29" t="s">
        <v>20</v>
      </c>
    </row>
    <row r="30" spans="1:22" x14ac:dyDescent="0.45">
      <c r="A30" s="79" t="s">
        <v>1553</v>
      </c>
      <c r="B30" s="29" t="str">
        <f t="shared" si="0"/>
        <v>9.237.517-k</v>
      </c>
      <c r="C30" s="22" t="s">
        <v>22</v>
      </c>
      <c r="D30" s="29" t="s">
        <v>250</v>
      </c>
      <c r="E30" s="29" t="s">
        <v>767</v>
      </c>
      <c r="F30" s="29" t="s">
        <v>240</v>
      </c>
      <c r="G30" s="49">
        <v>45595</v>
      </c>
      <c r="H30" s="49">
        <v>45610</v>
      </c>
      <c r="I30" s="29"/>
      <c r="J30" s="29" t="s">
        <v>26</v>
      </c>
      <c r="K30" s="24" t="s">
        <v>43</v>
      </c>
      <c r="L30" s="49">
        <v>45597</v>
      </c>
      <c r="M30" s="49">
        <v>45604</v>
      </c>
      <c r="N30" s="34">
        <f t="shared" si="1"/>
        <v>7</v>
      </c>
      <c r="O30" s="29"/>
      <c r="P30" s="29"/>
      <c r="Q30" t="s">
        <v>88</v>
      </c>
      <c r="R30" t="s">
        <v>88</v>
      </c>
      <c r="S30" t="s">
        <v>88</v>
      </c>
      <c r="T30" t="s">
        <v>88</v>
      </c>
      <c r="U30" t="s">
        <v>88</v>
      </c>
      <c r="V30" t="s">
        <v>20</v>
      </c>
    </row>
    <row r="31" spans="1:22" x14ac:dyDescent="0.45">
      <c r="A31" s="79" t="s">
        <v>1553</v>
      </c>
      <c r="B31" s="29" t="str">
        <f t="shared" si="0"/>
        <v>9.237.517-k</v>
      </c>
      <c r="C31" s="22" t="str">
        <f>IF(IFERROR(VLOOKUP(A31,$A$10:$I30,1,0),0)=0,"",VLOOKUP(A31,$A$10:$I30,3,0))</f>
        <v>UCI</v>
      </c>
      <c r="D31" s="29" t="str">
        <f>IF(IFERROR(VLOOKUP(A31,$A$10:$I30,1,0),0)=0,"",VLOOKUP(A31,$A$10:$I30,4,0))</f>
        <v>JOSE</v>
      </c>
      <c r="E31" s="29" t="str">
        <f>IF(IFERROR(VLOOKUP(A31,$A$10:$I30,1,0),0)=0,"",VLOOKUP(A31,$A$10:$I30,5,0))</f>
        <v>NEIRA</v>
      </c>
      <c r="F31" s="29" t="str">
        <f>IF(IFERROR(VLOOKUP(A31,$A$10:$I30,1,0),0)=0,"",VLOOKUP(A31,$A$10:$I30,6,0))</f>
        <v>MARTINEZ</v>
      </c>
      <c r="G31" s="49">
        <f>IF(IFERROR(VLOOKUP(A31,$A$10:$I30,1,0),0)=0,"",VLOOKUP(A31,$A$10:$I30,7,0))</f>
        <v>45595</v>
      </c>
      <c r="H31" s="49">
        <v>45610</v>
      </c>
      <c r="I31" s="29"/>
      <c r="J31" s="29" t="s">
        <v>26</v>
      </c>
      <c r="K31" s="24" t="s">
        <v>47</v>
      </c>
      <c r="L31" s="49">
        <v>45597</v>
      </c>
      <c r="M31" s="49">
        <v>45610</v>
      </c>
      <c r="N31" s="34">
        <f t="shared" si="1"/>
        <v>13</v>
      </c>
      <c r="O31" s="29"/>
      <c r="P31" s="29"/>
      <c r="Q31" t="s">
        <v>88</v>
      </c>
      <c r="R31" t="s">
        <v>88</v>
      </c>
      <c r="S31" t="s">
        <v>88</v>
      </c>
      <c r="T31" t="s">
        <v>88</v>
      </c>
      <c r="U31" t="s">
        <v>88</v>
      </c>
      <c r="V31" t="s">
        <v>20</v>
      </c>
    </row>
    <row r="32" spans="1:22" x14ac:dyDescent="0.45">
      <c r="A32" s="79" t="s">
        <v>1553</v>
      </c>
      <c r="B32" s="29" t="str">
        <f t="shared" si="0"/>
        <v>9.237.517-k</v>
      </c>
      <c r="C32" s="22" t="str">
        <f>IF(IFERROR(VLOOKUP(A32,$A$10:$I31,1,0),0)=0,"",VLOOKUP(A32,$A$10:$I31,3,0))</f>
        <v>UCI</v>
      </c>
      <c r="D32" s="29" t="str">
        <f>IF(IFERROR(VLOOKUP(A32,$A$10:$I31,1,0),0)=0,"",VLOOKUP(A32,$A$10:$I31,4,0))</f>
        <v>JOSE</v>
      </c>
      <c r="E32" s="29" t="str">
        <f>IF(IFERROR(VLOOKUP(A32,$A$10:$I31,1,0),0)=0,"",VLOOKUP(A32,$A$10:$I31,5,0))</f>
        <v>NEIRA</v>
      </c>
      <c r="F32" s="29" t="str">
        <f>IF(IFERROR(VLOOKUP(A32,$A$10:$I31,1,0),0)=0,"",VLOOKUP(A32,$A$10:$I31,6,0))</f>
        <v>MARTINEZ</v>
      </c>
      <c r="G32" s="49">
        <f>IF(IFERROR(VLOOKUP(A32,$A$10:$I31,1,0),0)=0,"",VLOOKUP(A32,$A$10:$I31,7,0))</f>
        <v>45595</v>
      </c>
      <c r="H32" s="49">
        <v>45610</v>
      </c>
      <c r="I32" s="29"/>
      <c r="J32" s="29" t="s">
        <v>26</v>
      </c>
      <c r="K32" s="24" t="s">
        <v>18</v>
      </c>
      <c r="L32" s="49">
        <v>45604</v>
      </c>
      <c r="M32" s="49">
        <v>45610</v>
      </c>
      <c r="N32" s="34">
        <f t="shared" si="1"/>
        <v>6</v>
      </c>
      <c r="O32" s="29"/>
      <c r="P32" s="29"/>
      <c r="Q32" t="s">
        <v>88</v>
      </c>
      <c r="R32" t="s">
        <v>88</v>
      </c>
      <c r="S32" t="s">
        <v>88</v>
      </c>
      <c r="T32" t="s">
        <v>88</v>
      </c>
      <c r="U32" t="s">
        <v>88</v>
      </c>
      <c r="V32" t="s">
        <v>20</v>
      </c>
    </row>
    <row r="33" spans="1:22" x14ac:dyDescent="0.45">
      <c r="A33" s="79">
        <v>193729673</v>
      </c>
      <c r="B33" s="29" t="str">
        <f t="shared" si="0"/>
        <v>19.372.967-3</v>
      </c>
      <c r="C33" s="22" t="s">
        <v>22</v>
      </c>
      <c r="D33" s="29" t="s">
        <v>1534</v>
      </c>
      <c r="E33" s="29" t="s">
        <v>1536</v>
      </c>
      <c r="F33" s="29" t="s">
        <v>245</v>
      </c>
      <c r="G33" s="49">
        <v>45595</v>
      </c>
      <c r="H33" s="49">
        <v>45603</v>
      </c>
      <c r="I33" s="29"/>
      <c r="J33" s="29"/>
      <c r="K33" s="24" t="s">
        <v>43</v>
      </c>
      <c r="L33" s="49">
        <v>45597</v>
      </c>
      <c r="M33" s="49">
        <v>45603</v>
      </c>
      <c r="N33" s="34">
        <f t="shared" si="1"/>
        <v>6</v>
      </c>
      <c r="O33" s="29"/>
      <c r="P33" s="29"/>
      <c r="Q33" t="s">
        <v>88</v>
      </c>
      <c r="R33" t="s">
        <v>88</v>
      </c>
      <c r="S33" t="s">
        <v>88</v>
      </c>
      <c r="T33" t="s">
        <v>88</v>
      </c>
      <c r="U33" t="s">
        <v>88</v>
      </c>
      <c r="V33" t="s">
        <v>20</v>
      </c>
    </row>
    <row r="34" spans="1:22" x14ac:dyDescent="0.45">
      <c r="A34" s="79">
        <v>193729673</v>
      </c>
      <c r="B34" s="29" t="str">
        <f t="shared" si="0"/>
        <v>19.372.967-3</v>
      </c>
      <c r="C34" s="22" t="str">
        <f>IF(IFERROR(VLOOKUP(A34,$A$10:$I33,1,0),0)=0,"",VLOOKUP(A34,$A$10:$I33,3,0))</f>
        <v>UCI</v>
      </c>
      <c r="D34" s="29" t="str">
        <f>IF(IFERROR(VLOOKUP(A34,$A$10:$I33,1,0),0)=0,"",VLOOKUP(A34,$A$10:$I33,4,0))</f>
        <v>JONATHAN</v>
      </c>
      <c r="E34" s="29" t="str">
        <f>IF(IFERROR(VLOOKUP(A34,$A$10:$I33,1,0),0)=0,"",VLOOKUP(A34,$A$10:$I33,5,0))</f>
        <v>JAQUE</v>
      </c>
      <c r="F34" s="29" t="str">
        <f>IF(IFERROR(VLOOKUP(A34,$A$10:$I33,1,0),0)=0,"",VLOOKUP(A34,$A$10:$I33,6,0))</f>
        <v>DAZA</v>
      </c>
      <c r="G34" s="49">
        <f>IF(IFERROR(VLOOKUP(A34,$A$10:$I33,1,0),0)=0,"",VLOOKUP(A34,$A$10:$I33,7,0))</f>
        <v>45595</v>
      </c>
      <c r="H34" s="49">
        <v>45603</v>
      </c>
      <c r="I34" s="29"/>
      <c r="J34" s="29"/>
      <c r="K34" s="24" t="s">
        <v>47</v>
      </c>
      <c r="L34" s="49">
        <v>45597</v>
      </c>
      <c r="M34" s="49">
        <v>45603</v>
      </c>
      <c r="N34" s="34">
        <f t="shared" si="1"/>
        <v>6</v>
      </c>
      <c r="O34" s="29"/>
      <c r="P34" s="29"/>
      <c r="Q34" t="s">
        <v>88</v>
      </c>
      <c r="R34" t="s">
        <v>88</v>
      </c>
      <c r="S34" t="s">
        <v>88</v>
      </c>
      <c r="T34" t="s">
        <v>88</v>
      </c>
      <c r="U34" t="s">
        <v>88</v>
      </c>
      <c r="V34" t="s">
        <v>20</v>
      </c>
    </row>
    <row r="35" spans="1:22" x14ac:dyDescent="0.45">
      <c r="A35" s="79">
        <v>209780860</v>
      </c>
      <c r="B35" s="29" t="str">
        <f t="shared" si="0"/>
        <v>20.978.086-0</v>
      </c>
      <c r="C35" s="22" t="s">
        <v>22</v>
      </c>
      <c r="D35" s="29" t="s">
        <v>1534</v>
      </c>
      <c r="E35" s="29" t="s">
        <v>1271</v>
      </c>
      <c r="F35" s="29" t="s">
        <v>1044</v>
      </c>
      <c r="G35" s="49">
        <v>45599</v>
      </c>
      <c r="H35" s="49">
        <v>45602</v>
      </c>
      <c r="I35" s="29"/>
      <c r="J35" s="29" t="s">
        <v>34</v>
      </c>
      <c r="K35" s="24" t="s">
        <v>43</v>
      </c>
      <c r="L35" s="49">
        <v>45599</v>
      </c>
      <c r="M35" s="49">
        <v>45602</v>
      </c>
      <c r="N35" s="34">
        <f t="shared" si="1"/>
        <v>3</v>
      </c>
      <c r="O35" s="29"/>
      <c r="P35" s="29"/>
      <c r="Q35" t="s">
        <v>88</v>
      </c>
      <c r="R35" t="s">
        <v>88</v>
      </c>
      <c r="S35" t="s">
        <v>88</v>
      </c>
      <c r="T35" t="s">
        <v>88</v>
      </c>
      <c r="U35" t="s">
        <v>88</v>
      </c>
      <c r="V35" t="s">
        <v>20</v>
      </c>
    </row>
    <row r="36" spans="1:22" x14ac:dyDescent="0.45">
      <c r="A36" s="79">
        <v>144205081</v>
      </c>
      <c r="B36" s="29" t="str">
        <f t="shared" si="0"/>
        <v>14.420.508-1</v>
      </c>
      <c r="C36" s="22" t="s">
        <v>22</v>
      </c>
      <c r="D36" s="29" t="s">
        <v>638</v>
      </c>
      <c r="E36" s="29" t="s">
        <v>426</v>
      </c>
      <c r="F36" s="29" t="s">
        <v>323</v>
      </c>
      <c r="G36" s="49">
        <v>45594</v>
      </c>
      <c r="H36" s="29"/>
      <c r="I36" s="29"/>
      <c r="J36" s="29"/>
      <c r="K36" s="24" t="s">
        <v>18</v>
      </c>
      <c r="L36" s="49">
        <v>45597</v>
      </c>
      <c r="M36" s="49">
        <v>45626</v>
      </c>
      <c r="N36" s="34">
        <f t="shared" si="1"/>
        <v>29</v>
      </c>
      <c r="O36" s="29"/>
      <c r="P36" s="29"/>
      <c r="Q36" t="s">
        <v>88</v>
      </c>
      <c r="R36" t="s">
        <v>88</v>
      </c>
      <c r="S36" t="s">
        <v>88</v>
      </c>
      <c r="T36" t="s">
        <v>88</v>
      </c>
      <c r="U36" t="s">
        <v>88</v>
      </c>
      <c r="V36" t="s">
        <v>20</v>
      </c>
    </row>
    <row r="37" spans="1:22" x14ac:dyDescent="0.45">
      <c r="A37" s="79">
        <v>144205081</v>
      </c>
      <c r="B37" s="29" t="str">
        <f t="shared" si="0"/>
        <v>14.420.508-1</v>
      </c>
      <c r="C37" s="22" t="str">
        <f>IF(IFERROR(VLOOKUP(A37,$A$10:$I36,1,0),0)=0,"",VLOOKUP(A37,$A$10:$I36,3,0))</f>
        <v>UCI</v>
      </c>
      <c r="D37" s="29" t="str">
        <f>IF(IFERROR(VLOOKUP(A37,$A$10:$I36,1,0),0)=0,"",VLOOKUP(A37,$A$10:$I36,4,0))</f>
        <v>CARLOS</v>
      </c>
      <c r="E37" s="29" t="str">
        <f>IF(IFERROR(VLOOKUP(A37,$A$10:$I36,1,0),0)=0,"",VLOOKUP(A37,$A$10:$I36,5,0))</f>
        <v>GODOY</v>
      </c>
      <c r="F37" s="29" t="str">
        <f>IF(IFERROR(VLOOKUP(A37,$A$10:$I36,1,0),0)=0,"",VLOOKUP(A37,$A$10:$I36,6,0))</f>
        <v>BASCUÑAN</v>
      </c>
      <c r="G37" s="49">
        <f>IF(IFERROR(VLOOKUP(A37,$A$10:$I36,1,0),0)=0,"",VLOOKUP(A37,$A$10:$I36,7,0))</f>
        <v>45594</v>
      </c>
      <c r="H37" s="29"/>
      <c r="I37" s="29"/>
      <c r="J37" s="29"/>
      <c r="K37" s="24" t="s">
        <v>47</v>
      </c>
      <c r="L37" s="49">
        <v>45597</v>
      </c>
      <c r="M37" s="49">
        <v>45626</v>
      </c>
      <c r="N37" s="34">
        <f t="shared" si="1"/>
        <v>29</v>
      </c>
      <c r="O37" s="29"/>
      <c r="P37" s="29"/>
      <c r="Q37" t="s">
        <v>88</v>
      </c>
      <c r="R37" t="s">
        <v>88</v>
      </c>
      <c r="S37" t="s">
        <v>88</v>
      </c>
      <c r="T37" t="s">
        <v>88</v>
      </c>
      <c r="U37" t="s">
        <v>88</v>
      </c>
      <c r="V37" t="s">
        <v>20</v>
      </c>
    </row>
    <row r="38" spans="1:22" x14ac:dyDescent="0.45">
      <c r="A38" s="79" t="s">
        <v>1445</v>
      </c>
      <c r="B38" s="29" t="str">
        <f t="shared" si="0"/>
        <v>15.615.461-k</v>
      </c>
      <c r="C38" s="22" t="s">
        <v>22</v>
      </c>
      <c r="D38" s="29" t="s">
        <v>348</v>
      </c>
      <c r="E38" s="29" t="s">
        <v>300</v>
      </c>
      <c r="F38" s="29" t="s">
        <v>580</v>
      </c>
      <c r="G38" s="49">
        <v>45599</v>
      </c>
      <c r="H38" s="49">
        <v>45609</v>
      </c>
      <c r="I38" s="29"/>
      <c r="J38" s="29" t="s">
        <v>24</v>
      </c>
      <c r="K38" s="24" t="s">
        <v>18</v>
      </c>
      <c r="L38" s="49">
        <v>45599</v>
      </c>
      <c r="M38" s="49">
        <v>45609</v>
      </c>
      <c r="N38" s="34">
        <f t="shared" si="1"/>
        <v>10</v>
      </c>
      <c r="O38" s="29"/>
      <c r="P38" s="29"/>
      <c r="Q38" t="s">
        <v>88</v>
      </c>
      <c r="R38" t="s">
        <v>88</v>
      </c>
      <c r="S38" t="s">
        <v>88</v>
      </c>
      <c r="T38" t="s">
        <v>88</v>
      </c>
      <c r="U38" t="s">
        <v>88</v>
      </c>
      <c r="V38" t="s">
        <v>20</v>
      </c>
    </row>
    <row r="39" spans="1:22" x14ac:dyDescent="0.45">
      <c r="A39" s="79">
        <v>67213432</v>
      </c>
      <c r="B39" s="29" t="str">
        <f t="shared" si="0"/>
        <v>6.721.343-2</v>
      </c>
      <c r="C39" s="22" t="s">
        <v>22</v>
      </c>
      <c r="D39" s="29" t="s">
        <v>738</v>
      </c>
      <c r="E39" s="29" t="s">
        <v>465</v>
      </c>
      <c r="F39" s="22" t="s">
        <v>573</v>
      </c>
      <c r="G39" s="49">
        <v>45589</v>
      </c>
      <c r="H39" s="49"/>
      <c r="I39" s="29" t="s">
        <v>22</v>
      </c>
      <c r="J39" s="29" t="s">
        <v>19</v>
      </c>
      <c r="K39" s="24" t="s">
        <v>43</v>
      </c>
      <c r="L39" s="32">
        <v>45597</v>
      </c>
      <c r="M39" s="32">
        <v>45602</v>
      </c>
      <c r="N39" s="34">
        <f t="shared" si="1"/>
        <v>5</v>
      </c>
      <c r="O39" s="29"/>
      <c r="P39" s="29"/>
      <c r="Q39" t="s">
        <v>88</v>
      </c>
      <c r="R39" t="s">
        <v>88</v>
      </c>
      <c r="S39" t="s">
        <v>88</v>
      </c>
      <c r="T39" t="s">
        <v>88</v>
      </c>
      <c r="U39" t="s">
        <v>88</v>
      </c>
      <c r="V39" t="s">
        <v>20</v>
      </c>
    </row>
    <row r="40" spans="1:22" x14ac:dyDescent="0.45">
      <c r="A40" s="79">
        <v>67213432</v>
      </c>
      <c r="B40" s="29" t="str">
        <f t="shared" ref="B40:B71" si="2">IF(LEN(A40)=8,MID(A40,1,1)&amp;"."&amp;MID(A40,2,3)&amp;"."&amp;MID(A40,5,3)&amp;"-"&amp;RIGHT(A40,1),IF(LEFT(RIGHT(A40,2),1)="-",MID(A40,1,1)&amp;"."&amp;MID(A40,2,3)&amp;"."&amp;MID(A40,5,3)&amp;"-"&amp;RIGHT(A40,1),MID(A40,1,2)&amp;"."&amp;MID(A40,3,3)&amp;"."&amp;MID(A40,6,3)&amp;"-"&amp;MID(A40,9,1)))</f>
        <v>6.721.343-2</v>
      </c>
      <c r="C40" s="22" t="s">
        <v>22</v>
      </c>
      <c r="D40" s="29" t="s">
        <v>738</v>
      </c>
      <c r="E40" s="29" t="s">
        <v>465</v>
      </c>
      <c r="F40" s="22" t="s">
        <v>573</v>
      </c>
      <c r="G40" s="49">
        <v>45589</v>
      </c>
      <c r="H40" s="49"/>
      <c r="I40" s="29" t="s">
        <v>22</v>
      </c>
      <c r="J40" s="29" t="s">
        <v>19</v>
      </c>
      <c r="K40" s="24" t="s">
        <v>18</v>
      </c>
      <c r="L40" s="32">
        <v>45602</v>
      </c>
      <c r="M40" s="32">
        <v>45619</v>
      </c>
      <c r="N40" s="34">
        <f t="shared" ref="N40:N61" si="3">+M40-L40</f>
        <v>17</v>
      </c>
      <c r="O40" s="29"/>
      <c r="P40" s="29"/>
      <c r="Q40" t="s">
        <v>88</v>
      </c>
      <c r="R40" t="s">
        <v>88</v>
      </c>
      <c r="S40" t="s">
        <v>88</v>
      </c>
      <c r="T40" t="s">
        <v>88</v>
      </c>
      <c r="U40" t="s">
        <v>88</v>
      </c>
      <c r="V40" t="s">
        <v>20</v>
      </c>
    </row>
    <row r="41" spans="1:22" x14ac:dyDescent="0.45">
      <c r="A41" s="79">
        <v>201970202</v>
      </c>
      <c r="B41" s="29" t="str">
        <f t="shared" si="2"/>
        <v>20.197.020-2</v>
      </c>
      <c r="C41" s="22" t="s">
        <v>22</v>
      </c>
      <c r="D41" s="29" t="s">
        <v>1057</v>
      </c>
      <c r="E41" s="29" t="s">
        <v>559</v>
      </c>
      <c r="F41" s="29" t="s">
        <v>1235</v>
      </c>
      <c r="G41" s="49">
        <v>45580</v>
      </c>
      <c r="H41" s="49">
        <v>45602</v>
      </c>
      <c r="I41" s="29"/>
      <c r="J41" s="29" t="s">
        <v>26</v>
      </c>
      <c r="K41" s="24" t="s">
        <v>43</v>
      </c>
      <c r="L41" s="49">
        <v>45597</v>
      </c>
      <c r="M41" s="49">
        <v>45602</v>
      </c>
      <c r="N41" s="34">
        <f t="shared" si="3"/>
        <v>5</v>
      </c>
      <c r="O41" s="29"/>
      <c r="P41" s="29"/>
      <c r="Q41" t="s">
        <v>88</v>
      </c>
      <c r="R41" t="s">
        <v>88</v>
      </c>
      <c r="S41" t="s">
        <v>88</v>
      </c>
      <c r="T41" t="s">
        <v>88</v>
      </c>
      <c r="U41" t="s">
        <v>88</v>
      </c>
      <c r="V41" t="s">
        <v>20</v>
      </c>
    </row>
    <row r="42" spans="1:22" x14ac:dyDescent="0.45">
      <c r="A42" s="79">
        <v>201970202</v>
      </c>
      <c r="B42" s="29" t="str">
        <f t="shared" si="2"/>
        <v>20.197.020-2</v>
      </c>
      <c r="C42" s="22" t="str">
        <f>IF(IFERROR(VLOOKUP(A42,$A$10:$I41,1,0),0)=0,"",VLOOKUP(A42,$A$10:$I41,3,0))</f>
        <v>UCI</v>
      </c>
      <c r="D42" s="29" t="str">
        <f>IF(IFERROR(VLOOKUP(A42,$A$10:$I41,1,0),0)=0,"",VLOOKUP(A42,$A$10:$I41,4,0))</f>
        <v>DIEGO</v>
      </c>
      <c r="E42" s="29" t="str">
        <f>IF(IFERROR(VLOOKUP(A42,$A$10:$I41,1,0),0)=0,"",VLOOKUP(A42,$A$10:$I41,5,0))</f>
        <v>SEPULVEDA</v>
      </c>
      <c r="F42" s="29" t="str">
        <f>IF(IFERROR(VLOOKUP(A42,$A$10:$I41,1,0),0)=0,"",VLOOKUP(A42,$A$10:$I41,6,0))</f>
        <v>GAETE</v>
      </c>
      <c r="G42" s="49">
        <f>IF(IFERROR(VLOOKUP(A42,$A$10:$I41,1,0),0)=0,"",VLOOKUP(A42,$A$10:$I41,7,0))</f>
        <v>45580</v>
      </c>
      <c r="H42" s="49">
        <v>45602</v>
      </c>
      <c r="I42" s="29"/>
      <c r="J42" s="29" t="s">
        <v>26</v>
      </c>
      <c r="K42" s="24" t="s">
        <v>47</v>
      </c>
      <c r="L42" s="49">
        <v>45597</v>
      </c>
      <c r="M42" s="49">
        <v>45602</v>
      </c>
      <c r="N42" s="34">
        <f t="shared" si="3"/>
        <v>5</v>
      </c>
      <c r="O42" s="29"/>
      <c r="P42" s="29"/>
      <c r="Q42" t="s">
        <v>88</v>
      </c>
      <c r="R42" t="s">
        <v>88</v>
      </c>
      <c r="S42" t="s">
        <v>88</v>
      </c>
      <c r="T42" t="s">
        <v>88</v>
      </c>
      <c r="U42" t="s">
        <v>88</v>
      </c>
      <c r="V42" t="s">
        <v>20</v>
      </c>
    </row>
    <row r="43" spans="1:22" x14ac:dyDescent="0.45">
      <c r="A43" s="79">
        <v>116630788</v>
      </c>
      <c r="B43" s="29" t="str">
        <f t="shared" si="2"/>
        <v>11.663.078-8</v>
      </c>
      <c r="C43" s="22" t="s">
        <v>22</v>
      </c>
      <c r="D43" s="29" t="s">
        <v>336</v>
      </c>
      <c r="E43" s="29" t="s">
        <v>315</v>
      </c>
      <c r="F43" s="29" t="s">
        <v>1287</v>
      </c>
      <c r="G43" s="49">
        <v>45538</v>
      </c>
      <c r="H43" s="49">
        <v>45615</v>
      </c>
      <c r="I43" s="29"/>
      <c r="J43" s="29" t="s">
        <v>56</v>
      </c>
      <c r="K43" s="24" t="s">
        <v>43</v>
      </c>
      <c r="L43" s="49">
        <v>45597</v>
      </c>
      <c r="M43" s="49">
        <v>45608</v>
      </c>
      <c r="N43" s="34">
        <f t="shared" si="3"/>
        <v>11</v>
      </c>
      <c r="O43" s="29"/>
      <c r="P43" s="29"/>
      <c r="Q43" t="s">
        <v>88</v>
      </c>
      <c r="R43" t="s">
        <v>88</v>
      </c>
      <c r="S43" t="s">
        <v>88</v>
      </c>
      <c r="T43" t="s">
        <v>88</v>
      </c>
      <c r="U43" t="s">
        <v>88</v>
      </c>
      <c r="V43" t="s">
        <v>20</v>
      </c>
    </row>
    <row r="44" spans="1:22" x14ac:dyDescent="0.45">
      <c r="A44" s="79">
        <v>116630788</v>
      </c>
      <c r="B44" s="29" t="str">
        <f t="shared" si="2"/>
        <v>11.663.078-8</v>
      </c>
      <c r="C44" s="22" t="str">
        <f>IF(IFERROR(VLOOKUP(A44,$A$10:$I43,1,0),0)=0,"",VLOOKUP(A44,$A$10:$I43,3,0))</f>
        <v>UCI</v>
      </c>
      <c r="D44" s="29" t="str">
        <f>IF(IFERROR(VLOOKUP(A44,$A$10:$I43,1,0),0)=0,"",VLOOKUP(A44,$A$10:$I43,4,0))</f>
        <v>ANA</v>
      </c>
      <c r="E44" s="29" t="str">
        <f>IF(IFERROR(VLOOKUP(A44,$A$10:$I43,1,0),0)=0,"",VLOOKUP(A44,$A$10:$I43,5,0))</f>
        <v>ARIAS</v>
      </c>
      <c r="F44" s="29" t="str">
        <f>IF(IFERROR(VLOOKUP(A44,$A$10:$I43,1,0),0)=0,"",VLOOKUP(A44,$A$10:$I43,6,0))</f>
        <v>ARANCIBIA</v>
      </c>
      <c r="G44" s="49">
        <f>IF(IFERROR(VLOOKUP(A44,$A$10:$I43,1,0),0)=0,"",VLOOKUP(A44,$A$10:$I43,7,0))</f>
        <v>45538</v>
      </c>
      <c r="H44" s="49">
        <v>45615</v>
      </c>
      <c r="I44" s="29"/>
      <c r="J44" s="29" t="s">
        <v>56</v>
      </c>
      <c r="K44" s="24" t="s">
        <v>18</v>
      </c>
      <c r="L44" s="49">
        <v>45608</v>
      </c>
      <c r="M44" s="49">
        <v>45615</v>
      </c>
      <c r="N44" s="34">
        <f t="shared" si="3"/>
        <v>7</v>
      </c>
      <c r="O44" s="29"/>
      <c r="P44" s="29"/>
      <c r="Q44" t="s">
        <v>88</v>
      </c>
      <c r="R44" t="s">
        <v>88</v>
      </c>
      <c r="S44" t="s">
        <v>88</v>
      </c>
      <c r="T44" t="s">
        <v>88</v>
      </c>
      <c r="U44" t="s">
        <v>88</v>
      </c>
      <c r="V44" t="s">
        <v>20</v>
      </c>
    </row>
    <row r="45" spans="1:22" x14ac:dyDescent="0.45">
      <c r="A45" s="79">
        <v>92737675</v>
      </c>
      <c r="B45" s="29" t="str">
        <f t="shared" si="2"/>
        <v>9.273.767-5</v>
      </c>
      <c r="C45" s="22" t="s">
        <v>22</v>
      </c>
      <c r="D45" s="29" t="s">
        <v>629</v>
      </c>
      <c r="E45" s="29" t="s">
        <v>375</v>
      </c>
      <c r="F45" s="29" t="s">
        <v>387</v>
      </c>
      <c r="G45" s="49">
        <v>45598</v>
      </c>
      <c r="H45" s="49">
        <v>45601</v>
      </c>
      <c r="I45" s="29"/>
      <c r="J45" s="29"/>
      <c r="K45" s="24" t="s">
        <v>43</v>
      </c>
      <c r="L45" s="49">
        <v>45598</v>
      </c>
      <c r="M45" s="49">
        <v>45601</v>
      </c>
      <c r="N45" s="34">
        <f t="shared" si="3"/>
        <v>3</v>
      </c>
      <c r="O45" s="29"/>
      <c r="P45" s="29"/>
      <c r="Q45" t="s">
        <v>88</v>
      </c>
      <c r="R45" t="s">
        <v>88</v>
      </c>
      <c r="S45" t="s">
        <v>88</v>
      </c>
      <c r="T45" t="s">
        <v>88</v>
      </c>
      <c r="U45" t="s">
        <v>88</v>
      </c>
      <c r="V45" t="s">
        <v>20</v>
      </c>
    </row>
    <row r="46" spans="1:22" x14ac:dyDescent="0.45">
      <c r="A46" s="79">
        <v>285561434</v>
      </c>
      <c r="B46" s="29" t="str">
        <f t="shared" si="2"/>
        <v>28.556.143-4</v>
      </c>
      <c r="C46" s="22" t="s">
        <v>10</v>
      </c>
      <c r="D46" s="29" t="s">
        <v>1501</v>
      </c>
      <c r="E46" s="29" t="s">
        <v>241</v>
      </c>
      <c r="F46" s="29" t="s">
        <v>747</v>
      </c>
      <c r="G46" s="49">
        <v>45593</v>
      </c>
      <c r="H46" s="29"/>
      <c r="I46" s="29"/>
      <c r="J46" s="29"/>
      <c r="K46" s="24" t="s">
        <v>18</v>
      </c>
      <c r="L46" s="49">
        <v>45597</v>
      </c>
      <c r="M46" s="49">
        <v>45618</v>
      </c>
      <c r="N46" s="34">
        <f t="shared" si="3"/>
        <v>21</v>
      </c>
      <c r="O46" s="29"/>
      <c r="P46" s="29"/>
      <c r="Q46" t="s">
        <v>88</v>
      </c>
      <c r="R46" t="s">
        <v>88</v>
      </c>
      <c r="S46" t="s">
        <v>88</v>
      </c>
      <c r="T46" t="s">
        <v>88</v>
      </c>
      <c r="U46" t="s">
        <v>88</v>
      </c>
      <c r="V46" t="s">
        <v>20</v>
      </c>
    </row>
    <row r="47" spans="1:22" x14ac:dyDescent="0.45">
      <c r="A47" s="79">
        <v>284458796</v>
      </c>
      <c r="B47" s="29" t="str">
        <f t="shared" si="2"/>
        <v>28.445.879-6</v>
      </c>
      <c r="C47" s="22" t="s">
        <v>10</v>
      </c>
      <c r="D47" s="29" t="s">
        <v>524</v>
      </c>
      <c r="E47" s="29" t="s">
        <v>461</v>
      </c>
      <c r="F47" s="29" t="s">
        <v>1115</v>
      </c>
      <c r="G47" s="49">
        <v>45531</v>
      </c>
      <c r="H47" s="29"/>
      <c r="I47" s="29"/>
      <c r="J47" s="29"/>
      <c r="K47" s="24" t="s">
        <v>43</v>
      </c>
      <c r="L47" s="49">
        <v>45597</v>
      </c>
      <c r="M47" s="49">
        <v>45626</v>
      </c>
      <c r="N47" s="34">
        <f t="shared" si="3"/>
        <v>29</v>
      </c>
      <c r="O47" s="29"/>
      <c r="P47" s="29"/>
      <c r="Q47" t="s">
        <v>88</v>
      </c>
      <c r="R47" t="s">
        <v>88</v>
      </c>
      <c r="S47" t="s">
        <v>88</v>
      </c>
      <c r="T47" t="s">
        <v>88</v>
      </c>
      <c r="U47" t="s">
        <v>88</v>
      </c>
      <c r="V47" t="s">
        <v>20</v>
      </c>
    </row>
    <row r="48" spans="1:22" x14ac:dyDescent="0.45">
      <c r="A48" s="79">
        <v>284458796</v>
      </c>
      <c r="B48" s="29" t="str">
        <f t="shared" si="2"/>
        <v>28.445.879-6</v>
      </c>
      <c r="C48" s="22" t="str">
        <f>IF(IFERROR(VLOOKUP(A48,$A$10:$I47,1,0),0)=0,"",VLOOKUP(A48,$A$10:$I47,3,0))</f>
        <v>UCI infanto juvenil</v>
      </c>
      <c r="D48" s="29" t="str">
        <f>IF(IFERROR(VLOOKUP(A48,$A$10:$I47,1,0),0)=0,"",VLOOKUP(A48,$A$10:$I47,4,0))</f>
        <v>NICOLAS</v>
      </c>
      <c r="E48" s="29" t="str">
        <f>IF(IFERROR(VLOOKUP(A48,$A$10:$I47,1,0),0)=0,"",VLOOKUP(A48,$A$10:$I47,5,0))</f>
        <v>MEDINA</v>
      </c>
      <c r="F48" s="29" t="str">
        <f>IF(IFERROR(VLOOKUP(A48,$A$10:$I47,1,0),0)=0,"",VLOOKUP(A48,$A$10:$I47,6,0))</f>
        <v>LEPEZ</v>
      </c>
      <c r="G48" s="49">
        <f>IF(IFERROR(VLOOKUP(A48,$A$10:$I47,1,0),0)=0,"",VLOOKUP(A48,$A$10:$I47,7,0))</f>
        <v>45531</v>
      </c>
      <c r="H48" s="29"/>
      <c r="I48" s="29"/>
      <c r="J48" s="29"/>
      <c r="K48" s="24" t="s">
        <v>18</v>
      </c>
      <c r="L48" s="49">
        <v>45597</v>
      </c>
      <c r="M48" s="49">
        <v>45626</v>
      </c>
      <c r="N48" s="34">
        <f t="shared" si="3"/>
        <v>29</v>
      </c>
      <c r="O48" s="29"/>
      <c r="P48" s="29"/>
      <c r="Q48" t="s">
        <v>88</v>
      </c>
      <c r="R48" t="s">
        <v>88</v>
      </c>
      <c r="S48" t="s">
        <v>88</v>
      </c>
      <c r="T48" t="s">
        <v>88</v>
      </c>
      <c r="U48" t="s">
        <v>88</v>
      </c>
      <c r="V48" t="s">
        <v>20</v>
      </c>
    </row>
    <row r="49" spans="1:22" x14ac:dyDescent="0.45">
      <c r="A49" s="79">
        <v>75951310</v>
      </c>
      <c r="B49" s="29" t="str">
        <f t="shared" si="2"/>
        <v>7.595.131-0</v>
      </c>
      <c r="C49" s="22" t="s">
        <v>46</v>
      </c>
      <c r="D49" s="29" t="s">
        <v>1554</v>
      </c>
      <c r="E49" s="29" t="s">
        <v>1555</v>
      </c>
      <c r="F49" s="29" t="s">
        <v>1556</v>
      </c>
      <c r="G49" s="49">
        <v>45583</v>
      </c>
      <c r="H49" s="49">
        <v>45609</v>
      </c>
      <c r="I49" s="29"/>
      <c r="J49" s="29" t="s">
        <v>13</v>
      </c>
      <c r="K49" s="24" t="s">
        <v>18</v>
      </c>
      <c r="L49" s="49">
        <v>45597</v>
      </c>
      <c r="M49" s="49">
        <v>45609</v>
      </c>
      <c r="N49" s="34">
        <f t="shared" si="3"/>
        <v>12</v>
      </c>
      <c r="O49" s="29"/>
      <c r="P49" s="29"/>
      <c r="Q49" t="s">
        <v>88</v>
      </c>
      <c r="R49" t="s">
        <v>88</v>
      </c>
      <c r="S49" t="s">
        <v>88</v>
      </c>
      <c r="T49" t="s">
        <v>88</v>
      </c>
      <c r="U49" t="s">
        <v>88</v>
      </c>
      <c r="V49" t="s">
        <v>20</v>
      </c>
    </row>
    <row r="50" spans="1:22" x14ac:dyDescent="0.45">
      <c r="A50" s="79">
        <v>117744671</v>
      </c>
      <c r="B50" s="29" t="str">
        <f t="shared" si="2"/>
        <v>11.774.467-1</v>
      </c>
      <c r="C50" s="22" t="s">
        <v>46</v>
      </c>
      <c r="D50" s="29" t="s">
        <v>1557</v>
      </c>
      <c r="E50" s="29" t="s">
        <v>1461</v>
      </c>
      <c r="F50" s="29" t="s">
        <v>326</v>
      </c>
      <c r="G50" s="49">
        <v>45600</v>
      </c>
      <c r="H50" s="49">
        <v>45610</v>
      </c>
      <c r="I50" s="29"/>
      <c r="J50" s="29"/>
      <c r="K50" s="24" t="s">
        <v>43</v>
      </c>
      <c r="L50" s="49">
        <v>45600</v>
      </c>
      <c r="M50" s="49">
        <v>45606</v>
      </c>
      <c r="N50" s="34">
        <f t="shared" si="3"/>
        <v>6</v>
      </c>
      <c r="O50" s="29"/>
      <c r="P50" s="29"/>
      <c r="Q50" t="s">
        <v>88</v>
      </c>
      <c r="R50" t="s">
        <v>88</v>
      </c>
      <c r="S50" t="s">
        <v>88</v>
      </c>
      <c r="T50" t="s">
        <v>88</v>
      </c>
      <c r="U50" t="s">
        <v>88</v>
      </c>
      <c r="V50" t="s">
        <v>20</v>
      </c>
    </row>
    <row r="51" spans="1:22" x14ac:dyDescent="0.45">
      <c r="A51" s="79">
        <v>106320012</v>
      </c>
      <c r="B51" s="29" t="str">
        <f t="shared" si="2"/>
        <v>10.632.001-2</v>
      </c>
      <c r="C51" s="22" t="s">
        <v>46</v>
      </c>
      <c r="D51" s="29" t="s">
        <v>1558</v>
      </c>
      <c r="E51" s="29" t="s">
        <v>488</v>
      </c>
      <c r="F51" s="29" t="s">
        <v>364</v>
      </c>
      <c r="G51" s="49">
        <v>45597</v>
      </c>
      <c r="H51" s="49">
        <v>45618</v>
      </c>
      <c r="I51" s="29"/>
      <c r="J51" s="29"/>
      <c r="K51" s="24" t="s">
        <v>43</v>
      </c>
      <c r="L51" s="49">
        <v>45597</v>
      </c>
      <c r="M51" s="49">
        <v>45614</v>
      </c>
      <c r="N51" s="34">
        <f t="shared" si="3"/>
        <v>17</v>
      </c>
      <c r="O51" s="29"/>
      <c r="P51" s="29"/>
      <c r="Q51" t="s">
        <v>88</v>
      </c>
      <c r="R51" t="s">
        <v>88</v>
      </c>
      <c r="S51" t="s">
        <v>88</v>
      </c>
      <c r="T51" t="s">
        <v>88</v>
      </c>
      <c r="U51" t="s">
        <v>88</v>
      </c>
      <c r="V51" t="s">
        <v>20</v>
      </c>
    </row>
    <row r="52" spans="1:22" x14ac:dyDescent="0.45">
      <c r="A52" s="79">
        <v>129200413</v>
      </c>
      <c r="B52" s="29" t="str">
        <f t="shared" si="2"/>
        <v>12.920.041-3</v>
      </c>
      <c r="C52" s="22" t="s">
        <v>46</v>
      </c>
      <c r="D52" s="29" t="s">
        <v>1420</v>
      </c>
      <c r="E52" s="29" t="s">
        <v>670</v>
      </c>
      <c r="F52" s="29" t="s">
        <v>1559</v>
      </c>
      <c r="G52" s="49">
        <v>45600</v>
      </c>
      <c r="H52" s="49">
        <v>45610</v>
      </c>
      <c r="I52" s="29"/>
      <c r="J52" s="29" t="s">
        <v>52</v>
      </c>
      <c r="K52" s="24" t="s">
        <v>47</v>
      </c>
      <c r="L52" s="49">
        <v>45600</v>
      </c>
      <c r="M52" s="49">
        <v>45610</v>
      </c>
      <c r="N52" s="34">
        <f t="shared" si="3"/>
        <v>10</v>
      </c>
      <c r="O52" s="29"/>
      <c r="P52" s="29"/>
      <c r="Q52" t="s">
        <v>88</v>
      </c>
      <c r="R52" t="s">
        <v>88</v>
      </c>
      <c r="S52" t="s">
        <v>88</v>
      </c>
      <c r="T52" t="s">
        <v>88</v>
      </c>
      <c r="U52" t="s">
        <v>88</v>
      </c>
      <c r="V52" t="s">
        <v>20</v>
      </c>
    </row>
    <row r="53" spans="1:22" x14ac:dyDescent="0.45">
      <c r="A53" s="79">
        <v>54176112</v>
      </c>
      <c r="B53" s="29" t="str">
        <f t="shared" si="2"/>
        <v>5.417.611-2</v>
      </c>
      <c r="C53" s="22" t="s">
        <v>46</v>
      </c>
      <c r="D53" s="29" t="s">
        <v>1532</v>
      </c>
      <c r="E53" s="29" t="s">
        <v>369</v>
      </c>
      <c r="F53" s="29" t="s">
        <v>1533</v>
      </c>
      <c r="G53" s="49">
        <v>45579</v>
      </c>
      <c r="H53" s="49">
        <v>45609</v>
      </c>
      <c r="I53" s="29"/>
      <c r="J53" s="29" t="s">
        <v>66</v>
      </c>
      <c r="K53" s="24" t="s">
        <v>43</v>
      </c>
      <c r="L53" s="49">
        <v>45597</v>
      </c>
      <c r="M53" s="49">
        <v>45609</v>
      </c>
      <c r="N53" s="34">
        <f t="shared" si="3"/>
        <v>12</v>
      </c>
      <c r="O53" s="29"/>
      <c r="P53" s="29"/>
      <c r="Q53" t="s">
        <v>88</v>
      </c>
      <c r="R53" t="s">
        <v>88</v>
      </c>
      <c r="S53" t="s">
        <v>88</v>
      </c>
      <c r="T53" t="s">
        <v>88</v>
      </c>
      <c r="U53" t="s">
        <v>88</v>
      </c>
      <c r="V53" t="s">
        <v>20</v>
      </c>
    </row>
    <row r="54" spans="1:22" x14ac:dyDescent="0.45">
      <c r="A54" s="79">
        <v>101849724</v>
      </c>
      <c r="B54" s="29" t="str">
        <f t="shared" si="2"/>
        <v>10.184.972-4</v>
      </c>
      <c r="C54" s="22" t="s">
        <v>46</v>
      </c>
      <c r="D54" s="29" t="s">
        <v>506</v>
      </c>
      <c r="E54" s="29" t="s">
        <v>810</v>
      </c>
      <c r="F54" s="29" t="s">
        <v>1560</v>
      </c>
      <c r="G54" s="49">
        <v>45597</v>
      </c>
      <c r="H54" s="49">
        <v>45612</v>
      </c>
      <c r="I54" s="29"/>
      <c r="J54" s="29" t="s">
        <v>13</v>
      </c>
      <c r="K54" s="24" t="s">
        <v>43</v>
      </c>
      <c r="L54" s="49">
        <v>45597</v>
      </c>
      <c r="M54" s="49">
        <v>45611</v>
      </c>
      <c r="N54" s="34">
        <f t="shared" si="3"/>
        <v>14</v>
      </c>
      <c r="O54" s="29"/>
      <c r="P54" s="29"/>
      <c r="Q54" t="s">
        <v>88</v>
      </c>
      <c r="R54" t="s">
        <v>88</v>
      </c>
      <c r="S54" t="s">
        <v>88</v>
      </c>
      <c r="T54" t="s">
        <v>88</v>
      </c>
      <c r="U54" t="s">
        <v>88</v>
      </c>
      <c r="V54" t="s">
        <v>20</v>
      </c>
    </row>
    <row r="55" spans="1:22" x14ac:dyDescent="0.45">
      <c r="A55" s="79">
        <v>65254328</v>
      </c>
      <c r="B55" s="29" t="str">
        <f t="shared" si="2"/>
        <v>6.525.432-8</v>
      </c>
      <c r="C55" s="22" t="s">
        <v>38</v>
      </c>
      <c r="D55" s="29" t="s">
        <v>1453</v>
      </c>
      <c r="E55" s="29" t="s">
        <v>640</v>
      </c>
      <c r="F55" s="29" t="s">
        <v>1561</v>
      </c>
      <c r="G55" s="49">
        <v>45600</v>
      </c>
      <c r="H55" s="49">
        <v>45603</v>
      </c>
      <c r="I55" s="29"/>
      <c r="J55" s="29" t="s">
        <v>26</v>
      </c>
      <c r="K55" s="24" t="s">
        <v>47</v>
      </c>
      <c r="L55" s="49">
        <v>45600</v>
      </c>
      <c r="M55" s="49">
        <v>45603</v>
      </c>
      <c r="N55" s="34">
        <f t="shared" si="3"/>
        <v>3</v>
      </c>
      <c r="O55" s="29"/>
      <c r="P55" s="29"/>
      <c r="Q55" t="s">
        <v>88</v>
      </c>
      <c r="R55" t="s">
        <v>88</v>
      </c>
      <c r="S55" t="s">
        <v>88</v>
      </c>
      <c r="T55" t="s">
        <v>88</v>
      </c>
      <c r="U55" t="s">
        <v>88</v>
      </c>
      <c r="V55" t="s">
        <v>20</v>
      </c>
    </row>
    <row r="56" spans="1:22" x14ac:dyDescent="0.45">
      <c r="A56" s="79">
        <v>52875641</v>
      </c>
      <c r="B56" s="29" t="str">
        <f t="shared" si="2"/>
        <v>5.287.564-1</v>
      </c>
      <c r="C56" s="22" t="s">
        <v>38</v>
      </c>
      <c r="D56" s="29" t="s">
        <v>1544</v>
      </c>
      <c r="E56" s="29" t="s">
        <v>1545</v>
      </c>
      <c r="F56" s="29" t="s">
        <v>631</v>
      </c>
      <c r="G56" s="49">
        <v>45593</v>
      </c>
      <c r="H56" s="49">
        <v>45605</v>
      </c>
      <c r="I56" s="29"/>
      <c r="J56" s="29"/>
      <c r="K56" s="24" t="s">
        <v>43</v>
      </c>
      <c r="L56" s="49">
        <v>45597</v>
      </c>
      <c r="M56" s="49">
        <v>45605</v>
      </c>
      <c r="N56" s="34">
        <f t="shared" si="3"/>
        <v>8</v>
      </c>
      <c r="O56" s="29"/>
      <c r="P56" s="29"/>
      <c r="Q56" t="s">
        <v>88</v>
      </c>
      <c r="R56" t="s">
        <v>88</v>
      </c>
      <c r="S56" t="s">
        <v>88</v>
      </c>
      <c r="T56" t="s">
        <v>88</v>
      </c>
      <c r="U56" t="s">
        <v>88</v>
      </c>
      <c r="V56" t="s">
        <v>20</v>
      </c>
    </row>
    <row r="57" spans="1:22" x14ac:dyDescent="0.45">
      <c r="A57" s="79">
        <v>93421329</v>
      </c>
      <c r="B57" s="29" t="str">
        <f t="shared" si="2"/>
        <v>9.342.132-9</v>
      </c>
      <c r="C57" s="22" t="s">
        <v>38</v>
      </c>
      <c r="D57" s="29" t="s">
        <v>268</v>
      </c>
      <c r="E57" s="29" t="s">
        <v>313</v>
      </c>
      <c r="F57" s="29" t="s">
        <v>329</v>
      </c>
      <c r="G57" s="49">
        <v>45594</v>
      </c>
      <c r="H57" s="29"/>
      <c r="I57" s="29"/>
      <c r="J57" s="29"/>
      <c r="K57" s="24" t="s">
        <v>43</v>
      </c>
      <c r="L57" s="49">
        <v>45597</v>
      </c>
      <c r="M57" s="49">
        <v>45618</v>
      </c>
      <c r="N57" s="34">
        <f t="shared" si="3"/>
        <v>21</v>
      </c>
      <c r="O57" s="29"/>
      <c r="P57" s="29" t="s">
        <v>14</v>
      </c>
      <c r="Q57" t="s">
        <v>88</v>
      </c>
      <c r="R57" t="s">
        <v>88</v>
      </c>
      <c r="S57" t="s">
        <v>88</v>
      </c>
      <c r="T57" t="s">
        <v>88</v>
      </c>
      <c r="U57" t="s">
        <v>88</v>
      </c>
      <c r="V57" t="s">
        <v>20</v>
      </c>
    </row>
    <row r="58" spans="1:22" x14ac:dyDescent="0.45">
      <c r="A58" s="79">
        <v>93421329</v>
      </c>
      <c r="B58" s="29" t="str">
        <f t="shared" si="2"/>
        <v>9.342.132-9</v>
      </c>
      <c r="C58" s="22" t="str">
        <f>IF(IFERROR(VLOOKUP(A58,$A$10:$I57,1,0),0)=0,"",VLOOKUP(A58,$A$10:$I57,3,0))</f>
        <v xml:space="preserve">Sala de cuidados intermedios </v>
      </c>
      <c r="D58" s="29" t="str">
        <f>IF(IFERROR(VLOOKUP(A58,$A$10:$I57,1,0),0)=0,"",VLOOKUP(A58,$A$10:$I57,4,0))</f>
        <v>SONIA</v>
      </c>
      <c r="E58" s="29" t="str">
        <f>IF(IFERROR(VLOOKUP(A58,$A$10:$I57,1,0),0)=0,"",VLOOKUP(A58,$A$10:$I57,5,0))</f>
        <v>AGUILERA</v>
      </c>
      <c r="F58" s="29" t="str">
        <f>IF(IFERROR(VLOOKUP(A58,$A$10:$I57,1,0),0)=0,"",VLOOKUP(A58,$A$10:$I57,6,0))</f>
        <v>NUÑEZ</v>
      </c>
      <c r="G58" s="49">
        <f>IF(IFERROR(VLOOKUP(A58,$A$10:$I57,1,0),0)=0,"",VLOOKUP(A58,$A$10:$I57,7,0))</f>
        <v>45594</v>
      </c>
      <c r="H58" s="29"/>
      <c r="I58" s="29"/>
      <c r="J58" s="29"/>
      <c r="K58" s="24" t="s">
        <v>43</v>
      </c>
      <c r="L58" s="49">
        <v>45618</v>
      </c>
      <c r="M58" s="49">
        <v>45626</v>
      </c>
      <c r="N58" s="34">
        <f t="shared" si="3"/>
        <v>8</v>
      </c>
      <c r="O58" s="29"/>
      <c r="P58" s="29"/>
      <c r="Q58" t="s">
        <v>88</v>
      </c>
      <c r="R58" t="s">
        <v>88</v>
      </c>
      <c r="S58" t="s">
        <v>88</v>
      </c>
      <c r="T58" t="s">
        <v>88</v>
      </c>
      <c r="U58" t="s">
        <v>88</v>
      </c>
      <c r="V58" t="s">
        <v>20</v>
      </c>
    </row>
    <row r="59" spans="1:22" x14ac:dyDescent="0.45">
      <c r="A59" s="79">
        <v>99156988</v>
      </c>
      <c r="B59" s="29" t="str">
        <f t="shared" si="2"/>
        <v>9.915.698-8</v>
      </c>
      <c r="C59" s="22" t="s">
        <v>38</v>
      </c>
      <c r="D59" s="29" t="s">
        <v>1562</v>
      </c>
      <c r="E59" s="29" t="s">
        <v>1056</v>
      </c>
      <c r="F59" s="29" t="s">
        <v>328</v>
      </c>
      <c r="G59" s="49">
        <v>45569</v>
      </c>
      <c r="H59" s="49">
        <v>45607</v>
      </c>
      <c r="I59" s="29"/>
      <c r="J59" s="29" t="s">
        <v>61</v>
      </c>
      <c r="K59" s="24" t="s">
        <v>47</v>
      </c>
      <c r="L59" s="49">
        <v>45600</v>
      </c>
      <c r="M59" s="49">
        <v>45603</v>
      </c>
      <c r="N59" s="34">
        <f t="shared" si="3"/>
        <v>3</v>
      </c>
      <c r="O59" s="29"/>
      <c r="P59" s="29"/>
      <c r="Q59" t="s">
        <v>88</v>
      </c>
      <c r="R59" t="s">
        <v>88</v>
      </c>
      <c r="S59" t="s">
        <v>88</v>
      </c>
      <c r="T59" t="s">
        <v>88</v>
      </c>
      <c r="U59" t="s">
        <v>88</v>
      </c>
      <c r="V59" t="s">
        <v>20</v>
      </c>
    </row>
    <row r="60" spans="1:22" x14ac:dyDescent="0.45">
      <c r="A60" s="79">
        <v>127933243</v>
      </c>
      <c r="B60" s="29" t="str">
        <f t="shared" si="2"/>
        <v>12.793.324-3</v>
      </c>
      <c r="C60" s="22" t="s">
        <v>38</v>
      </c>
      <c r="D60" s="29" t="s">
        <v>263</v>
      </c>
      <c r="E60" s="29" t="s">
        <v>457</v>
      </c>
      <c r="F60" s="29" t="s">
        <v>1313</v>
      </c>
      <c r="G60" s="49">
        <v>45595</v>
      </c>
      <c r="H60" s="49">
        <v>45617</v>
      </c>
      <c r="I60" s="29"/>
      <c r="J60" s="29"/>
      <c r="K60" s="24" t="s">
        <v>43</v>
      </c>
      <c r="L60" s="49">
        <v>45597</v>
      </c>
      <c r="M60" s="49">
        <v>45617</v>
      </c>
      <c r="N60" s="34">
        <f t="shared" si="3"/>
        <v>20</v>
      </c>
      <c r="O60" s="29"/>
      <c r="P60" s="29" t="s">
        <v>14</v>
      </c>
      <c r="Q60" t="s">
        <v>88</v>
      </c>
      <c r="R60" t="s">
        <v>88</v>
      </c>
      <c r="S60" t="s">
        <v>88</v>
      </c>
      <c r="T60" t="s">
        <v>88</v>
      </c>
      <c r="U60" t="s">
        <v>88</v>
      </c>
      <c r="V60" t="s">
        <v>20</v>
      </c>
    </row>
    <row r="61" spans="1:22" x14ac:dyDescent="0.45">
      <c r="A61" s="79">
        <v>127933243</v>
      </c>
      <c r="B61" s="29" t="str">
        <f t="shared" si="2"/>
        <v>12.793.324-3</v>
      </c>
      <c r="C61" s="22" t="str">
        <f>IF(IFERROR(VLOOKUP(A61,$A$10:$I60,1,0),0)=0,"",VLOOKUP(A61,$A$10:$I60,3,0))</f>
        <v xml:space="preserve">Sala de cuidados intermedios </v>
      </c>
      <c r="D61" s="29" t="str">
        <f>IF(IFERROR(VLOOKUP(A61,$A$10:$I60,1,0),0)=0,"",VLOOKUP(A61,$A$10:$I60,4,0))</f>
        <v>EDGARDO</v>
      </c>
      <c r="E61" s="29" t="str">
        <f>IF(IFERROR(VLOOKUP(A61,$A$10:$I60,1,0),0)=0,"",VLOOKUP(A61,$A$10:$I60,5,0))</f>
        <v>CANALES</v>
      </c>
      <c r="F61" s="29" t="str">
        <f>IF(IFERROR(VLOOKUP(A61,$A$10:$I60,1,0),0)=0,"",VLOOKUP(A61,$A$10:$I60,6,0))</f>
        <v>ROJAS</v>
      </c>
      <c r="G61" s="49">
        <f>IF(IFERROR(VLOOKUP(A61,$A$10:$I60,1,0),0)=0,"",VLOOKUP(A61,$A$10:$I60,7,0))</f>
        <v>45595</v>
      </c>
      <c r="H61" s="49">
        <v>45617</v>
      </c>
      <c r="I61" s="29"/>
      <c r="J61" s="29"/>
      <c r="K61" s="24" t="s">
        <v>47</v>
      </c>
      <c r="L61" s="49">
        <v>45597</v>
      </c>
      <c r="M61" s="49">
        <v>45601</v>
      </c>
      <c r="N61" s="34">
        <f t="shared" si="3"/>
        <v>4</v>
      </c>
      <c r="O61" s="29"/>
      <c r="P61" s="29"/>
      <c r="Q61" t="s">
        <v>88</v>
      </c>
      <c r="R61" t="s">
        <v>88</v>
      </c>
      <c r="S61" t="s">
        <v>88</v>
      </c>
      <c r="T61" t="s">
        <v>88</v>
      </c>
      <c r="U61" t="s">
        <v>88</v>
      </c>
      <c r="V61" t="s">
        <v>20</v>
      </c>
    </row>
    <row r="62" spans="1:22" x14ac:dyDescent="0.45">
      <c r="A62" s="79">
        <v>127933243</v>
      </c>
      <c r="B62" s="29" t="str">
        <f t="shared" si="2"/>
        <v>12.793.324-3</v>
      </c>
      <c r="C62" s="22" t="str">
        <f>IF(IFERROR(VLOOKUP(A62,$A$10:$I61,1,0),0)=0,"",VLOOKUP(A62,$A$10:$I61,3,0))</f>
        <v xml:space="preserve">Sala de cuidados intermedios </v>
      </c>
      <c r="D62" s="29" t="str">
        <f>IF(IFERROR(VLOOKUP(A62,$A$10:$I61,1,0),0)=0,"",VLOOKUP(A62,$A$10:$I61,4,0))</f>
        <v>EDGARDO</v>
      </c>
      <c r="E62" s="29" t="str">
        <f>IF(IFERROR(VLOOKUP(A62,$A$10:$I61,1,0),0)=0,"",VLOOKUP(A62,$A$10:$I61,5,0))</f>
        <v>CANALES</v>
      </c>
      <c r="F62" s="29" t="str">
        <f>IF(IFERROR(VLOOKUP(A62,$A$10:$I61,1,0),0)=0,"",VLOOKUP(A62,$A$10:$I61,6,0))</f>
        <v>ROJAS</v>
      </c>
      <c r="G62" s="49">
        <f>IF(IFERROR(VLOOKUP(A62,$A$10:$I61,1,0),0)=0,"",VLOOKUP(A62,$A$10:$I61,7,0))</f>
        <v>45595</v>
      </c>
      <c r="H62" s="49">
        <v>45617</v>
      </c>
      <c r="I62" s="29"/>
      <c r="J62" s="29" t="s">
        <v>69</v>
      </c>
      <c r="K62" s="24"/>
      <c r="L62" s="49">
        <v>45597</v>
      </c>
      <c r="M62" s="49">
        <v>45601</v>
      </c>
      <c r="N62" s="34"/>
      <c r="O62" s="29"/>
      <c r="P62" s="29"/>
      <c r="Q62" t="s">
        <v>120</v>
      </c>
      <c r="R62" t="s">
        <v>88</v>
      </c>
      <c r="S62" t="s">
        <v>88</v>
      </c>
      <c r="T62" t="s">
        <v>88</v>
      </c>
      <c r="U62" t="s">
        <v>88</v>
      </c>
      <c r="V62" t="s">
        <v>20</v>
      </c>
    </row>
    <row r="63" spans="1:22" x14ac:dyDescent="0.45">
      <c r="A63" s="79">
        <v>140595691</v>
      </c>
      <c r="B63" s="29" t="str">
        <f t="shared" si="2"/>
        <v>14.059.569-1</v>
      </c>
      <c r="C63" s="22" t="s">
        <v>22</v>
      </c>
      <c r="D63" s="29" t="s">
        <v>481</v>
      </c>
      <c r="E63" s="29" t="s">
        <v>289</v>
      </c>
      <c r="F63" s="29" t="s">
        <v>799</v>
      </c>
      <c r="G63" s="49">
        <v>45602</v>
      </c>
      <c r="H63" s="49">
        <v>45609</v>
      </c>
      <c r="I63" s="29" t="s">
        <v>22</v>
      </c>
      <c r="J63" s="29" t="s">
        <v>56</v>
      </c>
      <c r="K63" s="24" t="s">
        <v>43</v>
      </c>
      <c r="L63" s="49">
        <v>45602</v>
      </c>
      <c r="M63" s="49">
        <v>45609</v>
      </c>
      <c r="N63" s="34">
        <f t="shared" ref="N63:N94" si="4">+M63-L63</f>
        <v>7</v>
      </c>
      <c r="O63" s="29"/>
      <c r="P63" s="29"/>
      <c r="Q63" t="s">
        <v>88</v>
      </c>
      <c r="R63" t="s">
        <v>88</v>
      </c>
      <c r="S63" t="s">
        <v>88</v>
      </c>
      <c r="T63" t="s">
        <v>88</v>
      </c>
      <c r="U63" t="s">
        <v>88</v>
      </c>
      <c r="V63" t="s">
        <v>20</v>
      </c>
    </row>
    <row r="64" spans="1:22" x14ac:dyDescent="0.45">
      <c r="A64" s="79">
        <v>140595691</v>
      </c>
      <c r="B64" s="29" t="str">
        <f t="shared" si="2"/>
        <v>14.059.569-1</v>
      </c>
      <c r="C64" s="22" t="str">
        <f>IF(IFERROR(VLOOKUP(A64,$A$10:$I63,1,0),0)=0,"",VLOOKUP(A64,$A$10:$I63,3,0))</f>
        <v>UCI</v>
      </c>
      <c r="D64" s="29" t="str">
        <f>IF(IFERROR(VLOOKUP(A64,$A$10:$I63,1,0),0)=0,"",VLOOKUP(A64,$A$10:$I63,4,0))</f>
        <v>JUAN</v>
      </c>
      <c r="E64" s="29" t="str">
        <f>IF(IFERROR(VLOOKUP(A64,$A$10:$I63,1,0),0)=0,"",VLOOKUP(A64,$A$10:$I63,5,0))</f>
        <v>NAVARRETE</v>
      </c>
      <c r="F64" s="29" t="str">
        <f>IF(IFERROR(VLOOKUP(A64,$A$10:$I63,1,0),0)=0,"",VLOOKUP(A64,$A$10:$I63,6,0))</f>
        <v>CRUCES</v>
      </c>
      <c r="G64" s="49">
        <f>IF(IFERROR(VLOOKUP(A64,$A$10:$I63,1,0),0)=0,"",VLOOKUP(A64,$A$10:$I63,7,0))</f>
        <v>45602</v>
      </c>
      <c r="H64" s="49">
        <v>45609</v>
      </c>
      <c r="I64" s="29" t="s">
        <v>22</v>
      </c>
      <c r="J64" s="29" t="s">
        <v>56</v>
      </c>
      <c r="K64" s="24" t="s">
        <v>47</v>
      </c>
      <c r="L64" s="49">
        <v>45602</v>
      </c>
      <c r="M64" s="49">
        <v>45609</v>
      </c>
      <c r="N64" s="34">
        <f t="shared" si="4"/>
        <v>7</v>
      </c>
      <c r="O64" s="29"/>
      <c r="P64" s="29"/>
      <c r="Q64" t="s">
        <v>88</v>
      </c>
      <c r="R64" t="s">
        <v>88</v>
      </c>
      <c r="S64" t="s">
        <v>88</v>
      </c>
      <c r="T64" t="s">
        <v>88</v>
      </c>
      <c r="U64" t="s">
        <v>88</v>
      </c>
      <c r="V64" t="s">
        <v>20</v>
      </c>
    </row>
    <row r="65" spans="1:22" x14ac:dyDescent="0.45">
      <c r="A65" s="79">
        <v>168981937</v>
      </c>
      <c r="B65" s="29" t="str">
        <f t="shared" si="2"/>
        <v>16.898.193-7</v>
      </c>
      <c r="C65" s="22" t="s">
        <v>22</v>
      </c>
      <c r="D65" s="29" t="s">
        <v>1563</v>
      </c>
      <c r="E65" s="29" t="s">
        <v>393</v>
      </c>
      <c r="F65" s="29" t="s">
        <v>399</v>
      </c>
      <c r="G65" s="49">
        <v>45602</v>
      </c>
      <c r="H65" s="49">
        <v>45604</v>
      </c>
      <c r="I65" s="29"/>
      <c r="J65" s="29" t="s">
        <v>56</v>
      </c>
      <c r="K65" s="24" t="s">
        <v>43</v>
      </c>
      <c r="L65" s="49">
        <v>45602</v>
      </c>
      <c r="M65" s="49">
        <v>45604</v>
      </c>
      <c r="N65" s="34">
        <f t="shared" si="4"/>
        <v>2</v>
      </c>
      <c r="O65" s="29"/>
      <c r="P65" s="29"/>
      <c r="Q65" t="s">
        <v>88</v>
      </c>
      <c r="R65" t="s">
        <v>88</v>
      </c>
      <c r="S65" t="s">
        <v>88</v>
      </c>
      <c r="T65" t="s">
        <v>88</v>
      </c>
      <c r="U65" t="s">
        <v>88</v>
      </c>
      <c r="V65" t="s">
        <v>20</v>
      </c>
    </row>
    <row r="66" spans="1:22" x14ac:dyDescent="0.45">
      <c r="A66" s="79">
        <v>168981937</v>
      </c>
      <c r="B66" s="29" t="str">
        <f t="shared" si="2"/>
        <v>16.898.193-7</v>
      </c>
      <c r="C66" s="22" t="str">
        <f>IF(IFERROR(VLOOKUP(A66,$A$10:$I65,1,0),0)=0,"",VLOOKUP(A66,$A$10:$I65,3,0))</f>
        <v>UCI</v>
      </c>
      <c r="D66" s="29" t="str">
        <f>IF(IFERROR(VLOOKUP(A66,$A$10:$I65,1,0),0)=0,"",VLOOKUP(A66,$A$10:$I65,4,0))</f>
        <v>PAUL</v>
      </c>
      <c r="E66" s="29" t="str">
        <f>IF(IFERROR(VLOOKUP(A66,$A$10:$I65,1,0),0)=0,"",VLOOKUP(A66,$A$10:$I65,5,0))</f>
        <v>FERNANDEZ</v>
      </c>
      <c r="F66" s="29" t="str">
        <f>IF(IFERROR(VLOOKUP(A66,$A$10:$I65,1,0),0)=0,"",VLOOKUP(A66,$A$10:$I65,6,0))</f>
        <v>ARROYO</v>
      </c>
      <c r="G66" s="49">
        <f>IF(IFERROR(VLOOKUP(A66,$A$10:$I65,1,0),0)=0,"",VLOOKUP(A66,$A$10:$I65,7,0))</f>
        <v>45602</v>
      </c>
      <c r="H66" s="49">
        <v>45604</v>
      </c>
      <c r="I66" s="29"/>
      <c r="J66" s="29" t="s">
        <v>56</v>
      </c>
      <c r="K66" s="24" t="s">
        <v>47</v>
      </c>
      <c r="L66" s="49">
        <v>45602</v>
      </c>
      <c r="M66" s="49">
        <v>45604</v>
      </c>
      <c r="N66" s="34">
        <f t="shared" si="4"/>
        <v>2</v>
      </c>
      <c r="O66" s="29"/>
      <c r="P66" s="29"/>
      <c r="Q66" t="s">
        <v>88</v>
      </c>
      <c r="R66" t="s">
        <v>88</v>
      </c>
      <c r="S66" t="s">
        <v>88</v>
      </c>
      <c r="T66" t="s">
        <v>88</v>
      </c>
      <c r="U66" t="s">
        <v>88</v>
      </c>
      <c r="V66" t="s">
        <v>20</v>
      </c>
    </row>
    <row r="67" spans="1:22" x14ac:dyDescent="0.45">
      <c r="A67" s="79">
        <v>66516997</v>
      </c>
      <c r="B67" s="29" t="str">
        <f t="shared" si="2"/>
        <v>6.651.699-7</v>
      </c>
      <c r="C67" s="22" t="s">
        <v>22</v>
      </c>
      <c r="D67" s="29" t="s">
        <v>944</v>
      </c>
      <c r="E67" s="29" t="s">
        <v>303</v>
      </c>
      <c r="F67" s="29" t="s">
        <v>655</v>
      </c>
      <c r="G67" s="49">
        <v>45603</v>
      </c>
      <c r="H67" s="49">
        <v>45607</v>
      </c>
      <c r="I67" s="29"/>
      <c r="J67" s="29"/>
      <c r="K67" s="24" t="s">
        <v>43</v>
      </c>
      <c r="L67" s="49">
        <v>45603</v>
      </c>
      <c r="M67" s="49">
        <v>45607</v>
      </c>
      <c r="N67" s="34">
        <f t="shared" si="4"/>
        <v>4</v>
      </c>
      <c r="O67" s="29"/>
      <c r="P67" s="29"/>
      <c r="Q67" t="s">
        <v>88</v>
      </c>
      <c r="R67" t="s">
        <v>88</v>
      </c>
      <c r="S67" t="s">
        <v>88</v>
      </c>
      <c r="T67" t="s">
        <v>88</v>
      </c>
      <c r="U67" t="s">
        <v>88</v>
      </c>
      <c r="V67" t="s">
        <v>20</v>
      </c>
    </row>
    <row r="68" spans="1:22" x14ac:dyDescent="0.45">
      <c r="A68" s="79">
        <v>66516997</v>
      </c>
      <c r="B68" s="29" t="str">
        <f t="shared" si="2"/>
        <v>6.651.699-7</v>
      </c>
      <c r="C68" s="22" t="str">
        <f>IF(IFERROR(VLOOKUP(A68,$A$10:$I67,1,0),0)=0,"",VLOOKUP(A68,$A$10:$I67,3,0))</f>
        <v>UCI</v>
      </c>
      <c r="D68" s="29" t="str">
        <f>IF(IFERROR(VLOOKUP(A68,$A$10:$I67,1,0),0)=0,"",VLOOKUP(A68,$A$10:$I67,4,0))</f>
        <v>ELIANA</v>
      </c>
      <c r="E68" s="29" t="str">
        <f>IF(IFERROR(VLOOKUP(A68,$A$10:$I67,1,0),0)=0,"",VLOOKUP(A68,$A$10:$I67,5,0))</f>
        <v>PEÑA</v>
      </c>
      <c r="F68" s="29" t="str">
        <f>IF(IFERROR(VLOOKUP(A68,$A$10:$I67,1,0),0)=0,"",VLOOKUP(A68,$A$10:$I67,6,0))</f>
        <v>GAJARDO</v>
      </c>
      <c r="G68" s="49">
        <f>IF(IFERROR(VLOOKUP(A68,$A$10:$I67,1,0),0)=0,"",VLOOKUP(A68,$A$10:$I67,7,0))</f>
        <v>45603</v>
      </c>
      <c r="H68" s="29"/>
      <c r="I68" s="29"/>
      <c r="J68" s="29" t="s">
        <v>30</v>
      </c>
      <c r="K68" s="24" t="s">
        <v>47</v>
      </c>
      <c r="L68" s="49">
        <v>45603</v>
      </c>
      <c r="M68" s="49">
        <v>45606</v>
      </c>
      <c r="N68" s="34">
        <f t="shared" si="4"/>
        <v>3</v>
      </c>
      <c r="O68" s="29"/>
      <c r="P68" s="29"/>
      <c r="Q68" t="s">
        <v>88</v>
      </c>
      <c r="R68" t="s">
        <v>88</v>
      </c>
      <c r="S68" t="s">
        <v>88</v>
      </c>
      <c r="T68" t="s">
        <v>88</v>
      </c>
      <c r="U68" t="s">
        <v>88</v>
      </c>
      <c r="V68" t="s">
        <v>20</v>
      </c>
    </row>
    <row r="69" spans="1:22" x14ac:dyDescent="0.45">
      <c r="A69" s="79" t="s">
        <v>1551</v>
      </c>
      <c r="B69" s="29" t="str">
        <f t="shared" si="2"/>
        <v>8.554.960-k</v>
      </c>
      <c r="C69" s="22" t="s">
        <v>22</v>
      </c>
      <c r="D69" s="29" t="str">
        <f>IF(IFERROR(VLOOKUP(A69,$A$10:$I68,1,0),0)=0,"",VLOOKUP(A69,$A$10:$I68,4,0))</f>
        <v>RUBEN</v>
      </c>
      <c r="E69" s="29" t="str">
        <f>IF(IFERROR(VLOOKUP(A69,$A$10:$I68,1,0),0)=0,"",VLOOKUP(A69,$A$10:$I68,5,0))</f>
        <v>ARIAS</v>
      </c>
      <c r="F69" s="29" t="str">
        <f>IF(IFERROR(VLOOKUP(A69,$A$10:$I68,1,0),0)=0,"",VLOOKUP(A69,$A$10:$I68,6,0))</f>
        <v>FIGUEROA</v>
      </c>
      <c r="G69" s="49">
        <v>45604</v>
      </c>
      <c r="H69" s="49">
        <v>45609</v>
      </c>
      <c r="I69" s="29"/>
      <c r="J69" s="29" t="s">
        <v>24</v>
      </c>
      <c r="K69" s="24" t="s">
        <v>43</v>
      </c>
      <c r="L69" s="49">
        <v>45604</v>
      </c>
      <c r="M69" s="49">
        <v>45609</v>
      </c>
      <c r="N69" s="34">
        <f t="shared" si="4"/>
        <v>5</v>
      </c>
      <c r="O69" s="29"/>
      <c r="P69" s="29"/>
      <c r="Q69" t="s">
        <v>88</v>
      </c>
      <c r="R69" t="s">
        <v>88</v>
      </c>
      <c r="S69" t="s">
        <v>88</v>
      </c>
      <c r="T69" t="s">
        <v>88</v>
      </c>
      <c r="U69" t="s">
        <v>88</v>
      </c>
      <c r="V69" t="s">
        <v>20</v>
      </c>
    </row>
    <row r="70" spans="1:22" x14ac:dyDescent="0.45">
      <c r="A70" s="79" t="s">
        <v>1551</v>
      </c>
      <c r="B70" s="29" t="str">
        <f t="shared" si="2"/>
        <v>8.554.960-k</v>
      </c>
      <c r="C70" s="22" t="s">
        <v>22</v>
      </c>
      <c r="D70" s="29" t="str">
        <f>IF(IFERROR(VLOOKUP(A70,$A$10:$I69,1,0),0)=0,"",VLOOKUP(A70,$A$10:$I69,4,0))</f>
        <v>RUBEN</v>
      </c>
      <c r="E70" s="29" t="str">
        <f>IF(IFERROR(VLOOKUP(A70,$A$10:$I69,1,0),0)=0,"",VLOOKUP(A70,$A$10:$I69,5,0))</f>
        <v>ARIAS</v>
      </c>
      <c r="F70" s="29" t="str">
        <f>IF(IFERROR(VLOOKUP(A70,$A$10:$I69,1,0),0)=0,"",VLOOKUP(A70,$A$10:$I69,6,0))</f>
        <v>FIGUEROA</v>
      </c>
      <c r="G70" s="49">
        <v>45604</v>
      </c>
      <c r="H70" s="49">
        <v>45609</v>
      </c>
      <c r="I70" s="29"/>
      <c r="J70" s="29" t="s">
        <v>24</v>
      </c>
      <c r="K70" s="24" t="s">
        <v>47</v>
      </c>
      <c r="L70" s="49">
        <v>45604</v>
      </c>
      <c r="M70" s="49">
        <v>45609</v>
      </c>
      <c r="N70" s="34">
        <f t="shared" si="4"/>
        <v>5</v>
      </c>
      <c r="O70" s="29"/>
      <c r="P70" s="29"/>
      <c r="Q70" t="s">
        <v>88</v>
      </c>
      <c r="R70" t="s">
        <v>88</v>
      </c>
      <c r="S70" t="s">
        <v>88</v>
      </c>
      <c r="T70" t="s">
        <v>88</v>
      </c>
      <c r="U70" t="s">
        <v>88</v>
      </c>
      <c r="V70" t="s">
        <v>20</v>
      </c>
    </row>
    <row r="71" spans="1:22" x14ac:dyDescent="0.45">
      <c r="A71" s="79">
        <v>201540550</v>
      </c>
      <c r="B71" s="29" t="str">
        <f t="shared" si="2"/>
        <v>20.154.055-0</v>
      </c>
      <c r="C71" s="22" t="s">
        <v>22</v>
      </c>
      <c r="D71" s="29" t="s">
        <v>316</v>
      </c>
      <c r="E71" s="29" t="s">
        <v>309</v>
      </c>
      <c r="F71" s="29" t="s">
        <v>1094</v>
      </c>
      <c r="G71" s="49">
        <v>45606</v>
      </c>
      <c r="H71" s="49">
        <v>45612</v>
      </c>
      <c r="I71" s="29"/>
      <c r="J71" s="29"/>
      <c r="K71" s="24" t="s">
        <v>18</v>
      </c>
      <c r="L71" s="49">
        <v>45606</v>
      </c>
      <c r="M71" s="49">
        <v>45612</v>
      </c>
      <c r="N71" s="34">
        <f t="shared" si="4"/>
        <v>6</v>
      </c>
      <c r="O71" s="29"/>
      <c r="P71" s="29"/>
      <c r="Q71" t="s">
        <v>88</v>
      </c>
      <c r="R71" t="s">
        <v>88</v>
      </c>
      <c r="S71" t="s">
        <v>88</v>
      </c>
      <c r="T71" t="s">
        <v>88</v>
      </c>
      <c r="U71" t="s">
        <v>88</v>
      </c>
      <c r="V71" t="s">
        <v>20</v>
      </c>
    </row>
    <row r="72" spans="1:22" x14ac:dyDescent="0.45">
      <c r="A72" s="79">
        <v>185694178</v>
      </c>
      <c r="B72" s="29" t="str">
        <f t="shared" ref="B72:B103" si="5">IF(LEN(A72)=8,MID(A72,1,1)&amp;"."&amp;MID(A72,2,3)&amp;"."&amp;MID(A72,5,3)&amp;"-"&amp;RIGHT(A72,1),IF(LEFT(RIGHT(A72,2),1)="-",MID(A72,1,1)&amp;"."&amp;MID(A72,2,3)&amp;"."&amp;MID(A72,5,3)&amp;"-"&amp;RIGHT(A72,1),MID(A72,1,2)&amp;"."&amp;MID(A72,3,3)&amp;"."&amp;MID(A72,6,3)&amp;"-"&amp;MID(A72,9,1)))</f>
        <v>18.569.417-8</v>
      </c>
      <c r="C72" s="22" t="s">
        <v>22</v>
      </c>
      <c r="D72" s="29" t="s">
        <v>428</v>
      </c>
      <c r="E72" s="29" t="s">
        <v>1564</v>
      </c>
      <c r="F72" s="29" t="s">
        <v>295</v>
      </c>
      <c r="G72" s="49">
        <v>45608</v>
      </c>
      <c r="H72" s="49">
        <v>45622</v>
      </c>
      <c r="I72" s="29"/>
      <c r="J72" s="29" t="s">
        <v>19</v>
      </c>
      <c r="K72" s="24" t="s">
        <v>43</v>
      </c>
      <c r="L72" s="49">
        <v>45608</v>
      </c>
      <c r="M72" s="49">
        <v>45622</v>
      </c>
      <c r="N72" s="34">
        <f t="shared" si="4"/>
        <v>14</v>
      </c>
      <c r="O72" s="29"/>
      <c r="P72" s="29"/>
      <c r="Q72" t="s">
        <v>88</v>
      </c>
      <c r="R72" t="s">
        <v>88</v>
      </c>
      <c r="S72" t="s">
        <v>88</v>
      </c>
      <c r="T72" t="s">
        <v>88</v>
      </c>
      <c r="U72" t="s">
        <v>88</v>
      </c>
      <c r="V72" t="s">
        <v>20</v>
      </c>
    </row>
    <row r="73" spans="1:22" x14ac:dyDescent="0.45">
      <c r="A73" s="79">
        <v>85050184</v>
      </c>
      <c r="B73" s="29" t="str">
        <f t="shared" si="5"/>
        <v>8.505.018-4</v>
      </c>
      <c r="C73" s="22" t="s">
        <v>22</v>
      </c>
      <c r="D73" s="29" t="s">
        <v>481</v>
      </c>
      <c r="E73" s="29" t="s">
        <v>655</v>
      </c>
      <c r="F73" s="29" t="s">
        <v>312</v>
      </c>
      <c r="G73" s="49">
        <v>45604</v>
      </c>
      <c r="H73" s="49">
        <v>45615</v>
      </c>
      <c r="I73" s="29"/>
      <c r="J73" s="29"/>
      <c r="K73" s="24" t="s">
        <v>43</v>
      </c>
      <c r="L73" s="49">
        <v>45604</v>
      </c>
      <c r="M73" s="49">
        <v>45614</v>
      </c>
      <c r="N73" s="34">
        <f t="shared" si="4"/>
        <v>10</v>
      </c>
      <c r="O73" s="29"/>
      <c r="P73" s="29"/>
      <c r="Q73" t="s">
        <v>88</v>
      </c>
      <c r="R73" t="s">
        <v>88</v>
      </c>
      <c r="S73" t="s">
        <v>88</v>
      </c>
      <c r="T73" t="s">
        <v>88</v>
      </c>
      <c r="U73" t="s">
        <v>88</v>
      </c>
      <c r="V73" t="s">
        <v>20</v>
      </c>
    </row>
    <row r="74" spans="1:22" x14ac:dyDescent="0.45">
      <c r="A74" s="79">
        <v>125258727</v>
      </c>
      <c r="B74" s="29" t="str">
        <f t="shared" si="5"/>
        <v>12.525.872-7</v>
      </c>
      <c r="C74" s="22" t="s">
        <v>22</v>
      </c>
      <c r="D74" s="29" t="str">
        <f>IF(IFERROR(VLOOKUP(A74,$A$10:$I73,1,0),0)=0,"",VLOOKUP(A74,$A$10:$I73,4,0))</f>
        <v>VICTOR</v>
      </c>
      <c r="E74" s="29" t="str">
        <f>IF(IFERROR(VLOOKUP(A74,$A$10:$I73,1,0),0)=0,"",VLOOKUP(A74,$A$10:$I73,5,0))</f>
        <v>VASQUEZ</v>
      </c>
      <c r="F74" s="29" t="str">
        <f>IF(IFERROR(VLOOKUP(A74,$A$10:$I73,1,0),0)=0,"",VLOOKUP(A74,$A$10:$I73,6,0))</f>
        <v>RIVAS</v>
      </c>
      <c r="G74" s="49">
        <v>45609</v>
      </c>
      <c r="H74" s="49">
        <v>45614</v>
      </c>
      <c r="I74" s="29" t="s">
        <v>22</v>
      </c>
      <c r="J74" s="29" t="s">
        <v>24</v>
      </c>
      <c r="K74" s="24" t="s">
        <v>43</v>
      </c>
      <c r="L74" s="49">
        <v>45609</v>
      </c>
      <c r="M74" s="49">
        <v>45614</v>
      </c>
      <c r="N74" s="34">
        <f t="shared" si="4"/>
        <v>5</v>
      </c>
      <c r="O74" s="29"/>
      <c r="P74" s="29"/>
      <c r="Q74" t="s">
        <v>88</v>
      </c>
      <c r="R74" t="s">
        <v>88</v>
      </c>
      <c r="S74" t="s">
        <v>88</v>
      </c>
      <c r="T74" t="s">
        <v>88</v>
      </c>
      <c r="U74" t="s">
        <v>88</v>
      </c>
      <c r="V74" t="s">
        <v>20</v>
      </c>
    </row>
    <row r="75" spans="1:22" x14ac:dyDescent="0.45">
      <c r="A75" s="79">
        <v>125258727</v>
      </c>
      <c r="B75" s="29" t="str">
        <f t="shared" si="5"/>
        <v>12.525.872-7</v>
      </c>
      <c r="C75" s="22" t="s">
        <v>22</v>
      </c>
      <c r="D75" s="29" t="str">
        <f>IF(IFERROR(VLOOKUP(A75,$A$10:$I74,1,0),0)=0,"",VLOOKUP(A75,$A$10:$I74,4,0))</f>
        <v>VICTOR</v>
      </c>
      <c r="E75" s="29" t="str">
        <f>IF(IFERROR(VLOOKUP(A75,$A$10:$I74,1,0),0)=0,"",VLOOKUP(A75,$A$10:$I74,5,0))</f>
        <v>VASQUEZ</v>
      </c>
      <c r="F75" s="29" t="str">
        <f>IF(IFERROR(VLOOKUP(A75,$A$10:$I74,1,0),0)=0,"",VLOOKUP(A75,$A$10:$I74,6,0))</f>
        <v>RIVAS</v>
      </c>
      <c r="G75" s="49">
        <v>45609</v>
      </c>
      <c r="H75" s="49">
        <v>45614</v>
      </c>
      <c r="I75" s="29"/>
      <c r="J75" s="29" t="s">
        <v>24</v>
      </c>
      <c r="K75" s="24" t="s">
        <v>43</v>
      </c>
      <c r="L75" s="49">
        <v>45609</v>
      </c>
      <c r="M75" s="49">
        <v>45614</v>
      </c>
      <c r="N75" s="34">
        <f t="shared" si="4"/>
        <v>5</v>
      </c>
      <c r="O75" s="29"/>
      <c r="P75" s="29"/>
      <c r="Q75" t="s">
        <v>88</v>
      </c>
      <c r="R75" t="s">
        <v>88</v>
      </c>
      <c r="S75" t="s">
        <v>88</v>
      </c>
      <c r="T75" t="s">
        <v>88</v>
      </c>
      <c r="U75" t="s">
        <v>88</v>
      </c>
      <c r="V75" t="s">
        <v>20</v>
      </c>
    </row>
    <row r="76" spans="1:22" x14ac:dyDescent="0.45">
      <c r="A76" s="79">
        <v>66572234</v>
      </c>
      <c r="B76" s="29" t="str">
        <f t="shared" si="5"/>
        <v>6.657.223-4</v>
      </c>
      <c r="C76" s="22" t="s">
        <v>22</v>
      </c>
      <c r="D76" s="29" t="s">
        <v>548</v>
      </c>
      <c r="E76" s="29" t="s">
        <v>1397</v>
      </c>
      <c r="F76" s="29" t="s">
        <v>810</v>
      </c>
      <c r="G76" s="49">
        <v>45606</v>
      </c>
      <c r="H76" s="49">
        <v>45615</v>
      </c>
      <c r="I76" s="29"/>
      <c r="J76" s="29"/>
      <c r="K76" s="24" t="s">
        <v>43</v>
      </c>
      <c r="L76" s="49">
        <v>45606</v>
      </c>
      <c r="M76" s="49">
        <v>45615</v>
      </c>
      <c r="N76" s="34">
        <f t="shared" si="4"/>
        <v>9</v>
      </c>
      <c r="O76" s="29"/>
      <c r="P76" s="29"/>
      <c r="Q76" t="s">
        <v>88</v>
      </c>
      <c r="R76" t="s">
        <v>88</v>
      </c>
      <c r="S76" t="s">
        <v>88</v>
      </c>
      <c r="T76" t="s">
        <v>88</v>
      </c>
      <c r="U76" t="s">
        <v>88</v>
      </c>
      <c r="V76" t="s">
        <v>20</v>
      </c>
    </row>
    <row r="77" spans="1:22" x14ac:dyDescent="0.45">
      <c r="A77" s="79">
        <v>66572234</v>
      </c>
      <c r="B77" s="29" t="str">
        <f t="shared" si="5"/>
        <v>6.657.223-4</v>
      </c>
      <c r="C77" s="22" t="str">
        <f>IF(IFERROR(VLOOKUP(A77,$A$10:$I76,1,0),0)=0,"",VLOOKUP(A77,$A$10:$I76,3,0))</f>
        <v>UCI</v>
      </c>
      <c r="D77" s="29" t="str">
        <f>IF(IFERROR(VLOOKUP(A77,$A$10:$I76,1,0),0)=0,"",VLOOKUP(A77,$A$10:$I76,4,0))</f>
        <v>EDUARDO</v>
      </c>
      <c r="E77" s="29" t="str">
        <f>IF(IFERROR(VLOOKUP(A77,$A$10:$I76,1,0),0)=0,"",VLOOKUP(A77,$A$10:$I76,5,0))</f>
        <v>GONZÁLEZ</v>
      </c>
      <c r="F77" s="29" t="str">
        <f>IF(IFERROR(VLOOKUP(A77,$A$10:$I76,1,0),0)=0,"",VLOOKUP(A77,$A$10:$I76,6,0))</f>
        <v>CARTES</v>
      </c>
      <c r="G77" s="49">
        <f>IF(IFERROR(VLOOKUP(A77,$A$10:$I76,1,0),0)=0,"",VLOOKUP(A77,$A$10:$I76,7,0))</f>
        <v>45606</v>
      </c>
      <c r="H77" s="49">
        <v>45615</v>
      </c>
      <c r="I77" s="29"/>
      <c r="J77" s="29"/>
      <c r="K77" s="24" t="s">
        <v>47</v>
      </c>
      <c r="L77" s="49">
        <v>45606</v>
      </c>
      <c r="M77" s="49">
        <v>45615</v>
      </c>
      <c r="N77" s="34">
        <f t="shared" si="4"/>
        <v>9</v>
      </c>
      <c r="O77" s="29"/>
      <c r="P77" s="29"/>
      <c r="Q77" t="s">
        <v>88</v>
      </c>
      <c r="R77" t="s">
        <v>88</v>
      </c>
      <c r="S77" t="s">
        <v>88</v>
      </c>
      <c r="T77" t="s">
        <v>88</v>
      </c>
      <c r="U77" t="s">
        <v>88</v>
      </c>
      <c r="V77" t="s">
        <v>20</v>
      </c>
    </row>
    <row r="78" spans="1:22" x14ac:dyDescent="0.45">
      <c r="A78" s="79">
        <v>66572234</v>
      </c>
      <c r="B78" s="29" t="str">
        <f t="shared" si="5"/>
        <v>6.657.223-4</v>
      </c>
      <c r="C78" s="22" t="str">
        <f>IF(IFERROR(VLOOKUP(A78,$A$10:$I77,1,0),0)=0,"",VLOOKUP(A78,$A$10:$I77,3,0))</f>
        <v>UCI</v>
      </c>
      <c r="D78" s="29" t="str">
        <f>IF(IFERROR(VLOOKUP(A78,$A$10:$I77,1,0),0)=0,"",VLOOKUP(A78,$A$10:$I77,4,0))</f>
        <v>EDUARDO</v>
      </c>
      <c r="E78" s="29" t="str">
        <f>IF(IFERROR(VLOOKUP(A78,$A$10:$I77,1,0),0)=0,"",VLOOKUP(A78,$A$10:$I77,5,0))</f>
        <v>GONZÁLEZ</v>
      </c>
      <c r="F78" s="29" t="str">
        <f>IF(IFERROR(VLOOKUP(A78,$A$10:$I77,1,0),0)=0,"",VLOOKUP(A78,$A$10:$I77,6,0))</f>
        <v>CARTES</v>
      </c>
      <c r="G78" s="49">
        <f>IF(IFERROR(VLOOKUP(A78,$A$10:$I77,1,0),0)=0,"",VLOOKUP(A78,$A$10:$I77,7,0))</f>
        <v>45606</v>
      </c>
      <c r="H78" s="49">
        <v>45615</v>
      </c>
      <c r="I78" s="29"/>
      <c r="J78" s="29"/>
      <c r="K78" s="24" t="s">
        <v>55</v>
      </c>
      <c r="L78" s="49">
        <v>45606</v>
      </c>
      <c r="M78" s="49">
        <v>45611</v>
      </c>
      <c r="N78" s="34">
        <f t="shared" si="4"/>
        <v>5</v>
      </c>
      <c r="O78" s="29"/>
      <c r="P78" s="29"/>
      <c r="Q78" t="s">
        <v>88</v>
      </c>
      <c r="R78" t="s">
        <v>88</v>
      </c>
      <c r="S78" t="s">
        <v>88</v>
      </c>
      <c r="T78" t="s">
        <v>88</v>
      </c>
      <c r="U78" t="s">
        <v>88</v>
      </c>
      <c r="V78" t="s">
        <v>20</v>
      </c>
    </row>
    <row r="79" spans="1:22" x14ac:dyDescent="0.45">
      <c r="A79" s="79">
        <v>114951404</v>
      </c>
      <c r="B79" s="29" t="str">
        <f t="shared" si="5"/>
        <v>11.495.140-4</v>
      </c>
      <c r="C79" s="22" t="s">
        <v>22</v>
      </c>
      <c r="D79" s="29" t="s">
        <v>1043</v>
      </c>
      <c r="E79" s="29" t="s">
        <v>236</v>
      </c>
      <c r="F79" s="29" t="s">
        <v>842</v>
      </c>
      <c r="G79" s="49">
        <v>45604</v>
      </c>
      <c r="H79" s="49">
        <v>45617</v>
      </c>
      <c r="I79" s="29"/>
      <c r="J79" s="29" t="s">
        <v>22</v>
      </c>
      <c r="K79" s="24" t="s">
        <v>43</v>
      </c>
      <c r="L79" s="49">
        <v>45604</v>
      </c>
      <c r="M79" s="49">
        <v>45617</v>
      </c>
      <c r="N79" s="34">
        <f t="shared" si="4"/>
        <v>13</v>
      </c>
      <c r="O79" s="29"/>
      <c r="P79" s="29"/>
      <c r="Q79" t="s">
        <v>88</v>
      </c>
      <c r="R79" t="s">
        <v>88</v>
      </c>
      <c r="S79" t="s">
        <v>88</v>
      </c>
      <c r="T79" t="s">
        <v>88</v>
      </c>
      <c r="U79" t="s">
        <v>88</v>
      </c>
      <c r="V79" t="s">
        <v>20</v>
      </c>
    </row>
    <row r="80" spans="1:22" x14ac:dyDescent="0.45">
      <c r="A80" s="79">
        <v>114951404</v>
      </c>
      <c r="B80" s="29" t="str">
        <f t="shared" si="5"/>
        <v>11.495.140-4</v>
      </c>
      <c r="C80" s="22" t="str">
        <f>IF(IFERROR(VLOOKUP(A80,$A$10:$I79,1,0),0)=0,"",VLOOKUP(A80,$A$10:$I79,3,0))</f>
        <v>UCI</v>
      </c>
      <c r="D80" s="29" t="str">
        <f>IF(IFERROR(VLOOKUP(A80,$A$10:$I79,1,0),0)=0,"",VLOOKUP(A80,$A$10:$I79,4,0))</f>
        <v>DAVID</v>
      </c>
      <c r="E80" s="29" t="str">
        <f>IF(IFERROR(VLOOKUP(A80,$A$10:$I79,1,0),0)=0,"",VLOOKUP(A80,$A$10:$I79,5,0))</f>
        <v>LARA</v>
      </c>
      <c r="F80" s="29" t="str">
        <f>IF(IFERROR(VLOOKUP(A80,$A$10:$I79,1,0),0)=0,"",VLOOKUP(A80,$A$10:$I79,6,0))</f>
        <v>RIFFO</v>
      </c>
      <c r="G80" s="49">
        <f>IF(IFERROR(VLOOKUP(A80,$A$10:$I79,1,0),0)=0,"",VLOOKUP(A80,$A$10:$I79,7,0))</f>
        <v>45604</v>
      </c>
      <c r="H80" s="49">
        <v>45617</v>
      </c>
      <c r="I80" s="29"/>
      <c r="J80" s="29"/>
      <c r="K80" s="24" t="s">
        <v>47</v>
      </c>
      <c r="L80" s="49">
        <v>45604</v>
      </c>
      <c r="M80" s="49">
        <v>45617</v>
      </c>
      <c r="N80" s="34">
        <f t="shared" si="4"/>
        <v>13</v>
      </c>
      <c r="O80" s="29"/>
      <c r="P80" s="29" t="s">
        <v>14</v>
      </c>
      <c r="Q80" t="s">
        <v>88</v>
      </c>
      <c r="R80" t="s">
        <v>88</v>
      </c>
      <c r="S80" t="s">
        <v>88</v>
      </c>
      <c r="T80" t="s">
        <v>88</v>
      </c>
      <c r="U80" t="s">
        <v>88</v>
      </c>
      <c r="V80" t="s">
        <v>20</v>
      </c>
    </row>
    <row r="81" spans="1:22" x14ac:dyDescent="0.45">
      <c r="A81" s="79">
        <v>114951404</v>
      </c>
      <c r="B81" s="29" t="str">
        <f t="shared" si="5"/>
        <v>11.495.140-4</v>
      </c>
      <c r="C81" s="22" t="s">
        <v>22</v>
      </c>
      <c r="D81" s="29" t="str">
        <f>IF(IFERROR(VLOOKUP(A81,$A$10:$I80,1,0),0)=0,"",VLOOKUP(A81,$A$10:$I80,4,0))</f>
        <v>DAVID</v>
      </c>
      <c r="E81" s="29" t="str">
        <f>IF(IFERROR(VLOOKUP(A81,$A$10:$I80,1,0),0)=0,"",VLOOKUP(A81,$A$10:$I80,5,0))</f>
        <v>LARA</v>
      </c>
      <c r="F81" s="29" t="str">
        <f>IF(IFERROR(VLOOKUP(A81,$A$10:$I80,1,0),0)=0,"",VLOOKUP(A81,$A$10:$I80,6,0))</f>
        <v>RIFFO</v>
      </c>
      <c r="G81" s="49">
        <v>45617</v>
      </c>
      <c r="H81" s="29"/>
      <c r="I81" s="29" t="s">
        <v>22</v>
      </c>
      <c r="J81" s="29"/>
      <c r="K81" s="24" t="s">
        <v>43</v>
      </c>
      <c r="L81" s="49">
        <v>45617</v>
      </c>
      <c r="M81" s="49">
        <v>45626</v>
      </c>
      <c r="N81" s="34">
        <f t="shared" si="4"/>
        <v>9</v>
      </c>
      <c r="O81" s="29"/>
      <c r="P81" s="29"/>
      <c r="Q81" t="s">
        <v>88</v>
      </c>
      <c r="R81" t="s">
        <v>88</v>
      </c>
      <c r="S81" t="s">
        <v>88</v>
      </c>
      <c r="T81" t="s">
        <v>88</v>
      </c>
      <c r="U81" t="s">
        <v>88</v>
      </c>
      <c r="V81" t="s">
        <v>20</v>
      </c>
    </row>
    <row r="82" spans="1:22" x14ac:dyDescent="0.45">
      <c r="A82" s="79">
        <v>114951404</v>
      </c>
      <c r="B82" s="29" t="str">
        <f t="shared" si="5"/>
        <v>11.495.140-4</v>
      </c>
      <c r="C82" s="22" t="s">
        <v>22</v>
      </c>
      <c r="D82" s="29" t="str">
        <f>IF(IFERROR(VLOOKUP(A82,$A$10:$I81,1,0),0)=0,"",VLOOKUP(A82,$A$10:$I81,4,0))</f>
        <v>DAVID</v>
      </c>
      <c r="E82" s="29" t="str">
        <f>IF(IFERROR(VLOOKUP(A82,$A$10:$I81,1,0),0)=0,"",VLOOKUP(A82,$A$10:$I81,5,0))</f>
        <v>LARA</v>
      </c>
      <c r="F82" s="29" t="str">
        <f>IF(IFERROR(VLOOKUP(A82,$A$10:$I81,1,0),0)=0,"",VLOOKUP(A82,$A$10:$I81,6,0))</f>
        <v>RIFFO</v>
      </c>
      <c r="G82" s="49">
        <v>45617</v>
      </c>
      <c r="H82" s="29"/>
      <c r="I82" s="29" t="s">
        <v>22</v>
      </c>
      <c r="J82" s="29"/>
      <c r="K82" s="24" t="s">
        <v>47</v>
      </c>
      <c r="L82" s="49">
        <v>45617</v>
      </c>
      <c r="M82" s="49">
        <v>45626</v>
      </c>
      <c r="N82" s="34">
        <f t="shared" si="4"/>
        <v>9</v>
      </c>
      <c r="O82" s="29"/>
      <c r="P82" s="29"/>
      <c r="Q82" t="s">
        <v>88</v>
      </c>
      <c r="R82" t="s">
        <v>88</v>
      </c>
      <c r="S82" t="s">
        <v>88</v>
      </c>
      <c r="T82" t="s">
        <v>88</v>
      </c>
      <c r="U82" t="s">
        <v>88</v>
      </c>
      <c r="V82" t="s">
        <v>20</v>
      </c>
    </row>
    <row r="83" spans="1:22" x14ac:dyDescent="0.45">
      <c r="A83" s="79" t="s">
        <v>1565</v>
      </c>
      <c r="B83" s="29" t="str">
        <f t="shared" si="5"/>
        <v>5.287.564-1</v>
      </c>
      <c r="C83" s="22" t="s">
        <v>22</v>
      </c>
      <c r="D83" s="29" t="s">
        <v>1544</v>
      </c>
      <c r="E83" s="29" t="s">
        <v>1545</v>
      </c>
      <c r="F83" s="29" t="s">
        <v>631</v>
      </c>
      <c r="G83" s="49">
        <v>45605</v>
      </c>
      <c r="H83" s="49">
        <v>45610</v>
      </c>
      <c r="I83" s="29" t="s">
        <v>22</v>
      </c>
      <c r="J83" s="29" t="s">
        <v>22</v>
      </c>
      <c r="K83" s="24" t="s">
        <v>43</v>
      </c>
      <c r="L83" s="49">
        <v>45605</v>
      </c>
      <c r="M83" s="49">
        <v>45610</v>
      </c>
      <c r="N83" s="34">
        <f t="shared" si="4"/>
        <v>5</v>
      </c>
      <c r="O83" s="29"/>
      <c r="P83" s="29"/>
      <c r="Q83" t="s">
        <v>88</v>
      </c>
      <c r="R83" t="s">
        <v>88</v>
      </c>
      <c r="S83" t="s">
        <v>88</v>
      </c>
      <c r="T83" t="s">
        <v>88</v>
      </c>
      <c r="U83" t="s">
        <v>88</v>
      </c>
      <c r="V83" t="s">
        <v>20</v>
      </c>
    </row>
    <row r="84" spans="1:22" x14ac:dyDescent="0.45">
      <c r="A84" s="79" t="s">
        <v>1565</v>
      </c>
      <c r="B84" s="29" t="str">
        <f t="shared" si="5"/>
        <v>5.287.564-1</v>
      </c>
      <c r="C84" s="22" t="str">
        <f>IF(IFERROR(VLOOKUP(A84,$A$10:$I83,1,0),0)=0,"",VLOOKUP(A84,$A$10:$I83,3,0))</f>
        <v>UCI</v>
      </c>
      <c r="D84" s="29" t="str">
        <f>IF(IFERROR(VLOOKUP(A84,$A$10:$I83,1,0),0)=0,"",VLOOKUP(A84,$A$10:$I83,4,0))</f>
        <v>GUSTAVO</v>
      </c>
      <c r="E84" s="29" t="str">
        <f>IF(IFERROR(VLOOKUP(A84,$A$10:$I83,1,0),0)=0,"",VLOOKUP(A84,$A$10:$I83,5,0))</f>
        <v>MULCHI</v>
      </c>
      <c r="F84" s="29" t="str">
        <f>IF(IFERROR(VLOOKUP(A84,$A$10:$I83,1,0),0)=0,"",VLOOKUP(A84,$A$10:$I83,6,0))</f>
        <v>ALARCON</v>
      </c>
      <c r="G84" s="49">
        <f>IF(IFERROR(VLOOKUP(A84,$A$10:$I83,1,0),0)=0,"",VLOOKUP(A84,$A$10:$I83,7,0))</f>
        <v>45605</v>
      </c>
      <c r="H84" s="49">
        <v>45610</v>
      </c>
      <c r="I84" s="29" t="s">
        <v>22</v>
      </c>
      <c r="J84" s="29" t="s">
        <v>22</v>
      </c>
      <c r="K84" s="24" t="s">
        <v>47</v>
      </c>
      <c r="L84" s="49">
        <v>45605</v>
      </c>
      <c r="M84" s="49">
        <v>45610</v>
      </c>
      <c r="N84" s="34">
        <f t="shared" si="4"/>
        <v>5</v>
      </c>
      <c r="O84" s="29"/>
      <c r="P84" s="29"/>
      <c r="Q84" t="s">
        <v>88</v>
      </c>
      <c r="R84" t="s">
        <v>88</v>
      </c>
      <c r="S84" t="s">
        <v>88</v>
      </c>
      <c r="T84" t="s">
        <v>88</v>
      </c>
      <c r="U84" t="s">
        <v>88</v>
      </c>
      <c r="V84" t="s">
        <v>20</v>
      </c>
    </row>
    <row r="85" spans="1:22" x14ac:dyDescent="0.45">
      <c r="A85" s="79" t="s">
        <v>1565</v>
      </c>
      <c r="B85" s="29" t="str">
        <f t="shared" si="5"/>
        <v>5.287.564-1</v>
      </c>
      <c r="C85" s="22" t="str">
        <f>IF(IFERROR(VLOOKUP(A85,$A$10:$I84,1,0),0)=0,"",VLOOKUP(A85,$A$10:$I84,3,0))</f>
        <v>UCI</v>
      </c>
      <c r="D85" s="29" t="str">
        <f>IF(IFERROR(VLOOKUP(A85,$A$10:$I84,1,0),0)=0,"",VLOOKUP(A85,$A$10:$I84,4,0))</f>
        <v>GUSTAVO</v>
      </c>
      <c r="E85" s="29" t="str">
        <f>IF(IFERROR(VLOOKUP(A85,$A$10:$I84,1,0),0)=0,"",VLOOKUP(A85,$A$10:$I84,5,0))</f>
        <v>MULCHI</v>
      </c>
      <c r="F85" s="29" t="str">
        <f>IF(IFERROR(VLOOKUP(A85,$A$10:$I84,1,0),0)=0,"",VLOOKUP(A85,$A$10:$I84,6,0))</f>
        <v>ALARCON</v>
      </c>
      <c r="G85" s="49">
        <f>IF(IFERROR(VLOOKUP(A85,$A$10:$I84,1,0),0)=0,"",VLOOKUP(A85,$A$10:$I84,7,0))</f>
        <v>45605</v>
      </c>
      <c r="H85" s="49">
        <v>45610</v>
      </c>
      <c r="I85" s="29" t="s">
        <v>22</v>
      </c>
      <c r="J85" s="29" t="s">
        <v>22</v>
      </c>
      <c r="K85" s="24" t="s">
        <v>55</v>
      </c>
      <c r="L85" s="49">
        <v>45605</v>
      </c>
      <c r="M85" s="49">
        <v>45608</v>
      </c>
      <c r="N85" s="34">
        <f t="shared" si="4"/>
        <v>3</v>
      </c>
      <c r="O85" s="29"/>
      <c r="P85" s="29"/>
      <c r="Q85" t="s">
        <v>88</v>
      </c>
      <c r="R85" t="s">
        <v>88</v>
      </c>
      <c r="S85" t="s">
        <v>88</v>
      </c>
      <c r="T85" t="s">
        <v>88</v>
      </c>
      <c r="U85" t="s">
        <v>88</v>
      </c>
      <c r="V85" t="s">
        <v>20</v>
      </c>
    </row>
    <row r="86" spans="1:22" x14ac:dyDescent="0.45">
      <c r="A86" s="79" t="s">
        <v>1566</v>
      </c>
      <c r="B86" s="29" t="str">
        <f t="shared" si="5"/>
        <v>5.414.403-2</v>
      </c>
      <c r="C86" s="22" t="s">
        <v>22</v>
      </c>
      <c r="D86" s="29" t="s">
        <v>1567</v>
      </c>
      <c r="E86" s="29" t="s">
        <v>591</v>
      </c>
      <c r="F86" s="29" t="s">
        <v>248</v>
      </c>
      <c r="G86" s="49">
        <v>45607</v>
      </c>
      <c r="H86" s="49">
        <v>45610</v>
      </c>
      <c r="I86" s="29"/>
      <c r="J86" s="29"/>
      <c r="K86" s="24" t="s">
        <v>47</v>
      </c>
      <c r="L86" s="49">
        <v>45607</v>
      </c>
      <c r="M86" s="49">
        <v>45610</v>
      </c>
      <c r="N86" s="34">
        <f t="shared" si="4"/>
        <v>3</v>
      </c>
      <c r="O86" s="29"/>
      <c r="P86" s="29"/>
      <c r="Q86" t="s">
        <v>88</v>
      </c>
      <c r="R86" t="s">
        <v>88</v>
      </c>
      <c r="S86" t="s">
        <v>88</v>
      </c>
      <c r="T86" t="s">
        <v>88</v>
      </c>
      <c r="U86" t="s">
        <v>88</v>
      </c>
      <c r="V86" t="s">
        <v>20</v>
      </c>
    </row>
    <row r="87" spans="1:22" x14ac:dyDescent="0.45">
      <c r="A87" s="79">
        <v>89710723</v>
      </c>
      <c r="B87" s="29" t="str">
        <f t="shared" si="5"/>
        <v>8.971.072-3</v>
      </c>
      <c r="C87" s="22" t="s">
        <v>22</v>
      </c>
      <c r="D87" s="29" t="s">
        <v>971</v>
      </c>
      <c r="E87" s="29" t="s">
        <v>1568</v>
      </c>
      <c r="F87" s="29" t="s">
        <v>696</v>
      </c>
      <c r="G87" s="49">
        <v>45605</v>
      </c>
      <c r="H87" s="49">
        <v>45610</v>
      </c>
      <c r="I87" s="29"/>
      <c r="J87" s="29" t="s">
        <v>56</v>
      </c>
      <c r="K87" s="24" t="s">
        <v>43</v>
      </c>
      <c r="L87" s="49">
        <v>45605</v>
      </c>
      <c r="M87" s="49">
        <v>45610</v>
      </c>
      <c r="N87" s="34">
        <f t="shared" si="4"/>
        <v>5</v>
      </c>
      <c r="O87" s="29"/>
      <c r="P87" s="29"/>
      <c r="Q87" t="s">
        <v>88</v>
      </c>
      <c r="R87" t="s">
        <v>88</v>
      </c>
      <c r="S87" t="s">
        <v>88</v>
      </c>
      <c r="T87" t="s">
        <v>88</v>
      </c>
      <c r="U87" t="s">
        <v>88</v>
      </c>
      <c r="V87" t="s">
        <v>20</v>
      </c>
    </row>
    <row r="88" spans="1:22" x14ac:dyDescent="0.45">
      <c r="A88" s="79">
        <v>89710723</v>
      </c>
      <c r="B88" s="29" t="str">
        <f t="shared" si="5"/>
        <v>8.971.072-3</v>
      </c>
      <c r="C88" s="22" t="str">
        <f>IF(IFERROR(VLOOKUP(A88,$A$10:$I87,1,0),0)=0,"",VLOOKUP(A88,$A$10:$I87,3,0))</f>
        <v>UCI</v>
      </c>
      <c r="D88" s="29" t="str">
        <f>IF(IFERROR(VLOOKUP(A88,$A$10:$I87,1,0),0)=0,"",VLOOKUP(A88,$A$10:$I87,4,0))</f>
        <v>GUILLERMO</v>
      </c>
      <c r="E88" s="29" t="str">
        <f>IF(IFERROR(VLOOKUP(A88,$A$10:$I87,1,0),0)=0,"",VLOOKUP(A88,$A$10:$I87,5,0))</f>
        <v>GUEVARA</v>
      </c>
      <c r="F88" s="29" t="str">
        <f>IF(IFERROR(VLOOKUP(A88,$A$10:$I87,1,0),0)=0,"",VLOOKUP(A88,$A$10:$I87,6,0))</f>
        <v>CARDENAS</v>
      </c>
      <c r="G88" s="49">
        <f>IF(IFERROR(VLOOKUP(A88,$A$10:$I87,1,0),0)=0,"",VLOOKUP(A88,$A$10:$I87,7,0))</f>
        <v>45605</v>
      </c>
      <c r="H88" s="49">
        <v>45610</v>
      </c>
      <c r="I88" s="29"/>
      <c r="J88" s="29" t="s">
        <v>56</v>
      </c>
      <c r="K88" s="24" t="s">
        <v>47</v>
      </c>
      <c r="L88" s="49">
        <v>45605</v>
      </c>
      <c r="M88" s="49">
        <v>45609</v>
      </c>
      <c r="N88" s="34">
        <f t="shared" si="4"/>
        <v>4</v>
      </c>
      <c r="O88" s="29"/>
      <c r="P88" s="29"/>
      <c r="Q88" t="s">
        <v>88</v>
      </c>
      <c r="R88" t="s">
        <v>88</v>
      </c>
      <c r="S88" t="s">
        <v>88</v>
      </c>
      <c r="T88" t="s">
        <v>88</v>
      </c>
      <c r="U88" t="s">
        <v>88</v>
      </c>
      <c r="V88" t="s">
        <v>20</v>
      </c>
    </row>
    <row r="89" spans="1:22" x14ac:dyDescent="0.45">
      <c r="A89" s="79">
        <v>82201181</v>
      </c>
      <c r="B89" s="29" t="str">
        <f t="shared" si="5"/>
        <v>8.220.118-1</v>
      </c>
      <c r="C89" s="22" t="s">
        <v>22</v>
      </c>
      <c r="D89" s="29" t="s">
        <v>1043</v>
      </c>
      <c r="E89" s="29" t="s">
        <v>1116</v>
      </c>
      <c r="F89" s="29" t="s">
        <v>537</v>
      </c>
      <c r="G89" s="49">
        <v>45607</v>
      </c>
      <c r="H89" s="49">
        <v>45622</v>
      </c>
      <c r="I89" s="29"/>
      <c r="J89" s="29" t="s">
        <v>19</v>
      </c>
      <c r="K89" s="24" t="s">
        <v>43</v>
      </c>
      <c r="L89" s="49">
        <v>45607</v>
      </c>
      <c r="M89" s="49">
        <v>45622</v>
      </c>
      <c r="N89" s="34">
        <f t="shared" si="4"/>
        <v>15</v>
      </c>
      <c r="O89" s="29"/>
      <c r="P89" s="29"/>
      <c r="Q89" t="s">
        <v>88</v>
      </c>
      <c r="R89" t="s">
        <v>88</v>
      </c>
      <c r="S89" t="s">
        <v>88</v>
      </c>
      <c r="T89" t="s">
        <v>88</v>
      </c>
      <c r="U89" t="s">
        <v>88</v>
      </c>
      <c r="V89" t="s">
        <v>20</v>
      </c>
    </row>
    <row r="90" spans="1:22" x14ac:dyDescent="0.45">
      <c r="A90" s="79">
        <v>82201181</v>
      </c>
      <c r="B90" s="29" t="str">
        <f t="shared" si="5"/>
        <v>8.220.118-1</v>
      </c>
      <c r="C90" s="22" t="str">
        <f>IF(IFERROR(VLOOKUP(A90,$A$10:$I89,1,0),0)=0,"",VLOOKUP(A90,$A$10:$I89,3,0))</f>
        <v>UCI</v>
      </c>
      <c r="D90" s="29" t="str">
        <f>IF(IFERROR(VLOOKUP(A90,$A$10:$I89,1,0),0)=0,"",VLOOKUP(A90,$A$10:$I89,4,0))</f>
        <v>DAVID</v>
      </c>
      <c r="E90" s="29" t="str">
        <f>IF(IFERROR(VLOOKUP(A90,$A$10:$I89,1,0),0)=0,"",VLOOKUP(A90,$A$10:$I89,5,0))</f>
        <v>VILLA</v>
      </c>
      <c r="F90" s="29" t="str">
        <f>IF(IFERROR(VLOOKUP(A90,$A$10:$I89,1,0),0)=0,"",VLOOKUP(A90,$A$10:$I89,6,0))</f>
        <v>FLORES</v>
      </c>
      <c r="G90" s="49">
        <f>IF(IFERROR(VLOOKUP(A90,$A$10:$I89,1,0),0)=0,"",VLOOKUP(A90,$A$10:$I89,7,0))</f>
        <v>45607</v>
      </c>
      <c r="H90" s="49">
        <v>45622</v>
      </c>
      <c r="I90" s="29"/>
      <c r="J90" s="29" t="s">
        <v>19</v>
      </c>
      <c r="K90" s="24" t="s">
        <v>47</v>
      </c>
      <c r="L90" s="49">
        <v>45607</v>
      </c>
      <c r="M90" s="49">
        <v>45622</v>
      </c>
      <c r="N90" s="34">
        <f t="shared" si="4"/>
        <v>15</v>
      </c>
      <c r="O90" s="29"/>
      <c r="P90" s="29"/>
      <c r="Q90" t="s">
        <v>88</v>
      </c>
      <c r="R90" t="s">
        <v>88</v>
      </c>
      <c r="S90" t="s">
        <v>88</v>
      </c>
      <c r="T90" t="s">
        <v>88</v>
      </c>
      <c r="U90" t="s">
        <v>88</v>
      </c>
      <c r="V90" t="s">
        <v>20</v>
      </c>
    </row>
    <row r="91" spans="1:22" x14ac:dyDescent="0.45">
      <c r="A91" s="79">
        <v>82201181</v>
      </c>
      <c r="B91" s="29" t="str">
        <f t="shared" si="5"/>
        <v>8.220.118-1</v>
      </c>
      <c r="C91" s="22" t="str">
        <f>IF(IFERROR(VLOOKUP(A91,$A$10:$I90,1,0),0)=0,"",VLOOKUP(A91,$A$10:$I90,3,0))</f>
        <v>UCI</v>
      </c>
      <c r="D91" s="29" t="str">
        <f>IF(IFERROR(VLOOKUP(A91,$A$10:$I90,1,0),0)=0,"",VLOOKUP(A91,$A$10:$I90,4,0))</f>
        <v>DAVID</v>
      </c>
      <c r="E91" s="29" t="str">
        <f>IF(IFERROR(VLOOKUP(A91,$A$10:$I90,1,0),0)=0,"",VLOOKUP(A91,$A$10:$I90,5,0))</f>
        <v>VILLA</v>
      </c>
      <c r="F91" s="29" t="str">
        <f>IF(IFERROR(VLOOKUP(A91,$A$10:$I90,1,0),0)=0,"",VLOOKUP(A91,$A$10:$I90,6,0))</f>
        <v>FLORES</v>
      </c>
      <c r="G91" s="49">
        <f>IF(IFERROR(VLOOKUP(A91,$A$10:$I90,1,0),0)=0,"",VLOOKUP(A91,$A$10:$I90,7,0))</f>
        <v>45607</v>
      </c>
      <c r="H91" s="49">
        <v>45622</v>
      </c>
      <c r="I91" s="29"/>
      <c r="J91" s="29" t="s">
        <v>19</v>
      </c>
      <c r="K91" s="24" t="s">
        <v>55</v>
      </c>
      <c r="L91" s="49">
        <v>45607</v>
      </c>
      <c r="M91" s="49">
        <v>45617</v>
      </c>
      <c r="N91" s="34">
        <f t="shared" si="4"/>
        <v>10</v>
      </c>
      <c r="O91" s="29"/>
      <c r="P91" s="29"/>
      <c r="Q91" t="s">
        <v>88</v>
      </c>
      <c r="R91" t="s">
        <v>88</v>
      </c>
      <c r="S91" t="s">
        <v>88</v>
      </c>
      <c r="T91" t="s">
        <v>88</v>
      </c>
      <c r="U91" t="s">
        <v>88</v>
      </c>
      <c r="V91" t="s">
        <v>20</v>
      </c>
    </row>
    <row r="92" spans="1:22" x14ac:dyDescent="0.45">
      <c r="A92" s="79">
        <v>99833793</v>
      </c>
      <c r="B92" s="29" t="str">
        <f t="shared" si="5"/>
        <v>9.983.379-3</v>
      </c>
      <c r="C92" s="22" t="s">
        <v>22</v>
      </c>
      <c r="D92" s="29" t="s">
        <v>406</v>
      </c>
      <c r="E92" s="29" t="s">
        <v>288</v>
      </c>
      <c r="F92" s="29" t="s">
        <v>1569</v>
      </c>
      <c r="G92" s="49">
        <v>45604</v>
      </c>
      <c r="H92" s="49">
        <v>45611</v>
      </c>
      <c r="I92" s="29" t="s">
        <v>56</v>
      </c>
      <c r="J92" s="29" t="s">
        <v>22</v>
      </c>
      <c r="K92" s="24" t="s">
        <v>43</v>
      </c>
      <c r="L92" s="49">
        <v>45604</v>
      </c>
      <c r="M92" s="49">
        <v>45611</v>
      </c>
      <c r="N92" s="34">
        <f t="shared" si="4"/>
        <v>7</v>
      </c>
      <c r="O92" s="29"/>
      <c r="P92" s="29"/>
      <c r="Q92" t="s">
        <v>88</v>
      </c>
      <c r="R92" t="s">
        <v>88</v>
      </c>
      <c r="S92" t="s">
        <v>88</v>
      </c>
      <c r="T92" t="s">
        <v>88</v>
      </c>
      <c r="U92" t="s">
        <v>88</v>
      </c>
      <c r="V92" t="s">
        <v>20</v>
      </c>
    </row>
    <row r="93" spans="1:22" x14ac:dyDescent="0.45">
      <c r="A93" s="79">
        <v>99833793</v>
      </c>
      <c r="B93" s="29" t="str">
        <f t="shared" si="5"/>
        <v>9.983.379-3</v>
      </c>
      <c r="C93" s="22" t="str">
        <f>IF(IFERROR(VLOOKUP(A93,$A$10:$I92,1,0),0)=0,"",VLOOKUP(A93,$A$10:$I92,3,0))</f>
        <v>UCI</v>
      </c>
      <c r="D93" s="29" t="str">
        <f>IF(IFERROR(VLOOKUP(A93,$A$10:$I92,1,0),0)=0,"",VLOOKUP(A93,$A$10:$I92,4,0))</f>
        <v>ERNESTO</v>
      </c>
      <c r="E93" s="29" t="str">
        <f>IF(IFERROR(VLOOKUP(A93,$A$10:$I92,1,0),0)=0,"",VLOOKUP(A93,$A$10:$I92,5,0))</f>
        <v>PARADA</v>
      </c>
      <c r="F93" s="29" t="str">
        <f>IF(IFERROR(VLOOKUP(A93,$A$10:$I92,1,0),0)=0,"",VLOOKUP(A93,$A$10:$I92,6,0))</f>
        <v>MILLABUR</v>
      </c>
      <c r="G93" s="49">
        <f>IF(IFERROR(VLOOKUP(A93,$A$10:$I92,1,0),0)=0,"",VLOOKUP(A93,$A$10:$I92,7,0))</f>
        <v>45604</v>
      </c>
      <c r="H93" s="49">
        <v>45611</v>
      </c>
      <c r="I93" s="29" t="s">
        <v>56</v>
      </c>
      <c r="J93" s="29" t="s">
        <v>22</v>
      </c>
      <c r="K93" s="24" t="s">
        <v>47</v>
      </c>
      <c r="L93" s="49">
        <v>45604</v>
      </c>
      <c r="M93" s="49">
        <v>45611</v>
      </c>
      <c r="N93" s="34">
        <f t="shared" si="4"/>
        <v>7</v>
      </c>
      <c r="O93" s="29"/>
      <c r="P93" s="29"/>
      <c r="Q93" t="s">
        <v>88</v>
      </c>
      <c r="R93" t="s">
        <v>88</v>
      </c>
      <c r="S93" t="s">
        <v>88</v>
      </c>
      <c r="T93" t="s">
        <v>88</v>
      </c>
      <c r="U93" t="s">
        <v>88</v>
      </c>
      <c r="V93" t="s">
        <v>20</v>
      </c>
    </row>
    <row r="94" spans="1:22" x14ac:dyDescent="0.45">
      <c r="A94" s="79">
        <v>99833793</v>
      </c>
      <c r="B94" s="29" t="str">
        <f t="shared" si="5"/>
        <v>9.983.379-3</v>
      </c>
      <c r="C94" s="22" t="str">
        <f>IF(IFERROR(VLOOKUP(A94,$A$10:$I93,1,0),0)=0,"",VLOOKUP(A94,$A$10:$I93,3,0))</f>
        <v>UCI</v>
      </c>
      <c r="D94" s="29" t="str">
        <f>IF(IFERROR(VLOOKUP(A94,$A$10:$I93,1,0),0)=0,"",VLOOKUP(A94,$A$10:$I93,4,0))</f>
        <v>ERNESTO</v>
      </c>
      <c r="E94" s="29" t="str">
        <f>IF(IFERROR(VLOOKUP(A94,$A$10:$I93,1,0),0)=0,"",VLOOKUP(A94,$A$10:$I93,5,0))</f>
        <v>PARADA</v>
      </c>
      <c r="F94" s="29" t="str">
        <f>IF(IFERROR(VLOOKUP(A94,$A$10:$I93,1,0),0)=0,"",VLOOKUP(A94,$A$10:$I93,6,0))</f>
        <v>MILLABUR</v>
      </c>
      <c r="G94" s="49">
        <f>IF(IFERROR(VLOOKUP(A94,$A$10:$I93,1,0),0)=0,"",VLOOKUP(A94,$A$10:$I93,7,0))</f>
        <v>45604</v>
      </c>
      <c r="H94" s="49">
        <v>45611</v>
      </c>
      <c r="I94" s="29" t="s">
        <v>56</v>
      </c>
      <c r="J94" s="29" t="s">
        <v>22</v>
      </c>
      <c r="K94" s="24" t="s">
        <v>55</v>
      </c>
      <c r="L94" s="49">
        <v>45607</v>
      </c>
      <c r="M94" s="49">
        <v>45611</v>
      </c>
      <c r="N94" s="34">
        <f t="shared" si="4"/>
        <v>4</v>
      </c>
      <c r="O94" s="29"/>
      <c r="P94" s="29"/>
      <c r="Q94" t="s">
        <v>88</v>
      </c>
      <c r="R94" t="s">
        <v>88</v>
      </c>
      <c r="S94" t="s">
        <v>88</v>
      </c>
      <c r="T94" t="s">
        <v>88</v>
      </c>
      <c r="U94" t="s">
        <v>88</v>
      </c>
      <c r="V94" t="s">
        <v>20</v>
      </c>
    </row>
    <row r="95" spans="1:22" x14ac:dyDescent="0.45">
      <c r="A95" s="79">
        <v>67867319</v>
      </c>
      <c r="B95" s="29" t="str">
        <f t="shared" si="5"/>
        <v>6.786.731-9</v>
      </c>
      <c r="C95" s="22" t="s">
        <v>30</v>
      </c>
      <c r="D95" s="29" t="s">
        <v>1570</v>
      </c>
      <c r="E95" s="29" t="s">
        <v>655</v>
      </c>
      <c r="F95" s="29" t="s">
        <v>1364</v>
      </c>
      <c r="G95" s="49">
        <v>45596</v>
      </c>
      <c r="H95" s="49">
        <v>45605</v>
      </c>
      <c r="I95" s="29"/>
      <c r="J95" s="29" t="s">
        <v>19</v>
      </c>
      <c r="K95" s="24" t="s">
        <v>43</v>
      </c>
      <c r="L95" s="49">
        <v>45597</v>
      </c>
      <c r="M95" s="49">
        <v>45605</v>
      </c>
      <c r="N95" s="34">
        <f t="shared" ref="N95:N126" si="6">+M95-L95</f>
        <v>8</v>
      </c>
      <c r="O95" s="29"/>
      <c r="P95" s="29"/>
      <c r="Q95" t="s">
        <v>88</v>
      </c>
      <c r="R95" t="s">
        <v>88</v>
      </c>
      <c r="S95" t="s">
        <v>88</v>
      </c>
      <c r="T95" t="s">
        <v>88</v>
      </c>
      <c r="U95" t="s">
        <v>88</v>
      </c>
      <c r="V95" t="s">
        <v>20</v>
      </c>
    </row>
    <row r="96" spans="1:22" x14ac:dyDescent="0.45">
      <c r="A96" s="79">
        <v>67867319</v>
      </c>
      <c r="B96" s="29" t="str">
        <f t="shared" si="5"/>
        <v>6.786.731-9</v>
      </c>
      <c r="C96" s="22" t="str">
        <f>IF(IFERROR(VLOOKUP(A96,$A$10:$I95,1,0),0)=0,"",VLOOKUP(A96,$A$10:$I95,3,0))</f>
        <v>UCO</v>
      </c>
      <c r="D96" s="29" t="str">
        <f>IF(IFERROR(VLOOKUP(A96,$A$10:$I95,1,0),0)=0,"",VLOOKUP(A96,$A$10:$I95,4,0))</f>
        <v>IVÁN</v>
      </c>
      <c r="E96" s="29" t="str">
        <f>IF(IFERROR(VLOOKUP(A96,$A$10:$I95,1,0),0)=0,"",VLOOKUP(A96,$A$10:$I95,5,0))</f>
        <v>GAJARDO</v>
      </c>
      <c r="F96" s="29" t="str">
        <f>IF(IFERROR(VLOOKUP(A96,$A$10:$I95,1,0),0)=0,"",VLOOKUP(A96,$A$10:$I95,6,0))</f>
        <v>GUTIÉRREZ</v>
      </c>
      <c r="G96" s="49">
        <f>IF(IFERROR(VLOOKUP(A96,$A$10:$I95,1,0),0)=0,"",VLOOKUP(A96,$A$10:$I95,7,0))</f>
        <v>45596</v>
      </c>
      <c r="H96" s="29"/>
      <c r="I96" s="29"/>
      <c r="J96" s="29" t="s">
        <v>19</v>
      </c>
      <c r="K96" s="24" t="s">
        <v>47</v>
      </c>
      <c r="L96" s="49">
        <v>45597</v>
      </c>
      <c r="M96" s="49">
        <v>45605</v>
      </c>
      <c r="N96" s="34">
        <f t="shared" si="6"/>
        <v>8</v>
      </c>
      <c r="O96" s="29"/>
      <c r="P96" s="29"/>
      <c r="Q96" t="s">
        <v>88</v>
      </c>
      <c r="R96" t="s">
        <v>88</v>
      </c>
      <c r="S96" t="s">
        <v>88</v>
      </c>
      <c r="T96" t="s">
        <v>88</v>
      </c>
      <c r="U96" t="s">
        <v>88</v>
      </c>
      <c r="V96" t="s">
        <v>20</v>
      </c>
    </row>
    <row r="97" spans="1:22" x14ac:dyDescent="0.45">
      <c r="A97" s="79">
        <v>67867319</v>
      </c>
      <c r="B97" s="29" t="str">
        <f t="shared" si="5"/>
        <v>6.786.731-9</v>
      </c>
      <c r="C97" s="22" t="str">
        <f>IF(IFERROR(VLOOKUP(A97,$A$10:$I96,1,0),0)=0,"",VLOOKUP(A97,$A$10:$I96,3,0))</f>
        <v>UCO</v>
      </c>
      <c r="D97" s="29" t="str">
        <f>IF(IFERROR(VLOOKUP(A97,$A$10:$I96,1,0),0)=0,"",VLOOKUP(A97,$A$10:$I96,4,0))</f>
        <v>IVÁN</v>
      </c>
      <c r="E97" s="29" t="str">
        <f>IF(IFERROR(VLOOKUP(A97,$A$10:$I96,1,0),0)=0,"",VLOOKUP(A97,$A$10:$I96,5,0))</f>
        <v>GAJARDO</v>
      </c>
      <c r="F97" s="29" t="str">
        <f>IF(IFERROR(VLOOKUP(A97,$A$10:$I96,1,0),0)=0,"",VLOOKUP(A97,$A$10:$I96,6,0))</f>
        <v>GUTIÉRREZ</v>
      </c>
      <c r="G97" s="49">
        <f>IF(IFERROR(VLOOKUP(A97,$A$10:$I96,1,0),0)=0,"",VLOOKUP(A97,$A$10:$I96,7,0))</f>
        <v>45596</v>
      </c>
      <c r="H97" s="29"/>
      <c r="I97" s="29"/>
      <c r="J97" s="29" t="s">
        <v>19</v>
      </c>
      <c r="K97" s="24" t="s">
        <v>55</v>
      </c>
      <c r="L97" s="49">
        <v>45597</v>
      </c>
      <c r="M97" s="49">
        <v>45605</v>
      </c>
      <c r="N97" s="34">
        <f t="shared" si="6"/>
        <v>8</v>
      </c>
      <c r="O97" s="29"/>
      <c r="P97" s="29"/>
      <c r="Q97" t="s">
        <v>88</v>
      </c>
      <c r="R97" t="s">
        <v>88</v>
      </c>
      <c r="S97" t="s">
        <v>88</v>
      </c>
      <c r="T97" t="s">
        <v>88</v>
      </c>
      <c r="U97" t="s">
        <v>88</v>
      </c>
      <c r="V97" t="s">
        <v>20</v>
      </c>
    </row>
    <row r="98" spans="1:22" x14ac:dyDescent="0.45">
      <c r="A98" s="79">
        <v>65132559</v>
      </c>
      <c r="B98" s="29" t="str">
        <f t="shared" si="5"/>
        <v>6.513.255-9</v>
      </c>
      <c r="C98" s="22" t="s">
        <v>30</v>
      </c>
      <c r="D98" s="29" t="s">
        <v>1015</v>
      </c>
      <c r="E98" s="29" t="s">
        <v>559</v>
      </c>
      <c r="F98" s="29" t="s">
        <v>1094</v>
      </c>
      <c r="G98" s="49">
        <v>45600</v>
      </c>
      <c r="H98" s="49">
        <v>45602</v>
      </c>
      <c r="I98" s="29"/>
      <c r="J98" s="29" t="s">
        <v>24</v>
      </c>
      <c r="K98" s="24" t="s">
        <v>43</v>
      </c>
      <c r="L98" s="49">
        <v>45600</v>
      </c>
      <c r="M98" s="49">
        <v>45602</v>
      </c>
      <c r="N98" s="34">
        <f t="shared" si="6"/>
        <v>2</v>
      </c>
      <c r="O98" s="29"/>
      <c r="P98" s="29"/>
      <c r="Q98" t="s">
        <v>88</v>
      </c>
      <c r="R98" t="s">
        <v>88</v>
      </c>
      <c r="S98" t="s">
        <v>88</v>
      </c>
      <c r="T98" t="s">
        <v>88</v>
      </c>
      <c r="U98" t="s">
        <v>88</v>
      </c>
      <c r="V98" t="s">
        <v>20</v>
      </c>
    </row>
    <row r="99" spans="1:22" x14ac:dyDescent="0.45">
      <c r="A99" s="79">
        <v>122053954</v>
      </c>
      <c r="B99" s="29" t="str">
        <f t="shared" si="5"/>
        <v>12.205.395-4</v>
      </c>
      <c r="C99" s="22" t="s">
        <v>30</v>
      </c>
      <c r="D99" s="29" t="s">
        <v>481</v>
      </c>
      <c r="E99" s="29" t="s">
        <v>496</v>
      </c>
      <c r="F99" s="29" t="s">
        <v>1571</v>
      </c>
      <c r="G99" s="49">
        <v>45600</v>
      </c>
      <c r="H99" s="49">
        <v>45602</v>
      </c>
      <c r="I99" s="29"/>
      <c r="J99" s="29" t="s">
        <v>24</v>
      </c>
      <c r="K99" s="24" t="s">
        <v>43</v>
      </c>
      <c r="L99" s="49">
        <v>45600</v>
      </c>
      <c r="M99" s="49">
        <v>45602</v>
      </c>
      <c r="N99" s="34">
        <f t="shared" si="6"/>
        <v>2</v>
      </c>
      <c r="O99" s="29"/>
      <c r="P99" s="29"/>
      <c r="Q99" t="s">
        <v>88</v>
      </c>
      <c r="R99" t="s">
        <v>88</v>
      </c>
      <c r="S99" t="s">
        <v>88</v>
      </c>
      <c r="T99" t="s">
        <v>88</v>
      </c>
      <c r="U99" t="s">
        <v>88</v>
      </c>
      <c r="V99" t="s">
        <v>20</v>
      </c>
    </row>
    <row r="100" spans="1:22" x14ac:dyDescent="0.45">
      <c r="A100" s="79">
        <v>60902011</v>
      </c>
      <c r="B100" s="29" t="str">
        <f t="shared" si="5"/>
        <v>6.090.201-1</v>
      </c>
      <c r="C100" s="22" t="s">
        <v>30</v>
      </c>
      <c r="D100" s="29" t="s">
        <v>348</v>
      </c>
      <c r="E100" s="29" t="s">
        <v>375</v>
      </c>
      <c r="F100" s="29" t="s">
        <v>646</v>
      </c>
      <c r="G100" s="49">
        <v>45608</v>
      </c>
      <c r="H100" s="49">
        <v>45615</v>
      </c>
      <c r="I100" s="29"/>
      <c r="J100" s="29"/>
      <c r="K100" s="24" t="s">
        <v>43</v>
      </c>
      <c r="L100" s="49">
        <v>45608</v>
      </c>
      <c r="M100" s="49">
        <v>45615</v>
      </c>
      <c r="N100" s="34">
        <f t="shared" si="6"/>
        <v>7</v>
      </c>
      <c r="O100" s="29"/>
      <c r="P100" s="29"/>
      <c r="Q100" t="s">
        <v>88</v>
      </c>
      <c r="R100" t="s">
        <v>88</v>
      </c>
      <c r="S100" t="s">
        <v>88</v>
      </c>
      <c r="T100" t="s">
        <v>88</v>
      </c>
      <c r="U100" t="s">
        <v>88</v>
      </c>
      <c r="V100" t="s">
        <v>20</v>
      </c>
    </row>
    <row r="101" spans="1:22" x14ac:dyDescent="0.45">
      <c r="A101" s="79">
        <v>60902011</v>
      </c>
      <c r="B101" s="29" t="str">
        <f t="shared" si="5"/>
        <v>6.090.201-1</v>
      </c>
      <c r="C101" s="22" t="str">
        <f>IF(IFERROR(VLOOKUP(A101,$A$10:$I100,1,0),0)=0,"",VLOOKUP(A101,$A$10:$I100,3,0))</f>
        <v>UCO</v>
      </c>
      <c r="D101" s="29" t="str">
        <f>IF(IFERROR(VLOOKUP(A101,$A$10:$I100,1,0),0)=0,"",VLOOKUP(A101,$A$10:$I100,4,0))</f>
        <v>MARIA</v>
      </c>
      <c r="E101" s="29" t="str">
        <f>IF(IFERROR(VLOOKUP(A101,$A$10:$I100,1,0),0)=0,"",VLOOKUP(A101,$A$10:$I100,5,0))</f>
        <v>CASTILLO</v>
      </c>
      <c r="F101" s="29" t="str">
        <f>IF(IFERROR(VLOOKUP(A101,$A$10:$I100,1,0),0)=0,"",VLOOKUP(A101,$A$10:$I100,6,0))</f>
        <v>ARRIAGADA</v>
      </c>
      <c r="G101" s="49">
        <f>IF(IFERROR(VLOOKUP(A101,$A$10:$I100,1,0),0)=0,"",VLOOKUP(A101,$A$10:$I100,7,0))</f>
        <v>45608</v>
      </c>
      <c r="H101" s="29"/>
      <c r="I101" s="29"/>
      <c r="J101" s="29"/>
      <c r="K101" s="24" t="s">
        <v>47</v>
      </c>
      <c r="L101" s="49">
        <v>45608</v>
      </c>
      <c r="M101" s="49">
        <v>45615</v>
      </c>
      <c r="N101" s="34">
        <f t="shared" si="6"/>
        <v>7</v>
      </c>
      <c r="O101" s="29"/>
      <c r="P101" s="29"/>
      <c r="Q101" t="s">
        <v>88</v>
      </c>
      <c r="R101" t="s">
        <v>88</v>
      </c>
      <c r="S101" t="s">
        <v>88</v>
      </c>
      <c r="T101" t="s">
        <v>88</v>
      </c>
      <c r="U101" t="s">
        <v>88</v>
      </c>
      <c r="V101" t="s">
        <v>20</v>
      </c>
    </row>
    <row r="102" spans="1:22" x14ac:dyDescent="0.45">
      <c r="A102" s="79">
        <v>59592157</v>
      </c>
      <c r="B102" s="29" t="str">
        <f t="shared" si="5"/>
        <v>5.959.215-7</v>
      </c>
      <c r="C102" s="22" t="s">
        <v>30</v>
      </c>
      <c r="D102" s="29" t="s">
        <v>1572</v>
      </c>
      <c r="E102" s="29" t="s">
        <v>314</v>
      </c>
      <c r="F102" s="29" t="s">
        <v>632</v>
      </c>
      <c r="G102" s="49">
        <v>45607</v>
      </c>
      <c r="H102" s="49">
        <v>45610</v>
      </c>
      <c r="I102" s="29"/>
      <c r="J102" s="29"/>
      <c r="K102" s="24" t="s">
        <v>43</v>
      </c>
      <c r="L102" s="49">
        <v>45607</v>
      </c>
      <c r="M102" s="49">
        <v>45610</v>
      </c>
      <c r="N102" s="34">
        <f t="shared" si="6"/>
        <v>3</v>
      </c>
      <c r="O102" s="29"/>
      <c r="P102" s="29"/>
      <c r="Q102" t="s">
        <v>88</v>
      </c>
      <c r="R102" t="s">
        <v>88</v>
      </c>
      <c r="S102" t="s">
        <v>88</v>
      </c>
      <c r="T102" t="s">
        <v>88</v>
      </c>
      <c r="U102" t="s">
        <v>88</v>
      </c>
      <c r="V102" t="s">
        <v>20</v>
      </c>
    </row>
    <row r="103" spans="1:22" x14ac:dyDescent="0.45">
      <c r="A103" s="79">
        <v>144041410</v>
      </c>
      <c r="B103" s="29" t="str">
        <f t="shared" si="5"/>
        <v>14.404.141-0</v>
      </c>
      <c r="C103" s="22" t="s">
        <v>30</v>
      </c>
      <c r="D103" s="29" t="s">
        <v>638</v>
      </c>
      <c r="E103" s="29" t="s">
        <v>1018</v>
      </c>
      <c r="F103" s="29" t="s">
        <v>625</v>
      </c>
      <c r="G103" s="49">
        <v>45607</v>
      </c>
      <c r="H103" s="49">
        <v>45609</v>
      </c>
      <c r="I103" s="29"/>
      <c r="J103" s="29"/>
      <c r="K103" s="24" t="s">
        <v>43</v>
      </c>
      <c r="L103" s="49">
        <v>45607</v>
      </c>
      <c r="M103" s="49">
        <v>45609</v>
      </c>
      <c r="N103" s="34">
        <f t="shared" si="6"/>
        <v>2</v>
      </c>
      <c r="O103" s="29"/>
      <c r="P103" s="29"/>
      <c r="Q103" t="s">
        <v>88</v>
      </c>
      <c r="R103" t="s">
        <v>88</v>
      </c>
      <c r="S103" t="s">
        <v>88</v>
      </c>
      <c r="T103" t="s">
        <v>88</v>
      </c>
      <c r="U103" t="s">
        <v>88</v>
      </c>
      <c r="V103" t="s">
        <v>20</v>
      </c>
    </row>
    <row r="104" spans="1:22" x14ac:dyDescent="0.45">
      <c r="A104" s="79">
        <v>59592157</v>
      </c>
      <c r="B104" s="29" t="str">
        <f t="shared" ref="B104:B111" si="7">IF(LEN(A104)=8,MID(A104,1,1)&amp;"."&amp;MID(A104,2,3)&amp;"."&amp;MID(A104,5,3)&amp;"-"&amp;RIGHT(A104,1),IF(LEFT(RIGHT(A104,2),1)="-",MID(A104,1,1)&amp;"."&amp;MID(A104,2,3)&amp;"."&amp;MID(A104,5,3)&amp;"-"&amp;RIGHT(A104,1),MID(A104,1,2)&amp;"."&amp;MID(A104,3,3)&amp;"."&amp;MID(A104,6,3)&amp;"-"&amp;MID(A104,9,1)))</f>
        <v>5.959.215-7</v>
      </c>
      <c r="C104" s="22" t="str">
        <f>IF(IFERROR(VLOOKUP(A104,$A$10:$I103,1,0),0)=0,"",VLOOKUP(A104,$A$10:$I103,3,0))</f>
        <v>UCO</v>
      </c>
      <c r="D104" s="29" t="str">
        <f>IF(IFERROR(VLOOKUP(A104,$A$10:$I103,1,0),0)=0,"",VLOOKUP(A104,$A$10:$I103,4,0))</f>
        <v>GASTON</v>
      </c>
      <c r="E104" s="29" t="str">
        <f>IF(IFERROR(VLOOKUP(A104,$A$10:$I103,1,0),0)=0,"",VLOOKUP(A104,$A$10:$I103,5,0))</f>
        <v>VILLARROEL</v>
      </c>
      <c r="F104" s="29" t="str">
        <f>IF(IFERROR(VLOOKUP(A104,$A$10:$I103,1,0),0)=0,"",VLOOKUP(A104,$A$10:$I103,6,0))</f>
        <v>ROA</v>
      </c>
      <c r="G104" s="49">
        <f>IF(IFERROR(VLOOKUP(A104,$A$10:$I103,1,0),0)=0,"",VLOOKUP(A104,$A$10:$I103,7,0))</f>
        <v>45607</v>
      </c>
      <c r="H104" s="49">
        <v>45610</v>
      </c>
      <c r="I104" s="29"/>
      <c r="J104" s="29"/>
      <c r="K104" s="24" t="s">
        <v>47</v>
      </c>
      <c r="L104" s="49">
        <v>45607</v>
      </c>
      <c r="M104" s="49">
        <v>45610</v>
      </c>
      <c r="N104" s="34">
        <f t="shared" si="6"/>
        <v>3</v>
      </c>
      <c r="O104" s="29"/>
      <c r="P104" s="29"/>
      <c r="Q104" t="s">
        <v>88</v>
      </c>
      <c r="R104" t="s">
        <v>88</v>
      </c>
      <c r="S104" t="s">
        <v>88</v>
      </c>
      <c r="T104" t="s">
        <v>88</v>
      </c>
      <c r="U104" t="s">
        <v>88</v>
      </c>
      <c r="V104" t="s">
        <v>20</v>
      </c>
    </row>
    <row r="105" spans="1:22" x14ac:dyDescent="0.45">
      <c r="A105" s="79">
        <v>95530273</v>
      </c>
      <c r="B105" s="29" t="str">
        <f t="shared" si="7"/>
        <v>9.553.027-3</v>
      </c>
      <c r="C105" s="22" t="s">
        <v>30</v>
      </c>
      <c r="D105" s="29" t="s">
        <v>250</v>
      </c>
      <c r="E105" s="29" t="s">
        <v>788</v>
      </c>
      <c r="F105" s="29" t="s">
        <v>507</v>
      </c>
      <c r="G105" s="49">
        <v>45608</v>
      </c>
      <c r="H105" s="49">
        <v>45611</v>
      </c>
      <c r="I105" s="29"/>
      <c r="J105" s="29"/>
      <c r="K105" s="24" t="s">
        <v>43</v>
      </c>
      <c r="L105" s="49">
        <v>45608</v>
      </c>
      <c r="M105" s="49">
        <v>45611</v>
      </c>
      <c r="N105" s="34">
        <f t="shared" si="6"/>
        <v>3</v>
      </c>
      <c r="O105" s="29"/>
      <c r="P105" s="29"/>
      <c r="Q105" t="s">
        <v>88</v>
      </c>
      <c r="R105" t="s">
        <v>88</v>
      </c>
      <c r="S105" t="s">
        <v>88</v>
      </c>
      <c r="T105" t="s">
        <v>88</v>
      </c>
      <c r="U105" t="s">
        <v>88</v>
      </c>
      <c r="V105" t="s">
        <v>20</v>
      </c>
    </row>
    <row r="106" spans="1:22" x14ac:dyDescent="0.45">
      <c r="A106" s="79">
        <v>95530273</v>
      </c>
      <c r="B106" s="29" t="str">
        <f t="shared" si="7"/>
        <v>9.553.027-3</v>
      </c>
      <c r="C106" s="22" t="str">
        <f>IF(IFERROR(VLOOKUP(A106,$A$10:$I105,1,0),0)=0,"",VLOOKUP(A106,$A$10:$I105,3,0))</f>
        <v>UCO</v>
      </c>
      <c r="D106" s="29" t="str">
        <f>IF(IFERROR(VLOOKUP(A106,$A$10:$I105,1,0),0)=0,"",VLOOKUP(A106,$A$10:$I105,4,0))</f>
        <v>JOSE</v>
      </c>
      <c r="E106" s="29" t="str">
        <f>IF(IFERROR(VLOOKUP(A106,$A$10:$I105,1,0),0)=0,"",VLOOKUP(A106,$A$10:$I105,5,0))</f>
        <v>SANCHEZ</v>
      </c>
      <c r="F106" s="29" t="str">
        <f>IF(IFERROR(VLOOKUP(A106,$A$10:$I105,1,0),0)=0,"",VLOOKUP(A106,$A$10:$I105,6,0))</f>
        <v>CAMPOS</v>
      </c>
      <c r="G106" s="49">
        <f>IF(IFERROR(VLOOKUP(A106,$A$10:$I105,1,0),0)=0,"",VLOOKUP(A106,$A$10:$I105,7,0))</f>
        <v>45608</v>
      </c>
      <c r="H106" s="29"/>
      <c r="I106" s="29"/>
      <c r="J106" s="29"/>
      <c r="K106" s="24" t="s">
        <v>47</v>
      </c>
      <c r="L106" s="49">
        <v>45608</v>
      </c>
      <c r="M106" s="49">
        <v>45611</v>
      </c>
      <c r="N106" s="34">
        <f t="shared" si="6"/>
        <v>3</v>
      </c>
      <c r="O106" s="29"/>
      <c r="P106" s="29"/>
      <c r="Q106" t="s">
        <v>88</v>
      </c>
      <c r="R106" t="s">
        <v>88</v>
      </c>
      <c r="S106" t="s">
        <v>88</v>
      </c>
      <c r="T106" t="s">
        <v>88</v>
      </c>
      <c r="U106" t="s">
        <v>88</v>
      </c>
      <c r="V106" t="s">
        <v>20</v>
      </c>
    </row>
    <row r="107" spans="1:22" x14ac:dyDescent="0.45">
      <c r="A107" s="79">
        <v>99313420</v>
      </c>
      <c r="B107" s="29" t="str">
        <f t="shared" si="7"/>
        <v>9.931.342-0</v>
      </c>
      <c r="C107" s="22" t="s">
        <v>30</v>
      </c>
      <c r="D107" s="29" t="s">
        <v>386</v>
      </c>
      <c r="E107" s="29" t="s">
        <v>532</v>
      </c>
      <c r="F107" s="29" t="s">
        <v>341</v>
      </c>
      <c r="G107" s="49">
        <v>45601</v>
      </c>
      <c r="H107" s="49">
        <v>45619</v>
      </c>
      <c r="I107" s="29"/>
      <c r="J107" s="29" t="s">
        <v>26</v>
      </c>
      <c r="K107" s="24" t="s">
        <v>43</v>
      </c>
      <c r="L107" s="49">
        <v>45601</v>
      </c>
      <c r="M107" s="49">
        <v>45619</v>
      </c>
      <c r="N107" s="34">
        <f t="shared" si="6"/>
        <v>18</v>
      </c>
      <c r="O107" s="29"/>
      <c r="P107" s="29"/>
      <c r="Q107" t="s">
        <v>88</v>
      </c>
      <c r="R107" t="s">
        <v>88</v>
      </c>
      <c r="S107" t="s">
        <v>88</v>
      </c>
      <c r="T107" t="s">
        <v>88</v>
      </c>
      <c r="U107" t="s">
        <v>88</v>
      </c>
      <c r="V107" t="s">
        <v>20</v>
      </c>
    </row>
    <row r="108" spans="1:22" x14ac:dyDescent="0.45">
      <c r="A108" s="79">
        <v>99313420</v>
      </c>
      <c r="B108" s="29" t="str">
        <f t="shared" si="7"/>
        <v>9.931.342-0</v>
      </c>
      <c r="C108" s="22" t="str">
        <f>IF(IFERROR(VLOOKUP(A108,$A$10:$I107,1,0),0)=0,"",VLOOKUP(A108,$A$10:$I107,3,0))</f>
        <v>UCO</v>
      </c>
      <c r="D108" s="29" t="str">
        <f>IF(IFERROR(VLOOKUP(A108,$A$10:$I107,1,0),0)=0,"",VLOOKUP(A108,$A$10:$I107,4,0))</f>
        <v>OLGA</v>
      </c>
      <c r="E108" s="29" t="str">
        <f>IF(IFERROR(VLOOKUP(A108,$A$10:$I107,1,0),0)=0,"",VLOOKUP(A108,$A$10:$I107,5,0))</f>
        <v>GRANDON</v>
      </c>
      <c r="F108" s="29" t="str">
        <f>IF(IFERROR(VLOOKUP(A108,$A$10:$I107,1,0),0)=0,"",VLOOKUP(A108,$A$10:$I107,6,0))</f>
        <v>LAGOS</v>
      </c>
      <c r="G108" s="49">
        <f>IF(IFERROR(VLOOKUP(A108,$A$10:$I107,1,0),0)=0,"",VLOOKUP(A108,$A$10:$I107,7,0))</f>
        <v>45601</v>
      </c>
      <c r="H108" s="29"/>
      <c r="I108" s="29"/>
      <c r="J108" s="29"/>
      <c r="K108" s="24" t="s">
        <v>47</v>
      </c>
      <c r="L108" s="49">
        <v>45601</v>
      </c>
      <c r="M108" s="49">
        <v>45619</v>
      </c>
      <c r="N108" s="34">
        <f t="shared" si="6"/>
        <v>18</v>
      </c>
      <c r="O108" s="29"/>
      <c r="P108" s="29"/>
      <c r="Q108" t="s">
        <v>88</v>
      </c>
      <c r="R108" t="s">
        <v>88</v>
      </c>
      <c r="S108" t="s">
        <v>88</v>
      </c>
      <c r="T108" t="s">
        <v>88</v>
      </c>
      <c r="U108" t="s">
        <v>88</v>
      </c>
      <c r="V108" t="s">
        <v>20</v>
      </c>
    </row>
    <row r="109" spans="1:22" x14ac:dyDescent="0.45">
      <c r="A109" s="79">
        <v>99313420</v>
      </c>
      <c r="B109" s="29" t="str">
        <f t="shared" si="7"/>
        <v>9.931.342-0</v>
      </c>
      <c r="C109" s="22" t="str">
        <f>IF(IFERROR(VLOOKUP(A109,$A$10:$I108,1,0),0)=0,"",VLOOKUP(A109,$A$10:$I108,3,0))</f>
        <v>UCO</v>
      </c>
      <c r="D109" s="29" t="str">
        <f>IF(IFERROR(VLOOKUP(A109,$A$10:$I108,1,0),0)=0,"",VLOOKUP(A109,$A$10:$I108,4,0))</f>
        <v>OLGA</v>
      </c>
      <c r="E109" s="29" t="str">
        <f>IF(IFERROR(VLOOKUP(A109,$A$10:$I108,1,0),0)=0,"",VLOOKUP(A109,$A$10:$I108,5,0))</f>
        <v>GRANDON</v>
      </c>
      <c r="F109" s="29" t="str">
        <f>IF(IFERROR(VLOOKUP(A109,$A$10:$I108,1,0),0)=0,"",VLOOKUP(A109,$A$10:$I108,6,0))</f>
        <v>LAGOS</v>
      </c>
      <c r="G109" s="49">
        <f>IF(IFERROR(VLOOKUP(A109,$A$10:$I108,1,0),0)=0,"",VLOOKUP(A109,$A$10:$I108,7,0))</f>
        <v>45601</v>
      </c>
      <c r="H109" s="29"/>
      <c r="I109" s="29"/>
      <c r="J109" s="29"/>
      <c r="K109" s="24" t="s">
        <v>55</v>
      </c>
      <c r="L109" s="49">
        <v>45601</v>
      </c>
      <c r="M109" s="49">
        <v>45610</v>
      </c>
      <c r="N109" s="34">
        <f t="shared" si="6"/>
        <v>9</v>
      </c>
      <c r="O109" s="29"/>
      <c r="P109" s="29"/>
      <c r="Q109" t="s">
        <v>88</v>
      </c>
      <c r="R109" t="s">
        <v>88</v>
      </c>
      <c r="S109" t="s">
        <v>88</v>
      </c>
      <c r="T109" t="s">
        <v>88</v>
      </c>
      <c r="U109" t="s">
        <v>88</v>
      </c>
      <c r="V109" t="s">
        <v>20</v>
      </c>
    </row>
    <row r="110" spans="1:22" x14ac:dyDescent="0.45">
      <c r="A110" s="79">
        <v>285726530</v>
      </c>
      <c r="B110" s="29" t="str">
        <f t="shared" si="7"/>
        <v>28.572.653-0</v>
      </c>
      <c r="C110" s="22" t="s">
        <v>16</v>
      </c>
      <c r="D110" s="29" t="s">
        <v>1510</v>
      </c>
      <c r="E110" s="29" t="s">
        <v>723</v>
      </c>
      <c r="F110" s="29" t="s">
        <v>768</v>
      </c>
      <c r="G110" s="49">
        <v>45586</v>
      </c>
      <c r="H110" s="29"/>
      <c r="I110" s="29"/>
      <c r="J110" s="29"/>
      <c r="K110" s="24" t="s">
        <v>18</v>
      </c>
      <c r="L110" s="49">
        <v>45597</v>
      </c>
      <c r="M110" s="49">
        <v>45607</v>
      </c>
      <c r="N110" s="34">
        <f t="shared" si="6"/>
        <v>10</v>
      </c>
      <c r="O110" s="29"/>
      <c r="P110" s="29" t="s">
        <v>14</v>
      </c>
      <c r="Q110" t="s">
        <v>88</v>
      </c>
      <c r="R110" t="s">
        <v>88</v>
      </c>
      <c r="S110" t="s">
        <v>88</v>
      </c>
      <c r="T110" t="s">
        <v>88</v>
      </c>
      <c r="U110" t="s">
        <v>88</v>
      </c>
      <c r="V110" t="s">
        <v>20</v>
      </c>
    </row>
    <row r="111" spans="1:22" x14ac:dyDescent="0.45">
      <c r="A111" s="79">
        <v>285726530</v>
      </c>
      <c r="B111" s="29" t="str">
        <f t="shared" si="7"/>
        <v>28.572.653-0</v>
      </c>
      <c r="C111" s="22" t="str">
        <f>IF(IFERROR(VLOOKUP(A111,$A$10:$I110,1,0),0)=0,"",VLOOKUP(A111,$A$10:$I110,3,0))</f>
        <v>UCI neonatal</v>
      </c>
      <c r="D111" s="29" t="str">
        <f>IF(IFERROR(VLOOKUP(A111,$A$10:$I110,1,0),0)=0,"",VLOOKUP(A111,$A$10:$I110,4,0))</f>
        <v>KEVIN</v>
      </c>
      <c r="E111" s="29" t="str">
        <f>IF(IFERROR(VLOOKUP(A111,$A$10:$I110,1,0),0)=0,"",VLOOKUP(A111,$A$10:$I110,5,0))</f>
        <v>PALMA</v>
      </c>
      <c r="F111" s="29" t="str">
        <f>IF(IFERROR(VLOOKUP(A111,$A$10:$I110,1,0),0)=0,"",VLOOKUP(A111,$A$10:$I110,6,0))</f>
        <v>SUAZO</v>
      </c>
      <c r="G111" s="49">
        <f>IF(IFERROR(VLOOKUP(A111,$A$10:$I110,1,0),0)=0,"",VLOOKUP(A111,$A$10:$I110,7,0))</f>
        <v>45586</v>
      </c>
      <c r="H111" s="29"/>
      <c r="I111" s="29"/>
      <c r="J111" s="29"/>
      <c r="K111" s="24" t="s">
        <v>55</v>
      </c>
      <c r="L111" s="49">
        <v>45597</v>
      </c>
      <c r="M111" s="49">
        <v>45611</v>
      </c>
      <c r="N111" s="34">
        <f t="shared" si="6"/>
        <v>14</v>
      </c>
      <c r="O111" s="29"/>
      <c r="P111" s="29"/>
      <c r="Q111" t="s">
        <v>88</v>
      </c>
      <c r="R111" t="s">
        <v>88</v>
      </c>
      <c r="S111" t="s">
        <v>88</v>
      </c>
      <c r="T111" t="s">
        <v>88</v>
      </c>
      <c r="U111" t="s">
        <v>88</v>
      </c>
      <c r="V111" t="s">
        <v>20</v>
      </c>
    </row>
    <row r="112" spans="1:22" x14ac:dyDescent="0.45">
      <c r="A112" s="79">
        <v>284458796</v>
      </c>
      <c r="B112" s="29" t="s">
        <v>1216</v>
      </c>
      <c r="C112" s="22" t="s">
        <v>10</v>
      </c>
      <c r="D112" s="29" t="s">
        <v>524</v>
      </c>
      <c r="E112" s="29" t="s">
        <v>461</v>
      </c>
      <c r="F112" s="29" t="s">
        <v>1115</v>
      </c>
      <c r="G112" s="49">
        <v>45531</v>
      </c>
      <c r="H112" s="29"/>
      <c r="I112" s="29"/>
      <c r="J112" s="29"/>
      <c r="K112" s="24" t="s">
        <v>43</v>
      </c>
      <c r="L112" s="49">
        <v>45597</v>
      </c>
      <c r="M112" s="49">
        <v>45626</v>
      </c>
      <c r="N112" s="34">
        <f t="shared" si="6"/>
        <v>29</v>
      </c>
      <c r="O112" s="29"/>
      <c r="P112" s="29" t="s">
        <v>14</v>
      </c>
      <c r="Q112" t="s">
        <v>88</v>
      </c>
      <c r="R112" t="s">
        <v>88</v>
      </c>
      <c r="S112" t="s">
        <v>88</v>
      </c>
      <c r="T112" t="s">
        <v>88</v>
      </c>
      <c r="U112" t="s">
        <v>88</v>
      </c>
      <c r="V112" t="s">
        <v>20</v>
      </c>
    </row>
    <row r="113" spans="1:22" x14ac:dyDescent="0.45">
      <c r="A113" s="79">
        <v>284458796</v>
      </c>
      <c r="B113" s="29" t="str">
        <f>IF(LEN(A113)=8,MID(A113,1,1)&amp;"."&amp;MID(A113,2,3)&amp;"."&amp;MID(A113,5,3)&amp;"-"&amp;RIGHT(A113,1),IF(LEFT(RIGHT(A113,2),1)="-",MID(A113,1,1)&amp;"."&amp;MID(A113,2,3)&amp;"."&amp;MID(A113,5,3)&amp;"-"&amp;RIGHT(A113,1),MID(A113,1,2)&amp;"."&amp;MID(A113,3,3)&amp;"."&amp;MID(A113,6,3)&amp;"-"&amp;MID(A113,9,1)))</f>
        <v>28.445.879-6</v>
      </c>
      <c r="C113" s="22" t="str">
        <f>IF(IFERROR(VLOOKUP(A113,$A$10:$I112,1,0),0)=0,"",VLOOKUP(A113,$A$10:$I112,3,0))</f>
        <v>UCI infanto juvenil</v>
      </c>
      <c r="D113" s="29" t="str">
        <f>IF(IFERROR(VLOOKUP(A113,$A$10:$I112,1,0),0)=0,"",VLOOKUP(A113,$A$10:$I112,4,0))</f>
        <v>NICOLAS</v>
      </c>
      <c r="E113" s="29" t="str">
        <f>IF(IFERROR(VLOOKUP(A113,$A$10:$I112,1,0),0)=0,"",VLOOKUP(A113,$A$10:$I112,5,0))</f>
        <v>MEDINA</v>
      </c>
      <c r="F113" s="29" t="str">
        <f>IF(IFERROR(VLOOKUP(A113,$A$10:$I112,1,0),0)=0,"",VLOOKUP(A113,$A$10:$I112,6,0))</f>
        <v>LEPEZ</v>
      </c>
      <c r="G113" s="49">
        <f>IF(IFERROR(VLOOKUP(A113,$A$10:$I112,1,0),0)=0,"",VLOOKUP(A113,$A$10:$I112,7,0))</f>
        <v>45531</v>
      </c>
      <c r="H113" s="29"/>
      <c r="I113" s="29"/>
      <c r="J113" s="29"/>
      <c r="K113" s="24" t="s">
        <v>18</v>
      </c>
      <c r="L113" s="49">
        <v>45597</v>
      </c>
      <c r="M113" s="49">
        <v>45626</v>
      </c>
      <c r="N113" s="34">
        <f t="shared" si="6"/>
        <v>29</v>
      </c>
      <c r="O113" s="29"/>
      <c r="P113" s="29"/>
      <c r="Q113" t="s">
        <v>88</v>
      </c>
      <c r="R113" t="s">
        <v>88</v>
      </c>
      <c r="S113" t="s">
        <v>88</v>
      </c>
      <c r="T113" t="s">
        <v>88</v>
      </c>
      <c r="U113" t="s">
        <v>88</v>
      </c>
      <c r="V113" t="s">
        <v>20</v>
      </c>
    </row>
    <row r="114" spans="1:22" x14ac:dyDescent="0.45">
      <c r="A114" s="79">
        <v>285561434</v>
      </c>
      <c r="B114" s="29" t="s">
        <v>1573</v>
      </c>
      <c r="C114" s="22" t="s">
        <v>10</v>
      </c>
      <c r="D114" s="29" t="s">
        <v>1501</v>
      </c>
      <c r="E114" s="29" t="s">
        <v>241</v>
      </c>
      <c r="F114" s="29" t="s">
        <v>747</v>
      </c>
      <c r="G114" s="49">
        <v>45572</v>
      </c>
      <c r="H114" s="29"/>
      <c r="I114" s="29"/>
      <c r="J114" s="29"/>
      <c r="K114" s="24" t="s">
        <v>18</v>
      </c>
      <c r="L114" s="49">
        <v>45597</v>
      </c>
      <c r="M114" s="49">
        <v>45618</v>
      </c>
      <c r="N114" s="34">
        <f t="shared" si="6"/>
        <v>21</v>
      </c>
      <c r="O114" s="29"/>
      <c r="P114" s="29"/>
      <c r="Q114" t="s">
        <v>88</v>
      </c>
      <c r="R114" t="s">
        <v>88</v>
      </c>
      <c r="S114" t="s">
        <v>88</v>
      </c>
      <c r="T114" t="s">
        <v>88</v>
      </c>
      <c r="U114" t="s">
        <v>88</v>
      </c>
      <c r="V114" t="s">
        <v>20</v>
      </c>
    </row>
    <row r="115" spans="1:22" x14ac:dyDescent="0.45">
      <c r="A115" s="79">
        <v>75394810</v>
      </c>
      <c r="B115" s="29" t="str">
        <f t="shared" ref="B115:B146" si="8">IF(LEN(A115)=8,MID(A115,1,1)&amp;"."&amp;MID(A115,2,3)&amp;"."&amp;MID(A115,5,3)&amp;"-"&amp;RIGHT(A115,1),IF(LEFT(RIGHT(A115,2),1)="-",MID(A115,1,1)&amp;"."&amp;MID(A115,2,3)&amp;"."&amp;MID(A115,5,3)&amp;"-"&amp;RIGHT(A115,1),MID(A115,1,2)&amp;"."&amp;MID(A115,3,3)&amp;"."&amp;MID(A115,6,3)&amp;"-"&amp;MID(A115,9,1)))</f>
        <v>7.539.481-0</v>
      </c>
      <c r="C115" s="22" t="s">
        <v>22</v>
      </c>
      <c r="D115" s="29" t="s">
        <v>1574</v>
      </c>
      <c r="E115" s="29" t="s">
        <v>1575</v>
      </c>
      <c r="F115" s="29" t="s">
        <v>486</v>
      </c>
      <c r="G115" s="49">
        <v>45610</v>
      </c>
      <c r="H115" s="49">
        <v>45615</v>
      </c>
      <c r="I115" s="29"/>
      <c r="J115" s="29" t="s">
        <v>22</v>
      </c>
      <c r="K115" s="24" t="s">
        <v>43</v>
      </c>
      <c r="L115" s="49">
        <v>45610</v>
      </c>
      <c r="M115" s="49">
        <v>45615</v>
      </c>
      <c r="N115" s="34">
        <f t="shared" si="6"/>
        <v>5</v>
      </c>
      <c r="O115" s="29"/>
      <c r="P115" s="29"/>
      <c r="Q115" t="s">
        <v>96</v>
      </c>
      <c r="R115" t="s">
        <v>88</v>
      </c>
      <c r="S115" t="s">
        <v>88</v>
      </c>
      <c r="T115" t="s">
        <v>88</v>
      </c>
      <c r="U115" t="s">
        <v>88</v>
      </c>
      <c r="V115" t="s">
        <v>14</v>
      </c>
    </row>
    <row r="116" spans="1:22" x14ac:dyDescent="0.45">
      <c r="A116" s="79">
        <v>75394810</v>
      </c>
      <c r="B116" s="29" t="str">
        <f t="shared" si="8"/>
        <v>7.539.481-0</v>
      </c>
      <c r="C116" s="22" t="str">
        <f>IF(IFERROR(VLOOKUP(A116,$A$10:$I115,1,0),0)=0,"",VLOOKUP(A116,$A$10:$I115,3,0))</f>
        <v>UCI</v>
      </c>
      <c r="D116" s="29" t="str">
        <f>IF(IFERROR(VLOOKUP(A116,$A$10:$I115,1,0),0)=0,"",VLOOKUP(A116,$A$10:$I115,4,0))</f>
        <v>ADÁN</v>
      </c>
      <c r="E116" s="29" t="str">
        <f>IF(IFERROR(VLOOKUP(A116,$A$10:$I115,1,0),0)=0,"",VLOOKUP(A116,$A$10:$I115,5,0))</f>
        <v>FICA</v>
      </c>
      <c r="F116" s="29" t="str">
        <f>IF(IFERROR(VLOOKUP(A116,$A$10:$I115,1,0),0)=0,"",VLOOKUP(A116,$A$10:$I115,6,0))</f>
        <v>CUEVAS</v>
      </c>
      <c r="G116" s="49">
        <f>IF(IFERROR(VLOOKUP(A116,$A$10:$I115,1,0),0)=0,"",VLOOKUP(A116,$A$10:$I115,7,0))</f>
        <v>45610</v>
      </c>
      <c r="H116" s="49">
        <v>45615</v>
      </c>
      <c r="I116" s="29"/>
      <c r="J116" s="29" t="s">
        <v>22</v>
      </c>
      <c r="K116" s="24" t="s">
        <v>47</v>
      </c>
      <c r="L116" s="49">
        <v>45610</v>
      </c>
      <c r="M116" s="49">
        <v>45615</v>
      </c>
      <c r="N116" s="34">
        <f t="shared" si="6"/>
        <v>5</v>
      </c>
      <c r="O116" s="29"/>
      <c r="P116" s="29"/>
      <c r="Q116" t="s">
        <v>88</v>
      </c>
      <c r="R116" t="s">
        <v>88</v>
      </c>
      <c r="S116" t="s">
        <v>88</v>
      </c>
      <c r="T116" t="s">
        <v>88</v>
      </c>
      <c r="U116" t="s">
        <v>88</v>
      </c>
      <c r="V116" t="s">
        <v>20</v>
      </c>
    </row>
    <row r="117" spans="1:22" x14ac:dyDescent="0.45">
      <c r="A117" s="79">
        <v>75394810</v>
      </c>
      <c r="B117" s="29" t="str">
        <f t="shared" si="8"/>
        <v>7.539.481-0</v>
      </c>
      <c r="C117" s="22" t="str">
        <f>IF(IFERROR(VLOOKUP(A117,$A$10:$I116,1,0),0)=0,"",VLOOKUP(A117,$A$10:$I116,3,0))</f>
        <v>UCI</v>
      </c>
      <c r="D117" s="29" t="str">
        <f>IF(IFERROR(VLOOKUP(A117,$A$10:$I116,1,0),0)=0,"",VLOOKUP(A117,$A$10:$I116,4,0))</f>
        <v>ADÁN</v>
      </c>
      <c r="E117" s="29" t="str">
        <f>IF(IFERROR(VLOOKUP(A117,$A$10:$I116,1,0),0)=0,"",VLOOKUP(A117,$A$10:$I116,5,0))</f>
        <v>FICA</v>
      </c>
      <c r="F117" s="29" t="str">
        <f>IF(IFERROR(VLOOKUP(A117,$A$10:$I116,1,0),0)=0,"",VLOOKUP(A117,$A$10:$I116,6,0))</f>
        <v>CUEVAS</v>
      </c>
      <c r="G117" s="49">
        <f>IF(IFERROR(VLOOKUP(A117,$A$10:$I116,1,0),0)=0,"",VLOOKUP(A117,$A$10:$I116,7,0))</f>
        <v>45610</v>
      </c>
      <c r="H117" s="49">
        <v>45615</v>
      </c>
      <c r="I117" s="29"/>
      <c r="J117" s="29" t="s">
        <v>22</v>
      </c>
      <c r="K117" s="24" t="s">
        <v>55</v>
      </c>
      <c r="L117" s="49">
        <v>45610</v>
      </c>
      <c r="M117" s="49">
        <v>45612</v>
      </c>
      <c r="N117" s="34">
        <f t="shared" si="6"/>
        <v>2</v>
      </c>
      <c r="O117" s="29"/>
      <c r="P117" s="29"/>
      <c r="Q117" t="s">
        <v>88</v>
      </c>
      <c r="R117" t="s">
        <v>88</v>
      </c>
      <c r="S117" t="s">
        <v>88</v>
      </c>
      <c r="T117" t="s">
        <v>88</v>
      </c>
      <c r="U117" t="s">
        <v>88</v>
      </c>
      <c r="V117" t="s">
        <v>20</v>
      </c>
    </row>
    <row r="118" spans="1:22" x14ac:dyDescent="0.45">
      <c r="A118" s="79">
        <v>75394810</v>
      </c>
      <c r="B118" s="29" t="str">
        <f t="shared" si="8"/>
        <v>7.539.481-0</v>
      </c>
      <c r="C118" s="22" t="s">
        <v>22</v>
      </c>
      <c r="D118" s="29" t="str">
        <f>IF(IFERROR(VLOOKUP(A118,$A$10:$I117,1,0),0)=0,"",VLOOKUP(A118,$A$10:$I117,4,0))</f>
        <v>ADÁN</v>
      </c>
      <c r="E118" s="29" t="str">
        <f>IF(IFERROR(VLOOKUP(A118,$A$10:$I117,1,0),0)=0,"",VLOOKUP(A118,$A$10:$I117,5,0))</f>
        <v>FICA</v>
      </c>
      <c r="F118" s="29" t="str">
        <f>IF(IFERROR(VLOOKUP(A118,$A$10:$I117,1,0),0)=0,"",VLOOKUP(A118,$A$10:$I117,6,0))</f>
        <v>CUEVAS</v>
      </c>
      <c r="G118" s="49">
        <v>45615</v>
      </c>
      <c r="H118" s="29"/>
      <c r="I118" s="29"/>
      <c r="J118" s="29"/>
      <c r="K118" s="24" t="s">
        <v>43</v>
      </c>
      <c r="L118" s="49">
        <v>45615</v>
      </c>
      <c r="M118" s="49">
        <v>45617</v>
      </c>
      <c r="N118" s="34">
        <f t="shared" si="6"/>
        <v>2</v>
      </c>
      <c r="O118" s="29"/>
      <c r="P118" s="29"/>
      <c r="Q118" t="s">
        <v>88</v>
      </c>
      <c r="R118" t="s">
        <v>88</v>
      </c>
      <c r="S118" t="s">
        <v>88</v>
      </c>
      <c r="T118" t="s">
        <v>88</v>
      </c>
      <c r="U118" t="s">
        <v>88</v>
      </c>
      <c r="V118" t="s">
        <v>20</v>
      </c>
    </row>
    <row r="119" spans="1:22" x14ac:dyDescent="0.45">
      <c r="A119" s="79">
        <v>75394810</v>
      </c>
      <c r="B119" s="29" t="str">
        <f t="shared" si="8"/>
        <v>7.539.481-0</v>
      </c>
      <c r="C119" s="22" t="s">
        <v>22</v>
      </c>
      <c r="D119" s="29" t="str">
        <f>IF(IFERROR(VLOOKUP(A119,$A$10:$I118,1,0),0)=0,"",VLOOKUP(A119,$A$10:$I118,4,0))</f>
        <v>ADÁN</v>
      </c>
      <c r="E119" s="29" t="str">
        <f>IF(IFERROR(VLOOKUP(A119,$A$10:$I118,1,0),0)=0,"",VLOOKUP(A119,$A$10:$I118,5,0))</f>
        <v>FICA</v>
      </c>
      <c r="F119" s="29" t="str">
        <f>IF(IFERROR(VLOOKUP(A119,$A$10:$I118,1,0),0)=0,"",VLOOKUP(A119,$A$10:$I118,6,0))</f>
        <v>CUEVAS</v>
      </c>
      <c r="G119" s="49">
        <v>45615</v>
      </c>
      <c r="H119" s="29"/>
      <c r="I119" s="29"/>
      <c r="J119" s="29" t="s">
        <v>26</v>
      </c>
      <c r="K119" s="24" t="s">
        <v>47</v>
      </c>
      <c r="L119" s="49">
        <v>45615</v>
      </c>
      <c r="M119" s="49">
        <v>45626</v>
      </c>
      <c r="N119" s="34">
        <f t="shared" si="6"/>
        <v>11</v>
      </c>
      <c r="O119" s="29"/>
      <c r="P119" s="29"/>
      <c r="Q119" t="s">
        <v>88</v>
      </c>
      <c r="R119" t="s">
        <v>88</v>
      </c>
      <c r="S119" t="s">
        <v>88</v>
      </c>
      <c r="T119" t="s">
        <v>88</v>
      </c>
      <c r="U119" t="s">
        <v>88</v>
      </c>
      <c r="V119" t="s">
        <v>20</v>
      </c>
    </row>
    <row r="120" spans="1:22" x14ac:dyDescent="0.45">
      <c r="A120" s="79">
        <v>75394810</v>
      </c>
      <c r="B120" s="29" t="str">
        <f t="shared" si="8"/>
        <v>7.539.481-0</v>
      </c>
      <c r="C120" s="22" t="s">
        <v>22</v>
      </c>
      <c r="D120" s="29" t="str">
        <f>IF(IFERROR(VLOOKUP(A120,$A$10:$I119,1,0),0)=0,"",VLOOKUP(A120,$A$10:$I119,4,0))</f>
        <v>ADÁN</v>
      </c>
      <c r="E120" s="29" t="str">
        <f>IF(IFERROR(VLOOKUP(A120,$A$10:$I119,1,0),0)=0,"",VLOOKUP(A120,$A$10:$I119,5,0))</f>
        <v>FICA</v>
      </c>
      <c r="F120" s="29" t="str">
        <f>IF(IFERROR(VLOOKUP(A120,$A$10:$I119,1,0),0)=0,"",VLOOKUP(A120,$A$10:$I119,6,0))</f>
        <v>CUEVAS</v>
      </c>
      <c r="G120" s="49">
        <v>45615</v>
      </c>
      <c r="H120" s="29"/>
      <c r="I120" s="29"/>
      <c r="J120" s="29" t="s">
        <v>26</v>
      </c>
      <c r="K120" s="24" t="s">
        <v>18</v>
      </c>
      <c r="L120" s="49">
        <v>45617</v>
      </c>
      <c r="M120" s="49">
        <v>45626</v>
      </c>
      <c r="N120" s="34">
        <f t="shared" si="6"/>
        <v>9</v>
      </c>
      <c r="O120" s="29"/>
      <c r="P120" s="29"/>
      <c r="Q120" t="s">
        <v>88</v>
      </c>
      <c r="R120" t="s">
        <v>88</v>
      </c>
      <c r="S120" t="s">
        <v>88</v>
      </c>
      <c r="T120" t="s">
        <v>88</v>
      </c>
      <c r="U120" t="s">
        <v>88</v>
      </c>
      <c r="V120" t="s">
        <v>20</v>
      </c>
    </row>
    <row r="121" spans="1:22" x14ac:dyDescent="0.45">
      <c r="A121" s="79">
        <v>61668969</v>
      </c>
      <c r="B121" s="29" t="str">
        <f t="shared" si="8"/>
        <v>6.166.896-9</v>
      </c>
      <c r="C121" s="22" t="s">
        <v>22</v>
      </c>
      <c r="D121" s="29" t="s">
        <v>250</v>
      </c>
      <c r="E121" s="29" t="s">
        <v>842</v>
      </c>
      <c r="F121" s="29" t="s">
        <v>253</v>
      </c>
      <c r="G121" s="49">
        <v>45609</v>
      </c>
      <c r="H121" s="49">
        <v>45614</v>
      </c>
      <c r="I121" s="29"/>
      <c r="J121" s="29" t="s">
        <v>24</v>
      </c>
      <c r="K121" s="24" t="s">
        <v>43</v>
      </c>
      <c r="L121" s="49">
        <v>45609</v>
      </c>
      <c r="M121" s="49">
        <v>45614</v>
      </c>
      <c r="N121" s="34">
        <f t="shared" si="6"/>
        <v>5</v>
      </c>
      <c r="O121" s="29"/>
      <c r="P121" s="29"/>
      <c r="Q121" t="s">
        <v>88</v>
      </c>
      <c r="R121" t="s">
        <v>88</v>
      </c>
      <c r="S121" t="s">
        <v>88</v>
      </c>
      <c r="T121" t="s">
        <v>88</v>
      </c>
      <c r="U121" t="s">
        <v>88</v>
      </c>
      <c r="V121" t="s">
        <v>20</v>
      </c>
    </row>
    <row r="122" spans="1:22" x14ac:dyDescent="0.45">
      <c r="A122" s="79">
        <v>61668969</v>
      </c>
      <c r="B122" s="29" t="str">
        <f t="shared" si="8"/>
        <v>6.166.896-9</v>
      </c>
      <c r="C122" s="22" t="str">
        <f>IF(IFERROR(VLOOKUP(A122,$A$10:$I121,1,0),0)=0,"",VLOOKUP(A122,$A$10:$I121,3,0))</f>
        <v>UCI</v>
      </c>
      <c r="D122" s="29" t="str">
        <f>IF(IFERROR(VLOOKUP(A122,$A$10:$I121,1,0),0)=0,"",VLOOKUP(A122,$A$10:$I121,4,0))</f>
        <v>JOSE</v>
      </c>
      <c r="E122" s="29" t="str">
        <f>IF(IFERROR(VLOOKUP(A122,$A$10:$I121,1,0),0)=0,"",VLOOKUP(A122,$A$10:$I121,5,0))</f>
        <v>RIFFO</v>
      </c>
      <c r="F122" s="29" t="str">
        <f>IF(IFERROR(VLOOKUP(A122,$A$10:$I121,1,0),0)=0,"",VLOOKUP(A122,$A$10:$I121,6,0))</f>
        <v>SAEZ</v>
      </c>
      <c r="G122" s="49">
        <f>IF(IFERROR(VLOOKUP(A122,$A$10:$I121,1,0),0)=0,"",VLOOKUP(A122,$A$10:$I121,7,0))</f>
        <v>45609</v>
      </c>
      <c r="H122" s="49">
        <v>45614</v>
      </c>
      <c r="I122" s="29"/>
      <c r="J122" s="29" t="s">
        <v>24</v>
      </c>
      <c r="K122" s="24" t="s">
        <v>47</v>
      </c>
      <c r="L122" s="49">
        <v>45610</v>
      </c>
      <c r="M122" s="49">
        <v>45612</v>
      </c>
      <c r="N122" s="34">
        <f t="shared" si="6"/>
        <v>2</v>
      </c>
      <c r="O122" s="29"/>
      <c r="P122" s="29"/>
      <c r="Q122" t="s">
        <v>88</v>
      </c>
      <c r="R122" t="s">
        <v>88</v>
      </c>
      <c r="S122" t="s">
        <v>88</v>
      </c>
      <c r="T122" t="s">
        <v>88</v>
      </c>
      <c r="U122" t="s">
        <v>88</v>
      </c>
      <c r="V122" t="s">
        <v>20</v>
      </c>
    </row>
    <row r="123" spans="1:22" x14ac:dyDescent="0.45">
      <c r="A123" s="79">
        <v>61668969</v>
      </c>
      <c r="B123" s="29" t="str">
        <f t="shared" si="8"/>
        <v>6.166.896-9</v>
      </c>
      <c r="C123" s="22" t="str">
        <f>IF(IFERROR(VLOOKUP(A123,$A$10:$I122,1,0),0)=0,"",VLOOKUP(A123,$A$10:$I122,3,0))</f>
        <v>UCI</v>
      </c>
      <c r="D123" s="29" t="str">
        <f>IF(IFERROR(VLOOKUP(A123,$A$10:$I122,1,0),0)=0,"",VLOOKUP(A123,$A$10:$I122,4,0))</f>
        <v>JOSE</v>
      </c>
      <c r="E123" s="29" t="str">
        <f>IF(IFERROR(VLOOKUP(A123,$A$10:$I122,1,0),0)=0,"",VLOOKUP(A123,$A$10:$I122,5,0))</f>
        <v>RIFFO</v>
      </c>
      <c r="F123" s="29" t="str">
        <f>IF(IFERROR(VLOOKUP(A123,$A$10:$I122,1,0),0)=0,"",VLOOKUP(A123,$A$10:$I122,6,0))</f>
        <v>SAEZ</v>
      </c>
      <c r="G123" s="49">
        <f>IF(IFERROR(VLOOKUP(A123,$A$10:$I122,1,0),0)=0,"",VLOOKUP(A123,$A$10:$I122,7,0))</f>
        <v>45609</v>
      </c>
      <c r="H123" s="49">
        <v>45614</v>
      </c>
      <c r="I123" s="29"/>
      <c r="J123" s="29" t="s">
        <v>24</v>
      </c>
      <c r="K123" s="24" t="s">
        <v>55</v>
      </c>
      <c r="L123" s="49">
        <v>45609</v>
      </c>
      <c r="M123" s="49">
        <v>45611</v>
      </c>
      <c r="N123" s="34">
        <f t="shared" si="6"/>
        <v>2</v>
      </c>
      <c r="O123" s="29"/>
      <c r="P123" s="29"/>
      <c r="Q123" t="s">
        <v>88</v>
      </c>
      <c r="R123" t="s">
        <v>88</v>
      </c>
      <c r="S123" t="s">
        <v>88</v>
      </c>
      <c r="T123" t="s">
        <v>88</v>
      </c>
      <c r="U123" t="s">
        <v>88</v>
      </c>
      <c r="V123" t="s">
        <v>20</v>
      </c>
    </row>
    <row r="124" spans="1:22" x14ac:dyDescent="0.45">
      <c r="A124" s="79">
        <v>85888536</v>
      </c>
      <c r="B124" s="29" t="str">
        <f t="shared" si="8"/>
        <v>8.588.853-6</v>
      </c>
      <c r="C124" s="22" t="s">
        <v>46</v>
      </c>
      <c r="D124" s="29" t="s">
        <v>506</v>
      </c>
      <c r="E124" s="29" t="s">
        <v>1201</v>
      </c>
      <c r="F124" s="29" t="s">
        <v>442</v>
      </c>
      <c r="G124" s="49">
        <v>45608</v>
      </c>
      <c r="H124" s="49">
        <v>45612</v>
      </c>
      <c r="I124" s="29"/>
      <c r="J124" s="29" t="s">
        <v>13</v>
      </c>
      <c r="K124" s="24" t="s">
        <v>47</v>
      </c>
      <c r="L124" s="49">
        <v>45608</v>
      </c>
      <c r="M124" s="49">
        <v>45612</v>
      </c>
      <c r="N124" s="34">
        <f t="shared" si="6"/>
        <v>4</v>
      </c>
      <c r="O124" s="29"/>
      <c r="P124" s="29"/>
      <c r="Q124" t="s">
        <v>88</v>
      </c>
      <c r="R124" t="s">
        <v>88</v>
      </c>
      <c r="S124" t="s">
        <v>88</v>
      </c>
      <c r="T124" t="s">
        <v>88</v>
      </c>
      <c r="U124" t="s">
        <v>88</v>
      </c>
      <c r="V124" t="s">
        <v>20</v>
      </c>
    </row>
    <row r="125" spans="1:22" x14ac:dyDescent="0.45">
      <c r="A125" s="79">
        <v>65873540</v>
      </c>
      <c r="B125" s="29" t="str">
        <f t="shared" si="8"/>
        <v>6.587.354-0</v>
      </c>
      <c r="C125" s="22" t="s">
        <v>46</v>
      </c>
      <c r="D125" s="29" t="str">
        <f>IF(IFERROR(VLOOKUP(A125,$A$10:$I124,1,0),0)=0,"",VLOOKUP(A125,$A$10:$I124,4,0))</f>
        <v>JUANA</v>
      </c>
      <c r="E125" s="29" t="str">
        <f>IF(IFERROR(VLOOKUP(A125,$A$10:$I124,1,0),0)=0,"",VLOOKUP(A125,$A$10:$I124,5,0))</f>
        <v>ESCOBAR</v>
      </c>
      <c r="F125" s="29" t="str">
        <f>IF(IFERROR(VLOOKUP(A125,$A$10:$I124,1,0),0)=0,"",VLOOKUP(A125,$A$10:$I124,6,0))</f>
        <v>SAEZ</v>
      </c>
      <c r="G125" s="49">
        <v>45611</v>
      </c>
      <c r="H125" s="49">
        <v>45616</v>
      </c>
      <c r="I125" s="29" t="s">
        <v>22</v>
      </c>
      <c r="J125" s="29" t="s">
        <v>24</v>
      </c>
      <c r="K125" s="24" t="s">
        <v>18</v>
      </c>
      <c r="L125" s="49">
        <v>45611</v>
      </c>
      <c r="M125" s="49">
        <v>45616</v>
      </c>
      <c r="N125" s="34">
        <f t="shared" si="6"/>
        <v>5</v>
      </c>
      <c r="O125" s="29"/>
      <c r="P125" s="29"/>
      <c r="Q125" t="s">
        <v>88</v>
      </c>
      <c r="R125" t="s">
        <v>88</v>
      </c>
      <c r="S125" t="s">
        <v>88</v>
      </c>
      <c r="T125" t="s">
        <v>88</v>
      </c>
      <c r="U125" t="s">
        <v>88</v>
      </c>
      <c r="V125" t="s">
        <v>20</v>
      </c>
    </row>
    <row r="126" spans="1:22" x14ac:dyDescent="0.45">
      <c r="A126" s="79">
        <v>106320012</v>
      </c>
      <c r="B126" s="29" t="str">
        <f t="shared" si="8"/>
        <v>10.632.001-2</v>
      </c>
      <c r="C126" s="22" t="str">
        <f>IF(IFERROR(VLOOKUP(A126,$A$10:$I125,1,0),0)=0,"",VLOOKUP(A126,$A$10:$I125,3,0))</f>
        <v>Pensionado</v>
      </c>
      <c r="D126" s="29" t="str">
        <f>IF(IFERROR(VLOOKUP(A126,$A$10:$I125,1,0),0)=0,"",VLOOKUP(A126,$A$10:$I125,4,0))</f>
        <v>SANTIAGO</v>
      </c>
      <c r="E126" s="29" t="str">
        <f>IF(IFERROR(VLOOKUP(A126,$A$10:$I125,1,0),0)=0,"",VLOOKUP(A126,$A$10:$I125,5,0))</f>
        <v>PARRA</v>
      </c>
      <c r="F126" s="29" t="str">
        <f>IF(IFERROR(VLOOKUP(A126,$A$10:$I125,1,0),0)=0,"",VLOOKUP(A126,$A$10:$I125,6,0))</f>
        <v>ITURRA</v>
      </c>
      <c r="G126" s="49">
        <f>IF(IFERROR(VLOOKUP(A126,$A$10:$I125,1,0),0)=0,"",VLOOKUP(A126,$A$10:$I125,7,0))</f>
        <v>45597</v>
      </c>
      <c r="H126" s="29"/>
      <c r="I126" s="29"/>
      <c r="J126" s="29"/>
      <c r="K126" s="24" t="s">
        <v>43</v>
      </c>
      <c r="L126" s="49">
        <v>45597</v>
      </c>
      <c r="M126" s="49">
        <v>45611</v>
      </c>
      <c r="N126" s="34">
        <f t="shared" si="6"/>
        <v>14</v>
      </c>
      <c r="O126" s="29"/>
      <c r="P126" s="29"/>
      <c r="Q126" t="s">
        <v>98</v>
      </c>
      <c r="R126" t="s">
        <v>88</v>
      </c>
      <c r="S126" t="s">
        <v>88</v>
      </c>
      <c r="T126" t="s">
        <v>88</v>
      </c>
      <c r="U126" t="s">
        <v>88</v>
      </c>
      <c r="V126" t="s">
        <v>14</v>
      </c>
    </row>
    <row r="127" spans="1:22" x14ac:dyDescent="0.45">
      <c r="A127" s="79">
        <v>278350959</v>
      </c>
      <c r="B127" s="29" t="str">
        <f t="shared" si="8"/>
        <v>27.835.095-9</v>
      </c>
      <c r="C127" s="22" t="s">
        <v>46</v>
      </c>
      <c r="D127" s="29" t="s">
        <v>1576</v>
      </c>
      <c r="E127" s="29" t="s">
        <v>249</v>
      </c>
      <c r="F127" s="29" t="s">
        <v>1577</v>
      </c>
      <c r="G127" s="49">
        <v>45602</v>
      </c>
      <c r="H127" s="49">
        <v>45616</v>
      </c>
      <c r="I127" s="29"/>
      <c r="J127" s="29"/>
      <c r="K127" s="24" t="s">
        <v>43</v>
      </c>
      <c r="L127" s="49">
        <v>45609</v>
      </c>
      <c r="M127" s="49">
        <v>45616</v>
      </c>
      <c r="N127" s="34">
        <f t="shared" ref="N127:N158" si="9">+M127-L127</f>
        <v>7</v>
      </c>
      <c r="O127" s="29"/>
      <c r="P127" s="29"/>
      <c r="Q127" t="s">
        <v>88</v>
      </c>
      <c r="R127" t="s">
        <v>88</v>
      </c>
      <c r="S127" t="s">
        <v>88</v>
      </c>
      <c r="T127" t="s">
        <v>88</v>
      </c>
      <c r="U127" t="s">
        <v>88</v>
      </c>
      <c r="V127" t="s">
        <v>20</v>
      </c>
    </row>
    <row r="128" spans="1:22" x14ac:dyDescent="0.45">
      <c r="A128" s="79">
        <v>107118209</v>
      </c>
      <c r="B128" s="29" t="str">
        <f t="shared" si="8"/>
        <v>10.711.820-9</v>
      </c>
      <c r="C128" s="22" t="s">
        <v>46</v>
      </c>
      <c r="D128" s="29" t="s">
        <v>944</v>
      </c>
      <c r="E128" s="29" t="s">
        <v>955</v>
      </c>
      <c r="F128" s="29" t="s">
        <v>328</v>
      </c>
      <c r="G128" s="49">
        <v>45585</v>
      </c>
      <c r="H128" s="49">
        <v>45617</v>
      </c>
      <c r="I128" s="29"/>
      <c r="J128" s="29"/>
      <c r="K128" s="24" t="s">
        <v>43</v>
      </c>
      <c r="L128" s="49">
        <v>45597</v>
      </c>
      <c r="M128" s="49">
        <v>45616</v>
      </c>
      <c r="N128" s="34">
        <f t="shared" si="9"/>
        <v>19</v>
      </c>
      <c r="O128" s="29"/>
      <c r="P128" s="29"/>
      <c r="Q128" t="s">
        <v>88</v>
      </c>
      <c r="R128" t="s">
        <v>88</v>
      </c>
      <c r="S128" t="s">
        <v>88</v>
      </c>
      <c r="T128" t="s">
        <v>88</v>
      </c>
      <c r="U128" t="s">
        <v>88</v>
      </c>
      <c r="V128" t="s">
        <v>20</v>
      </c>
    </row>
    <row r="129" spans="1:22" x14ac:dyDescent="0.45">
      <c r="A129" s="79">
        <v>107118209</v>
      </c>
      <c r="B129" s="29" t="str">
        <f t="shared" si="8"/>
        <v>10.711.820-9</v>
      </c>
      <c r="C129" s="22" t="str">
        <f>IF(IFERROR(VLOOKUP(A129,$A$10:$I128,1,0),0)=0,"",VLOOKUP(A129,$A$10:$I128,3,0))</f>
        <v>Pensionado</v>
      </c>
      <c r="D129" s="29" t="str">
        <f>IF(IFERROR(VLOOKUP(A129,$A$10:$I128,1,0),0)=0,"",VLOOKUP(A129,$A$10:$I128,4,0))</f>
        <v>ELIANA</v>
      </c>
      <c r="E129" s="29" t="str">
        <f>IF(IFERROR(VLOOKUP(A129,$A$10:$I128,1,0),0)=0,"",VLOOKUP(A129,$A$10:$I128,5,0))</f>
        <v>DEFAUR</v>
      </c>
      <c r="F129" s="29" t="str">
        <f>IF(IFERROR(VLOOKUP(A129,$A$10:$I128,1,0),0)=0,"",VLOOKUP(A129,$A$10:$I128,6,0))</f>
        <v>GUTIERREZ</v>
      </c>
      <c r="G129" s="49">
        <f>IF(IFERROR(VLOOKUP(A129,$A$10:$I128,1,0),0)=0,"",VLOOKUP(A129,$A$10:$I128,7,0))</f>
        <v>45585</v>
      </c>
      <c r="H129" s="49">
        <v>45617</v>
      </c>
      <c r="I129" s="29"/>
      <c r="J129" s="29"/>
      <c r="K129" s="24" t="s">
        <v>18</v>
      </c>
      <c r="L129" s="49">
        <v>45616</v>
      </c>
      <c r="M129" s="49">
        <v>45617</v>
      </c>
      <c r="N129" s="34">
        <f t="shared" si="9"/>
        <v>1</v>
      </c>
      <c r="O129" s="29"/>
      <c r="P129" s="29"/>
      <c r="Q129" t="s">
        <v>88</v>
      </c>
      <c r="R129" t="s">
        <v>88</v>
      </c>
      <c r="S129" t="s">
        <v>88</v>
      </c>
      <c r="T129" t="s">
        <v>88</v>
      </c>
      <c r="U129" t="s">
        <v>88</v>
      </c>
      <c r="V129" t="s">
        <v>20</v>
      </c>
    </row>
    <row r="130" spans="1:22" x14ac:dyDescent="0.45">
      <c r="A130" s="79">
        <v>42607258</v>
      </c>
      <c r="B130" s="29" t="str">
        <f t="shared" si="8"/>
        <v>4.260.725-8</v>
      </c>
      <c r="C130" s="22" t="s">
        <v>46</v>
      </c>
      <c r="D130" s="29" t="s">
        <v>368</v>
      </c>
      <c r="E130" s="29" t="s">
        <v>498</v>
      </c>
      <c r="F130" s="29" t="s">
        <v>498</v>
      </c>
      <c r="G130" s="49">
        <v>45605</v>
      </c>
      <c r="H130" s="49">
        <v>45618</v>
      </c>
      <c r="I130" s="29"/>
      <c r="J130" s="29"/>
      <c r="K130" s="24" t="s">
        <v>47</v>
      </c>
      <c r="L130" s="49">
        <v>45610</v>
      </c>
      <c r="M130" s="49">
        <v>45616</v>
      </c>
      <c r="N130" s="34">
        <f t="shared" si="9"/>
        <v>6</v>
      </c>
      <c r="O130" s="29"/>
      <c r="P130" s="29"/>
      <c r="Q130" t="s">
        <v>88</v>
      </c>
      <c r="R130" t="s">
        <v>88</v>
      </c>
      <c r="S130" t="s">
        <v>88</v>
      </c>
      <c r="T130" t="s">
        <v>88</v>
      </c>
      <c r="U130" t="s">
        <v>88</v>
      </c>
      <c r="V130" t="s">
        <v>20</v>
      </c>
    </row>
    <row r="131" spans="1:22" x14ac:dyDescent="0.45">
      <c r="A131" s="79">
        <v>94486149</v>
      </c>
      <c r="B131" s="29" t="str">
        <f t="shared" si="8"/>
        <v>9.448.614-9</v>
      </c>
      <c r="C131" s="22" t="s">
        <v>46</v>
      </c>
      <c r="D131" s="29" t="s">
        <v>1453</v>
      </c>
      <c r="E131" s="29" t="s">
        <v>1454</v>
      </c>
      <c r="F131" s="29" t="s">
        <v>303</v>
      </c>
      <c r="G131" s="49">
        <v>45610</v>
      </c>
      <c r="H131" s="49">
        <v>45614</v>
      </c>
      <c r="I131" s="29"/>
      <c r="J131" s="29"/>
      <c r="K131" s="24" t="s">
        <v>47</v>
      </c>
      <c r="L131" s="49">
        <v>45610</v>
      </c>
      <c r="M131" s="49">
        <v>45614</v>
      </c>
      <c r="N131" s="34">
        <f t="shared" si="9"/>
        <v>4</v>
      </c>
      <c r="O131" s="29"/>
      <c r="P131" s="29"/>
      <c r="Q131" t="s">
        <v>88</v>
      </c>
      <c r="R131" t="s">
        <v>88</v>
      </c>
      <c r="S131" t="s">
        <v>88</v>
      </c>
      <c r="T131" t="s">
        <v>88</v>
      </c>
      <c r="U131" t="s">
        <v>88</v>
      </c>
      <c r="V131" t="s">
        <v>20</v>
      </c>
    </row>
    <row r="132" spans="1:22" x14ac:dyDescent="0.45">
      <c r="A132" s="79">
        <v>59183621</v>
      </c>
      <c r="B132" s="29" t="str">
        <f t="shared" si="8"/>
        <v>5.918.362-1</v>
      </c>
      <c r="C132" s="22" t="s">
        <v>46</v>
      </c>
      <c r="D132" s="29" t="s">
        <v>538</v>
      </c>
      <c r="E132" s="29" t="s">
        <v>442</v>
      </c>
      <c r="F132" s="29" t="s">
        <v>1527</v>
      </c>
      <c r="G132" s="49">
        <v>45610</v>
      </c>
      <c r="H132" s="49">
        <v>45626</v>
      </c>
      <c r="I132" s="29" t="s">
        <v>56</v>
      </c>
      <c r="J132" s="29"/>
      <c r="K132" s="24" t="s">
        <v>43</v>
      </c>
      <c r="L132" s="49">
        <v>45610</v>
      </c>
      <c r="M132" s="49">
        <v>45623</v>
      </c>
      <c r="N132" s="34">
        <f t="shared" si="9"/>
        <v>13</v>
      </c>
      <c r="O132" s="29"/>
      <c r="P132" s="29"/>
      <c r="Q132" t="s">
        <v>88</v>
      </c>
      <c r="R132" t="s">
        <v>88</v>
      </c>
      <c r="S132" t="s">
        <v>88</v>
      </c>
      <c r="T132" t="s">
        <v>88</v>
      </c>
      <c r="U132" t="s">
        <v>88</v>
      </c>
      <c r="V132" t="s">
        <v>20</v>
      </c>
    </row>
    <row r="133" spans="1:22" x14ac:dyDescent="0.45">
      <c r="A133" s="79">
        <v>59183621</v>
      </c>
      <c r="B133" s="29" t="str">
        <f t="shared" si="8"/>
        <v>5.918.362-1</v>
      </c>
      <c r="C133" s="22" t="str">
        <f>IF(IFERROR(VLOOKUP(A133,$A$10:$I132,1,0),0)=0,"",VLOOKUP(A133,$A$10:$I132,3,0))</f>
        <v>Pensionado</v>
      </c>
      <c r="D133" s="29" t="str">
        <f>IF(IFERROR(VLOOKUP(A133,$A$10:$I132,1,0),0)=0,"",VLOOKUP(A133,$A$10:$I132,4,0))</f>
        <v>ELBA</v>
      </c>
      <c r="E133" s="29" t="str">
        <f>IF(IFERROR(VLOOKUP(A133,$A$10:$I132,1,0),0)=0,"",VLOOKUP(A133,$A$10:$I132,5,0))</f>
        <v>FUENTEALBA</v>
      </c>
      <c r="F133" s="29" t="str">
        <f>IF(IFERROR(VLOOKUP(A133,$A$10:$I132,1,0),0)=0,"",VLOOKUP(A133,$A$10:$I132,6,0))</f>
        <v>OLIVEROS</v>
      </c>
      <c r="G133" s="49">
        <f>IF(IFERROR(VLOOKUP(A133,$A$10:$I132,1,0),0)=0,"",VLOOKUP(A133,$A$10:$I132,7,0))</f>
        <v>45610</v>
      </c>
      <c r="H133" s="49">
        <v>45626</v>
      </c>
      <c r="I133" s="29" t="s">
        <v>56</v>
      </c>
      <c r="J133" s="29"/>
      <c r="K133" s="24" t="s">
        <v>47</v>
      </c>
      <c r="L133" s="49">
        <v>45610</v>
      </c>
      <c r="M133" s="49">
        <v>45626</v>
      </c>
      <c r="N133" s="34">
        <f t="shared" si="9"/>
        <v>16</v>
      </c>
      <c r="O133" s="29"/>
      <c r="P133" s="29"/>
      <c r="Q133" t="s">
        <v>88</v>
      </c>
      <c r="R133" t="s">
        <v>88</v>
      </c>
      <c r="S133" t="s">
        <v>88</v>
      </c>
      <c r="T133" t="s">
        <v>88</v>
      </c>
      <c r="U133" t="s">
        <v>88</v>
      </c>
      <c r="V133" t="s">
        <v>20</v>
      </c>
    </row>
    <row r="134" spans="1:22" x14ac:dyDescent="0.45">
      <c r="A134" s="79">
        <v>89714796</v>
      </c>
      <c r="B134" s="29" t="str">
        <f t="shared" si="8"/>
        <v>8.971.479-6</v>
      </c>
      <c r="C134" s="22" t="s">
        <v>22</v>
      </c>
      <c r="D134" s="29" t="s">
        <v>1473</v>
      </c>
      <c r="E134" s="29" t="s">
        <v>1474</v>
      </c>
      <c r="F134" s="29" t="s">
        <v>387</v>
      </c>
      <c r="G134" s="49">
        <v>45602</v>
      </c>
      <c r="H134" s="49">
        <v>45607</v>
      </c>
      <c r="I134" s="29"/>
      <c r="J134" s="29" t="s">
        <v>26</v>
      </c>
      <c r="K134" s="24" t="s">
        <v>47</v>
      </c>
      <c r="L134" s="49">
        <v>45602</v>
      </c>
      <c r="M134" s="49">
        <v>45607</v>
      </c>
      <c r="N134" s="34">
        <f t="shared" si="9"/>
        <v>5</v>
      </c>
      <c r="O134" s="29"/>
      <c r="P134" s="29"/>
      <c r="Q134" t="s">
        <v>88</v>
      </c>
      <c r="R134" t="s">
        <v>88</v>
      </c>
      <c r="S134" t="s">
        <v>88</v>
      </c>
      <c r="T134" t="s">
        <v>88</v>
      </c>
      <c r="U134" t="s">
        <v>88</v>
      </c>
      <c r="V134" t="s">
        <v>20</v>
      </c>
    </row>
    <row r="135" spans="1:22" x14ac:dyDescent="0.45">
      <c r="A135" s="79">
        <v>89714796</v>
      </c>
      <c r="B135" s="29" t="str">
        <f t="shared" si="8"/>
        <v>8.971.479-6</v>
      </c>
      <c r="C135" s="22" t="str">
        <f>IF(IFERROR(VLOOKUP(A135,$A$10:$I134,1,0),0)=0,"",VLOOKUP(A135,$A$10:$I134,3,0))</f>
        <v>UCI</v>
      </c>
      <c r="D135" s="29" t="str">
        <f>IF(IFERROR(VLOOKUP(A135,$A$10:$I134,1,0),0)=0,"",VLOOKUP(A135,$A$10:$I134,4,0))</f>
        <v>NICANOR</v>
      </c>
      <c r="E135" s="29" t="str">
        <f>IF(IFERROR(VLOOKUP(A135,$A$10:$I134,1,0),0)=0,"",VLOOKUP(A135,$A$10:$I134,5,0))</f>
        <v>AMIGO</v>
      </c>
      <c r="F135" s="29" t="str">
        <f>IF(IFERROR(VLOOKUP(A135,$A$10:$I134,1,0),0)=0,"",VLOOKUP(A135,$A$10:$I134,6,0))</f>
        <v>SANHUEZA</v>
      </c>
      <c r="G135" s="49">
        <f>IF(IFERROR(VLOOKUP(A135,$A$10:$I134,1,0),0)=0,"",VLOOKUP(A135,$A$10:$I134,7,0))</f>
        <v>45602</v>
      </c>
      <c r="H135" s="49">
        <v>45607</v>
      </c>
      <c r="I135" s="29"/>
      <c r="J135" s="29" t="s">
        <v>26</v>
      </c>
      <c r="K135" s="24" t="s">
        <v>55</v>
      </c>
      <c r="L135" s="49">
        <v>45602</v>
      </c>
      <c r="M135" s="49">
        <v>45604</v>
      </c>
      <c r="N135" s="34">
        <f t="shared" si="9"/>
        <v>2</v>
      </c>
      <c r="O135" s="29"/>
      <c r="P135" s="29"/>
      <c r="Q135" t="s">
        <v>88</v>
      </c>
      <c r="R135" t="s">
        <v>88</v>
      </c>
      <c r="S135" t="s">
        <v>88</v>
      </c>
      <c r="T135" t="s">
        <v>88</v>
      </c>
      <c r="U135" t="s">
        <v>88</v>
      </c>
      <c r="V135" t="s">
        <v>20</v>
      </c>
    </row>
    <row r="136" spans="1:22" x14ac:dyDescent="0.45">
      <c r="A136" s="79">
        <v>89714796</v>
      </c>
      <c r="B136" s="29" t="str">
        <f t="shared" si="8"/>
        <v>8.971.479-6</v>
      </c>
      <c r="C136" s="22" t="str">
        <f>IF(IFERROR(VLOOKUP(A136,$A$10:$I135,1,0),0)=0,"",VLOOKUP(A136,$A$10:$I135,3,0))</f>
        <v>UCI</v>
      </c>
      <c r="D136" s="29" t="str">
        <f>IF(IFERROR(VLOOKUP(A136,$A$10:$I135,1,0),0)=0,"",VLOOKUP(A136,$A$10:$I135,4,0))</f>
        <v>NICANOR</v>
      </c>
      <c r="E136" s="29" t="str">
        <f>IF(IFERROR(VLOOKUP(A136,$A$10:$I135,1,0),0)=0,"",VLOOKUP(A136,$A$10:$I135,5,0))</f>
        <v>AMIGO</v>
      </c>
      <c r="F136" s="29" t="str">
        <f>IF(IFERROR(VLOOKUP(A136,$A$10:$I135,1,0),0)=0,"",VLOOKUP(A136,$A$10:$I135,6,0))</f>
        <v>SANHUEZA</v>
      </c>
      <c r="G136" s="49">
        <f>IF(IFERROR(VLOOKUP(A136,$A$10:$I135,1,0),0)=0,"",VLOOKUP(A136,$A$10:$I135,7,0))</f>
        <v>45602</v>
      </c>
      <c r="H136" s="49">
        <v>45607</v>
      </c>
      <c r="I136" s="29"/>
      <c r="J136" s="29" t="s">
        <v>26</v>
      </c>
      <c r="K136" s="24" t="s">
        <v>18</v>
      </c>
      <c r="L136" s="49">
        <v>45602</v>
      </c>
      <c r="M136" s="49">
        <v>45607</v>
      </c>
      <c r="N136" s="34">
        <f t="shared" si="9"/>
        <v>5</v>
      </c>
      <c r="O136" s="29"/>
      <c r="P136" s="29"/>
      <c r="Q136" t="s">
        <v>88</v>
      </c>
      <c r="R136" t="s">
        <v>88</v>
      </c>
      <c r="S136" t="s">
        <v>88</v>
      </c>
      <c r="T136" t="s">
        <v>88</v>
      </c>
      <c r="U136" t="s">
        <v>88</v>
      </c>
      <c r="V136" t="s">
        <v>20</v>
      </c>
    </row>
    <row r="137" spans="1:22" x14ac:dyDescent="0.45">
      <c r="A137" s="79">
        <v>183887076</v>
      </c>
      <c r="B137" s="29" t="str">
        <f t="shared" si="8"/>
        <v>18.388.707-6</v>
      </c>
      <c r="C137" s="22" t="s">
        <v>22</v>
      </c>
      <c r="D137" s="29" t="s">
        <v>487</v>
      </c>
      <c r="E137" s="29" t="s">
        <v>736</v>
      </c>
      <c r="F137" s="29" t="s">
        <v>422</v>
      </c>
      <c r="G137" s="49">
        <v>45602</v>
      </c>
      <c r="H137" s="49">
        <v>45605</v>
      </c>
      <c r="I137" s="29"/>
      <c r="J137" s="29" t="s">
        <v>56</v>
      </c>
      <c r="K137" s="24" t="s">
        <v>43</v>
      </c>
      <c r="L137" s="49">
        <v>45602</v>
      </c>
      <c r="M137" s="49">
        <v>45605</v>
      </c>
      <c r="N137" s="34">
        <f t="shared" si="9"/>
        <v>3</v>
      </c>
      <c r="O137" s="29"/>
      <c r="P137" s="29"/>
      <c r="Q137" t="s">
        <v>88</v>
      </c>
      <c r="R137" t="s">
        <v>88</v>
      </c>
      <c r="S137" t="s">
        <v>88</v>
      </c>
      <c r="T137" t="s">
        <v>88</v>
      </c>
      <c r="U137" t="s">
        <v>88</v>
      </c>
      <c r="V137" t="s">
        <v>20</v>
      </c>
    </row>
    <row r="138" spans="1:22" x14ac:dyDescent="0.45">
      <c r="A138" s="79">
        <v>183887076</v>
      </c>
      <c r="B138" s="29" t="str">
        <f t="shared" si="8"/>
        <v>18.388.707-6</v>
      </c>
      <c r="C138" s="22" t="str">
        <f>IF(IFERROR(VLOOKUP(A138,$A$10:$I137,1,0),0)=0,"",VLOOKUP(A138,$A$10:$I137,3,0))</f>
        <v>UCI</v>
      </c>
      <c r="D138" s="29" t="str">
        <f>IF(IFERROR(VLOOKUP(A138,$A$10:$I137,1,0),0)=0,"",VLOOKUP(A138,$A$10:$I137,4,0))</f>
        <v>CRISTIAN</v>
      </c>
      <c r="E138" s="29" t="str">
        <f>IF(IFERROR(VLOOKUP(A138,$A$10:$I137,1,0),0)=0,"",VLOOKUP(A138,$A$10:$I137,5,0))</f>
        <v>BURGOS</v>
      </c>
      <c r="F138" s="29" t="str">
        <f>IF(IFERROR(VLOOKUP(A138,$A$10:$I137,1,0),0)=0,"",VLOOKUP(A138,$A$10:$I137,6,0))</f>
        <v>TORRES</v>
      </c>
      <c r="G138" s="49">
        <f>IF(IFERROR(VLOOKUP(A138,$A$10:$I137,1,0),0)=0,"",VLOOKUP(A138,$A$10:$I137,7,0))</f>
        <v>45602</v>
      </c>
      <c r="H138" s="49">
        <v>45605</v>
      </c>
      <c r="I138" s="29"/>
      <c r="J138" s="29" t="s">
        <v>56</v>
      </c>
      <c r="K138" s="24" t="s">
        <v>47</v>
      </c>
      <c r="L138" s="49">
        <v>45602</v>
      </c>
      <c r="M138" s="49">
        <v>45605</v>
      </c>
      <c r="N138" s="34">
        <f t="shared" si="9"/>
        <v>3</v>
      </c>
      <c r="O138" s="29"/>
      <c r="P138" s="29"/>
      <c r="Q138" t="s">
        <v>88</v>
      </c>
      <c r="R138" t="s">
        <v>88</v>
      </c>
      <c r="S138" t="s">
        <v>88</v>
      </c>
      <c r="T138" t="s">
        <v>88</v>
      </c>
      <c r="U138" t="s">
        <v>88</v>
      </c>
      <c r="V138" t="s">
        <v>20</v>
      </c>
    </row>
    <row r="139" spans="1:22" x14ac:dyDescent="0.45">
      <c r="A139" s="79">
        <v>183887076</v>
      </c>
      <c r="B139" s="29" t="str">
        <f t="shared" si="8"/>
        <v>18.388.707-6</v>
      </c>
      <c r="C139" s="22" t="str">
        <f>IF(IFERROR(VLOOKUP(A139,$A$10:$I138,1,0),0)=0,"",VLOOKUP(A139,$A$10:$I138,3,0))</f>
        <v>UCI</v>
      </c>
      <c r="D139" s="29" t="str">
        <f>IF(IFERROR(VLOOKUP(A139,$A$10:$I138,1,0),0)=0,"",VLOOKUP(A139,$A$10:$I138,4,0))</f>
        <v>CRISTIAN</v>
      </c>
      <c r="E139" s="29" t="str">
        <f>IF(IFERROR(VLOOKUP(A139,$A$10:$I138,1,0),0)=0,"",VLOOKUP(A139,$A$10:$I138,5,0))</f>
        <v>BURGOS</v>
      </c>
      <c r="F139" s="29" t="str">
        <f>IF(IFERROR(VLOOKUP(A139,$A$10:$I138,1,0),0)=0,"",VLOOKUP(A139,$A$10:$I138,6,0))</f>
        <v>TORRES</v>
      </c>
      <c r="G139" s="49">
        <f>IF(IFERROR(VLOOKUP(A139,$A$10:$I138,1,0),0)=0,"",VLOOKUP(A139,$A$10:$I138,7,0))</f>
        <v>45602</v>
      </c>
      <c r="H139" s="49">
        <v>45605</v>
      </c>
      <c r="I139" s="29"/>
      <c r="J139" s="29" t="s">
        <v>56</v>
      </c>
      <c r="K139" s="24" t="s">
        <v>55</v>
      </c>
      <c r="L139" s="49">
        <v>45602</v>
      </c>
      <c r="M139" s="49">
        <v>45603</v>
      </c>
      <c r="N139" s="34">
        <f t="shared" si="9"/>
        <v>1</v>
      </c>
      <c r="O139" s="29"/>
      <c r="P139" s="29"/>
      <c r="Q139" t="s">
        <v>88</v>
      </c>
      <c r="R139" t="s">
        <v>88</v>
      </c>
      <c r="S139" t="s">
        <v>88</v>
      </c>
      <c r="T139" t="s">
        <v>88</v>
      </c>
      <c r="U139" t="s">
        <v>88</v>
      </c>
      <c r="V139" t="s">
        <v>20</v>
      </c>
    </row>
    <row r="140" spans="1:22" x14ac:dyDescent="0.45">
      <c r="A140" s="79">
        <v>92737675</v>
      </c>
      <c r="B140" s="29" t="str">
        <f t="shared" si="8"/>
        <v>9.273.767-5</v>
      </c>
      <c r="C140" s="22" t="str">
        <f>IF(IFERROR(VLOOKUP(A140,$A$10:$I139,1,0),0)=0,"",VLOOKUP(A140,$A$10:$I139,3,0))</f>
        <v>UCI</v>
      </c>
      <c r="D140" s="29" t="str">
        <f>IF(IFERROR(VLOOKUP(A140,$A$10:$I139,1,0),0)=0,"",VLOOKUP(A140,$A$10:$I139,4,0))</f>
        <v>MARIO</v>
      </c>
      <c r="E140" s="29" t="str">
        <f>IF(IFERROR(VLOOKUP(A140,$A$10:$I139,1,0),0)=0,"",VLOOKUP(A140,$A$10:$I139,5,0))</f>
        <v>CASTILLO</v>
      </c>
      <c r="F140" s="29" t="str">
        <f>IF(IFERROR(VLOOKUP(A140,$A$10:$I139,1,0),0)=0,"",VLOOKUP(A140,$A$10:$I139,6,0))</f>
        <v>SANHUEZA</v>
      </c>
      <c r="G140" s="49">
        <v>45610</v>
      </c>
      <c r="H140" s="49">
        <v>45631</v>
      </c>
      <c r="I140" s="29"/>
      <c r="J140" s="29"/>
      <c r="K140" s="24" t="s">
        <v>18</v>
      </c>
      <c r="L140" s="49">
        <v>45610</v>
      </c>
      <c r="M140" s="49">
        <v>45626</v>
      </c>
      <c r="N140" s="34">
        <f t="shared" si="9"/>
        <v>16</v>
      </c>
      <c r="O140" s="29"/>
      <c r="P140" s="29"/>
      <c r="Q140" t="s">
        <v>88</v>
      </c>
      <c r="R140" t="s">
        <v>88</v>
      </c>
      <c r="S140" t="s">
        <v>88</v>
      </c>
      <c r="T140" t="s">
        <v>88</v>
      </c>
      <c r="U140" t="s">
        <v>88</v>
      </c>
      <c r="V140" t="s">
        <v>20</v>
      </c>
    </row>
    <row r="141" spans="1:22" x14ac:dyDescent="0.45">
      <c r="A141" s="79" t="s">
        <v>1565</v>
      </c>
      <c r="B141" s="29" t="str">
        <f t="shared" si="8"/>
        <v>5.287.564-1</v>
      </c>
      <c r="C141" s="22" t="s">
        <v>22</v>
      </c>
      <c r="D141" s="29" t="str">
        <f>IF(IFERROR(VLOOKUP(A141,$A$10:$I140,1,0),0)=0,"",VLOOKUP(A141,$A$10:$I140,4,0))</f>
        <v>GUSTAVO</v>
      </c>
      <c r="E141" s="29" t="str">
        <f>IF(IFERROR(VLOOKUP(A141,$A$10:$I140,1,0),0)=0,"",VLOOKUP(A141,$A$10:$I140,5,0))</f>
        <v>MULCHI</v>
      </c>
      <c r="F141" s="29" t="str">
        <f>IF(IFERROR(VLOOKUP(A141,$A$10:$I140,1,0),0)=0,"",VLOOKUP(A141,$A$10:$I140,6,0))</f>
        <v>ALARCON</v>
      </c>
      <c r="G141" s="49">
        <v>45610</v>
      </c>
      <c r="H141" s="49">
        <v>45616</v>
      </c>
      <c r="I141" s="29"/>
      <c r="J141" s="29"/>
      <c r="K141" s="24" t="s">
        <v>18</v>
      </c>
      <c r="L141" s="49">
        <v>45612</v>
      </c>
      <c r="M141" s="49">
        <v>45626</v>
      </c>
      <c r="N141" s="34">
        <f t="shared" si="9"/>
        <v>14</v>
      </c>
      <c r="O141" s="29"/>
      <c r="P141" s="29"/>
      <c r="Q141" t="s">
        <v>88</v>
      </c>
      <c r="R141" t="s">
        <v>88</v>
      </c>
      <c r="S141" t="s">
        <v>88</v>
      </c>
      <c r="T141" t="s">
        <v>88</v>
      </c>
      <c r="U141" t="s">
        <v>88</v>
      </c>
      <c r="V141" t="s">
        <v>20</v>
      </c>
    </row>
    <row r="142" spans="1:22" x14ac:dyDescent="0.45">
      <c r="A142" s="79" t="s">
        <v>1565</v>
      </c>
      <c r="B142" s="29" t="str">
        <f t="shared" si="8"/>
        <v>5.287.564-1</v>
      </c>
      <c r="C142" s="22" t="s">
        <v>22</v>
      </c>
      <c r="D142" s="29" t="str">
        <f>IF(IFERROR(VLOOKUP(A142,$A$10:$I141,1,0),0)=0,"",VLOOKUP(A142,$A$10:$I141,4,0))</f>
        <v>GUSTAVO</v>
      </c>
      <c r="E142" s="29" t="str">
        <f>IF(IFERROR(VLOOKUP(A142,$A$10:$I141,1,0),0)=0,"",VLOOKUP(A142,$A$10:$I141,5,0))</f>
        <v>MULCHI</v>
      </c>
      <c r="F142" s="29" t="str">
        <f>IF(IFERROR(VLOOKUP(A142,$A$10:$I141,1,0),0)=0,"",VLOOKUP(A142,$A$10:$I141,6,0))</f>
        <v>ALARCON</v>
      </c>
      <c r="G142" s="49">
        <v>45610</v>
      </c>
      <c r="H142" s="49">
        <v>45616</v>
      </c>
      <c r="I142" s="29"/>
      <c r="J142" s="29"/>
      <c r="K142" s="24" t="s">
        <v>47</v>
      </c>
      <c r="L142" s="49">
        <v>45610</v>
      </c>
      <c r="M142" s="49">
        <v>45616</v>
      </c>
      <c r="N142" s="34">
        <f t="shared" si="9"/>
        <v>6</v>
      </c>
      <c r="O142" s="29"/>
      <c r="P142" s="29"/>
      <c r="Q142" t="s">
        <v>88</v>
      </c>
      <c r="R142" t="s">
        <v>88</v>
      </c>
      <c r="S142" t="s">
        <v>88</v>
      </c>
      <c r="T142" t="s">
        <v>88</v>
      </c>
      <c r="U142" t="s">
        <v>88</v>
      </c>
      <c r="V142" t="s">
        <v>20</v>
      </c>
    </row>
    <row r="143" spans="1:22" x14ac:dyDescent="0.45">
      <c r="A143" s="79" t="s">
        <v>1578</v>
      </c>
      <c r="B143" s="29" t="str">
        <f t="shared" si="8"/>
        <v>6.416.418-k</v>
      </c>
      <c r="C143" s="22" t="s">
        <v>22</v>
      </c>
      <c r="D143" s="29" t="s">
        <v>348</v>
      </c>
      <c r="E143" s="29" t="s">
        <v>842</v>
      </c>
      <c r="F143" s="29" t="s">
        <v>285</v>
      </c>
      <c r="G143" s="49">
        <v>45609</v>
      </c>
      <c r="H143" s="49">
        <v>45614</v>
      </c>
      <c r="I143" s="29"/>
      <c r="J143" s="29"/>
      <c r="K143" s="24" t="s">
        <v>43</v>
      </c>
      <c r="L143" s="49">
        <v>45609</v>
      </c>
      <c r="M143" s="49">
        <v>45614</v>
      </c>
      <c r="N143" s="34">
        <f t="shared" si="9"/>
        <v>5</v>
      </c>
      <c r="O143" s="29"/>
      <c r="P143" s="29"/>
      <c r="Q143" t="s">
        <v>88</v>
      </c>
      <c r="R143" t="s">
        <v>88</v>
      </c>
      <c r="S143" t="s">
        <v>88</v>
      </c>
      <c r="T143" t="s">
        <v>88</v>
      </c>
      <c r="U143" t="s">
        <v>88</v>
      </c>
      <c r="V143" t="s">
        <v>20</v>
      </c>
    </row>
    <row r="144" spans="1:22" x14ac:dyDescent="0.45">
      <c r="A144" s="79" t="s">
        <v>1578</v>
      </c>
      <c r="B144" s="29" t="str">
        <f t="shared" si="8"/>
        <v>6.416.418-k</v>
      </c>
      <c r="C144" s="22" t="str">
        <f>IF(IFERROR(VLOOKUP(A144,$A$10:$I143,1,0),0)=0,"",VLOOKUP(A144,$A$10:$I143,3,0))</f>
        <v>UCI</v>
      </c>
      <c r="D144" s="29" t="str">
        <f>IF(IFERROR(VLOOKUP(A144,$A$10:$I143,1,0),0)=0,"",VLOOKUP(A144,$A$10:$I143,4,0))</f>
        <v>MARIA</v>
      </c>
      <c r="E144" s="29" t="str">
        <f>IF(IFERROR(VLOOKUP(A144,$A$10:$I143,1,0),0)=0,"",VLOOKUP(A144,$A$10:$I143,5,0))</f>
        <v>RIFFO</v>
      </c>
      <c r="F144" s="29" t="str">
        <f>IF(IFERROR(VLOOKUP(A144,$A$10:$I143,1,0),0)=0,"",VLOOKUP(A144,$A$10:$I143,6,0))</f>
        <v>JARA</v>
      </c>
      <c r="G144" s="49">
        <f>IF(IFERROR(VLOOKUP(A144,$A$10:$I143,1,0),0)=0,"",VLOOKUP(A144,$A$10:$I143,7,0))</f>
        <v>45609</v>
      </c>
      <c r="H144" s="49">
        <v>45614</v>
      </c>
      <c r="I144" s="29"/>
      <c r="J144" s="29"/>
      <c r="K144" s="24" t="s">
        <v>47</v>
      </c>
      <c r="L144" s="49">
        <v>45609</v>
      </c>
      <c r="M144" s="49">
        <v>45614</v>
      </c>
      <c r="N144" s="34">
        <f t="shared" si="9"/>
        <v>5</v>
      </c>
      <c r="O144" s="29"/>
      <c r="P144" s="29"/>
      <c r="Q144" t="s">
        <v>88</v>
      </c>
      <c r="R144" t="s">
        <v>88</v>
      </c>
      <c r="S144" t="s">
        <v>88</v>
      </c>
      <c r="T144" t="s">
        <v>88</v>
      </c>
      <c r="U144" t="s">
        <v>88</v>
      </c>
      <c r="V144" t="s">
        <v>20</v>
      </c>
    </row>
    <row r="145" spans="1:22" x14ac:dyDescent="0.45">
      <c r="A145" s="79">
        <v>183893424</v>
      </c>
      <c r="B145" s="29" t="str">
        <f t="shared" si="8"/>
        <v>18.389.342-4</v>
      </c>
      <c r="C145" s="22" t="s">
        <v>22</v>
      </c>
      <c r="D145" s="29" t="s">
        <v>1124</v>
      </c>
      <c r="E145" s="29" t="s">
        <v>1276</v>
      </c>
      <c r="F145" s="29" t="s">
        <v>749</v>
      </c>
      <c r="G145" s="49">
        <v>45610</v>
      </c>
      <c r="H145" s="49">
        <v>45626</v>
      </c>
      <c r="I145" s="29"/>
      <c r="J145" s="29"/>
      <c r="K145" s="24" t="s">
        <v>18</v>
      </c>
      <c r="L145" s="49">
        <v>45610</v>
      </c>
      <c r="M145" s="49">
        <v>45626</v>
      </c>
      <c r="N145" s="34">
        <f t="shared" si="9"/>
        <v>16</v>
      </c>
      <c r="O145" s="29"/>
      <c r="P145" s="29"/>
      <c r="Q145" t="s">
        <v>88</v>
      </c>
      <c r="R145" t="s">
        <v>88</v>
      </c>
      <c r="S145" t="s">
        <v>88</v>
      </c>
      <c r="T145" t="s">
        <v>88</v>
      </c>
      <c r="U145" t="s">
        <v>88</v>
      </c>
      <c r="V145" t="s">
        <v>20</v>
      </c>
    </row>
    <row r="146" spans="1:22" x14ac:dyDescent="0.45">
      <c r="A146" s="79">
        <v>142706733</v>
      </c>
      <c r="B146" s="29" t="str">
        <f t="shared" si="8"/>
        <v>14.270.673-3</v>
      </c>
      <c r="C146" s="22" t="s">
        <v>38</v>
      </c>
      <c r="D146" s="29" t="s">
        <v>250</v>
      </c>
      <c r="E146" s="29" t="s">
        <v>788</v>
      </c>
      <c r="F146" s="29" t="s">
        <v>1579</v>
      </c>
      <c r="G146" s="49">
        <v>45615</v>
      </c>
      <c r="H146" s="49">
        <v>45618</v>
      </c>
      <c r="I146" s="29"/>
      <c r="J146" s="29" t="s">
        <v>24</v>
      </c>
      <c r="K146" s="24" t="s">
        <v>43</v>
      </c>
      <c r="L146" s="49">
        <v>45615</v>
      </c>
      <c r="M146" s="49">
        <v>45618</v>
      </c>
      <c r="N146" s="34">
        <f t="shared" si="9"/>
        <v>3</v>
      </c>
      <c r="O146" s="29"/>
      <c r="P146" s="29"/>
      <c r="Q146" t="s">
        <v>88</v>
      </c>
      <c r="R146" t="s">
        <v>88</v>
      </c>
      <c r="S146" t="s">
        <v>88</v>
      </c>
      <c r="T146" t="s">
        <v>88</v>
      </c>
      <c r="U146" t="s">
        <v>88</v>
      </c>
      <c r="V146" t="s">
        <v>20</v>
      </c>
    </row>
    <row r="147" spans="1:22" x14ac:dyDescent="0.45">
      <c r="A147" s="79">
        <v>142706733</v>
      </c>
      <c r="B147" s="29" t="str">
        <f t="shared" ref="B147:B178" si="10">IF(LEN(A147)=8,MID(A147,1,1)&amp;"."&amp;MID(A147,2,3)&amp;"."&amp;MID(A147,5,3)&amp;"-"&amp;RIGHT(A147,1),IF(LEFT(RIGHT(A147,2),1)="-",MID(A147,1,1)&amp;"."&amp;MID(A147,2,3)&amp;"."&amp;MID(A147,5,3)&amp;"-"&amp;RIGHT(A147,1),MID(A147,1,2)&amp;"."&amp;MID(A147,3,3)&amp;"."&amp;MID(A147,6,3)&amp;"-"&amp;MID(A147,9,1)))</f>
        <v>14.270.673-3</v>
      </c>
      <c r="C147" s="22" t="str">
        <f>IF(IFERROR(VLOOKUP(A147,$A$10:$I146,1,0),0)=0,"",VLOOKUP(A147,$A$10:$I146,3,0))</f>
        <v xml:space="preserve">Sala de cuidados intermedios </v>
      </c>
      <c r="D147" s="29" t="str">
        <f>IF(IFERROR(VLOOKUP(A147,$A$10:$I146,1,0),0)=0,"",VLOOKUP(A147,$A$10:$I146,4,0))</f>
        <v>JOSE</v>
      </c>
      <c r="E147" s="29" t="str">
        <f>IF(IFERROR(VLOOKUP(A147,$A$10:$I146,1,0),0)=0,"",VLOOKUP(A147,$A$10:$I146,5,0))</f>
        <v>SANCHEZ</v>
      </c>
      <c r="F147" s="29" t="str">
        <f>IF(IFERROR(VLOOKUP(A147,$A$10:$I146,1,0),0)=0,"",VLOOKUP(A147,$A$10:$I146,6,0))</f>
        <v>HORMAZABAL</v>
      </c>
      <c r="G147" s="49">
        <f>IF(IFERROR(VLOOKUP(A147,$A$10:$I146,1,0),0)=0,"",VLOOKUP(A147,$A$10:$I146,7,0))</f>
        <v>45615</v>
      </c>
      <c r="H147" s="49">
        <v>45618</v>
      </c>
      <c r="I147" s="29"/>
      <c r="J147" s="29" t="s">
        <v>24</v>
      </c>
      <c r="K147" s="24" t="s">
        <v>47</v>
      </c>
      <c r="L147" s="49">
        <v>45615</v>
      </c>
      <c r="M147" s="49">
        <v>45618</v>
      </c>
      <c r="N147" s="34">
        <f t="shared" si="9"/>
        <v>3</v>
      </c>
      <c r="O147" s="29"/>
      <c r="P147" s="29"/>
      <c r="Q147" t="s">
        <v>88</v>
      </c>
      <c r="R147" t="s">
        <v>88</v>
      </c>
      <c r="S147" t="s">
        <v>88</v>
      </c>
      <c r="T147" t="s">
        <v>88</v>
      </c>
      <c r="U147" t="s">
        <v>88</v>
      </c>
      <c r="V147" t="s">
        <v>20</v>
      </c>
    </row>
    <row r="148" spans="1:22" x14ac:dyDescent="0.45">
      <c r="A148" s="79">
        <v>95236227</v>
      </c>
      <c r="B148" s="29" t="str">
        <f t="shared" si="10"/>
        <v>9.523.622-7</v>
      </c>
      <c r="C148" s="22" t="s">
        <v>38</v>
      </c>
      <c r="D148" s="29" t="s">
        <v>238</v>
      </c>
      <c r="E148" s="29" t="s">
        <v>614</v>
      </c>
      <c r="F148" s="29" t="s">
        <v>1454</v>
      </c>
      <c r="G148" s="49">
        <v>45615</v>
      </c>
      <c r="H148" s="49">
        <v>45621</v>
      </c>
      <c r="I148" s="29"/>
      <c r="J148" s="29"/>
      <c r="K148" s="24" t="s">
        <v>47</v>
      </c>
      <c r="L148" s="49">
        <v>45615</v>
      </c>
      <c r="M148" s="49">
        <v>45621</v>
      </c>
      <c r="N148" s="34">
        <f t="shared" si="9"/>
        <v>6</v>
      </c>
      <c r="O148" s="29"/>
      <c r="P148" s="29"/>
      <c r="Q148" t="s">
        <v>88</v>
      </c>
      <c r="R148" t="s">
        <v>88</v>
      </c>
      <c r="S148" t="s">
        <v>88</v>
      </c>
      <c r="T148" t="s">
        <v>88</v>
      </c>
      <c r="U148" t="s">
        <v>88</v>
      </c>
      <c r="V148" t="s">
        <v>20</v>
      </c>
    </row>
    <row r="149" spans="1:22" x14ac:dyDescent="0.45">
      <c r="A149" s="79">
        <v>48353541</v>
      </c>
      <c r="B149" s="29" t="str">
        <f t="shared" si="10"/>
        <v>4.835.354-1</v>
      </c>
      <c r="C149" s="22" t="s">
        <v>22</v>
      </c>
      <c r="D149" s="29" t="s">
        <v>1580</v>
      </c>
      <c r="E149" s="29" t="s">
        <v>352</v>
      </c>
      <c r="F149" s="29" t="s">
        <v>435</v>
      </c>
      <c r="G149" s="49">
        <v>45615</v>
      </c>
      <c r="H149" s="49">
        <v>45616</v>
      </c>
      <c r="I149" s="29"/>
      <c r="J149" s="29"/>
      <c r="K149" s="24" t="s">
        <v>43</v>
      </c>
      <c r="L149" s="49"/>
      <c r="M149" s="49"/>
      <c r="N149" s="34">
        <f t="shared" si="9"/>
        <v>0</v>
      </c>
      <c r="O149" s="29"/>
      <c r="P149" s="29"/>
      <c r="Q149" t="s">
        <v>88</v>
      </c>
      <c r="R149" t="s">
        <v>88</v>
      </c>
      <c r="S149" t="s">
        <v>88</v>
      </c>
      <c r="T149" t="s">
        <v>88</v>
      </c>
      <c r="U149" t="s">
        <v>88</v>
      </c>
      <c r="V149" t="s">
        <v>20</v>
      </c>
    </row>
    <row r="150" spans="1:22" x14ac:dyDescent="0.45">
      <c r="A150" s="79" t="s">
        <v>1581</v>
      </c>
      <c r="B150" s="29" t="str">
        <f t="shared" si="10"/>
        <v>8.736.710-k</v>
      </c>
      <c r="C150" s="22" t="s">
        <v>22</v>
      </c>
      <c r="D150" s="29" t="s">
        <v>793</v>
      </c>
      <c r="E150" s="29" t="s">
        <v>352</v>
      </c>
      <c r="F150" s="29" t="s">
        <v>859</v>
      </c>
      <c r="G150" s="49">
        <v>45609</v>
      </c>
      <c r="H150" s="49">
        <v>45626</v>
      </c>
      <c r="I150" s="29"/>
      <c r="J150" s="29"/>
      <c r="K150" s="24" t="s">
        <v>43</v>
      </c>
      <c r="L150" s="49">
        <v>45609</v>
      </c>
      <c r="M150" s="49">
        <v>45626</v>
      </c>
      <c r="N150" s="34">
        <f t="shared" si="9"/>
        <v>17</v>
      </c>
      <c r="O150" s="29"/>
      <c r="P150" s="29"/>
      <c r="Q150" t="s">
        <v>88</v>
      </c>
      <c r="R150" t="s">
        <v>88</v>
      </c>
      <c r="S150" t="s">
        <v>88</v>
      </c>
      <c r="T150" t="s">
        <v>88</v>
      </c>
      <c r="U150" t="s">
        <v>88</v>
      </c>
      <c r="V150" t="s">
        <v>20</v>
      </c>
    </row>
    <row r="151" spans="1:22" x14ac:dyDescent="0.45">
      <c r="A151" s="79" t="s">
        <v>1581</v>
      </c>
      <c r="B151" s="29" t="str">
        <f t="shared" si="10"/>
        <v>8.736.710-k</v>
      </c>
      <c r="C151" s="22" t="str">
        <f>IF(IFERROR(VLOOKUP(A151,$A$10:$I150,1,0),0)=0,"",VLOOKUP(A151,$A$10:$I150,3,0))</f>
        <v>UCI</v>
      </c>
      <c r="D151" s="29" t="str">
        <f>IF(IFERROR(VLOOKUP(A151,$A$10:$I150,1,0),0)=0,"",VLOOKUP(A151,$A$10:$I150,4,0))</f>
        <v>MIGUEL</v>
      </c>
      <c r="E151" s="29" t="str">
        <f>IF(IFERROR(VLOOKUP(A151,$A$10:$I150,1,0),0)=0,"",VLOOKUP(A151,$A$10:$I150,5,0))</f>
        <v>CONTRERAS</v>
      </c>
      <c r="F151" s="29" t="str">
        <f>IF(IFERROR(VLOOKUP(A151,$A$10:$I150,1,0),0)=0,"",VLOOKUP(A151,$A$10:$I150,6,0))</f>
        <v>CORREA</v>
      </c>
      <c r="G151" s="49">
        <f>IF(IFERROR(VLOOKUP(A151,$A$10:$I150,1,0),0)=0,"",VLOOKUP(A151,$A$10:$I150,7,0))</f>
        <v>45609</v>
      </c>
      <c r="H151" s="49">
        <v>45626</v>
      </c>
      <c r="I151" s="29"/>
      <c r="J151" s="29"/>
      <c r="K151" s="24" t="s">
        <v>47</v>
      </c>
      <c r="L151" s="49">
        <v>45609</v>
      </c>
      <c r="M151" s="49">
        <v>45626</v>
      </c>
      <c r="N151" s="34">
        <f t="shared" si="9"/>
        <v>17</v>
      </c>
      <c r="O151" s="29"/>
      <c r="P151" s="29"/>
      <c r="Q151" t="s">
        <v>88</v>
      </c>
      <c r="R151" t="s">
        <v>88</v>
      </c>
      <c r="S151" t="s">
        <v>88</v>
      </c>
      <c r="T151" t="s">
        <v>88</v>
      </c>
      <c r="U151" t="s">
        <v>88</v>
      </c>
      <c r="V151" t="s">
        <v>20</v>
      </c>
    </row>
    <row r="152" spans="1:22" x14ac:dyDescent="0.45">
      <c r="A152" s="79" t="s">
        <v>1581</v>
      </c>
      <c r="B152" s="29" t="str">
        <f t="shared" si="10"/>
        <v>8.736.710-k</v>
      </c>
      <c r="C152" s="22" t="str">
        <f>IF(IFERROR(VLOOKUP(A152,$A$10:$I151,1,0),0)=0,"",VLOOKUP(A152,$A$10:$I151,3,0))</f>
        <v>UCI</v>
      </c>
      <c r="D152" s="29" t="str">
        <f>IF(IFERROR(VLOOKUP(A152,$A$10:$I151,1,0),0)=0,"",VLOOKUP(A152,$A$10:$I151,4,0))</f>
        <v>MIGUEL</v>
      </c>
      <c r="E152" s="29" t="str">
        <f>IF(IFERROR(VLOOKUP(A152,$A$10:$I151,1,0),0)=0,"",VLOOKUP(A152,$A$10:$I151,5,0))</f>
        <v>CONTRERAS</v>
      </c>
      <c r="F152" s="29" t="str">
        <f>IF(IFERROR(VLOOKUP(A152,$A$10:$I151,1,0),0)=0,"",VLOOKUP(A152,$A$10:$I151,6,0))</f>
        <v>CORREA</v>
      </c>
      <c r="G152" s="49">
        <f>IF(IFERROR(VLOOKUP(A152,$A$10:$I151,1,0),0)=0,"",VLOOKUP(A152,$A$10:$I151,7,0))</f>
        <v>45609</v>
      </c>
      <c r="H152" s="49">
        <v>45626</v>
      </c>
      <c r="I152" s="29"/>
      <c r="J152" s="29"/>
      <c r="K152" s="24" t="s">
        <v>55</v>
      </c>
      <c r="L152" s="49">
        <v>45609</v>
      </c>
      <c r="M152" s="49">
        <v>45620</v>
      </c>
      <c r="N152" s="34">
        <f t="shared" si="9"/>
        <v>11</v>
      </c>
      <c r="O152" s="29"/>
      <c r="P152" s="29"/>
      <c r="Q152" t="s">
        <v>88</v>
      </c>
      <c r="R152" t="s">
        <v>88</v>
      </c>
      <c r="S152" t="s">
        <v>88</v>
      </c>
      <c r="T152" t="s">
        <v>88</v>
      </c>
      <c r="U152" t="s">
        <v>88</v>
      </c>
      <c r="V152" t="s">
        <v>20</v>
      </c>
    </row>
    <row r="153" spans="1:22" ht="13.5" customHeight="1" x14ac:dyDescent="0.45">
      <c r="A153" s="79" t="s">
        <v>1582</v>
      </c>
      <c r="B153" s="29" t="str">
        <f t="shared" si="10"/>
        <v>7.702.610-k</v>
      </c>
      <c r="C153" s="22" t="s">
        <v>22</v>
      </c>
      <c r="D153" s="29" t="s">
        <v>1583</v>
      </c>
      <c r="E153" s="29" t="s">
        <v>300</v>
      </c>
      <c r="F153" s="29" t="s">
        <v>696</v>
      </c>
      <c r="G153" s="49">
        <v>45614</v>
      </c>
      <c r="H153" s="49">
        <v>45616</v>
      </c>
      <c r="I153" s="29"/>
      <c r="J153" s="29" t="s">
        <v>19</v>
      </c>
      <c r="K153" s="24" t="s">
        <v>43</v>
      </c>
      <c r="L153" s="49">
        <v>45614</v>
      </c>
      <c r="M153" s="49">
        <v>45616</v>
      </c>
      <c r="N153" s="34">
        <f t="shared" si="9"/>
        <v>2</v>
      </c>
      <c r="O153" s="29"/>
      <c r="P153" s="29"/>
      <c r="Q153" t="s">
        <v>88</v>
      </c>
      <c r="R153" t="s">
        <v>88</v>
      </c>
      <c r="S153" t="s">
        <v>88</v>
      </c>
      <c r="T153" t="s">
        <v>88</v>
      </c>
      <c r="U153" t="s">
        <v>88</v>
      </c>
      <c r="V153" t="s">
        <v>20</v>
      </c>
    </row>
    <row r="154" spans="1:22" x14ac:dyDescent="0.45">
      <c r="A154" s="79" t="s">
        <v>1582</v>
      </c>
      <c r="B154" s="29" t="str">
        <f t="shared" si="10"/>
        <v>7.702.610-k</v>
      </c>
      <c r="C154" s="22" t="str">
        <f>IF(IFERROR(VLOOKUP(A154,$A$10:$I153,1,0),0)=0,"",VLOOKUP(A154,$A$10:$I153,3,0))</f>
        <v>UCI</v>
      </c>
      <c r="D154" s="29" t="str">
        <f>IF(IFERROR(VLOOKUP(A154,$A$10:$I153,1,0),0)=0,"",VLOOKUP(A154,$A$10:$I153,4,0))</f>
        <v>ENOLFA</v>
      </c>
      <c r="E154" s="29" t="str">
        <f>IF(IFERROR(VLOOKUP(A154,$A$10:$I153,1,0),0)=0,"",VLOOKUP(A154,$A$10:$I153,5,0))</f>
        <v>HERNANDEZ</v>
      </c>
      <c r="F154" s="29" t="str">
        <f>IF(IFERROR(VLOOKUP(A154,$A$10:$I153,1,0),0)=0,"",VLOOKUP(A154,$A$10:$I153,6,0))</f>
        <v>CARDENAS</v>
      </c>
      <c r="G154" s="49">
        <f>IF(IFERROR(VLOOKUP(A154,$A$10:$I153,1,0),0)=0,"",VLOOKUP(A154,$A$10:$I153,7,0))</f>
        <v>45614</v>
      </c>
      <c r="H154" s="49">
        <v>45616</v>
      </c>
      <c r="I154" s="29"/>
      <c r="J154" s="29" t="s">
        <v>19</v>
      </c>
      <c r="K154" s="24" t="s">
        <v>47</v>
      </c>
      <c r="L154" s="49">
        <v>45614</v>
      </c>
      <c r="M154" s="49">
        <v>45616</v>
      </c>
      <c r="N154" s="34">
        <f t="shared" si="9"/>
        <v>2</v>
      </c>
      <c r="O154" s="29"/>
      <c r="P154" s="29"/>
      <c r="Q154" t="s">
        <v>88</v>
      </c>
      <c r="R154" t="s">
        <v>88</v>
      </c>
      <c r="S154" t="s">
        <v>88</v>
      </c>
      <c r="T154" t="s">
        <v>88</v>
      </c>
      <c r="U154" t="s">
        <v>88</v>
      </c>
      <c r="V154" t="s">
        <v>20</v>
      </c>
    </row>
    <row r="155" spans="1:22" x14ac:dyDescent="0.45">
      <c r="A155" s="79">
        <v>71684644</v>
      </c>
      <c r="B155" s="29" t="str">
        <f t="shared" si="10"/>
        <v>7.168.464-4</v>
      </c>
      <c r="C155" s="22" t="s">
        <v>22</v>
      </c>
      <c r="D155" s="29" t="s">
        <v>1428</v>
      </c>
      <c r="E155" s="29" t="s">
        <v>384</v>
      </c>
      <c r="F155" s="29" t="s">
        <v>1362</v>
      </c>
      <c r="G155" s="49">
        <v>45612</v>
      </c>
      <c r="H155" s="49">
        <v>45616</v>
      </c>
      <c r="I155" s="29"/>
      <c r="J155" s="29" t="s">
        <v>26</v>
      </c>
      <c r="K155" s="24" t="s">
        <v>43</v>
      </c>
      <c r="L155" s="49">
        <v>45612</v>
      </c>
      <c r="M155" s="49">
        <v>45616</v>
      </c>
      <c r="N155" s="34">
        <f t="shared" si="9"/>
        <v>4</v>
      </c>
      <c r="O155" s="29"/>
      <c r="P155" s="29"/>
      <c r="Q155" t="s">
        <v>88</v>
      </c>
      <c r="R155" t="s">
        <v>88</v>
      </c>
      <c r="S155" t="s">
        <v>88</v>
      </c>
      <c r="T155" t="s">
        <v>88</v>
      </c>
      <c r="U155" t="s">
        <v>88</v>
      </c>
      <c r="V155" t="s">
        <v>20</v>
      </c>
    </row>
    <row r="156" spans="1:22" x14ac:dyDescent="0.45">
      <c r="A156" s="79">
        <v>71684644</v>
      </c>
      <c r="B156" s="29" t="str">
        <f t="shared" si="10"/>
        <v>7.168.464-4</v>
      </c>
      <c r="C156" s="22" t="str">
        <f>IF(IFERROR(VLOOKUP(A156,$A$10:$I155,1,0),0)=0,"",VLOOKUP(A156,$A$10:$I155,3,0))</f>
        <v>UCI</v>
      </c>
      <c r="D156" s="29" t="str">
        <f>IF(IFERROR(VLOOKUP(A156,$A$10:$I155,1,0),0)=0,"",VLOOKUP(A156,$A$10:$I155,4,0))</f>
        <v>FLOR</v>
      </c>
      <c r="E156" s="29" t="str">
        <f>IF(IFERROR(VLOOKUP(A156,$A$10:$I155,1,0),0)=0,"",VLOOKUP(A156,$A$10:$I155,5,0))</f>
        <v>MUÑOZ</v>
      </c>
      <c r="F156" s="29" t="str">
        <f>IF(IFERROR(VLOOKUP(A156,$A$10:$I155,1,0),0)=0,"",VLOOKUP(A156,$A$10:$I155,6,0))</f>
        <v>HERNÁNDEZ</v>
      </c>
      <c r="G156" s="49">
        <f>IF(IFERROR(VLOOKUP(A156,$A$10:$I155,1,0),0)=0,"",VLOOKUP(A156,$A$10:$I155,7,0))</f>
        <v>45612</v>
      </c>
      <c r="H156" s="49">
        <v>45616</v>
      </c>
      <c r="I156" s="29"/>
      <c r="J156" s="29" t="s">
        <v>26</v>
      </c>
      <c r="K156" s="24" t="s">
        <v>47</v>
      </c>
      <c r="L156" s="49">
        <v>45612</v>
      </c>
      <c r="M156" s="49">
        <v>45616</v>
      </c>
      <c r="N156" s="34">
        <f t="shared" si="9"/>
        <v>4</v>
      </c>
      <c r="O156" s="29"/>
      <c r="P156" s="29"/>
      <c r="Q156" t="s">
        <v>88</v>
      </c>
      <c r="R156" t="s">
        <v>88</v>
      </c>
      <c r="S156" t="s">
        <v>88</v>
      </c>
      <c r="T156" t="s">
        <v>88</v>
      </c>
      <c r="U156" t="s">
        <v>88</v>
      </c>
      <c r="V156" t="s">
        <v>20</v>
      </c>
    </row>
    <row r="157" spans="1:22" x14ac:dyDescent="0.45">
      <c r="A157" s="79">
        <v>43275917</v>
      </c>
      <c r="B157" s="29" t="str">
        <f t="shared" si="10"/>
        <v>4.327.591-7</v>
      </c>
      <c r="C157" s="22" t="s">
        <v>22</v>
      </c>
      <c r="D157" s="29" t="s">
        <v>1584</v>
      </c>
      <c r="E157" s="29" t="s">
        <v>1585</v>
      </c>
      <c r="F157" s="29" t="s">
        <v>517</v>
      </c>
      <c r="G157" s="49">
        <v>45614</v>
      </c>
      <c r="H157" s="49">
        <v>45622</v>
      </c>
      <c r="I157" s="29"/>
      <c r="J157" s="29" t="s">
        <v>19</v>
      </c>
      <c r="K157" s="24" t="s">
        <v>43</v>
      </c>
      <c r="L157" s="49">
        <v>45614</v>
      </c>
      <c r="M157" s="49">
        <v>45622</v>
      </c>
      <c r="N157" s="34">
        <f t="shared" si="9"/>
        <v>8</v>
      </c>
      <c r="O157" s="29"/>
      <c r="P157" s="29"/>
      <c r="Q157" t="s">
        <v>88</v>
      </c>
      <c r="R157" t="s">
        <v>88</v>
      </c>
      <c r="S157" t="s">
        <v>88</v>
      </c>
      <c r="T157" t="s">
        <v>88</v>
      </c>
      <c r="U157" t="s">
        <v>88</v>
      </c>
      <c r="V157" t="s">
        <v>20</v>
      </c>
    </row>
    <row r="158" spans="1:22" x14ac:dyDescent="0.45">
      <c r="A158" s="79">
        <v>43275917</v>
      </c>
      <c r="B158" s="29" t="str">
        <f t="shared" si="10"/>
        <v>4.327.591-7</v>
      </c>
      <c r="C158" s="22" t="str">
        <f>IF(IFERROR(VLOOKUP(A158,$A$10:$I157,1,0),0)=0,"",VLOOKUP(A158,$A$10:$I157,3,0))</f>
        <v>UCI</v>
      </c>
      <c r="D158" s="29" t="str">
        <f>IF(IFERROR(VLOOKUP(A158,$A$10:$I157,1,0),0)=0,"",VLOOKUP(A158,$A$10:$I157,4,0))</f>
        <v>GASTÓN</v>
      </c>
      <c r="E158" s="29" t="str">
        <f>IF(IFERROR(VLOOKUP(A158,$A$10:$I157,1,0),0)=0,"",VLOOKUP(A158,$A$10:$I157,5,0))</f>
        <v>ZÚÑIGA</v>
      </c>
      <c r="F158" s="29" t="str">
        <f>IF(IFERROR(VLOOKUP(A158,$A$10:$I157,1,0),0)=0,"",VLOOKUP(A158,$A$10:$I157,6,0))</f>
        <v>CARVAJAL</v>
      </c>
      <c r="G158" s="49">
        <f>IF(IFERROR(VLOOKUP(A158,$A$10:$I157,1,0),0)=0,"",VLOOKUP(A158,$A$10:$I157,7,0))</f>
        <v>45614</v>
      </c>
      <c r="H158" s="49">
        <v>45622</v>
      </c>
      <c r="I158" s="29"/>
      <c r="J158" s="29" t="s">
        <v>19</v>
      </c>
      <c r="K158" s="24" t="s">
        <v>47</v>
      </c>
      <c r="L158" s="49">
        <v>45614</v>
      </c>
      <c r="M158" s="49">
        <v>45622</v>
      </c>
      <c r="N158" s="34">
        <f t="shared" si="9"/>
        <v>8</v>
      </c>
      <c r="O158" s="29"/>
      <c r="P158" s="29"/>
      <c r="Q158" t="s">
        <v>88</v>
      </c>
      <c r="R158" t="s">
        <v>88</v>
      </c>
      <c r="S158" t="s">
        <v>88</v>
      </c>
      <c r="T158" t="s">
        <v>88</v>
      </c>
      <c r="U158" t="s">
        <v>88</v>
      </c>
      <c r="V158" t="s">
        <v>20</v>
      </c>
    </row>
    <row r="159" spans="1:22" x14ac:dyDescent="0.45">
      <c r="A159" s="79">
        <v>43275917</v>
      </c>
      <c r="B159" s="29" t="str">
        <f t="shared" si="10"/>
        <v>4.327.591-7</v>
      </c>
      <c r="C159" s="22" t="str">
        <f>IF(IFERROR(VLOOKUP(A159,$A$10:$I158,1,0),0)=0,"",VLOOKUP(A159,$A$10:$I158,3,0))</f>
        <v>UCI</v>
      </c>
      <c r="D159" s="29" t="str">
        <f>IF(IFERROR(VLOOKUP(A159,$A$10:$I158,1,0),0)=0,"",VLOOKUP(A159,$A$10:$I158,4,0))</f>
        <v>GASTÓN</v>
      </c>
      <c r="E159" s="29" t="str">
        <f>IF(IFERROR(VLOOKUP(A159,$A$10:$I158,1,0),0)=0,"",VLOOKUP(A159,$A$10:$I158,5,0))</f>
        <v>ZÚÑIGA</v>
      </c>
      <c r="F159" s="29" t="str">
        <f>IF(IFERROR(VLOOKUP(A159,$A$10:$I158,1,0),0)=0,"",VLOOKUP(A159,$A$10:$I158,6,0))</f>
        <v>CARVAJAL</v>
      </c>
      <c r="G159" s="49">
        <f>IF(IFERROR(VLOOKUP(A159,$A$10:$I158,1,0),0)=0,"",VLOOKUP(A159,$A$10:$I158,7,0))</f>
        <v>45614</v>
      </c>
      <c r="H159" s="49">
        <v>45622</v>
      </c>
      <c r="I159" s="29"/>
      <c r="J159" s="29" t="s">
        <v>19</v>
      </c>
      <c r="K159" s="24" t="s">
        <v>55</v>
      </c>
      <c r="L159" s="49">
        <v>45614</v>
      </c>
      <c r="M159" s="49">
        <v>45622</v>
      </c>
      <c r="N159" s="34">
        <f t="shared" ref="N159:N190" si="11">+M159-L159</f>
        <v>8</v>
      </c>
      <c r="O159" s="29"/>
      <c r="P159" s="29"/>
      <c r="Q159" t="s">
        <v>88</v>
      </c>
      <c r="R159" t="s">
        <v>88</v>
      </c>
      <c r="S159" t="s">
        <v>88</v>
      </c>
      <c r="T159" t="s">
        <v>88</v>
      </c>
      <c r="U159" t="s">
        <v>88</v>
      </c>
      <c r="V159" t="s">
        <v>20</v>
      </c>
    </row>
    <row r="160" spans="1:22" x14ac:dyDescent="0.45">
      <c r="A160" s="79">
        <v>286077552</v>
      </c>
      <c r="B160" s="29" t="str">
        <f t="shared" si="10"/>
        <v>28.607.755-2</v>
      </c>
      <c r="C160" s="22" t="s">
        <v>16</v>
      </c>
      <c r="D160" s="29" t="s">
        <v>1065</v>
      </c>
      <c r="E160" s="29" t="s">
        <v>507</v>
      </c>
      <c r="F160" s="29" t="s">
        <v>490</v>
      </c>
      <c r="G160" s="49">
        <v>45617</v>
      </c>
      <c r="H160" s="29"/>
      <c r="I160" s="29"/>
      <c r="J160" s="29"/>
      <c r="K160" s="24" t="s">
        <v>18</v>
      </c>
      <c r="L160" s="49">
        <v>45620</v>
      </c>
      <c r="M160" s="49">
        <v>45626</v>
      </c>
      <c r="N160" s="34">
        <f t="shared" si="11"/>
        <v>6</v>
      </c>
      <c r="O160" s="29"/>
      <c r="P160" s="29"/>
      <c r="Q160" t="s">
        <v>88</v>
      </c>
      <c r="R160" t="s">
        <v>88</v>
      </c>
      <c r="S160" t="s">
        <v>88</v>
      </c>
      <c r="T160" t="s">
        <v>88</v>
      </c>
      <c r="U160" t="s">
        <v>88</v>
      </c>
      <c r="V160" t="s">
        <v>20</v>
      </c>
    </row>
    <row r="161" spans="1:22" x14ac:dyDescent="0.45">
      <c r="A161" s="79">
        <v>286077552</v>
      </c>
      <c r="B161" s="29" t="str">
        <f t="shared" si="10"/>
        <v>28.607.755-2</v>
      </c>
      <c r="C161" s="22" t="str">
        <f>IF(IFERROR(VLOOKUP(A161,$A$10:$I160,1,0),0)=0,"",VLOOKUP(A161,$A$10:$I160,3,0))</f>
        <v>UCI neonatal</v>
      </c>
      <c r="D161" s="29" t="str">
        <f>IF(IFERROR(VLOOKUP(A161,$A$10:$I160,1,0),0)=0,"",VLOOKUP(A161,$A$10:$I160,4,0))</f>
        <v>MAITE</v>
      </c>
      <c r="E161" s="29" t="str">
        <f>IF(IFERROR(VLOOKUP(A161,$A$10:$I160,1,0),0)=0,"",VLOOKUP(A161,$A$10:$I160,5,0))</f>
        <v>CAMPOS</v>
      </c>
      <c r="F161" s="29" t="str">
        <f>IF(IFERROR(VLOOKUP(A161,$A$10:$I160,1,0),0)=0,"",VLOOKUP(A161,$A$10:$I160,6,0))</f>
        <v>BELTRAN</v>
      </c>
      <c r="G161" s="49">
        <f>IF(IFERROR(VLOOKUP(A161,$A$10:$I160,1,0),0)=0,"",VLOOKUP(A161,$A$10:$I160,7,0))</f>
        <v>45617</v>
      </c>
      <c r="H161" s="29"/>
      <c r="I161" s="29"/>
      <c r="J161" s="29"/>
      <c r="K161" s="24" t="s">
        <v>55</v>
      </c>
      <c r="L161" s="49">
        <v>45619</v>
      </c>
      <c r="M161" s="49">
        <v>45622</v>
      </c>
      <c r="N161" s="34">
        <f t="shared" si="11"/>
        <v>3</v>
      </c>
      <c r="O161" s="29"/>
      <c r="P161" s="29"/>
      <c r="Q161" t="s">
        <v>88</v>
      </c>
      <c r="R161" t="s">
        <v>88</v>
      </c>
      <c r="S161" t="s">
        <v>88</v>
      </c>
      <c r="T161" t="s">
        <v>88</v>
      </c>
      <c r="U161" t="s">
        <v>88</v>
      </c>
      <c r="V161" t="s">
        <v>20</v>
      </c>
    </row>
    <row r="162" spans="1:22" x14ac:dyDescent="0.45">
      <c r="A162" s="79">
        <v>286079792</v>
      </c>
      <c r="B162" s="29" t="str">
        <f t="shared" si="10"/>
        <v>28.607.979-2</v>
      </c>
      <c r="C162" s="22" t="s">
        <v>16</v>
      </c>
      <c r="D162" s="29" t="s">
        <v>798</v>
      </c>
      <c r="E162" s="29" t="s">
        <v>312</v>
      </c>
      <c r="F162" s="29" t="s">
        <v>306</v>
      </c>
      <c r="G162" s="49">
        <v>45617</v>
      </c>
      <c r="H162" s="29"/>
      <c r="I162" s="29"/>
      <c r="J162" s="29"/>
      <c r="K162" s="24" t="s">
        <v>18</v>
      </c>
      <c r="L162" s="49">
        <v>45618</v>
      </c>
      <c r="M162" s="49">
        <v>45626</v>
      </c>
      <c r="N162" s="34">
        <f t="shared" si="11"/>
        <v>8</v>
      </c>
      <c r="O162" s="29"/>
      <c r="Q162" t="s">
        <v>88</v>
      </c>
      <c r="R162" t="s">
        <v>88</v>
      </c>
      <c r="S162" t="s">
        <v>88</v>
      </c>
      <c r="T162" t="s">
        <v>88</v>
      </c>
      <c r="U162" t="s">
        <v>88</v>
      </c>
      <c r="V162" t="s">
        <v>20</v>
      </c>
    </row>
    <row r="163" spans="1:22" x14ac:dyDescent="0.45">
      <c r="A163" s="79">
        <v>267962499</v>
      </c>
      <c r="B163" s="29" t="str">
        <f t="shared" si="10"/>
        <v>26.796.249-9</v>
      </c>
      <c r="C163" s="22" t="s">
        <v>10</v>
      </c>
      <c r="D163" s="29" t="s">
        <v>524</v>
      </c>
      <c r="E163" s="29" t="s">
        <v>282</v>
      </c>
      <c r="F163" s="29" t="s">
        <v>946</v>
      </c>
      <c r="G163" s="49">
        <v>45619</v>
      </c>
      <c r="H163" s="29"/>
      <c r="I163" s="29"/>
      <c r="J163" s="29"/>
      <c r="K163" s="24" t="s">
        <v>43</v>
      </c>
      <c r="L163" s="49">
        <v>45619</v>
      </c>
      <c r="M163" s="49">
        <v>45626</v>
      </c>
      <c r="N163" s="34">
        <f t="shared" si="11"/>
        <v>7</v>
      </c>
      <c r="O163" s="29"/>
      <c r="P163" s="29"/>
      <c r="Q163" t="s">
        <v>88</v>
      </c>
      <c r="R163" t="s">
        <v>88</v>
      </c>
      <c r="S163" t="s">
        <v>88</v>
      </c>
      <c r="T163" t="s">
        <v>88</v>
      </c>
      <c r="U163" t="s">
        <v>88</v>
      </c>
      <c r="V163" t="s">
        <v>20</v>
      </c>
    </row>
    <row r="164" spans="1:22" x14ac:dyDescent="0.45">
      <c r="A164" s="79">
        <v>201540550</v>
      </c>
      <c r="B164" s="29" t="str">
        <f t="shared" si="10"/>
        <v>20.154.055-0</v>
      </c>
      <c r="C164" s="22" t="s">
        <v>30</v>
      </c>
      <c r="D164" s="29" t="str">
        <f>IF(IFERROR(VLOOKUP(A164,$A$10:$I163,1,0),0)=0,"",VLOOKUP(A164,$A$10:$I163,4,0))</f>
        <v>JEAN</v>
      </c>
      <c r="E164" s="29" t="str">
        <f>IF(IFERROR(VLOOKUP(A164,$A$10:$I163,1,0),0)=0,"",VLOOKUP(A164,$A$10:$I163,5,0))</f>
        <v>SEGURA</v>
      </c>
      <c r="F164" s="29" t="str">
        <f>IF(IFERROR(VLOOKUP(A164,$A$10:$I163,1,0),0)=0,"",VLOOKUP(A164,$A$10:$I163,6,0))</f>
        <v>OLIVARES</v>
      </c>
      <c r="G164" s="49">
        <v>45621</v>
      </c>
      <c r="H164" s="49">
        <v>45623</v>
      </c>
      <c r="I164" s="29"/>
      <c r="J164" s="29"/>
      <c r="K164" s="24" t="s">
        <v>43</v>
      </c>
      <c r="L164" s="49">
        <v>45621</v>
      </c>
      <c r="M164" s="49">
        <v>45623</v>
      </c>
      <c r="N164" s="34">
        <f t="shared" si="11"/>
        <v>2</v>
      </c>
      <c r="O164" s="29"/>
      <c r="P164" s="29"/>
      <c r="Q164" t="s">
        <v>88</v>
      </c>
      <c r="R164" t="s">
        <v>88</v>
      </c>
      <c r="S164" t="s">
        <v>88</v>
      </c>
      <c r="T164" t="s">
        <v>88</v>
      </c>
      <c r="U164" t="s">
        <v>88</v>
      </c>
      <c r="V164" t="s">
        <v>20</v>
      </c>
    </row>
    <row r="165" spans="1:22" x14ac:dyDescent="0.45">
      <c r="A165" s="79">
        <v>115342444</v>
      </c>
      <c r="B165" s="29" t="str">
        <f t="shared" si="10"/>
        <v>11.534.244-4</v>
      </c>
      <c r="C165" s="22" t="s">
        <v>30</v>
      </c>
      <c r="D165" s="29" t="s">
        <v>324</v>
      </c>
      <c r="E165" s="29" t="s">
        <v>488</v>
      </c>
      <c r="F165" s="29" t="s">
        <v>1586</v>
      </c>
      <c r="G165" s="49">
        <v>45617</v>
      </c>
      <c r="H165" s="49">
        <v>45623</v>
      </c>
      <c r="I165" s="29"/>
      <c r="J165" s="29" t="s">
        <v>46</v>
      </c>
      <c r="K165" s="24" t="s">
        <v>43</v>
      </c>
      <c r="L165" s="49">
        <v>45617</v>
      </c>
      <c r="M165" s="49">
        <v>45623</v>
      </c>
      <c r="N165" s="34">
        <f t="shared" si="11"/>
        <v>6</v>
      </c>
      <c r="O165" s="29"/>
      <c r="P165" s="29"/>
      <c r="Q165" t="s">
        <v>88</v>
      </c>
      <c r="R165" t="s">
        <v>88</v>
      </c>
      <c r="S165" t="s">
        <v>88</v>
      </c>
      <c r="T165" t="s">
        <v>88</v>
      </c>
      <c r="U165" t="s">
        <v>88</v>
      </c>
      <c r="V165" t="s">
        <v>20</v>
      </c>
    </row>
    <row r="166" spans="1:22" x14ac:dyDescent="0.45">
      <c r="A166" s="79">
        <v>115342444</v>
      </c>
      <c r="B166" s="29" t="str">
        <f t="shared" si="10"/>
        <v>11.534.244-4</v>
      </c>
      <c r="C166" s="22" t="str">
        <f>IF(IFERROR(VLOOKUP(A166,$A$10:$I165,1,0),0)=0,"",VLOOKUP(A166,$A$10:$I165,3,0))</f>
        <v>UCO</v>
      </c>
      <c r="D166" s="29" t="str">
        <f>IF(IFERROR(VLOOKUP(A166,$A$10:$I165,1,0),0)=0,"",VLOOKUP(A166,$A$10:$I165,4,0))</f>
        <v>DANIEL</v>
      </c>
      <c r="E166" s="29" t="str">
        <f>IF(IFERROR(VLOOKUP(A166,$A$10:$I165,1,0),0)=0,"",VLOOKUP(A166,$A$10:$I165,5,0))</f>
        <v>PARRA</v>
      </c>
      <c r="F166" s="29" t="str">
        <f>IF(IFERROR(VLOOKUP(A166,$A$10:$I165,1,0),0)=0,"",VLOOKUP(A166,$A$10:$I165,6,0))</f>
        <v>HINOJOSA</v>
      </c>
      <c r="G166" s="49">
        <f>IF(IFERROR(VLOOKUP(A166,$A$10:$I165,1,0),0)=0,"",VLOOKUP(A166,$A$10:$I165,7,0))</f>
        <v>45617</v>
      </c>
      <c r="H166" s="29"/>
      <c r="I166" s="29"/>
      <c r="J166" s="29" t="s">
        <v>46</v>
      </c>
      <c r="K166" s="24" t="s">
        <v>47</v>
      </c>
      <c r="L166" s="49">
        <v>45617</v>
      </c>
      <c r="M166" s="49">
        <v>45622</v>
      </c>
      <c r="N166" s="34">
        <f t="shared" si="11"/>
        <v>5</v>
      </c>
      <c r="O166" s="29"/>
      <c r="P166" s="29"/>
      <c r="Q166" t="s">
        <v>88</v>
      </c>
      <c r="R166" t="s">
        <v>88</v>
      </c>
      <c r="S166" t="s">
        <v>88</v>
      </c>
      <c r="T166" t="s">
        <v>88</v>
      </c>
      <c r="U166" t="s">
        <v>88</v>
      </c>
      <c r="V166" t="s">
        <v>20</v>
      </c>
    </row>
    <row r="167" spans="1:22" x14ac:dyDescent="0.45">
      <c r="A167" s="79">
        <v>108418745</v>
      </c>
      <c r="B167" s="29" t="str">
        <f t="shared" si="10"/>
        <v>10.841.874-5</v>
      </c>
      <c r="C167" s="22" t="s">
        <v>30</v>
      </c>
      <c r="D167" s="29" t="s">
        <v>1039</v>
      </c>
      <c r="E167" s="29" t="s">
        <v>457</v>
      </c>
      <c r="F167" s="29" t="s">
        <v>1587</v>
      </c>
      <c r="G167" s="49">
        <v>45621</v>
      </c>
      <c r="H167" s="49">
        <v>45623</v>
      </c>
      <c r="I167" s="29"/>
      <c r="J167" s="29" t="s">
        <v>24</v>
      </c>
      <c r="K167" s="24" t="s">
        <v>43</v>
      </c>
      <c r="L167" s="49">
        <v>45621</v>
      </c>
      <c r="M167" s="49">
        <v>45623</v>
      </c>
      <c r="N167" s="34">
        <f t="shared" si="11"/>
        <v>2</v>
      </c>
      <c r="O167" s="29"/>
      <c r="P167" s="29"/>
      <c r="Q167" t="s">
        <v>88</v>
      </c>
      <c r="R167" t="s">
        <v>88</v>
      </c>
      <c r="S167" t="s">
        <v>88</v>
      </c>
      <c r="T167" t="s">
        <v>88</v>
      </c>
      <c r="U167" t="s">
        <v>88</v>
      </c>
      <c r="V167" t="s">
        <v>20</v>
      </c>
    </row>
    <row r="168" spans="1:22" x14ac:dyDescent="0.45">
      <c r="A168" s="79">
        <v>108418745</v>
      </c>
      <c r="B168" s="29" t="str">
        <f t="shared" si="10"/>
        <v>10.841.874-5</v>
      </c>
      <c r="C168" s="22" t="str">
        <f>IF(IFERROR(VLOOKUP(A168,$A$10:$I167,1,0),0)=0,"",VLOOKUP(A168,$A$10:$I167,3,0))</f>
        <v>UCO</v>
      </c>
      <c r="D168" s="29" t="str">
        <f>IF(IFERROR(VLOOKUP(A168,$A$10:$I167,1,0),0)=0,"",VLOOKUP(A168,$A$10:$I167,4,0))</f>
        <v>ANTONIO</v>
      </c>
      <c r="E168" s="29" t="str">
        <f>IF(IFERROR(VLOOKUP(A168,$A$10:$I167,1,0),0)=0,"",VLOOKUP(A168,$A$10:$I167,5,0))</f>
        <v>CANALES</v>
      </c>
      <c r="F168" s="29" t="str">
        <f>IF(IFERROR(VLOOKUP(A168,$A$10:$I167,1,0),0)=0,"",VLOOKUP(A168,$A$10:$I167,6,0))</f>
        <v>GREEN</v>
      </c>
      <c r="G168" s="49">
        <f>IF(IFERROR(VLOOKUP(A168,$A$10:$I167,1,0),0)=0,"",VLOOKUP(A168,$A$10:$I167,7,0))</f>
        <v>45621</v>
      </c>
      <c r="H168" s="49">
        <v>45623</v>
      </c>
      <c r="I168" s="29"/>
      <c r="J168" s="29" t="s">
        <v>24</v>
      </c>
      <c r="K168" s="24" t="s">
        <v>47</v>
      </c>
      <c r="L168" s="49">
        <v>45621</v>
      </c>
      <c r="M168" s="49">
        <v>45623</v>
      </c>
      <c r="N168" s="34">
        <f t="shared" si="11"/>
        <v>2</v>
      </c>
      <c r="O168" s="29"/>
      <c r="P168" s="29"/>
      <c r="Q168" t="s">
        <v>88</v>
      </c>
      <c r="R168" t="s">
        <v>88</v>
      </c>
      <c r="S168" t="s">
        <v>88</v>
      </c>
      <c r="T168" t="s">
        <v>88</v>
      </c>
      <c r="U168" t="s">
        <v>88</v>
      </c>
      <c r="V168" t="s">
        <v>20</v>
      </c>
    </row>
    <row r="169" spans="1:22" x14ac:dyDescent="0.45">
      <c r="A169" s="79">
        <v>86017776</v>
      </c>
      <c r="B169" s="29" t="str">
        <f t="shared" si="10"/>
        <v>8.601.777-6</v>
      </c>
      <c r="C169" s="22" t="s">
        <v>30</v>
      </c>
      <c r="D169" s="29" t="s">
        <v>1193</v>
      </c>
      <c r="E169" s="29" t="s">
        <v>736</v>
      </c>
      <c r="F169" s="29" t="s">
        <v>1116</v>
      </c>
      <c r="G169" s="49">
        <v>45619</v>
      </c>
      <c r="H169" s="49">
        <v>45622</v>
      </c>
      <c r="I169" s="29"/>
      <c r="J169" s="29"/>
      <c r="K169" s="24" t="s">
        <v>43</v>
      </c>
      <c r="L169" s="49">
        <v>45619</v>
      </c>
      <c r="M169" s="49">
        <v>45622</v>
      </c>
      <c r="N169" s="34">
        <f t="shared" si="11"/>
        <v>3</v>
      </c>
      <c r="O169" s="29"/>
      <c r="P169" s="29"/>
      <c r="Q169" t="s">
        <v>88</v>
      </c>
      <c r="R169" t="s">
        <v>88</v>
      </c>
      <c r="S169" t="s">
        <v>88</v>
      </c>
      <c r="T169" t="s">
        <v>88</v>
      </c>
      <c r="U169" t="s">
        <v>88</v>
      </c>
      <c r="V169" t="s">
        <v>20</v>
      </c>
    </row>
    <row r="170" spans="1:22" x14ac:dyDescent="0.45">
      <c r="A170" s="79">
        <v>76311684</v>
      </c>
      <c r="B170" s="29" t="str">
        <f t="shared" si="10"/>
        <v>7.631.168-4</v>
      </c>
      <c r="C170" s="22" t="s">
        <v>38</v>
      </c>
      <c r="D170" s="29" t="s">
        <v>850</v>
      </c>
      <c r="E170" s="29" t="s">
        <v>1588</v>
      </c>
      <c r="F170" s="29" t="s">
        <v>844</v>
      </c>
      <c r="G170" s="49">
        <v>45607</v>
      </c>
      <c r="H170" s="49">
        <v>45609</v>
      </c>
      <c r="I170" s="29"/>
      <c r="J170" s="29"/>
      <c r="K170" s="24" t="s">
        <v>43</v>
      </c>
      <c r="L170" s="49">
        <v>45607</v>
      </c>
      <c r="M170" s="49">
        <v>45609</v>
      </c>
      <c r="N170" s="34">
        <f t="shared" si="11"/>
        <v>2</v>
      </c>
      <c r="O170" s="29"/>
      <c r="P170" s="29"/>
      <c r="Q170" t="s">
        <v>88</v>
      </c>
      <c r="R170" t="s">
        <v>88</v>
      </c>
      <c r="S170" t="s">
        <v>88</v>
      </c>
      <c r="T170" t="s">
        <v>88</v>
      </c>
      <c r="U170" t="s">
        <v>88</v>
      </c>
      <c r="V170" t="s">
        <v>20</v>
      </c>
    </row>
    <row r="171" spans="1:22" x14ac:dyDescent="0.45">
      <c r="A171" s="79">
        <v>76311684</v>
      </c>
      <c r="B171" s="29" t="str">
        <f t="shared" si="10"/>
        <v>7.631.168-4</v>
      </c>
      <c r="C171" s="22" t="str">
        <f>IF(IFERROR(VLOOKUP(A171,$A$10:$I170,1,0),0)=0,"",VLOOKUP(A171,$A$10:$I170,3,0))</f>
        <v xml:space="preserve">Sala de cuidados intermedios </v>
      </c>
      <c r="D171" s="29" t="str">
        <f>IF(IFERROR(VLOOKUP(A171,$A$10:$I170,1,0),0)=0,"",VLOOKUP(A171,$A$10:$I170,4,0))</f>
        <v>MOISES</v>
      </c>
      <c r="E171" s="29" t="str">
        <f>IF(IFERROR(VLOOKUP(A171,$A$10:$I170,1,0),0)=0,"",VLOOKUP(A171,$A$10:$I170,5,0))</f>
        <v>BASCUR</v>
      </c>
      <c r="F171" s="29" t="str">
        <f>IF(IFERROR(VLOOKUP(A171,$A$10:$I170,1,0),0)=0,"",VLOOKUP(A171,$A$10:$I170,6,0))</f>
        <v>OSSES</v>
      </c>
      <c r="G171" s="49">
        <f>IF(IFERROR(VLOOKUP(A171,$A$10:$I170,1,0),0)=0,"",VLOOKUP(A171,$A$10:$I170,7,0))</f>
        <v>45607</v>
      </c>
      <c r="H171" s="49">
        <v>45609</v>
      </c>
      <c r="I171" s="29"/>
      <c r="J171" s="29"/>
      <c r="K171" s="24" t="s">
        <v>47</v>
      </c>
      <c r="L171" s="49">
        <v>45607</v>
      </c>
      <c r="M171" s="49">
        <v>45609</v>
      </c>
      <c r="N171" s="34">
        <f t="shared" si="11"/>
        <v>2</v>
      </c>
      <c r="O171" s="29"/>
      <c r="P171" s="29"/>
      <c r="Q171" t="s">
        <v>88</v>
      </c>
      <c r="R171" t="s">
        <v>88</v>
      </c>
      <c r="S171" t="s">
        <v>88</v>
      </c>
      <c r="T171" t="s">
        <v>88</v>
      </c>
      <c r="U171" t="s">
        <v>88</v>
      </c>
      <c r="V171" t="s">
        <v>20</v>
      </c>
    </row>
    <row r="172" spans="1:22" x14ac:dyDescent="0.45">
      <c r="A172" s="79" t="s">
        <v>1589</v>
      </c>
      <c r="B172" s="29" t="str">
        <f t="shared" si="10"/>
        <v>7.850.286-k</v>
      </c>
      <c r="C172" s="22" t="s">
        <v>38</v>
      </c>
      <c r="D172" s="29" t="s">
        <v>793</v>
      </c>
      <c r="E172" s="29" t="s">
        <v>767</v>
      </c>
      <c r="F172" s="29" t="s">
        <v>267</v>
      </c>
      <c r="G172" s="49">
        <v>45609</v>
      </c>
      <c r="H172" s="49">
        <v>45610</v>
      </c>
      <c r="I172" s="29"/>
      <c r="J172" s="29"/>
      <c r="K172" s="24" t="s">
        <v>39</v>
      </c>
      <c r="L172" s="49">
        <v>45609</v>
      </c>
      <c r="M172" s="49">
        <v>45610</v>
      </c>
      <c r="N172" s="34">
        <f t="shared" si="11"/>
        <v>1</v>
      </c>
      <c r="O172" s="29"/>
      <c r="P172" s="29"/>
      <c r="Q172" t="s">
        <v>88</v>
      </c>
      <c r="R172" t="s">
        <v>88</v>
      </c>
      <c r="S172" t="s">
        <v>88</v>
      </c>
      <c r="T172" t="s">
        <v>88</v>
      </c>
      <c r="U172" t="s">
        <v>88</v>
      </c>
      <c r="V172" t="s">
        <v>20</v>
      </c>
    </row>
    <row r="173" spans="1:22" x14ac:dyDescent="0.45">
      <c r="A173" s="79">
        <v>82590161</v>
      </c>
      <c r="B173" s="29" t="str">
        <f t="shared" si="10"/>
        <v>8.259.016-1</v>
      </c>
      <c r="C173" s="22" t="s">
        <v>38</v>
      </c>
      <c r="D173" s="29" t="s">
        <v>481</v>
      </c>
      <c r="E173" s="29" t="s">
        <v>307</v>
      </c>
      <c r="F173" s="29" t="s">
        <v>262</v>
      </c>
      <c r="G173" s="49">
        <v>45607</v>
      </c>
      <c r="H173" s="49">
        <v>45609</v>
      </c>
      <c r="I173" s="29"/>
      <c r="J173" s="29" t="s">
        <v>24</v>
      </c>
      <c r="K173" s="24" t="s">
        <v>47</v>
      </c>
      <c r="L173" s="49">
        <v>45607</v>
      </c>
      <c r="M173" s="49">
        <v>45609</v>
      </c>
      <c r="N173" s="34">
        <f t="shared" si="11"/>
        <v>2</v>
      </c>
      <c r="O173" s="29"/>
      <c r="P173" s="29"/>
      <c r="Q173" t="s">
        <v>88</v>
      </c>
      <c r="R173" t="s">
        <v>88</v>
      </c>
      <c r="S173" t="s">
        <v>88</v>
      </c>
      <c r="T173" t="s">
        <v>88</v>
      </c>
      <c r="U173" t="s">
        <v>88</v>
      </c>
      <c r="V173" t="s">
        <v>20</v>
      </c>
    </row>
    <row r="174" spans="1:22" x14ac:dyDescent="0.45">
      <c r="A174" s="79">
        <v>104208010</v>
      </c>
      <c r="B174" s="29" t="str">
        <f t="shared" si="10"/>
        <v>10.420.801-0</v>
      </c>
      <c r="C174" s="22" t="s">
        <v>38</v>
      </c>
      <c r="D174" s="29" t="s">
        <v>1590</v>
      </c>
      <c r="E174" s="29" t="s">
        <v>285</v>
      </c>
      <c r="F174" s="29" t="s">
        <v>364</v>
      </c>
      <c r="G174" s="49">
        <v>45609</v>
      </c>
      <c r="H174" s="49">
        <v>45611</v>
      </c>
      <c r="I174" s="29"/>
      <c r="J174" s="29" t="s">
        <v>24</v>
      </c>
      <c r="K174" s="24" t="s">
        <v>43</v>
      </c>
      <c r="L174" s="49">
        <v>45609</v>
      </c>
      <c r="M174" s="49">
        <v>45611</v>
      </c>
      <c r="N174" s="34">
        <f t="shared" si="11"/>
        <v>2</v>
      </c>
      <c r="O174" s="29"/>
      <c r="P174" s="29"/>
      <c r="Q174" t="s">
        <v>88</v>
      </c>
      <c r="R174" t="s">
        <v>88</v>
      </c>
      <c r="S174" t="s">
        <v>88</v>
      </c>
      <c r="T174" t="s">
        <v>88</v>
      </c>
      <c r="U174" t="s">
        <v>88</v>
      </c>
      <c r="V174" t="s">
        <v>20</v>
      </c>
    </row>
    <row r="175" spans="1:22" x14ac:dyDescent="0.45">
      <c r="A175" s="79">
        <v>112369678</v>
      </c>
      <c r="B175" s="29" t="str">
        <f t="shared" si="10"/>
        <v>11.236.967-8</v>
      </c>
      <c r="C175" s="22" t="s">
        <v>30</v>
      </c>
      <c r="D175" s="29" t="s">
        <v>1591</v>
      </c>
      <c r="E175" s="29" t="s">
        <v>289</v>
      </c>
      <c r="F175" s="29" t="s">
        <v>1037</v>
      </c>
      <c r="G175" s="49">
        <v>45615</v>
      </c>
      <c r="H175" s="49">
        <v>45616</v>
      </c>
      <c r="I175" s="29"/>
      <c r="J175" s="29" t="s">
        <v>22</v>
      </c>
      <c r="K175" s="24" t="s">
        <v>43</v>
      </c>
      <c r="L175" s="49">
        <v>45615</v>
      </c>
      <c r="M175" s="49">
        <v>45616</v>
      </c>
      <c r="N175" s="34">
        <f t="shared" si="11"/>
        <v>1</v>
      </c>
      <c r="O175" s="29"/>
      <c r="P175" s="29"/>
      <c r="Q175" t="s">
        <v>88</v>
      </c>
      <c r="R175" t="s">
        <v>88</v>
      </c>
      <c r="S175" t="s">
        <v>88</v>
      </c>
      <c r="T175" t="s">
        <v>88</v>
      </c>
      <c r="U175" t="s">
        <v>88</v>
      </c>
      <c r="V175" t="s">
        <v>20</v>
      </c>
    </row>
    <row r="176" spans="1:22" x14ac:dyDescent="0.45">
      <c r="A176" s="79">
        <v>113013613</v>
      </c>
      <c r="B176" s="29" t="str">
        <f t="shared" si="10"/>
        <v>11.301.361-3</v>
      </c>
      <c r="C176" s="22" t="s">
        <v>30</v>
      </c>
      <c r="D176" s="29" t="s">
        <v>475</v>
      </c>
      <c r="E176" s="29" t="s">
        <v>859</v>
      </c>
      <c r="F176" s="29" t="s">
        <v>363</v>
      </c>
      <c r="G176" s="49">
        <v>45614</v>
      </c>
      <c r="H176" s="49">
        <v>45617</v>
      </c>
      <c r="I176" s="29"/>
      <c r="J176" s="29"/>
      <c r="K176" s="24" t="s">
        <v>43</v>
      </c>
      <c r="L176" s="49">
        <v>45614</v>
      </c>
      <c r="M176" s="49">
        <v>45617</v>
      </c>
      <c r="N176" s="34">
        <f t="shared" si="11"/>
        <v>3</v>
      </c>
      <c r="O176" s="29"/>
      <c r="P176" s="29"/>
      <c r="Q176" t="s">
        <v>88</v>
      </c>
      <c r="R176" t="s">
        <v>88</v>
      </c>
      <c r="S176" t="s">
        <v>88</v>
      </c>
      <c r="T176" t="s">
        <v>88</v>
      </c>
      <c r="U176" t="s">
        <v>88</v>
      </c>
      <c r="V176" t="s">
        <v>20</v>
      </c>
    </row>
    <row r="177" spans="1:22" x14ac:dyDescent="0.45">
      <c r="A177" s="79">
        <v>113013613</v>
      </c>
      <c r="B177" s="29" t="str">
        <f t="shared" si="10"/>
        <v>11.301.361-3</v>
      </c>
      <c r="C177" s="22" t="str">
        <f>IF(IFERROR(VLOOKUP(A177,$A$10:$I176,1,0),0)=0,"",VLOOKUP(A177,$A$10:$I176,3,0))</f>
        <v>UCO</v>
      </c>
      <c r="D177" s="29" t="str">
        <f>IF(IFERROR(VLOOKUP(A177,$A$10:$I176,1,0),0)=0,"",VLOOKUP(A177,$A$10:$I176,4,0))</f>
        <v>ROSA</v>
      </c>
      <c r="E177" s="29" t="str">
        <f>IF(IFERROR(VLOOKUP(A177,$A$10:$I176,1,0),0)=0,"",VLOOKUP(A177,$A$10:$I176,5,0))</f>
        <v>CORREA</v>
      </c>
      <c r="F177" s="29" t="str">
        <f>IF(IFERROR(VLOOKUP(A177,$A$10:$I176,1,0),0)=0,"",VLOOKUP(A177,$A$10:$I176,6,0))</f>
        <v>DIAZ</v>
      </c>
      <c r="G177" s="49">
        <f>IF(IFERROR(VLOOKUP(A177,$A$10:$I176,1,0),0)=0,"",VLOOKUP(A177,$A$10:$I176,7,0))</f>
        <v>45614</v>
      </c>
      <c r="H177" s="29"/>
      <c r="I177" s="29"/>
      <c r="J177" s="29"/>
      <c r="K177" s="24" t="s">
        <v>47</v>
      </c>
      <c r="L177" s="49">
        <v>45614</v>
      </c>
      <c r="M177" s="49">
        <v>45615</v>
      </c>
      <c r="N177" s="34">
        <f t="shared" si="11"/>
        <v>1</v>
      </c>
      <c r="O177" s="29"/>
      <c r="P177" s="29"/>
      <c r="Q177" t="s">
        <v>88</v>
      </c>
      <c r="R177" t="s">
        <v>88</v>
      </c>
      <c r="S177" t="s">
        <v>88</v>
      </c>
      <c r="T177" t="s">
        <v>88</v>
      </c>
      <c r="U177" t="s">
        <v>88</v>
      </c>
      <c r="V177" t="s">
        <v>20</v>
      </c>
    </row>
    <row r="178" spans="1:22" x14ac:dyDescent="0.45">
      <c r="A178" s="79">
        <v>82822542</v>
      </c>
      <c r="B178" s="29" t="str">
        <f t="shared" si="10"/>
        <v>8.282.254-2</v>
      </c>
      <c r="C178" s="22" t="s">
        <v>30</v>
      </c>
      <c r="D178" s="29" t="s">
        <v>515</v>
      </c>
      <c r="E178" s="29" t="s">
        <v>1592</v>
      </c>
      <c r="F178" s="29" t="s">
        <v>422</v>
      </c>
      <c r="G178" s="49">
        <v>45614</v>
      </c>
      <c r="H178" s="49">
        <v>45617</v>
      </c>
      <c r="I178" s="29"/>
      <c r="J178" s="29" t="s">
        <v>24</v>
      </c>
      <c r="K178" s="24" t="s">
        <v>43</v>
      </c>
      <c r="L178" s="49">
        <v>45614</v>
      </c>
      <c r="M178" s="49">
        <v>45617</v>
      </c>
      <c r="N178" s="34">
        <f t="shared" si="11"/>
        <v>3</v>
      </c>
      <c r="O178" s="29"/>
      <c r="P178" s="29"/>
      <c r="Q178" t="s">
        <v>88</v>
      </c>
      <c r="R178" t="s">
        <v>88</v>
      </c>
      <c r="S178" t="s">
        <v>88</v>
      </c>
      <c r="T178" t="s">
        <v>88</v>
      </c>
      <c r="U178" t="s">
        <v>88</v>
      </c>
      <c r="V178" t="s">
        <v>20</v>
      </c>
    </row>
    <row r="179" spans="1:22" x14ac:dyDescent="0.45">
      <c r="A179" s="79">
        <v>82822542</v>
      </c>
      <c r="B179" s="29" t="str">
        <f t="shared" ref="B179:B210" si="12">IF(LEN(A179)=8,MID(A179,1,1)&amp;"."&amp;MID(A179,2,3)&amp;"."&amp;MID(A179,5,3)&amp;"-"&amp;RIGHT(A179,1),IF(LEFT(RIGHT(A179,2),1)="-",MID(A179,1,1)&amp;"."&amp;MID(A179,2,3)&amp;"."&amp;MID(A179,5,3)&amp;"-"&amp;RIGHT(A179,1),MID(A179,1,2)&amp;"."&amp;MID(A179,3,3)&amp;"."&amp;MID(A179,6,3)&amp;"-"&amp;MID(A179,9,1)))</f>
        <v>8.282.254-2</v>
      </c>
      <c r="C179" s="22" t="str">
        <f>IF(IFERROR(VLOOKUP(A179,$A$10:$I178,1,0),0)=0,"",VLOOKUP(A179,$A$10:$I178,3,0))</f>
        <v>UCO</v>
      </c>
      <c r="D179" s="29" t="str">
        <f>IF(IFERROR(VLOOKUP(A179,$A$10:$I178,1,0),0)=0,"",VLOOKUP(A179,$A$10:$I178,4,0))</f>
        <v>CESAR</v>
      </c>
      <c r="E179" s="29" t="str">
        <f>IF(IFERROR(VLOOKUP(A179,$A$10:$I178,1,0),0)=0,"",VLOOKUP(A179,$A$10:$I178,5,0))</f>
        <v>SANTUBER</v>
      </c>
      <c r="F179" s="29" t="str">
        <f>IF(IFERROR(VLOOKUP(A179,$A$10:$I178,1,0),0)=0,"",VLOOKUP(A179,$A$10:$I178,6,0))</f>
        <v>TORRES</v>
      </c>
      <c r="G179" s="49">
        <f>IF(IFERROR(VLOOKUP(A179,$A$10:$I178,1,0),0)=0,"",VLOOKUP(A179,$A$10:$I178,7,0))</f>
        <v>45614</v>
      </c>
      <c r="H179" s="29"/>
      <c r="I179" s="29"/>
      <c r="J179" s="29"/>
      <c r="K179" s="24" t="s">
        <v>47</v>
      </c>
      <c r="L179" s="49">
        <v>45614</v>
      </c>
      <c r="M179" s="49">
        <v>45616</v>
      </c>
      <c r="N179" s="34">
        <f t="shared" si="11"/>
        <v>2</v>
      </c>
      <c r="O179" s="29"/>
      <c r="P179" s="29"/>
      <c r="Q179" t="s">
        <v>88</v>
      </c>
      <c r="R179" t="s">
        <v>88</v>
      </c>
      <c r="S179" t="s">
        <v>88</v>
      </c>
      <c r="T179" t="s">
        <v>88</v>
      </c>
      <c r="U179" t="s">
        <v>88</v>
      </c>
      <c r="V179" t="s">
        <v>20</v>
      </c>
    </row>
    <row r="180" spans="1:22" x14ac:dyDescent="0.45">
      <c r="A180" s="79">
        <v>91961695</v>
      </c>
      <c r="B180" s="29" t="str">
        <f t="shared" si="12"/>
        <v>9.196.169-5</v>
      </c>
      <c r="C180" s="22" t="s">
        <v>30</v>
      </c>
      <c r="D180" s="29" t="s">
        <v>548</v>
      </c>
      <c r="E180" s="29" t="s">
        <v>1287</v>
      </c>
      <c r="F180" s="29" t="s">
        <v>1593</v>
      </c>
      <c r="G180" s="49">
        <v>45615</v>
      </c>
      <c r="H180" s="49">
        <v>45618</v>
      </c>
      <c r="I180" s="29"/>
      <c r="J180" s="29"/>
      <c r="K180" s="24" t="s">
        <v>43</v>
      </c>
      <c r="L180" s="49">
        <v>45615</v>
      </c>
      <c r="M180" s="49">
        <v>45618</v>
      </c>
      <c r="N180" s="34">
        <f t="shared" si="11"/>
        <v>3</v>
      </c>
      <c r="O180" s="29"/>
      <c r="P180" s="29"/>
      <c r="Q180" t="s">
        <v>88</v>
      </c>
      <c r="R180" t="s">
        <v>88</v>
      </c>
      <c r="S180" t="s">
        <v>88</v>
      </c>
      <c r="T180" t="s">
        <v>88</v>
      </c>
      <c r="U180" t="s">
        <v>88</v>
      </c>
      <c r="V180" t="s">
        <v>20</v>
      </c>
    </row>
    <row r="181" spans="1:22" x14ac:dyDescent="0.45">
      <c r="A181" s="79">
        <v>91961695</v>
      </c>
      <c r="B181" s="29" t="str">
        <f t="shared" si="12"/>
        <v>9.196.169-5</v>
      </c>
      <c r="C181" s="22" t="str">
        <f>IF(IFERROR(VLOOKUP(A181,$A$10:$I180,1,0),0)=0,"",VLOOKUP(A181,$A$10:$I180,3,0))</f>
        <v>UCO</v>
      </c>
      <c r="D181" s="29" t="str">
        <f>IF(IFERROR(VLOOKUP(A181,$A$10:$I180,1,0),0)=0,"",VLOOKUP(A181,$A$10:$I180,4,0))</f>
        <v>EDUARDO</v>
      </c>
      <c r="E181" s="29" t="str">
        <f>IF(IFERROR(VLOOKUP(A181,$A$10:$I180,1,0),0)=0,"",VLOOKUP(A181,$A$10:$I180,5,0))</f>
        <v>ARANCIBIA</v>
      </c>
      <c r="F181" s="29" t="str">
        <f>IF(IFERROR(VLOOKUP(A181,$A$10:$I180,1,0),0)=0,"",VLOOKUP(A181,$A$10:$I180,6,0))</f>
        <v>JORQUERA</v>
      </c>
      <c r="G181" s="49">
        <f>IF(IFERROR(VLOOKUP(A181,$A$10:$I180,1,0),0)=0,"",VLOOKUP(A181,$A$10:$I180,7,0))</f>
        <v>45615</v>
      </c>
      <c r="H181" s="49">
        <v>45618</v>
      </c>
      <c r="I181" s="29"/>
      <c r="J181" s="29"/>
      <c r="K181" s="24" t="s">
        <v>47</v>
      </c>
      <c r="L181" s="49">
        <v>45615</v>
      </c>
      <c r="M181" s="49">
        <v>45616</v>
      </c>
      <c r="N181" s="34">
        <f t="shared" si="11"/>
        <v>1</v>
      </c>
      <c r="O181" s="29"/>
      <c r="P181" s="29"/>
      <c r="Q181" t="s">
        <v>88</v>
      </c>
      <c r="R181" t="s">
        <v>88</v>
      </c>
      <c r="S181" t="s">
        <v>88</v>
      </c>
      <c r="T181" t="s">
        <v>88</v>
      </c>
      <c r="U181" t="s">
        <v>88</v>
      </c>
      <c r="V181" t="s">
        <v>20</v>
      </c>
    </row>
    <row r="182" spans="1:22" x14ac:dyDescent="0.45">
      <c r="A182" s="79">
        <v>91961695</v>
      </c>
      <c r="B182" s="29" t="str">
        <f t="shared" si="12"/>
        <v>9.196.169-5</v>
      </c>
      <c r="C182" s="22" t="str">
        <f>IF(IFERROR(VLOOKUP(A182,$A$10:$I181,1,0),0)=0,"",VLOOKUP(A182,$A$10:$I181,3,0))</f>
        <v>UCO</v>
      </c>
      <c r="D182" s="29" t="str">
        <f>IF(IFERROR(VLOOKUP(A182,$A$10:$I181,1,0),0)=0,"",VLOOKUP(A182,$A$10:$I181,4,0))</f>
        <v>EDUARDO</v>
      </c>
      <c r="E182" s="29" t="str">
        <f>IF(IFERROR(VLOOKUP(A182,$A$10:$I181,1,0),0)=0,"",VLOOKUP(A182,$A$10:$I181,5,0))</f>
        <v>ARANCIBIA</v>
      </c>
      <c r="F182" s="29" t="str">
        <f>IF(IFERROR(VLOOKUP(A182,$A$10:$I181,1,0),0)=0,"",VLOOKUP(A182,$A$10:$I181,6,0))</f>
        <v>JORQUERA</v>
      </c>
      <c r="G182" s="49">
        <f>IF(IFERROR(VLOOKUP(A182,$A$10:$I181,1,0),0)=0,"",VLOOKUP(A182,$A$10:$I181,7,0))</f>
        <v>45615</v>
      </c>
      <c r="H182" s="49">
        <v>45619</v>
      </c>
      <c r="I182" s="29"/>
      <c r="J182" s="29"/>
      <c r="K182" s="24" t="s">
        <v>55</v>
      </c>
      <c r="L182" s="49">
        <v>45615</v>
      </c>
      <c r="M182" s="49">
        <v>45615</v>
      </c>
      <c r="N182" s="34">
        <f t="shared" si="11"/>
        <v>0</v>
      </c>
      <c r="O182" s="29"/>
      <c r="P182" s="29"/>
      <c r="Q182" t="s">
        <v>88</v>
      </c>
      <c r="R182" t="s">
        <v>88</v>
      </c>
      <c r="S182" t="s">
        <v>88</v>
      </c>
      <c r="T182" t="s">
        <v>88</v>
      </c>
      <c r="U182" t="s">
        <v>88</v>
      </c>
      <c r="V182" t="s">
        <v>20</v>
      </c>
    </row>
    <row r="183" spans="1:22" x14ac:dyDescent="0.45">
      <c r="A183" s="79">
        <v>99833793</v>
      </c>
      <c r="B183" s="29" t="str">
        <f t="shared" si="12"/>
        <v>9.983.379-3</v>
      </c>
      <c r="C183" s="22" t="s">
        <v>22</v>
      </c>
      <c r="D183" s="29" t="str">
        <f>IF(IFERROR(VLOOKUP(A183,$A$10:$I182,1,0),0)=0,"",VLOOKUP(A183,$A$10:$I182,4,0))</f>
        <v>ERNESTO</v>
      </c>
      <c r="E183" s="29" t="str">
        <f>IF(IFERROR(VLOOKUP(A183,$A$10:$I182,1,0),0)=0,"",VLOOKUP(A183,$A$10:$I182,5,0))</f>
        <v>PARADA</v>
      </c>
      <c r="F183" s="29" t="str">
        <f>IF(IFERROR(VLOOKUP(A183,$A$10:$I182,1,0),0)=0,"",VLOOKUP(A183,$A$10:$I182,6,0))</f>
        <v>MILLABUR</v>
      </c>
      <c r="G183" s="49">
        <v>45611</v>
      </c>
      <c r="H183" s="49">
        <v>45628</v>
      </c>
      <c r="I183" s="29"/>
      <c r="J183" s="29" t="s">
        <v>22</v>
      </c>
      <c r="K183" s="24" t="s">
        <v>43</v>
      </c>
      <c r="L183" s="49">
        <v>45611</v>
      </c>
      <c r="M183" s="49">
        <v>45620</v>
      </c>
      <c r="N183" s="34">
        <f t="shared" si="11"/>
        <v>9</v>
      </c>
      <c r="O183" s="29"/>
      <c r="P183" s="29"/>
      <c r="Q183" t="s">
        <v>88</v>
      </c>
      <c r="R183" t="s">
        <v>88</v>
      </c>
      <c r="S183" t="s">
        <v>88</v>
      </c>
      <c r="T183" t="s">
        <v>88</v>
      </c>
      <c r="U183" t="s">
        <v>88</v>
      </c>
      <c r="V183" t="s">
        <v>20</v>
      </c>
    </row>
    <row r="184" spans="1:22" x14ac:dyDescent="0.45">
      <c r="A184" s="79">
        <v>99833793</v>
      </c>
      <c r="B184" s="29" t="str">
        <f t="shared" si="12"/>
        <v>9.983.379-3</v>
      </c>
      <c r="C184" s="22" t="s">
        <v>22</v>
      </c>
      <c r="D184" s="29" t="str">
        <f>IF(IFERROR(VLOOKUP(A184,$A$10:$I183,1,0),0)=0,"",VLOOKUP(A184,$A$10:$I183,4,0))</f>
        <v>ERNESTO</v>
      </c>
      <c r="E184" s="29" t="str">
        <f>IF(IFERROR(VLOOKUP(A184,$A$10:$I183,1,0),0)=0,"",VLOOKUP(A184,$A$10:$I183,5,0))</f>
        <v>PARADA</v>
      </c>
      <c r="F184" s="29" t="str">
        <f>IF(IFERROR(VLOOKUP(A184,$A$10:$I183,1,0),0)=0,"",VLOOKUP(A184,$A$10:$I183,6,0))</f>
        <v>MILLABUR</v>
      </c>
      <c r="G184" s="49">
        <v>45611</v>
      </c>
      <c r="H184" s="49">
        <v>45628</v>
      </c>
      <c r="I184" s="29"/>
      <c r="J184" s="29" t="s">
        <v>22</v>
      </c>
      <c r="K184" s="24" t="s">
        <v>47</v>
      </c>
      <c r="L184" s="49">
        <v>45611</v>
      </c>
      <c r="M184" s="49">
        <v>45622</v>
      </c>
      <c r="N184" s="34">
        <f t="shared" si="11"/>
        <v>11</v>
      </c>
      <c r="O184" s="29"/>
      <c r="P184" s="29"/>
      <c r="Q184" t="s">
        <v>88</v>
      </c>
      <c r="R184" t="s">
        <v>88</v>
      </c>
      <c r="S184" t="s">
        <v>88</v>
      </c>
      <c r="T184" t="s">
        <v>88</v>
      </c>
      <c r="U184" t="s">
        <v>88</v>
      </c>
      <c r="V184" t="s">
        <v>20</v>
      </c>
    </row>
    <row r="185" spans="1:22" x14ac:dyDescent="0.45">
      <c r="A185" s="79">
        <v>99833793</v>
      </c>
      <c r="B185" s="29" t="str">
        <f t="shared" si="12"/>
        <v>9.983.379-3</v>
      </c>
      <c r="C185" s="22" t="s">
        <v>22</v>
      </c>
      <c r="D185" s="29" t="str">
        <f>IF(IFERROR(VLOOKUP(A185,$A$10:$I184,1,0),0)=0,"",VLOOKUP(A185,$A$10:$I184,4,0))</f>
        <v>ERNESTO</v>
      </c>
      <c r="E185" s="29" t="str">
        <f>IF(IFERROR(VLOOKUP(A185,$A$10:$I184,1,0),0)=0,"",VLOOKUP(A185,$A$10:$I184,5,0))</f>
        <v>PARADA</v>
      </c>
      <c r="F185" s="29" t="str">
        <f>IF(IFERROR(VLOOKUP(A185,$A$10:$I184,1,0),0)=0,"",VLOOKUP(A185,$A$10:$I184,6,0))</f>
        <v>MILLABUR</v>
      </c>
      <c r="G185" s="49">
        <v>45611</v>
      </c>
      <c r="H185" s="49">
        <v>45628</v>
      </c>
      <c r="I185" s="29"/>
      <c r="J185" s="29"/>
      <c r="K185" s="24" t="s">
        <v>55</v>
      </c>
      <c r="L185" s="49">
        <v>45611</v>
      </c>
      <c r="M185" s="49">
        <v>45626</v>
      </c>
      <c r="N185" s="34">
        <f t="shared" si="11"/>
        <v>15</v>
      </c>
      <c r="O185" s="29"/>
      <c r="P185" s="29"/>
      <c r="Q185" t="s">
        <v>88</v>
      </c>
      <c r="R185" t="s">
        <v>88</v>
      </c>
      <c r="S185" t="s">
        <v>88</v>
      </c>
      <c r="T185" t="s">
        <v>88</v>
      </c>
      <c r="U185" t="s">
        <v>88</v>
      </c>
      <c r="V185" t="s">
        <v>20</v>
      </c>
    </row>
    <row r="186" spans="1:22" x14ac:dyDescent="0.45">
      <c r="A186" s="79">
        <v>66572234</v>
      </c>
      <c r="B186" s="29" t="str">
        <f t="shared" si="12"/>
        <v>6.657.223-4</v>
      </c>
      <c r="C186" s="22" t="s">
        <v>22</v>
      </c>
      <c r="D186" s="29" t="str">
        <f>IF(IFERROR(VLOOKUP(A186,$A$10:$I185,1,0),0)=0,"",VLOOKUP(A186,$A$10:$I185,4,0))</f>
        <v>EDUARDO</v>
      </c>
      <c r="E186" s="29" t="str">
        <f>IF(IFERROR(VLOOKUP(A186,$A$10:$I185,1,0),0)=0,"",VLOOKUP(A186,$A$10:$I185,5,0))</f>
        <v>GONZÁLEZ</v>
      </c>
      <c r="F186" s="29" t="str">
        <f>IF(IFERROR(VLOOKUP(A186,$A$10:$I185,1,0),0)=0,"",VLOOKUP(A186,$A$10:$I185,6,0))</f>
        <v>CARTES</v>
      </c>
      <c r="G186" s="49">
        <v>45615</v>
      </c>
      <c r="H186" s="49">
        <v>45617</v>
      </c>
      <c r="I186" s="29"/>
      <c r="J186" s="29"/>
      <c r="K186" s="24" t="s">
        <v>43</v>
      </c>
      <c r="L186" s="49">
        <v>45615</v>
      </c>
      <c r="M186" s="49">
        <v>45617</v>
      </c>
      <c r="N186" s="34">
        <f t="shared" si="11"/>
        <v>2</v>
      </c>
      <c r="O186" s="29"/>
      <c r="P186" s="29"/>
      <c r="Q186" t="s">
        <v>88</v>
      </c>
      <c r="R186" t="s">
        <v>88</v>
      </c>
      <c r="S186" t="s">
        <v>88</v>
      </c>
      <c r="T186" t="s">
        <v>88</v>
      </c>
      <c r="U186" t="s">
        <v>88</v>
      </c>
      <c r="V186" t="s">
        <v>20</v>
      </c>
    </row>
    <row r="187" spans="1:22" x14ac:dyDescent="0.45">
      <c r="A187" s="79">
        <v>66572234</v>
      </c>
      <c r="B187" s="29" t="str">
        <f t="shared" si="12"/>
        <v>6.657.223-4</v>
      </c>
      <c r="C187" s="22" t="s">
        <v>22</v>
      </c>
      <c r="D187" s="29" t="str">
        <f>IF(IFERROR(VLOOKUP(A187,$A$10:$I186,1,0),0)=0,"",VLOOKUP(A187,$A$10:$I186,4,0))</f>
        <v>EDUARDO</v>
      </c>
      <c r="E187" s="29" t="str">
        <f>IF(IFERROR(VLOOKUP(A187,$A$10:$I186,1,0),0)=0,"",VLOOKUP(A187,$A$10:$I186,5,0))</f>
        <v>GONZÁLEZ</v>
      </c>
      <c r="F187" s="29" t="str">
        <f>IF(IFERROR(VLOOKUP(A187,$A$10:$I186,1,0),0)=0,"",VLOOKUP(A187,$A$10:$I186,6,0))</f>
        <v>CARTES</v>
      </c>
      <c r="G187" s="49">
        <v>45615</v>
      </c>
      <c r="H187" s="49">
        <v>45617</v>
      </c>
      <c r="I187" s="29"/>
      <c r="J187" s="29"/>
      <c r="K187" s="24" t="s">
        <v>47</v>
      </c>
      <c r="L187" s="49">
        <v>45615</v>
      </c>
      <c r="M187" s="49">
        <v>45617</v>
      </c>
      <c r="N187" s="34">
        <f t="shared" si="11"/>
        <v>2</v>
      </c>
      <c r="O187" s="29"/>
      <c r="P187" s="29"/>
      <c r="Q187" t="s">
        <v>88</v>
      </c>
      <c r="R187" t="s">
        <v>88</v>
      </c>
      <c r="S187" t="s">
        <v>88</v>
      </c>
      <c r="T187" t="s">
        <v>88</v>
      </c>
      <c r="U187" t="s">
        <v>88</v>
      </c>
      <c r="V187" t="s">
        <v>20</v>
      </c>
    </row>
    <row r="188" spans="1:22" x14ac:dyDescent="0.45">
      <c r="A188" s="79">
        <v>213740938</v>
      </c>
      <c r="B188" s="29" t="str">
        <f t="shared" si="12"/>
        <v>21.374.093-8</v>
      </c>
      <c r="C188" s="22" t="s">
        <v>22</v>
      </c>
      <c r="D188" s="29" t="s">
        <v>1594</v>
      </c>
      <c r="E188" s="29" t="s">
        <v>1172</v>
      </c>
      <c r="F188" s="29" t="s">
        <v>488</v>
      </c>
      <c r="G188" s="49">
        <v>45611</v>
      </c>
      <c r="H188" s="49">
        <v>45616</v>
      </c>
      <c r="I188" s="29" t="s">
        <v>22</v>
      </c>
      <c r="J188" s="29" t="s">
        <v>26</v>
      </c>
      <c r="K188" s="24" t="s">
        <v>47</v>
      </c>
      <c r="L188" s="49">
        <v>45611</v>
      </c>
      <c r="M188" s="49">
        <v>45616</v>
      </c>
      <c r="N188" s="34">
        <f t="shared" si="11"/>
        <v>5</v>
      </c>
      <c r="O188" s="29"/>
      <c r="P188" s="29"/>
      <c r="Q188" t="s">
        <v>88</v>
      </c>
      <c r="R188" t="s">
        <v>88</v>
      </c>
      <c r="S188" t="s">
        <v>88</v>
      </c>
      <c r="T188" t="s">
        <v>88</v>
      </c>
      <c r="U188" t="s">
        <v>88</v>
      </c>
      <c r="V188" t="s">
        <v>20</v>
      </c>
    </row>
    <row r="189" spans="1:22" x14ac:dyDescent="0.45">
      <c r="A189" s="79">
        <v>107118209</v>
      </c>
      <c r="B189" s="29" t="str">
        <f t="shared" si="12"/>
        <v>10.711.820-9</v>
      </c>
      <c r="C189" s="22" t="s">
        <v>22</v>
      </c>
      <c r="D189" s="29" t="str">
        <f>IF(IFERROR(VLOOKUP(A189,$A$10:$I188,1,0),0)=0,"",VLOOKUP(A189,$A$10:$I188,4,0))</f>
        <v>ELIANA</v>
      </c>
      <c r="E189" s="29" t="str">
        <f>IF(IFERROR(VLOOKUP(A189,$A$10:$I188,1,0),0)=0,"",VLOOKUP(A189,$A$10:$I188,5,0))</f>
        <v>DEFAUR</v>
      </c>
      <c r="F189" s="29" t="str">
        <f>IF(IFERROR(VLOOKUP(A189,$A$10:$I188,1,0),0)=0,"",VLOOKUP(A189,$A$10:$I188,6,0))</f>
        <v>GUTIERREZ</v>
      </c>
      <c r="G189" s="49">
        <v>45617</v>
      </c>
      <c r="H189" s="49">
        <v>45619</v>
      </c>
      <c r="I189" s="29"/>
      <c r="J189" s="29"/>
      <c r="K189" s="24" t="s">
        <v>43</v>
      </c>
      <c r="L189" s="49">
        <v>45617</v>
      </c>
      <c r="M189" s="49">
        <v>45619</v>
      </c>
      <c r="N189" s="34">
        <f t="shared" si="11"/>
        <v>2</v>
      </c>
      <c r="O189" s="29"/>
      <c r="P189" s="29"/>
      <c r="Q189" t="s">
        <v>88</v>
      </c>
      <c r="R189" t="s">
        <v>88</v>
      </c>
      <c r="S189" t="s">
        <v>88</v>
      </c>
      <c r="T189" t="s">
        <v>88</v>
      </c>
      <c r="U189" t="s">
        <v>88</v>
      </c>
      <c r="V189" t="s">
        <v>20</v>
      </c>
    </row>
    <row r="190" spans="1:22" x14ac:dyDescent="0.45">
      <c r="A190" s="79">
        <v>221126742</v>
      </c>
      <c r="B190" s="29" t="str">
        <f t="shared" si="12"/>
        <v>22.112.674-2</v>
      </c>
      <c r="C190" s="22" t="s">
        <v>22</v>
      </c>
      <c r="D190" s="29" t="s">
        <v>1595</v>
      </c>
      <c r="E190" s="29" t="s">
        <v>1271</v>
      </c>
      <c r="F190" s="29" t="s">
        <v>493</v>
      </c>
      <c r="G190" s="49">
        <v>45618</v>
      </c>
      <c r="H190" s="49">
        <v>45620</v>
      </c>
      <c r="I190" s="29"/>
      <c r="J190" s="29"/>
      <c r="K190" s="24" t="s">
        <v>43</v>
      </c>
      <c r="L190" s="49">
        <v>45618</v>
      </c>
      <c r="M190" s="49">
        <v>45620</v>
      </c>
      <c r="N190" s="34">
        <f t="shared" si="11"/>
        <v>2</v>
      </c>
      <c r="O190" s="29"/>
      <c r="P190" s="29"/>
      <c r="Q190" t="s">
        <v>88</v>
      </c>
      <c r="R190" t="s">
        <v>88</v>
      </c>
      <c r="S190" t="s">
        <v>88</v>
      </c>
      <c r="T190" t="s">
        <v>88</v>
      </c>
      <c r="U190" t="s">
        <v>88</v>
      </c>
      <c r="V190" t="s">
        <v>20</v>
      </c>
    </row>
    <row r="191" spans="1:22" x14ac:dyDescent="0.45">
      <c r="A191" s="79">
        <v>221126742</v>
      </c>
      <c r="B191" s="29" t="str">
        <f t="shared" si="12"/>
        <v>22.112.674-2</v>
      </c>
      <c r="C191" s="22" t="str">
        <f>IF(IFERROR(VLOOKUP(A191,$A$10:$I190,1,0),0)=0,"",VLOOKUP(A191,$A$10:$I190,3,0))</f>
        <v>UCI</v>
      </c>
      <c r="D191" s="29" t="str">
        <f>IF(IFERROR(VLOOKUP(A191,$A$10:$I190,1,0),0)=0,"",VLOOKUP(A191,$A$10:$I190,4,0))</f>
        <v>MAYRA</v>
      </c>
      <c r="E191" s="29" t="str">
        <f>IF(IFERROR(VLOOKUP(A191,$A$10:$I190,1,0),0)=0,"",VLOOKUP(A191,$A$10:$I190,5,0))</f>
        <v>BARRIENTOS</v>
      </c>
      <c r="F191" s="29" t="str">
        <f>IF(IFERROR(VLOOKUP(A191,$A$10:$I190,1,0),0)=0,"",VLOOKUP(A191,$A$10:$I190,6,0))</f>
        <v>BAEZA</v>
      </c>
      <c r="G191" s="49">
        <f>IF(IFERROR(VLOOKUP(A191,$A$10:$I190,1,0),0)=0,"",VLOOKUP(A191,$A$10:$I190,7,0))</f>
        <v>45618</v>
      </c>
      <c r="H191" s="49">
        <v>45620</v>
      </c>
      <c r="I191" s="29"/>
      <c r="J191" s="29"/>
      <c r="K191" s="24" t="s">
        <v>47</v>
      </c>
      <c r="L191" s="49">
        <v>45618</v>
      </c>
      <c r="M191" s="49">
        <v>45620</v>
      </c>
      <c r="N191" s="34">
        <f t="shared" ref="N191:N222" si="13">+M191-L191</f>
        <v>2</v>
      </c>
      <c r="O191" s="29"/>
      <c r="P191" s="29"/>
      <c r="Q191" t="s">
        <v>88</v>
      </c>
      <c r="R191" t="s">
        <v>88</v>
      </c>
      <c r="S191" t="s">
        <v>88</v>
      </c>
      <c r="T191" t="s">
        <v>88</v>
      </c>
      <c r="U191" t="s">
        <v>88</v>
      </c>
      <c r="V191" t="s">
        <v>20</v>
      </c>
    </row>
    <row r="192" spans="1:22" x14ac:dyDescent="0.45">
      <c r="A192" s="79">
        <v>221126742</v>
      </c>
      <c r="B192" s="29" t="str">
        <f t="shared" si="12"/>
        <v>22.112.674-2</v>
      </c>
      <c r="C192" s="22" t="str">
        <f>IF(IFERROR(VLOOKUP(A192,$A$10:$I191,1,0),0)=0,"",VLOOKUP(A192,$A$10:$I191,3,0))</f>
        <v>UCI</v>
      </c>
      <c r="D192" s="29" t="str">
        <f>IF(IFERROR(VLOOKUP(A192,$A$10:$I191,1,0),0)=0,"",VLOOKUP(A192,$A$10:$I191,4,0))</f>
        <v>MAYRA</v>
      </c>
      <c r="E192" s="29" t="str">
        <f>IF(IFERROR(VLOOKUP(A192,$A$10:$I191,1,0),0)=0,"",VLOOKUP(A192,$A$10:$I191,5,0))</f>
        <v>BARRIENTOS</v>
      </c>
      <c r="F192" s="29" t="str">
        <f>IF(IFERROR(VLOOKUP(A192,$A$10:$I191,1,0),0)=0,"",VLOOKUP(A192,$A$10:$I191,6,0))</f>
        <v>BAEZA</v>
      </c>
      <c r="G192" s="49">
        <f>IF(IFERROR(VLOOKUP(A192,$A$10:$I191,1,0),0)=0,"",VLOOKUP(A192,$A$10:$I191,7,0))</f>
        <v>45618</v>
      </c>
      <c r="H192" s="49">
        <v>45620</v>
      </c>
      <c r="I192" s="29"/>
      <c r="J192" s="29" t="s">
        <v>36</v>
      </c>
      <c r="K192" s="24" t="s">
        <v>55</v>
      </c>
      <c r="L192" s="49">
        <v>45618</v>
      </c>
      <c r="M192" s="49">
        <v>45619</v>
      </c>
      <c r="N192" s="34">
        <f t="shared" si="13"/>
        <v>1</v>
      </c>
      <c r="O192" s="29"/>
      <c r="P192" s="29"/>
      <c r="Q192" t="s">
        <v>88</v>
      </c>
      <c r="R192" t="s">
        <v>88</v>
      </c>
      <c r="S192" t="s">
        <v>88</v>
      </c>
      <c r="T192" t="s">
        <v>88</v>
      </c>
      <c r="U192" t="s">
        <v>88</v>
      </c>
      <c r="V192" t="s">
        <v>20</v>
      </c>
    </row>
    <row r="193" spans="1:22" x14ac:dyDescent="0.45">
      <c r="A193" s="79">
        <v>67281950</v>
      </c>
      <c r="B193" s="29" t="str">
        <f t="shared" si="12"/>
        <v>6.728.195-0</v>
      </c>
      <c r="C193" s="22" t="s">
        <v>22</v>
      </c>
      <c r="D193" s="29" t="s">
        <v>1444</v>
      </c>
      <c r="E193" s="29" t="s">
        <v>300</v>
      </c>
      <c r="F193" s="29" t="s">
        <v>751</v>
      </c>
      <c r="G193" s="49">
        <v>45617</v>
      </c>
      <c r="H193" s="49">
        <v>45619</v>
      </c>
      <c r="I193" s="29"/>
      <c r="J193" s="29"/>
      <c r="K193" s="24" t="s">
        <v>47</v>
      </c>
      <c r="L193" s="49">
        <v>45617</v>
      </c>
      <c r="M193" s="49">
        <v>45619</v>
      </c>
      <c r="N193" s="34">
        <f t="shared" si="13"/>
        <v>2</v>
      </c>
      <c r="O193" s="29"/>
      <c r="P193" s="29"/>
      <c r="Q193" t="s">
        <v>88</v>
      </c>
      <c r="R193" t="s">
        <v>88</v>
      </c>
      <c r="S193" t="s">
        <v>88</v>
      </c>
      <c r="T193" t="s">
        <v>88</v>
      </c>
      <c r="U193" t="s">
        <v>88</v>
      </c>
      <c r="V193" t="s">
        <v>20</v>
      </c>
    </row>
    <row r="194" spans="1:22" x14ac:dyDescent="0.45">
      <c r="A194" s="79">
        <v>57966696</v>
      </c>
      <c r="B194" s="29" t="str">
        <f t="shared" si="12"/>
        <v>5.796.669-6</v>
      </c>
      <c r="C194" s="22" t="s">
        <v>22</v>
      </c>
      <c r="D194" s="29" t="s">
        <v>351</v>
      </c>
      <c r="E194" s="29" t="s">
        <v>559</v>
      </c>
      <c r="F194" s="29" t="s">
        <v>559</v>
      </c>
      <c r="G194" s="49">
        <v>45615</v>
      </c>
      <c r="H194" s="49">
        <v>45618</v>
      </c>
      <c r="I194" s="29" t="s">
        <v>56</v>
      </c>
      <c r="J194" s="29" t="s">
        <v>22</v>
      </c>
      <c r="K194" s="24" t="s">
        <v>43</v>
      </c>
      <c r="L194" s="49">
        <v>45615</v>
      </c>
      <c r="M194" s="49">
        <v>45618</v>
      </c>
      <c r="N194" s="34">
        <f t="shared" si="13"/>
        <v>3</v>
      </c>
      <c r="O194" s="29"/>
      <c r="P194" s="29"/>
      <c r="Q194" t="s">
        <v>95</v>
      </c>
      <c r="R194" t="s">
        <v>88</v>
      </c>
      <c r="S194" t="s">
        <v>88</v>
      </c>
      <c r="T194" t="s">
        <v>88</v>
      </c>
      <c r="U194" t="s">
        <v>88</v>
      </c>
      <c r="V194" t="s">
        <v>20</v>
      </c>
    </row>
    <row r="195" spans="1:22" x14ac:dyDescent="0.45">
      <c r="A195" s="79">
        <v>57966696</v>
      </c>
      <c r="B195" s="29" t="str">
        <f t="shared" si="12"/>
        <v>5.796.669-6</v>
      </c>
      <c r="C195" s="22" t="str">
        <f>IF(IFERROR(VLOOKUP(A195,$A$10:$I194,1,0),0)=0,"",VLOOKUP(A195,$A$10:$I194,3,0))</f>
        <v>UCI</v>
      </c>
      <c r="D195" s="29" t="str">
        <f>IF(IFERROR(VLOOKUP(A195,$A$10:$I194,1,0),0)=0,"",VLOOKUP(A195,$A$10:$I194,4,0))</f>
        <v>OSCAR</v>
      </c>
      <c r="E195" s="29" t="str">
        <f>IF(IFERROR(VLOOKUP(A195,$A$10:$I194,1,0),0)=0,"",VLOOKUP(A195,$A$10:$I194,5,0))</f>
        <v>SEPULVEDA</v>
      </c>
      <c r="F195" s="29" t="str">
        <f>IF(IFERROR(VLOOKUP(A195,$A$10:$I194,1,0),0)=0,"",VLOOKUP(A195,$A$10:$I194,6,0))</f>
        <v>SEPULVEDA</v>
      </c>
      <c r="G195" s="49">
        <f>IF(IFERROR(VLOOKUP(A195,$A$10:$I194,1,0),0)=0,"",VLOOKUP(A195,$A$10:$I194,7,0))</f>
        <v>45615</v>
      </c>
      <c r="H195" s="49">
        <v>45618</v>
      </c>
      <c r="I195" s="29"/>
      <c r="J195" s="29" t="s">
        <v>22</v>
      </c>
      <c r="K195" s="24" t="s">
        <v>47</v>
      </c>
      <c r="L195" s="49">
        <v>45615</v>
      </c>
      <c r="M195" s="49">
        <v>45618</v>
      </c>
      <c r="N195" s="34">
        <f t="shared" si="13"/>
        <v>3</v>
      </c>
      <c r="O195" s="29"/>
      <c r="P195" s="29"/>
      <c r="Q195" t="s">
        <v>88</v>
      </c>
      <c r="R195" t="s">
        <v>88</v>
      </c>
      <c r="S195" t="s">
        <v>88</v>
      </c>
      <c r="T195" t="s">
        <v>88</v>
      </c>
      <c r="U195" t="s">
        <v>88</v>
      </c>
      <c r="V195" t="s">
        <v>20</v>
      </c>
    </row>
    <row r="196" spans="1:22" x14ac:dyDescent="0.45">
      <c r="A196" s="79">
        <v>57966696</v>
      </c>
      <c r="B196" s="29" t="str">
        <f t="shared" si="12"/>
        <v>5.796.669-6</v>
      </c>
      <c r="C196" s="22" t="str">
        <f>IF(IFERROR(VLOOKUP(A196,$A$10:$I195,1,0),0)=0,"",VLOOKUP(A196,$A$10:$I195,3,0))</f>
        <v>UCI</v>
      </c>
      <c r="D196" s="29" t="str">
        <f>IF(IFERROR(VLOOKUP(A196,$A$10:$I195,1,0),0)=0,"",VLOOKUP(A196,$A$10:$I195,4,0))</f>
        <v>OSCAR</v>
      </c>
      <c r="E196" s="29" t="str">
        <f>IF(IFERROR(VLOOKUP(A196,$A$10:$I195,1,0),0)=0,"",VLOOKUP(A196,$A$10:$I195,5,0))</f>
        <v>SEPULVEDA</v>
      </c>
      <c r="F196" s="29" t="str">
        <f>IF(IFERROR(VLOOKUP(A196,$A$10:$I195,1,0),0)=0,"",VLOOKUP(A196,$A$10:$I195,6,0))</f>
        <v>SEPULVEDA</v>
      </c>
      <c r="G196" s="49">
        <f>IF(IFERROR(VLOOKUP(A196,$A$10:$I195,1,0),0)=0,"",VLOOKUP(A196,$A$10:$I195,7,0))</f>
        <v>45615</v>
      </c>
      <c r="H196" s="49">
        <v>45618</v>
      </c>
      <c r="I196" s="29"/>
      <c r="J196" s="29" t="s">
        <v>22</v>
      </c>
      <c r="K196" s="24" t="s">
        <v>55</v>
      </c>
      <c r="L196" s="49">
        <v>45615</v>
      </c>
      <c r="M196" s="49">
        <v>45617</v>
      </c>
      <c r="N196" s="34">
        <f t="shared" si="13"/>
        <v>2</v>
      </c>
      <c r="O196" s="29"/>
      <c r="P196" s="29"/>
      <c r="Q196" t="s">
        <v>88</v>
      </c>
      <c r="R196" t="s">
        <v>88</v>
      </c>
      <c r="S196" t="s">
        <v>88</v>
      </c>
      <c r="T196" t="s">
        <v>88</v>
      </c>
      <c r="U196" t="s">
        <v>88</v>
      </c>
      <c r="V196" t="s">
        <v>20</v>
      </c>
    </row>
    <row r="197" spans="1:22" x14ac:dyDescent="0.45">
      <c r="A197" s="79">
        <v>194257929</v>
      </c>
      <c r="B197" s="29" t="str">
        <f t="shared" si="12"/>
        <v>19.425.792-9</v>
      </c>
      <c r="C197" s="22" t="s">
        <v>22</v>
      </c>
      <c r="D197" s="29" t="s">
        <v>1596</v>
      </c>
      <c r="E197" s="29" t="s">
        <v>403</v>
      </c>
      <c r="F197" s="29" t="s">
        <v>1597</v>
      </c>
      <c r="G197" s="49">
        <v>45616</v>
      </c>
      <c r="H197" s="49">
        <v>45618</v>
      </c>
      <c r="I197" s="29"/>
      <c r="J197" s="29"/>
      <c r="K197" s="24" t="s">
        <v>47</v>
      </c>
      <c r="L197" s="49">
        <v>45616</v>
      </c>
      <c r="M197" s="49">
        <v>45618</v>
      </c>
      <c r="N197" s="34">
        <f t="shared" si="13"/>
        <v>2</v>
      </c>
      <c r="O197" s="29"/>
      <c r="P197" s="29"/>
      <c r="Q197" t="s">
        <v>88</v>
      </c>
      <c r="R197" t="s">
        <v>88</v>
      </c>
      <c r="S197" t="s">
        <v>88</v>
      </c>
      <c r="T197" t="s">
        <v>88</v>
      </c>
      <c r="U197" t="s">
        <v>88</v>
      </c>
      <c r="V197" t="s">
        <v>20</v>
      </c>
    </row>
    <row r="198" spans="1:22" x14ac:dyDescent="0.45">
      <c r="A198" s="79">
        <v>46207777</v>
      </c>
      <c r="B198" s="29" t="str">
        <f t="shared" si="12"/>
        <v>4.620.777-7</v>
      </c>
      <c r="C198" s="22" t="s">
        <v>22</v>
      </c>
      <c r="D198" s="29" t="s">
        <v>481</v>
      </c>
      <c r="E198" s="29" t="s">
        <v>1598</v>
      </c>
      <c r="F198" s="29" t="s">
        <v>583</v>
      </c>
      <c r="G198" s="49">
        <v>45616</v>
      </c>
      <c r="H198" s="49">
        <v>45618</v>
      </c>
      <c r="I198" s="29"/>
      <c r="J198" s="29"/>
      <c r="K198" s="24" t="s">
        <v>47</v>
      </c>
      <c r="L198" s="49">
        <v>45616</v>
      </c>
      <c r="M198" s="49">
        <v>45618</v>
      </c>
      <c r="N198" s="34">
        <f t="shared" si="13"/>
        <v>2</v>
      </c>
      <c r="O198" s="29"/>
      <c r="P198" s="29"/>
      <c r="Q198" t="s">
        <v>88</v>
      </c>
      <c r="R198" t="s">
        <v>88</v>
      </c>
      <c r="S198" t="s">
        <v>88</v>
      </c>
      <c r="T198" t="s">
        <v>88</v>
      </c>
      <c r="U198" t="s">
        <v>88</v>
      </c>
      <c r="V198" t="s">
        <v>20</v>
      </c>
    </row>
    <row r="199" spans="1:22" x14ac:dyDescent="0.45">
      <c r="A199" s="79">
        <v>63294535</v>
      </c>
      <c r="B199" s="29" t="str">
        <f t="shared" si="12"/>
        <v>6.329.453-5</v>
      </c>
      <c r="C199" s="22" t="s">
        <v>22</v>
      </c>
      <c r="D199" s="29" t="s">
        <v>974</v>
      </c>
      <c r="E199" s="29" t="s">
        <v>1431</v>
      </c>
      <c r="F199" s="29" t="s">
        <v>248</v>
      </c>
      <c r="G199" s="49">
        <v>45617</v>
      </c>
      <c r="H199" s="49">
        <v>45636</v>
      </c>
      <c r="I199" s="29"/>
      <c r="J199" s="29" t="s">
        <v>22</v>
      </c>
      <c r="K199" s="24" t="s">
        <v>43</v>
      </c>
      <c r="L199" s="49">
        <v>45617</v>
      </c>
      <c r="M199" s="49">
        <v>45626</v>
      </c>
      <c r="N199" s="34">
        <f t="shared" si="13"/>
        <v>9</v>
      </c>
      <c r="O199" s="29"/>
      <c r="P199" s="29"/>
      <c r="Q199" t="s">
        <v>88</v>
      </c>
      <c r="R199" t="s">
        <v>88</v>
      </c>
      <c r="S199" t="s">
        <v>88</v>
      </c>
      <c r="T199" t="s">
        <v>88</v>
      </c>
      <c r="U199" t="s">
        <v>88</v>
      </c>
      <c r="V199" t="s">
        <v>20</v>
      </c>
    </row>
    <row r="200" spans="1:22" x14ac:dyDescent="0.45">
      <c r="A200" s="79">
        <v>63294535</v>
      </c>
      <c r="B200" s="29" t="str">
        <f t="shared" si="12"/>
        <v>6.329.453-5</v>
      </c>
      <c r="C200" s="22" t="str">
        <f>IF(IFERROR(VLOOKUP(A200,$A$10:$I199,1,0),0)=0,"",VLOOKUP(A200,$A$10:$I199,3,0))</f>
        <v>UCI</v>
      </c>
      <c r="D200" s="29" t="str">
        <f>IF(IFERROR(VLOOKUP(A200,$A$10:$I199,1,0),0)=0,"",VLOOKUP(A200,$A$10:$I199,4,0))</f>
        <v>JOSÉ</v>
      </c>
      <c r="E200" s="29" t="str">
        <f>IF(IFERROR(VLOOKUP(A200,$A$10:$I199,1,0),0)=0,"",VLOOKUP(A200,$A$10:$I199,5,0))</f>
        <v>ALARCÓN</v>
      </c>
      <c r="F200" s="29" t="str">
        <f>IF(IFERROR(VLOOKUP(A200,$A$10:$I199,1,0),0)=0,"",VLOOKUP(A200,$A$10:$I199,6,0))</f>
        <v>PINO</v>
      </c>
      <c r="G200" s="49">
        <f>IF(IFERROR(VLOOKUP(A200,$A$10:$I199,1,0),0)=0,"",VLOOKUP(A200,$A$10:$I199,7,0))</f>
        <v>45617</v>
      </c>
      <c r="H200" s="49">
        <v>45636</v>
      </c>
      <c r="I200" s="29"/>
      <c r="J200" s="29"/>
      <c r="K200" s="24" t="s">
        <v>47</v>
      </c>
      <c r="L200" s="49">
        <v>45617</v>
      </c>
      <c r="M200" s="49">
        <v>45626</v>
      </c>
      <c r="N200" s="34">
        <f t="shared" si="13"/>
        <v>9</v>
      </c>
      <c r="O200" s="29"/>
      <c r="P200" s="29"/>
      <c r="Q200" t="s">
        <v>88</v>
      </c>
      <c r="R200" t="s">
        <v>88</v>
      </c>
      <c r="S200" t="s">
        <v>88</v>
      </c>
      <c r="T200" t="s">
        <v>88</v>
      </c>
      <c r="U200" t="s">
        <v>88</v>
      </c>
      <c r="V200" t="s">
        <v>20</v>
      </c>
    </row>
    <row r="201" spans="1:22" x14ac:dyDescent="0.45">
      <c r="A201" s="79">
        <v>63294535</v>
      </c>
      <c r="B201" s="29" t="str">
        <f t="shared" si="12"/>
        <v>6.329.453-5</v>
      </c>
      <c r="C201" s="22" t="str">
        <f>IF(IFERROR(VLOOKUP(A201,$A$10:$I200,1,0),0)=0,"",VLOOKUP(A201,$A$10:$I200,3,0))</f>
        <v>UCI</v>
      </c>
      <c r="D201" s="29" t="str">
        <f>IF(IFERROR(VLOOKUP(A201,$A$10:$I200,1,0),0)=0,"",VLOOKUP(A201,$A$10:$I200,4,0))</f>
        <v>JOSÉ</v>
      </c>
      <c r="E201" s="29" t="str">
        <f>IF(IFERROR(VLOOKUP(A201,$A$10:$I200,1,0),0)=0,"",VLOOKUP(A201,$A$10:$I200,5,0))</f>
        <v>ALARCÓN</v>
      </c>
      <c r="F201" s="29" t="str">
        <f>IF(IFERROR(VLOOKUP(A201,$A$10:$I200,1,0),0)=0,"",VLOOKUP(A201,$A$10:$I200,6,0))</f>
        <v>PINO</v>
      </c>
      <c r="G201" s="49">
        <f>IF(IFERROR(VLOOKUP(A201,$A$10:$I200,1,0),0)=0,"",VLOOKUP(A201,$A$10:$I200,7,0))</f>
        <v>45617</v>
      </c>
      <c r="H201" s="49">
        <v>45636</v>
      </c>
      <c r="I201" s="29"/>
      <c r="J201" s="29"/>
      <c r="K201" s="24" t="s">
        <v>55</v>
      </c>
      <c r="L201" s="49">
        <v>45617</v>
      </c>
      <c r="M201" s="49">
        <v>45620</v>
      </c>
      <c r="N201" s="34">
        <f t="shared" si="13"/>
        <v>3</v>
      </c>
      <c r="O201" s="29"/>
      <c r="P201" s="29"/>
      <c r="Q201" t="s">
        <v>88</v>
      </c>
      <c r="R201" t="s">
        <v>88</v>
      </c>
      <c r="S201" t="s">
        <v>88</v>
      </c>
      <c r="T201" t="s">
        <v>88</v>
      </c>
      <c r="U201" t="s">
        <v>88</v>
      </c>
      <c r="V201" t="s">
        <v>20</v>
      </c>
    </row>
    <row r="202" spans="1:22" x14ac:dyDescent="0.45">
      <c r="A202" s="79">
        <v>63294535</v>
      </c>
      <c r="B202" s="29" t="str">
        <f t="shared" si="12"/>
        <v>6.329.453-5</v>
      </c>
      <c r="C202" s="22" t="str">
        <f>IF(IFERROR(VLOOKUP(A202,$A$10:$I201,1,0),0)=0,"",VLOOKUP(A202,$A$10:$I201,3,0))</f>
        <v>UCI</v>
      </c>
      <c r="D202" s="29" t="str">
        <f>IF(IFERROR(VLOOKUP(A202,$A$10:$I201,1,0),0)=0,"",VLOOKUP(A202,$A$10:$I201,4,0))</f>
        <v>JOSÉ</v>
      </c>
      <c r="E202" s="29" t="str">
        <f>IF(IFERROR(VLOOKUP(A202,$A$10:$I201,1,0),0)=0,"",VLOOKUP(A202,$A$10:$I201,5,0))</f>
        <v>ALARCÓN</v>
      </c>
      <c r="F202" s="29" t="str">
        <f>IF(IFERROR(VLOOKUP(A202,$A$10:$I201,1,0),0)=0,"",VLOOKUP(A202,$A$10:$I201,6,0))</f>
        <v>PINO</v>
      </c>
      <c r="G202" s="49">
        <f>IF(IFERROR(VLOOKUP(A202,$A$10:$I201,1,0),0)=0,"",VLOOKUP(A202,$A$10:$I201,7,0))</f>
        <v>45617</v>
      </c>
      <c r="H202" s="49">
        <v>45636</v>
      </c>
      <c r="I202" s="29"/>
      <c r="J202" s="29"/>
      <c r="K202" s="24" t="s">
        <v>55</v>
      </c>
      <c r="L202" s="49">
        <v>45621</v>
      </c>
      <c r="M202" s="49">
        <v>45626</v>
      </c>
      <c r="N202" s="34">
        <f t="shared" si="13"/>
        <v>5</v>
      </c>
      <c r="O202" s="29" t="s">
        <v>1599</v>
      </c>
      <c r="P202" s="29"/>
      <c r="Q202" t="s">
        <v>123</v>
      </c>
      <c r="R202" t="s">
        <v>132</v>
      </c>
      <c r="S202" t="s">
        <v>88</v>
      </c>
      <c r="T202" t="s">
        <v>88</v>
      </c>
      <c r="U202" t="s">
        <v>88</v>
      </c>
      <c r="V202" t="s">
        <v>14</v>
      </c>
    </row>
    <row r="203" spans="1:22" x14ac:dyDescent="0.45">
      <c r="A203" s="79">
        <v>139616103</v>
      </c>
      <c r="B203" s="29" t="str">
        <f t="shared" si="12"/>
        <v>13.961.610-3</v>
      </c>
      <c r="C203" s="22" t="s">
        <v>22</v>
      </c>
      <c r="D203" s="29" t="s">
        <v>629</v>
      </c>
      <c r="E203" s="29" t="s">
        <v>559</v>
      </c>
      <c r="F203" s="29" t="s">
        <v>1600</v>
      </c>
      <c r="G203" s="49">
        <v>45616</v>
      </c>
      <c r="H203" s="49">
        <v>45621</v>
      </c>
      <c r="I203" s="29"/>
      <c r="J203" s="29" t="s">
        <v>66</v>
      </c>
      <c r="K203" s="24" t="s">
        <v>43</v>
      </c>
      <c r="L203" s="49">
        <v>45616</v>
      </c>
      <c r="M203" s="49">
        <v>45621</v>
      </c>
      <c r="N203" s="34">
        <f t="shared" si="13"/>
        <v>5</v>
      </c>
      <c r="O203" s="29"/>
      <c r="P203" s="29"/>
      <c r="Q203" t="s">
        <v>88</v>
      </c>
      <c r="R203" t="s">
        <v>88</v>
      </c>
      <c r="S203" t="s">
        <v>88</v>
      </c>
      <c r="T203" t="s">
        <v>88</v>
      </c>
      <c r="U203" t="s">
        <v>88</v>
      </c>
      <c r="V203" t="s">
        <v>20</v>
      </c>
    </row>
    <row r="204" spans="1:22" x14ac:dyDescent="0.45">
      <c r="A204" s="79">
        <v>87652750</v>
      </c>
      <c r="B204" s="29" t="str">
        <f t="shared" si="12"/>
        <v>8.765.275-0</v>
      </c>
      <c r="C204" s="22" t="s">
        <v>46</v>
      </c>
      <c r="D204" s="29" t="s">
        <v>557</v>
      </c>
      <c r="E204" s="29" t="s">
        <v>1601</v>
      </c>
      <c r="F204" s="29" t="s">
        <v>1602</v>
      </c>
      <c r="G204" s="49">
        <v>45615</v>
      </c>
      <c r="H204" s="49">
        <v>45622</v>
      </c>
      <c r="I204" s="29"/>
      <c r="J204" s="29" t="s">
        <v>13</v>
      </c>
      <c r="K204" s="24" t="s">
        <v>47</v>
      </c>
      <c r="L204" s="49">
        <v>45615</v>
      </c>
      <c r="M204" s="49">
        <v>45622</v>
      </c>
      <c r="N204" s="34">
        <f t="shared" si="13"/>
        <v>7</v>
      </c>
      <c r="O204" s="29"/>
      <c r="P204" s="29"/>
      <c r="Q204" t="s">
        <v>88</v>
      </c>
      <c r="R204" t="s">
        <v>88</v>
      </c>
      <c r="S204" t="s">
        <v>88</v>
      </c>
      <c r="T204" t="s">
        <v>88</v>
      </c>
      <c r="U204" t="s">
        <v>88</v>
      </c>
      <c r="V204" t="s">
        <v>20</v>
      </c>
    </row>
    <row r="205" spans="1:22" x14ac:dyDescent="0.45">
      <c r="A205" s="79">
        <v>201540550</v>
      </c>
      <c r="B205" s="29" t="str">
        <f t="shared" si="12"/>
        <v>20.154.055-0</v>
      </c>
      <c r="C205" s="22" t="s">
        <v>46</v>
      </c>
      <c r="D205" s="29" t="str">
        <f>IF(IFERROR(VLOOKUP(A205,$A$10:$I204,1,0),0)=0,"",VLOOKUP(A205,$A$10:$I204,4,0))</f>
        <v>JEAN</v>
      </c>
      <c r="E205" s="29" t="str">
        <f>IF(IFERROR(VLOOKUP(A205,$A$10:$I204,1,0),0)=0,"",VLOOKUP(A205,$A$10:$I204,5,0))</f>
        <v>SEGURA</v>
      </c>
      <c r="F205" s="29" t="str">
        <f>IF(IFERROR(VLOOKUP(A205,$A$10:$I204,1,0),0)=0,"",VLOOKUP(A205,$A$10:$I204,6,0))</f>
        <v>OLIVARES</v>
      </c>
      <c r="G205" s="49">
        <v>45617</v>
      </c>
      <c r="H205" s="49">
        <v>45621</v>
      </c>
      <c r="I205" s="29"/>
      <c r="J205" s="29" t="s">
        <v>30</v>
      </c>
      <c r="K205" s="24" t="s">
        <v>18</v>
      </c>
      <c r="L205" s="49">
        <v>45617</v>
      </c>
      <c r="M205" s="49">
        <v>45621</v>
      </c>
      <c r="N205" s="34">
        <f t="shared" si="13"/>
        <v>4</v>
      </c>
      <c r="O205" s="29"/>
      <c r="P205" s="29"/>
      <c r="Q205" t="s">
        <v>88</v>
      </c>
      <c r="R205" t="s">
        <v>88</v>
      </c>
      <c r="S205" t="s">
        <v>88</v>
      </c>
      <c r="T205" t="s">
        <v>88</v>
      </c>
      <c r="U205" t="s">
        <v>88</v>
      </c>
      <c r="V205" t="s">
        <v>20</v>
      </c>
    </row>
    <row r="206" spans="1:22" x14ac:dyDescent="0.45">
      <c r="A206" s="79">
        <v>26467446</v>
      </c>
      <c r="B206" s="29" t="str">
        <f t="shared" si="12"/>
        <v>2.646.744-6</v>
      </c>
      <c r="C206" s="22" t="s">
        <v>46</v>
      </c>
      <c r="D206" s="29" t="s">
        <v>1603</v>
      </c>
      <c r="E206" s="29" t="s">
        <v>299</v>
      </c>
      <c r="F206" s="29" t="s">
        <v>1604</v>
      </c>
      <c r="G206" s="49">
        <v>45612</v>
      </c>
      <c r="H206" s="49">
        <v>45625</v>
      </c>
      <c r="I206" s="29"/>
      <c r="J206" s="29"/>
      <c r="K206" s="24" t="s">
        <v>47</v>
      </c>
      <c r="L206" s="49">
        <v>45612</v>
      </c>
      <c r="M206" s="49">
        <v>45625</v>
      </c>
      <c r="N206" s="34">
        <f t="shared" si="13"/>
        <v>13</v>
      </c>
      <c r="O206" s="29"/>
      <c r="P206" s="29"/>
      <c r="Q206" t="s">
        <v>88</v>
      </c>
      <c r="R206" t="s">
        <v>88</v>
      </c>
      <c r="S206" t="s">
        <v>88</v>
      </c>
      <c r="T206" t="s">
        <v>88</v>
      </c>
      <c r="U206" t="s">
        <v>88</v>
      </c>
      <c r="V206" t="s">
        <v>20</v>
      </c>
    </row>
    <row r="207" spans="1:22" x14ac:dyDescent="0.45">
      <c r="A207" s="79" t="s">
        <v>1605</v>
      </c>
      <c r="B207" s="29" t="str">
        <f t="shared" si="12"/>
        <v>9.882.457-k</v>
      </c>
      <c r="C207" s="22" t="s">
        <v>46</v>
      </c>
      <c r="D207" s="29" t="s">
        <v>348</v>
      </c>
      <c r="E207" s="29" t="s">
        <v>314</v>
      </c>
      <c r="F207" s="29" t="s">
        <v>873</v>
      </c>
      <c r="G207" s="49">
        <v>45614</v>
      </c>
      <c r="H207" s="49">
        <v>45625</v>
      </c>
      <c r="I207" s="29"/>
      <c r="J207" s="29" t="s">
        <v>19</v>
      </c>
      <c r="K207" s="24" t="s">
        <v>47</v>
      </c>
      <c r="L207" s="49">
        <v>45614</v>
      </c>
      <c r="M207" s="49">
        <v>45625</v>
      </c>
      <c r="N207" s="34">
        <f t="shared" si="13"/>
        <v>11</v>
      </c>
      <c r="O207" s="29"/>
      <c r="P207" s="29"/>
      <c r="Q207" t="s">
        <v>88</v>
      </c>
      <c r="R207" t="s">
        <v>88</v>
      </c>
      <c r="S207" t="s">
        <v>88</v>
      </c>
      <c r="T207" t="s">
        <v>88</v>
      </c>
      <c r="U207" t="s">
        <v>88</v>
      </c>
      <c r="V207" t="s">
        <v>20</v>
      </c>
    </row>
    <row r="208" spans="1:22" x14ac:dyDescent="0.45">
      <c r="A208" s="79">
        <v>59183621</v>
      </c>
      <c r="B208" s="29" t="str">
        <f t="shared" si="12"/>
        <v>5.918.362-1</v>
      </c>
      <c r="C208" s="22" t="s">
        <v>46</v>
      </c>
      <c r="D208" s="29" t="s">
        <v>538</v>
      </c>
      <c r="E208" s="29" t="s">
        <v>442</v>
      </c>
      <c r="F208" s="29" t="s">
        <v>1527</v>
      </c>
      <c r="G208" s="49">
        <v>45610</v>
      </c>
      <c r="H208" s="49">
        <v>45633</v>
      </c>
      <c r="I208" s="29"/>
      <c r="J208" s="29"/>
      <c r="K208" s="24" t="s">
        <v>43</v>
      </c>
      <c r="L208" s="49">
        <v>45610</v>
      </c>
      <c r="M208" s="49">
        <v>45623</v>
      </c>
      <c r="N208" s="34">
        <f t="shared" si="13"/>
        <v>13</v>
      </c>
      <c r="O208" s="29"/>
      <c r="P208" s="29"/>
      <c r="Q208" t="s">
        <v>88</v>
      </c>
      <c r="R208" t="s">
        <v>88</v>
      </c>
      <c r="S208" t="s">
        <v>88</v>
      </c>
      <c r="T208" t="s">
        <v>88</v>
      </c>
      <c r="U208" t="s">
        <v>88</v>
      </c>
      <c r="V208" t="s">
        <v>20</v>
      </c>
    </row>
    <row r="209" spans="1:22" x14ac:dyDescent="0.45">
      <c r="A209" s="79">
        <v>59183621</v>
      </c>
      <c r="B209" s="29" t="str">
        <f t="shared" si="12"/>
        <v>5.918.362-1</v>
      </c>
      <c r="C209" s="22" t="str">
        <f>IF(IFERROR(VLOOKUP(A209,$A$10:$I208,1,0),0)=0,"",VLOOKUP(A209,$A$10:$I208,3,0))</f>
        <v>Pensionado</v>
      </c>
      <c r="D209" s="29" t="str">
        <f>IF(IFERROR(VLOOKUP(A209,$A$10:$I208,1,0),0)=0,"",VLOOKUP(A209,$A$10:$I208,4,0))</f>
        <v>ELBA</v>
      </c>
      <c r="E209" s="29" t="str">
        <f>IF(IFERROR(VLOOKUP(A209,$A$10:$I208,1,0),0)=0,"",VLOOKUP(A209,$A$10:$I208,5,0))</f>
        <v>FUENTEALBA</v>
      </c>
      <c r="F209" s="29" t="str">
        <f>IF(IFERROR(VLOOKUP(A209,$A$10:$I208,1,0),0)=0,"",VLOOKUP(A209,$A$10:$I208,6,0))</f>
        <v>OLIVEROS</v>
      </c>
      <c r="G209" s="49">
        <f>IF(IFERROR(VLOOKUP(A209,$A$10:$I208,1,0),0)=0,"",VLOOKUP(A209,$A$10:$I208,7,0))</f>
        <v>45610</v>
      </c>
      <c r="H209" s="49">
        <v>45633</v>
      </c>
      <c r="I209" s="29"/>
      <c r="J209" s="29"/>
      <c r="K209" s="24" t="s">
        <v>47</v>
      </c>
      <c r="L209" s="49">
        <v>45610</v>
      </c>
      <c r="M209" s="49">
        <v>45626</v>
      </c>
      <c r="N209" s="34">
        <f t="shared" si="13"/>
        <v>16</v>
      </c>
      <c r="O209" s="29"/>
      <c r="P209" s="29"/>
      <c r="Q209" t="s">
        <v>88</v>
      </c>
      <c r="R209" t="s">
        <v>88</v>
      </c>
      <c r="S209" t="s">
        <v>88</v>
      </c>
      <c r="T209" t="s">
        <v>88</v>
      </c>
      <c r="U209" t="s">
        <v>88</v>
      </c>
      <c r="V209" t="s">
        <v>20</v>
      </c>
    </row>
    <row r="210" spans="1:22" x14ac:dyDescent="0.45">
      <c r="A210" s="79">
        <v>107118209</v>
      </c>
      <c r="B210" s="29" t="str">
        <f t="shared" si="12"/>
        <v>10.711.820-9</v>
      </c>
      <c r="C210" s="22" t="s">
        <v>22</v>
      </c>
      <c r="D210" s="29" t="str">
        <f>IF(IFERROR(VLOOKUP(A210,$A$10:$I209,1,0),0)=0,"",VLOOKUP(A210,$A$10:$I209,4,0))</f>
        <v>ELIANA</v>
      </c>
      <c r="E210" s="29" t="str">
        <f>IF(IFERROR(VLOOKUP(A210,$A$10:$I209,1,0),0)=0,"",VLOOKUP(A210,$A$10:$I209,5,0))</f>
        <v>DEFAUR</v>
      </c>
      <c r="F210" s="29" t="str">
        <f>IF(IFERROR(VLOOKUP(A210,$A$10:$I209,1,0),0)=0,"",VLOOKUP(A210,$A$10:$I209,6,0))</f>
        <v>GUTIERREZ</v>
      </c>
      <c r="G210" s="49">
        <v>45619</v>
      </c>
      <c r="H210" s="49">
        <v>45622</v>
      </c>
      <c r="I210" s="29"/>
      <c r="J210" s="29" t="s">
        <v>56</v>
      </c>
      <c r="K210" s="24" t="s">
        <v>18</v>
      </c>
      <c r="L210" s="49">
        <v>45620</v>
      </c>
      <c r="M210" s="49">
        <v>45622</v>
      </c>
      <c r="N210" s="34">
        <f t="shared" si="13"/>
        <v>2</v>
      </c>
      <c r="O210" s="29"/>
      <c r="P210" s="29"/>
      <c r="Q210" t="s">
        <v>88</v>
      </c>
      <c r="R210" t="s">
        <v>88</v>
      </c>
      <c r="S210" t="s">
        <v>88</v>
      </c>
      <c r="T210" t="s">
        <v>88</v>
      </c>
      <c r="U210" t="s">
        <v>88</v>
      </c>
      <c r="V210" t="s">
        <v>20</v>
      </c>
    </row>
    <row r="211" spans="1:22" x14ac:dyDescent="0.45">
      <c r="A211" s="79">
        <v>85786288</v>
      </c>
      <c r="B211" s="29" t="str">
        <f t="shared" ref="B211:B235" si="14">IF(LEN(A211)=8,MID(A211,1,1)&amp;"."&amp;MID(A211,2,3)&amp;"."&amp;MID(A211,5,3)&amp;"-"&amp;RIGHT(A211,1),IF(LEFT(RIGHT(A211,2),1)="-",MID(A211,1,1)&amp;"."&amp;MID(A211,2,3)&amp;"."&amp;MID(A211,5,3)&amp;"-"&amp;RIGHT(A211,1),MID(A211,1,2)&amp;"."&amp;MID(A211,3,3)&amp;"."&amp;MID(A211,6,3)&amp;"-"&amp;MID(A211,9,1)))</f>
        <v>8.578.628-8</v>
      </c>
      <c r="C211" s="22" t="s">
        <v>22</v>
      </c>
      <c r="D211" s="29" t="s">
        <v>250</v>
      </c>
      <c r="E211" s="29" t="s">
        <v>660</v>
      </c>
      <c r="F211" s="29" t="s">
        <v>1606</v>
      </c>
      <c r="G211" s="49">
        <v>45621</v>
      </c>
      <c r="H211" s="49">
        <v>45625</v>
      </c>
      <c r="I211" s="29"/>
      <c r="J211" s="29"/>
      <c r="K211" s="24" t="s">
        <v>43</v>
      </c>
      <c r="L211" s="49">
        <v>45621</v>
      </c>
      <c r="M211" s="49">
        <v>45625</v>
      </c>
      <c r="N211" s="34">
        <f t="shared" si="13"/>
        <v>4</v>
      </c>
      <c r="O211" s="29"/>
      <c r="P211" s="29"/>
      <c r="Q211" t="s">
        <v>88</v>
      </c>
      <c r="R211" t="s">
        <v>88</v>
      </c>
      <c r="S211" t="s">
        <v>88</v>
      </c>
      <c r="T211" t="s">
        <v>88</v>
      </c>
      <c r="U211" t="s">
        <v>88</v>
      </c>
      <c r="V211" t="s">
        <v>20</v>
      </c>
    </row>
    <row r="212" spans="1:22" x14ac:dyDescent="0.45">
      <c r="A212" s="79">
        <v>221126742</v>
      </c>
      <c r="B212" s="29" t="str">
        <f t="shared" si="14"/>
        <v>22.112.674-2</v>
      </c>
      <c r="C212" s="22" t="s">
        <v>22</v>
      </c>
      <c r="D212" s="29" t="str">
        <f>IF(IFERROR(VLOOKUP(A212,$A$10:$I211,1,0),0)=0,"",VLOOKUP(A212,$A$10:$I211,4,0))</f>
        <v>MAYRA</v>
      </c>
      <c r="E212" s="29" t="str">
        <f>IF(IFERROR(VLOOKUP(A212,$A$10:$I211,1,0),0)=0,"",VLOOKUP(A212,$A$10:$I211,5,0))</f>
        <v>BARRIENTOS</v>
      </c>
      <c r="F212" s="29" t="str">
        <f>IF(IFERROR(VLOOKUP(A212,$A$10:$I211,1,0),0)=0,"",VLOOKUP(A212,$A$10:$I211,6,0))</f>
        <v>BAEZA</v>
      </c>
      <c r="G212" s="49">
        <v>45622</v>
      </c>
      <c r="H212" s="49">
        <v>45624</v>
      </c>
      <c r="I212" s="29" t="s">
        <v>36</v>
      </c>
      <c r="J212" s="29"/>
      <c r="K212" s="24" t="s">
        <v>47</v>
      </c>
      <c r="L212" s="49">
        <v>45622</v>
      </c>
      <c r="M212" s="49">
        <v>45622</v>
      </c>
      <c r="N212" s="34">
        <f t="shared" si="13"/>
        <v>0</v>
      </c>
      <c r="O212" s="29"/>
      <c r="P212" s="29"/>
      <c r="Q212" t="s">
        <v>88</v>
      </c>
      <c r="R212" t="s">
        <v>88</v>
      </c>
      <c r="S212" t="s">
        <v>88</v>
      </c>
      <c r="T212" t="s">
        <v>88</v>
      </c>
      <c r="U212" t="s">
        <v>88</v>
      </c>
      <c r="V212" t="s">
        <v>20</v>
      </c>
    </row>
    <row r="213" spans="1:22" x14ac:dyDescent="0.45">
      <c r="A213" s="79">
        <v>57966696</v>
      </c>
      <c r="B213" s="29" t="str">
        <f t="shared" si="14"/>
        <v>5.796.669-6</v>
      </c>
      <c r="C213" s="22" t="s">
        <v>22</v>
      </c>
      <c r="D213" s="29" t="str">
        <f>IF(IFERROR(VLOOKUP(A213,$A$10:$I212,1,0),0)=0,"",VLOOKUP(A213,$A$10:$I212,4,0))</f>
        <v>OSCAR</v>
      </c>
      <c r="E213" s="29" t="str">
        <f>IF(IFERROR(VLOOKUP(A213,$A$10:$I212,1,0),0)=0,"",VLOOKUP(A213,$A$10:$I212,5,0))</f>
        <v>SEPULVEDA</v>
      </c>
      <c r="F213" s="29" t="str">
        <f>IF(IFERROR(VLOOKUP(A213,$A$10:$I212,1,0),0)=0,"",VLOOKUP(A213,$A$10:$I212,6,0))</f>
        <v>SEPULVEDA</v>
      </c>
      <c r="G213" s="49">
        <v>45618</v>
      </c>
      <c r="H213" s="49">
        <v>45629</v>
      </c>
      <c r="I213" s="29" t="s">
        <v>22</v>
      </c>
      <c r="J213" s="29" t="s">
        <v>56</v>
      </c>
      <c r="K213" s="24" t="s">
        <v>43</v>
      </c>
      <c r="L213" s="49">
        <v>45618</v>
      </c>
      <c r="M213" s="49">
        <v>45626</v>
      </c>
      <c r="N213" s="34">
        <f t="shared" si="13"/>
        <v>8</v>
      </c>
      <c r="O213" s="29"/>
      <c r="P213" s="29"/>
      <c r="Q213" t="s">
        <v>88</v>
      </c>
      <c r="R213" t="s">
        <v>88</v>
      </c>
      <c r="S213" t="s">
        <v>88</v>
      </c>
      <c r="T213" t="s">
        <v>88</v>
      </c>
      <c r="U213" t="s">
        <v>88</v>
      </c>
      <c r="V213" t="s">
        <v>20</v>
      </c>
    </row>
    <row r="214" spans="1:22" x14ac:dyDescent="0.45">
      <c r="A214" s="79">
        <v>57966696</v>
      </c>
      <c r="B214" s="29" t="str">
        <f t="shared" si="14"/>
        <v>5.796.669-6</v>
      </c>
      <c r="C214" s="22" t="s">
        <v>22</v>
      </c>
      <c r="D214" s="29" t="str">
        <f>IF(IFERROR(VLOOKUP(A214,$A$10:$I213,1,0),0)=0,"",VLOOKUP(A214,$A$10:$I213,4,0))</f>
        <v>OSCAR</v>
      </c>
      <c r="E214" s="29" t="str">
        <f>IF(IFERROR(VLOOKUP(A214,$A$10:$I213,1,0),0)=0,"",VLOOKUP(A214,$A$10:$I213,5,0))</f>
        <v>SEPULVEDA</v>
      </c>
      <c r="F214" s="29" t="str">
        <f>IF(IFERROR(VLOOKUP(A214,$A$10:$I213,1,0),0)=0,"",VLOOKUP(A214,$A$10:$I213,6,0))</f>
        <v>SEPULVEDA</v>
      </c>
      <c r="G214" s="49">
        <v>45618</v>
      </c>
      <c r="H214" s="49">
        <v>45629</v>
      </c>
      <c r="I214" s="29"/>
      <c r="J214" s="29"/>
      <c r="K214" s="24" t="s">
        <v>47</v>
      </c>
      <c r="L214" s="49">
        <v>45618</v>
      </c>
      <c r="M214" s="49">
        <v>45621</v>
      </c>
      <c r="N214" s="34">
        <f t="shared" si="13"/>
        <v>3</v>
      </c>
      <c r="O214" s="29"/>
      <c r="P214" s="29"/>
      <c r="Q214" t="s">
        <v>88</v>
      </c>
      <c r="R214" t="s">
        <v>88</v>
      </c>
      <c r="S214" t="s">
        <v>88</v>
      </c>
      <c r="T214" t="s">
        <v>88</v>
      </c>
      <c r="U214" t="s">
        <v>88</v>
      </c>
      <c r="V214" t="s">
        <v>20</v>
      </c>
    </row>
    <row r="215" spans="1:22" x14ac:dyDescent="0.45">
      <c r="A215" s="79">
        <v>173478720</v>
      </c>
      <c r="B215" s="29" t="str">
        <f t="shared" si="14"/>
        <v>17.347.872-0</v>
      </c>
      <c r="C215" s="22" t="s">
        <v>22</v>
      </c>
      <c r="D215" s="29" t="s">
        <v>250</v>
      </c>
      <c r="E215" s="29" t="s">
        <v>954</v>
      </c>
      <c r="F215" s="29" t="s">
        <v>1304</v>
      </c>
      <c r="G215" s="49">
        <v>45620</v>
      </c>
      <c r="H215" s="29"/>
      <c r="I215" s="29"/>
      <c r="J215" s="29"/>
      <c r="K215" s="24" t="s">
        <v>43</v>
      </c>
      <c r="L215" s="49">
        <v>45620</v>
      </c>
      <c r="M215" s="49">
        <v>45626</v>
      </c>
      <c r="N215" s="34">
        <f t="shared" si="13"/>
        <v>6</v>
      </c>
      <c r="O215" s="29"/>
      <c r="P215" s="29"/>
      <c r="Q215" t="s">
        <v>88</v>
      </c>
      <c r="R215" t="s">
        <v>88</v>
      </c>
      <c r="S215" t="s">
        <v>88</v>
      </c>
      <c r="T215" t="s">
        <v>88</v>
      </c>
      <c r="U215" t="s">
        <v>88</v>
      </c>
      <c r="V215" t="s">
        <v>20</v>
      </c>
    </row>
    <row r="216" spans="1:22" x14ac:dyDescent="0.45">
      <c r="A216" s="79">
        <v>173478720</v>
      </c>
      <c r="B216" s="29" t="str">
        <f t="shared" si="14"/>
        <v>17.347.872-0</v>
      </c>
      <c r="C216" s="22" t="str">
        <f>IF(IFERROR(VLOOKUP(A216,$A$10:$I215,1,0),0)=0,"",VLOOKUP(A216,$A$10:$I215,3,0))</f>
        <v>UCI</v>
      </c>
      <c r="D216" s="29" t="str">
        <f>IF(IFERROR(VLOOKUP(A216,$A$10:$I215,1,0),0)=0,"",VLOOKUP(A216,$A$10:$I215,4,0))</f>
        <v>JOSE</v>
      </c>
      <c r="E216" s="29" t="str">
        <f>IF(IFERROR(VLOOKUP(A216,$A$10:$I215,1,0),0)=0,"",VLOOKUP(A216,$A$10:$I215,5,0))</f>
        <v>ESCALONA</v>
      </c>
      <c r="F216" s="29" t="str">
        <f>IF(IFERROR(VLOOKUP(A216,$A$10:$I215,1,0),0)=0,"",VLOOKUP(A216,$A$10:$I215,6,0))</f>
        <v>LAVIN</v>
      </c>
      <c r="G216" s="49">
        <f>IF(IFERROR(VLOOKUP(A216,$A$10:$I215,1,0),0)=0,"",VLOOKUP(A216,$A$10:$I215,7,0))</f>
        <v>45620</v>
      </c>
      <c r="H216" s="29"/>
      <c r="I216" s="29"/>
      <c r="J216" s="29"/>
      <c r="K216" s="24" t="s">
        <v>47</v>
      </c>
      <c r="L216" s="49">
        <v>45620</v>
      </c>
      <c r="M216" s="49">
        <v>45626</v>
      </c>
      <c r="N216" s="34">
        <f t="shared" si="13"/>
        <v>6</v>
      </c>
      <c r="O216" s="29"/>
      <c r="P216" s="29"/>
      <c r="Q216" t="s">
        <v>88</v>
      </c>
      <c r="R216" t="s">
        <v>88</v>
      </c>
      <c r="S216" t="s">
        <v>88</v>
      </c>
      <c r="T216" t="s">
        <v>88</v>
      </c>
      <c r="U216" t="s">
        <v>88</v>
      </c>
      <c r="V216" t="s">
        <v>20</v>
      </c>
    </row>
    <row r="217" spans="1:22" x14ac:dyDescent="0.45">
      <c r="A217" s="79">
        <v>173478720</v>
      </c>
      <c r="B217" s="29" t="str">
        <f t="shared" si="14"/>
        <v>17.347.872-0</v>
      </c>
      <c r="C217" s="22" t="str">
        <f>IF(IFERROR(VLOOKUP(A217,$A$10:$I216,1,0),0)=0,"",VLOOKUP(A217,$A$10:$I216,3,0))</f>
        <v>UCI</v>
      </c>
      <c r="D217" s="29" t="str">
        <f>IF(IFERROR(VLOOKUP(A217,$A$10:$I216,1,0),0)=0,"",VLOOKUP(A217,$A$10:$I216,4,0))</f>
        <v>JOSE</v>
      </c>
      <c r="E217" s="29" t="str">
        <f>IF(IFERROR(VLOOKUP(A217,$A$10:$I216,1,0),0)=0,"",VLOOKUP(A217,$A$10:$I216,5,0))</f>
        <v>ESCALONA</v>
      </c>
      <c r="F217" s="29" t="str">
        <f>IF(IFERROR(VLOOKUP(A217,$A$10:$I216,1,0),0)=0,"",VLOOKUP(A217,$A$10:$I216,6,0))</f>
        <v>LAVIN</v>
      </c>
      <c r="G217" s="49">
        <f>IF(IFERROR(VLOOKUP(A217,$A$10:$I216,1,0),0)=0,"",VLOOKUP(A217,$A$10:$I216,7,0))</f>
        <v>45620</v>
      </c>
      <c r="H217" s="29"/>
      <c r="I217" s="29"/>
      <c r="J217" s="29"/>
      <c r="K217" s="24" t="s">
        <v>55</v>
      </c>
      <c r="L217" s="49">
        <v>45623</v>
      </c>
      <c r="M217" s="49">
        <v>45626</v>
      </c>
      <c r="N217" s="34">
        <f t="shared" si="13"/>
        <v>3</v>
      </c>
      <c r="O217" s="29"/>
      <c r="P217" s="29"/>
      <c r="Q217" t="s">
        <v>88</v>
      </c>
      <c r="R217" t="s">
        <v>88</v>
      </c>
      <c r="S217" t="s">
        <v>88</v>
      </c>
      <c r="T217" t="s">
        <v>88</v>
      </c>
      <c r="U217" t="s">
        <v>88</v>
      </c>
      <c r="V217" t="s">
        <v>20</v>
      </c>
    </row>
    <row r="218" spans="1:22" x14ac:dyDescent="0.45">
      <c r="A218" s="79">
        <v>229291718</v>
      </c>
      <c r="B218" s="29" t="str">
        <f t="shared" si="14"/>
        <v>22.929.171-8</v>
      </c>
      <c r="C218" s="22" t="s">
        <v>22</v>
      </c>
      <c r="D218" s="29" t="s">
        <v>1462</v>
      </c>
      <c r="E218" s="29" t="s">
        <v>262</v>
      </c>
      <c r="F218" s="29" t="s">
        <v>591</v>
      </c>
      <c r="G218" s="49">
        <v>45622</v>
      </c>
      <c r="H218" s="49">
        <v>45626</v>
      </c>
      <c r="I218" s="29"/>
      <c r="J218" s="29"/>
      <c r="K218" s="24" t="s">
        <v>43</v>
      </c>
      <c r="L218" s="49">
        <v>45622</v>
      </c>
      <c r="M218" s="49">
        <v>45626</v>
      </c>
      <c r="N218" s="34">
        <f t="shared" si="13"/>
        <v>4</v>
      </c>
      <c r="O218" s="29"/>
      <c r="P218" s="29"/>
      <c r="Q218" t="s">
        <v>88</v>
      </c>
      <c r="R218" t="s">
        <v>88</v>
      </c>
      <c r="S218" t="s">
        <v>88</v>
      </c>
      <c r="T218" t="s">
        <v>88</v>
      </c>
      <c r="U218" t="s">
        <v>88</v>
      </c>
      <c r="V218" t="s">
        <v>20</v>
      </c>
    </row>
    <row r="219" spans="1:22" x14ac:dyDescent="0.45">
      <c r="A219" s="79">
        <v>229291718</v>
      </c>
      <c r="B219" s="29" t="str">
        <f t="shared" si="14"/>
        <v>22.929.171-8</v>
      </c>
      <c r="C219" s="22" t="str">
        <f>IF(IFERROR(VLOOKUP(A219,$A$10:$I218,1,0),0)=0,"",VLOOKUP(A219,$A$10:$I218,3,0))</f>
        <v>UCI</v>
      </c>
      <c r="D219" s="29" t="str">
        <f>IF(IFERROR(VLOOKUP(A219,$A$10:$I218,1,0),0)=0,"",VLOOKUP(A219,$A$10:$I218,4,0))</f>
        <v>JOAQUÍN</v>
      </c>
      <c r="E219" s="29" t="str">
        <f>IF(IFERROR(VLOOKUP(A219,$A$10:$I218,1,0),0)=0,"",VLOOKUP(A219,$A$10:$I218,5,0))</f>
        <v>CABEZAS</v>
      </c>
      <c r="F219" s="29" t="str">
        <f>IF(IFERROR(VLOOKUP(A219,$A$10:$I218,1,0),0)=0,"",VLOOKUP(A219,$A$10:$I218,6,0))</f>
        <v>ORMEÑO</v>
      </c>
      <c r="G219" s="49">
        <f>IF(IFERROR(VLOOKUP(A219,$A$10:$I218,1,0),0)=0,"",VLOOKUP(A219,$A$10:$I218,7,0))</f>
        <v>45622</v>
      </c>
      <c r="H219" s="49">
        <v>45626</v>
      </c>
      <c r="I219" s="29"/>
      <c r="J219" s="29"/>
      <c r="K219" s="24" t="s">
        <v>47</v>
      </c>
      <c r="L219" s="49">
        <v>45622</v>
      </c>
      <c r="M219" s="49">
        <v>45626</v>
      </c>
      <c r="N219" s="34">
        <f t="shared" si="13"/>
        <v>4</v>
      </c>
      <c r="O219" s="29"/>
      <c r="P219" s="29"/>
      <c r="Q219" t="s">
        <v>88</v>
      </c>
      <c r="R219" t="s">
        <v>88</v>
      </c>
      <c r="S219" t="s">
        <v>88</v>
      </c>
      <c r="T219" t="s">
        <v>88</v>
      </c>
      <c r="U219" t="s">
        <v>88</v>
      </c>
      <c r="V219" t="s">
        <v>20</v>
      </c>
    </row>
    <row r="220" spans="1:22" x14ac:dyDescent="0.45">
      <c r="A220" s="79">
        <v>229291718</v>
      </c>
      <c r="B220" s="29" t="str">
        <f t="shared" si="14"/>
        <v>22.929.171-8</v>
      </c>
      <c r="C220" s="22" t="str">
        <f>IF(IFERROR(VLOOKUP(A220,$A$10:$I219,1,0),0)=0,"",VLOOKUP(A220,$A$10:$I219,3,0))</f>
        <v>UCI</v>
      </c>
      <c r="D220" s="29" t="str">
        <f>IF(IFERROR(VLOOKUP(A220,$A$10:$I219,1,0),0)=0,"",VLOOKUP(A220,$A$10:$I219,4,0))</f>
        <v>JOAQUÍN</v>
      </c>
      <c r="E220" s="29" t="str">
        <f>IF(IFERROR(VLOOKUP(A220,$A$10:$I219,1,0),0)=0,"",VLOOKUP(A220,$A$10:$I219,5,0))</f>
        <v>CABEZAS</v>
      </c>
      <c r="F220" s="29" t="str">
        <f>IF(IFERROR(VLOOKUP(A220,$A$10:$I219,1,0),0)=0,"",VLOOKUP(A220,$A$10:$I219,6,0))</f>
        <v>ORMEÑO</v>
      </c>
      <c r="G220" s="49">
        <f>IF(IFERROR(VLOOKUP(A220,$A$10:$I219,1,0),0)=0,"",VLOOKUP(A220,$A$10:$I219,7,0))</f>
        <v>45622</v>
      </c>
      <c r="H220" s="49">
        <v>45626</v>
      </c>
      <c r="I220" s="29"/>
      <c r="J220" s="29"/>
      <c r="K220" s="24" t="s">
        <v>55</v>
      </c>
      <c r="L220" s="49">
        <v>45622</v>
      </c>
      <c r="M220" s="49">
        <v>45624</v>
      </c>
      <c r="N220" s="34">
        <f t="shared" si="13"/>
        <v>2</v>
      </c>
      <c r="O220" s="29"/>
      <c r="P220" s="29"/>
      <c r="Q220" t="s">
        <v>88</v>
      </c>
      <c r="R220" t="s">
        <v>88</v>
      </c>
      <c r="S220" t="s">
        <v>88</v>
      </c>
      <c r="T220" t="s">
        <v>88</v>
      </c>
      <c r="U220" t="s">
        <v>88</v>
      </c>
      <c r="V220" t="s">
        <v>20</v>
      </c>
    </row>
    <row r="221" spans="1:22" x14ac:dyDescent="0.45">
      <c r="A221" s="79">
        <v>230747504</v>
      </c>
      <c r="B221" s="29" t="str">
        <f t="shared" si="14"/>
        <v>23.074.750-4</v>
      </c>
      <c r="C221" s="22" t="s">
        <v>22</v>
      </c>
      <c r="D221" s="29" t="s">
        <v>1607</v>
      </c>
      <c r="E221" s="29" t="s">
        <v>1481</v>
      </c>
      <c r="F221" s="29" t="s">
        <v>517</v>
      </c>
      <c r="G221" s="49">
        <v>45621</v>
      </c>
      <c r="H221" s="49">
        <v>45624</v>
      </c>
      <c r="I221" s="29"/>
      <c r="J221" s="29" t="s">
        <v>56</v>
      </c>
      <c r="K221" s="24" t="s">
        <v>43</v>
      </c>
      <c r="L221" s="49">
        <v>45621</v>
      </c>
      <c r="M221" s="49">
        <v>45624</v>
      </c>
      <c r="N221" s="34">
        <f t="shared" si="13"/>
        <v>3</v>
      </c>
      <c r="O221" s="29"/>
      <c r="P221" s="29"/>
      <c r="Q221" t="s">
        <v>88</v>
      </c>
      <c r="R221" t="s">
        <v>88</v>
      </c>
      <c r="S221" t="s">
        <v>88</v>
      </c>
      <c r="T221" t="s">
        <v>88</v>
      </c>
      <c r="U221" t="s">
        <v>88</v>
      </c>
      <c r="V221" t="s">
        <v>20</v>
      </c>
    </row>
    <row r="222" spans="1:22" x14ac:dyDescent="0.45">
      <c r="A222" s="79">
        <v>53558607</v>
      </c>
      <c r="B222" s="29" t="str">
        <f t="shared" si="14"/>
        <v>5.355.860-7</v>
      </c>
      <c r="C222" s="22" t="s">
        <v>22</v>
      </c>
      <c r="D222" s="29" t="s">
        <v>1608</v>
      </c>
      <c r="E222" s="29" t="s">
        <v>1609</v>
      </c>
      <c r="F222" s="29" t="s">
        <v>388</v>
      </c>
      <c r="G222" s="49">
        <v>45619</v>
      </c>
      <c r="H222" s="49">
        <v>45622</v>
      </c>
      <c r="I222" s="29"/>
      <c r="J222" s="29" t="s">
        <v>56</v>
      </c>
      <c r="K222" s="24" t="s">
        <v>47</v>
      </c>
      <c r="L222" s="49">
        <v>45619</v>
      </c>
      <c r="M222" s="49">
        <v>45622</v>
      </c>
      <c r="N222" s="34">
        <f t="shared" si="13"/>
        <v>3</v>
      </c>
      <c r="O222" s="29"/>
      <c r="P222" s="29"/>
      <c r="Q222" t="s">
        <v>88</v>
      </c>
      <c r="R222" t="s">
        <v>88</v>
      </c>
      <c r="S222" t="s">
        <v>88</v>
      </c>
      <c r="T222" t="s">
        <v>88</v>
      </c>
      <c r="U222" t="s">
        <v>88</v>
      </c>
      <c r="V222" t="s">
        <v>20</v>
      </c>
    </row>
    <row r="223" spans="1:22" x14ac:dyDescent="0.45">
      <c r="A223" s="79">
        <v>63368083</v>
      </c>
      <c r="B223" s="29" t="str">
        <f t="shared" si="14"/>
        <v>6.336.808-3</v>
      </c>
      <c r="C223" s="22" t="s">
        <v>46</v>
      </c>
      <c r="D223" s="29" t="s">
        <v>1120</v>
      </c>
      <c r="E223" s="29" t="s">
        <v>860</v>
      </c>
      <c r="F223" s="29" t="s">
        <v>523</v>
      </c>
      <c r="G223" s="49">
        <v>45624</v>
      </c>
      <c r="H223" s="49">
        <v>45626</v>
      </c>
      <c r="I223" s="29"/>
      <c r="J223" s="29"/>
      <c r="K223" s="24" t="s">
        <v>47</v>
      </c>
      <c r="L223" s="49">
        <v>45624</v>
      </c>
      <c r="M223" s="49">
        <v>45626</v>
      </c>
      <c r="N223" s="34">
        <f t="shared" ref="N223:N235" si="15">+M223-L223</f>
        <v>2</v>
      </c>
      <c r="O223" s="29"/>
      <c r="P223" s="29"/>
      <c r="Q223" t="s">
        <v>88</v>
      </c>
      <c r="R223" t="s">
        <v>88</v>
      </c>
      <c r="S223" t="s">
        <v>88</v>
      </c>
      <c r="T223" t="s">
        <v>88</v>
      </c>
      <c r="U223" t="s">
        <v>88</v>
      </c>
      <c r="V223" t="s">
        <v>20</v>
      </c>
    </row>
    <row r="224" spans="1:22" x14ac:dyDescent="0.45">
      <c r="A224" s="79">
        <v>102266218</v>
      </c>
      <c r="B224" s="29" t="str">
        <f t="shared" si="14"/>
        <v>10.226.621-8</v>
      </c>
      <c r="C224" s="22" t="s">
        <v>46</v>
      </c>
      <c r="D224" s="29" t="s">
        <v>1610</v>
      </c>
      <c r="E224" s="29" t="s">
        <v>1496</v>
      </c>
      <c r="F224" s="29" t="s">
        <v>310</v>
      </c>
      <c r="G224" s="49">
        <v>45617</v>
      </c>
      <c r="H224" s="29"/>
      <c r="I224" s="29"/>
      <c r="J224" s="29"/>
      <c r="K224" s="24" t="s">
        <v>47</v>
      </c>
      <c r="L224" s="49">
        <v>45617</v>
      </c>
      <c r="M224" s="49">
        <v>45626</v>
      </c>
      <c r="N224" s="34">
        <f t="shared" si="15"/>
        <v>9</v>
      </c>
      <c r="O224" s="29"/>
      <c r="P224" s="29"/>
      <c r="Q224" t="s">
        <v>88</v>
      </c>
      <c r="R224" t="s">
        <v>88</v>
      </c>
      <c r="S224" t="s">
        <v>88</v>
      </c>
      <c r="T224" t="s">
        <v>88</v>
      </c>
      <c r="U224" t="s">
        <v>88</v>
      </c>
      <c r="V224" t="s">
        <v>20</v>
      </c>
    </row>
    <row r="225" spans="1:22" x14ac:dyDescent="0.45">
      <c r="A225" s="79" t="s">
        <v>1611</v>
      </c>
      <c r="B225" s="29" t="str">
        <f t="shared" si="14"/>
        <v>5.647.577-k</v>
      </c>
      <c r="C225" s="22" t="s">
        <v>46</v>
      </c>
      <c r="D225" s="29" t="s">
        <v>321</v>
      </c>
      <c r="E225" s="29" t="s">
        <v>325</v>
      </c>
      <c r="F225" s="29" t="s">
        <v>363</v>
      </c>
      <c r="G225" s="49">
        <v>45617</v>
      </c>
      <c r="H225" s="49">
        <v>45625</v>
      </c>
      <c r="I225" s="29"/>
      <c r="J225" s="29" t="s">
        <v>44</v>
      </c>
      <c r="K225" s="24" t="s">
        <v>47</v>
      </c>
      <c r="L225" s="49">
        <v>45617</v>
      </c>
      <c r="M225" s="49">
        <v>45625</v>
      </c>
      <c r="N225" s="34">
        <f t="shared" si="15"/>
        <v>8</v>
      </c>
      <c r="O225" s="29"/>
      <c r="P225" s="29"/>
      <c r="Q225" t="s">
        <v>88</v>
      </c>
      <c r="R225" t="s">
        <v>88</v>
      </c>
      <c r="S225" t="s">
        <v>88</v>
      </c>
      <c r="T225" t="s">
        <v>88</v>
      </c>
      <c r="U225" t="s">
        <v>88</v>
      </c>
      <c r="V225" t="s">
        <v>20</v>
      </c>
    </row>
    <row r="226" spans="1:22" x14ac:dyDescent="0.45">
      <c r="A226" s="79">
        <v>72423917</v>
      </c>
      <c r="B226" s="29" t="str">
        <f t="shared" si="14"/>
        <v>7.242.391-7</v>
      </c>
      <c r="C226" s="22" t="s">
        <v>22</v>
      </c>
      <c r="D226" s="29" t="s">
        <v>250</v>
      </c>
      <c r="E226" s="29" t="s">
        <v>369</v>
      </c>
      <c r="F226" s="29" t="s">
        <v>363</v>
      </c>
      <c r="G226" s="49">
        <v>45622</v>
      </c>
      <c r="H226" s="49">
        <v>45633</v>
      </c>
      <c r="I226" s="29"/>
      <c r="J226" s="29"/>
      <c r="K226" s="24" t="s">
        <v>43</v>
      </c>
      <c r="L226" s="49">
        <v>45622</v>
      </c>
      <c r="M226" s="49">
        <v>45626</v>
      </c>
      <c r="N226" s="34">
        <f t="shared" si="15"/>
        <v>4</v>
      </c>
      <c r="O226" s="29"/>
      <c r="P226" s="29"/>
      <c r="Q226" t="s">
        <v>88</v>
      </c>
      <c r="R226" t="s">
        <v>88</v>
      </c>
      <c r="S226" t="s">
        <v>88</v>
      </c>
      <c r="T226" t="s">
        <v>88</v>
      </c>
      <c r="U226" t="s">
        <v>88</v>
      </c>
      <c r="V226" t="s">
        <v>20</v>
      </c>
    </row>
    <row r="227" spans="1:22" x14ac:dyDescent="0.45">
      <c r="A227" s="79">
        <v>72423917</v>
      </c>
      <c r="B227" s="29" t="str">
        <f t="shared" si="14"/>
        <v>7.242.391-7</v>
      </c>
      <c r="C227" s="22" t="str">
        <f>IF(IFERROR(VLOOKUP(A227,$A$10:$I226,1,0),0)=0,"",VLOOKUP(A227,$A$10:$I226,3,0))</f>
        <v>UCI</v>
      </c>
      <c r="D227" s="29" t="str">
        <f>IF(IFERROR(VLOOKUP(A227,$A$10:$I226,1,0),0)=0,"",VLOOKUP(A227,$A$10:$I226,4,0))</f>
        <v>JOSE</v>
      </c>
      <c r="E227" s="29" t="str">
        <f>IF(IFERROR(VLOOKUP(A227,$A$10:$I226,1,0),0)=0,"",VLOOKUP(A227,$A$10:$I226,5,0))</f>
        <v>SEGUEL</v>
      </c>
      <c r="F227" s="29" t="str">
        <f>IF(IFERROR(VLOOKUP(A227,$A$10:$I226,1,0),0)=0,"",VLOOKUP(A227,$A$10:$I226,6,0))</f>
        <v>DIAZ</v>
      </c>
      <c r="G227" s="49">
        <f>IF(IFERROR(VLOOKUP(A227,$A$10:$I226,1,0),0)=0,"",VLOOKUP(A227,$A$10:$I226,7,0))</f>
        <v>45622</v>
      </c>
      <c r="H227" s="49">
        <v>45633</v>
      </c>
      <c r="I227" s="29"/>
      <c r="J227" s="29"/>
      <c r="K227" s="24" t="s">
        <v>47</v>
      </c>
      <c r="L227" s="49">
        <v>45622</v>
      </c>
      <c r="M227" s="49">
        <v>45626</v>
      </c>
      <c r="N227" s="34">
        <f t="shared" si="15"/>
        <v>4</v>
      </c>
      <c r="O227" s="29"/>
      <c r="P227" s="29"/>
      <c r="Q227" t="s">
        <v>88</v>
      </c>
      <c r="R227" t="s">
        <v>88</v>
      </c>
      <c r="S227" t="s">
        <v>88</v>
      </c>
      <c r="T227" t="s">
        <v>88</v>
      </c>
      <c r="U227" t="s">
        <v>88</v>
      </c>
      <c r="V227" t="s">
        <v>20</v>
      </c>
    </row>
    <row r="228" spans="1:22" x14ac:dyDescent="0.45">
      <c r="A228" s="79">
        <v>72423917</v>
      </c>
      <c r="B228" s="29" t="str">
        <f t="shared" si="14"/>
        <v>7.242.391-7</v>
      </c>
      <c r="C228" s="22" t="str">
        <f>IF(IFERROR(VLOOKUP(A228,$A$10:$I227,1,0),0)=0,"",VLOOKUP(A228,$A$10:$I227,3,0))</f>
        <v>UCI</v>
      </c>
      <c r="D228" s="29" t="str">
        <f>IF(IFERROR(VLOOKUP(A228,$A$10:$I227,1,0),0)=0,"",VLOOKUP(A228,$A$10:$I227,4,0))</f>
        <v>JOSE</v>
      </c>
      <c r="E228" s="29" t="str">
        <f>IF(IFERROR(VLOOKUP(A228,$A$10:$I227,1,0),0)=0,"",VLOOKUP(A228,$A$10:$I227,5,0))</f>
        <v>SEGUEL</v>
      </c>
      <c r="F228" s="29" t="str">
        <f>IF(IFERROR(VLOOKUP(A228,$A$10:$I227,1,0),0)=0,"",VLOOKUP(A228,$A$10:$I227,6,0))</f>
        <v>DIAZ</v>
      </c>
      <c r="G228" s="49">
        <f>IF(IFERROR(VLOOKUP(A228,$A$10:$I227,1,0),0)=0,"",VLOOKUP(A228,$A$10:$I227,7,0))</f>
        <v>45622</v>
      </c>
      <c r="H228" s="49">
        <v>45633</v>
      </c>
      <c r="I228" s="29"/>
      <c r="J228" s="29"/>
      <c r="K228" s="24" t="s">
        <v>55</v>
      </c>
      <c r="L228" s="49">
        <v>45622</v>
      </c>
      <c r="M228" s="49">
        <v>45626</v>
      </c>
      <c r="N228" s="34">
        <f t="shared" si="15"/>
        <v>4</v>
      </c>
      <c r="O228" s="29"/>
      <c r="P228" s="29"/>
      <c r="Q228" t="s">
        <v>88</v>
      </c>
      <c r="R228" t="s">
        <v>88</v>
      </c>
      <c r="S228" t="s">
        <v>88</v>
      </c>
      <c r="T228" t="s">
        <v>88</v>
      </c>
      <c r="U228" t="s">
        <v>88</v>
      </c>
      <c r="V228" t="s">
        <v>20</v>
      </c>
    </row>
    <row r="229" spans="1:22" x14ac:dyDescent="0.45">
      <c r="A229" s="79">
        <v>57683201</v>
      </c>
      <c r="B229" s="29" t="str">
        <f t="shared" si="14"/>
        <v>5.768.320-1</v>
      </c>
      <c r="C229" s="22" t="s">
        <v>22</v>
      </c>
      <c r="D229" s="29" t="s">
        <v>362</v>
      </c>
      <c r="E229" s="29" t="s">
        <v>1612</v>
      </c>
      <c r="F229" s="29" t="s">
        <v>257</v>
      </c>
      <c r="G229" s="49">
        <v>45621</v>
      </c>
      <c r="H229" s="49">
        <v>45632</v>
      </c>
      <c r="I229" s="29"/>
      <c r="J229" s="29"/>
      <c r="K229" s="24" t="s">
        <v>43</v>
      </c>
      <c r="L229" s="49">
        <v>45621</v>
      </c>
      <c r="M229" s="49">
        <v>45626</v>
      </c>
      <c r="N229" s="34">
        <f t="shared" si="15"/>
        <v>5</v>
      </c>
      <c r="O229" s="29"/>
      <c r="P229" s="29"/>
      <c r="Q229" t="s">
        <v>88</v>
      </c>
      <c r="R229" t="s">
        <v>88</v>
      </c>
      <c r="S229" t="s">
        <v>88</v>
      </c>
      <c r="T229" t="s">
        <v>88</v>
      </c>
      <c r="U229" t="s">
        <v>88</v>
      </c>
      <c r="V229" t="s">
        <v>20</v>
      </c>
    </row>
    <row r="230" spans="1:22" x14ac:dyDescent="0.45">
      <c r="A230" s="79">
        <v>57683201</v>
      </c>
      <c r="B230" s="29" t="str">
        <f t="shared" si="14"/>
        <v>5.768.320-1</v>
      </c>
      <c r="C230" s="22" t="str">
        <f>IF(IFERROR(VLOOKUP(A230,$A$10:$I229,1,0),0)=0,"",VLOOKUP(A230,$A$10:$I229,3,0))</f>
        <v>UCI</v>
      </c>
      <c r="D230" s="29" t="str">
        <f>IF(IFERROR(VLOOKUP(A230,$A$10:$I229,1,0),0)=0,"",VLOOKUP(A230,$A$10:$I229,4,0))</f>
        <v>JORGE</v>
      </c>
      <c r="E230" s="29" t="str">
        <f>IF(IFERROR(VLOOKUP(A230,$A$10:$I229,1,0),0)=0,"",VLOOKUP(A230,$A$10:$I229,5,0))</f>
        <v>MONJE</v>
      </c>
      <c r="F230" s="29" t="str">
        <f>IF(IFERROR(VLOOKUP(A230,$A$10:$I229,1,0),0)=0,"",VLOOKUP(A230,$A$10:$I229,6,0))</f>
        <v>CHAVEZ</v>
      </c>
      <c r="G230" s="49">
        <f>IF(IFERROR(VLOOKUP(A230,$A$10:$I229,1,0),0)=0,"",VLOOKUP(A230,$A$10:$I229,7,0))</f>
        <v>45621</v>
      </c>
      <c r="H230" s="49">
        <v>45632</v>
      </c>
      <c r="I230" s="29"/>
      <c r="J230" s="29"/>
      <c r="K230" s="24" t="s">
        <v>47</v>
      </c>
      <c r="L230" s="49">
        <v>45621</v>
      </c>
      <c r="M230" s="49">
        <v>45626</v>
      </c>
      <c r="N230" s="34">
        <f t="shared" si="15"/>
        <v>5</v>
      </c>
      <c r="O230" s="29"/>
      <c r="P230" s="29"/>
      <c r="Q230" t="s">
        <v>88</v>
      </c>
      <c r="R230" t="s">
        <v>88</v>
      </c>
      <c r="S230" t="s">
        <v>88</v>
      </c>
      <c r="T230" t="s">
        <v>88</v>
      </c>
      <c r="U230" t="s">
        <v>88</v>
      </c>
      <c r="V230" t="s">
        <v>20</v>
      </c>
    </row>
    <row r="231" spans="1:22" x14ac:dyDescent="0.45">
      <c r="A231" s="79">
        <v>57683201</v>
      </c>
      <c r="B231" s="29" t="str">
        <f t="shared" si="14"/>
        <v>5.768.320-1</v>
      </c>
      <c r="C231" s="22" t="str">
        <f>IF(IFERROR(VLOOKUP(A231,$A$10:$I230,1,0),0)=0,"",VLOOKUP(A231,$A$10:$I230,3,0))</f>
        <v>UCI</v>
      </c>
      <c r="D231" s="29" t="str">
        <f>IF(IFERROR(VLOOKUP(A231,$A$10:$I230,1,0),0)=0,"",VLOOKUP(A231,$A$10:$I230,4,0))</f>
        <v>JORGE</v>
      </c>
      <c r="E231" s="29" t="str">
        <f>IF(IFERROR(VLOOKUP(A231,$A$10:$I230,1,0),0)=0,"",VLOOKUP(A231,$A$10:$I230,5,0))</f>
        <v>MONJE</v>
      </c>
      <c r="F231" s="29" t="str">
        <f>IF(IFERROR(VLOOKUP(A231,$A$10:$I230,1,0),0)=0,"",VLOOKUP(A231,$A$10:$I230,6,0))</f>
        <v>CHAVEZ</v>
      </c>
      <c r="G231" s="49">
        <f>IF(IFERROR(VLOOKUP(A231,$A$10:$I230,1,0),0)=0,"",VLOOKUP(A231,$A$10:$I230,7,0))</f>
        <v>45621</v>
      </c>
      <c r="H231" s="49">
        <v>45632</v>
      </c>
      <c r="I231" s="29"/>
      <c r="J231" s="29"/>
      <c r="K231" s="24" t="s">
        <v>55</v>
      </c>
      <c r="L231" s="49">
        <v>45621</v>
      </c>
      <c r="M231" s="49">
        <v>45626</v>
      </c>
      <c r="N231" s="34">
        <f t="shared" si="15"/>
        <v>5</v>
      </c>
      <c r="O231" s="29"/>
      <c r="P231" s="29"/>
      <c r="Q231" t="s">
        <v>88</v>
      </c>
      <c r="R231" t="s">
        <v>88</v>
      </c>
      <c r="S231" t="s">
        <v>88</v>
      </c>
      <c r="T231" t="s">
        <v>88</v>
      </c>
      <c r="U231" t="s">
        <v>88</v>
      </c>
      <c r="V231" t="s">
        <v>20</v>
      </c>
    </row>
    <row r="232" spans="1:22" x14ac:dyDescent="0.45">
      <c r="A232" s="79">
        <v>47102286</v>
      </c>
      <c r="B232" s="29" t="str">
        <f t="shared" si="14"/>
        <v>4.710.228-6</v>
      </c>
      <c r="C232" s="22" t="s">
        <v>22</v>
      </c>
      <c r="D232" s="29" t="s">
        <v>445</v>
      </c>
      <c r="E232" s="29" t="s">
        <v>558</v>
      </c>
      <c r="F232" s="29" t="s">
        <v>241</v>
      </c>
      <c r="G232" s="49">
        <v>45624</v>
      </c>
      <c r="H232" s="49">
        <v>45626</v>
      </c>
      <c r="I232" s="29"/>
      <c r="J232" s="29"/>
      <c r="K232" s="24" t="s">
        <v>47</v>
      </c>
      <c r="L232" s="49">
        <v>45624</v>
      </c>
      <c r="M232" s="49">
        <v>45626</v>
      </c>
      <c r="N232" s="34">
        <f t="shared" si="15"/>
        <v>2</v>
      </c>
      <c r="O232" s="29"/>
      <c r="P232" s="29"/>
      <c r="Q232" t="s">
        <v>88</v>
      </c>
      <c r="R232" t="s">
        <v>88</v>
      </c>
      <c r="S232" t="s">
        <v>88</v>
      </c>
      <c r="T232" t="s">
        <v>88</v>
      </c>
      <c r="U232" t="s">
        <v>88</v>
      </c>
      <c r="V232" t="s">
        <v>20</v>
      </c>
    </row>
    <row r="233" spans="1:22" x14ac:dyDescent="0.45">
      <c r="A233" s="79">
        <v>78027541</v>
      </c>
      <c r="B233" s="29" t="str">
        <f t="shared" si="14"/>
        <v>7.802.754-1</v>
      </c>
      <c r="C233" s="22" t="s">
        <v>22</v>
      </c>
      <c r="D233" s="29" t="s">
        <v>1613</v>
      </c>
      <c r="E233" s="29" t="s">
        <v>503</v>
      </c>
      <c r="F233" s="29" t="s">
        <v>1614</v>
      </c>
      <c r="G233" s="49">
        <v>45623</v>
      </c>
      <c r="H233" s="49">
        <v>45628</v>
      </c>
      <c r="I233" s="29"/>
      <c r="J233" s="29" t="s">
        <v>26</v>
      </c>
      <c r="K233" s="24" t="s">
        <v>47</v>
      </c>
      <c r="L233" s="49">
        <v>45623</v>
      </c>
      <c r="M233" s="49">
        <v>45626</v>
      </c>
      <c r="N233" s="34">
        <f t="shared" si="15"/>
        <v>3</v>
      </c>
      <c r="O233" s="29"/>
      <c r="P233" s="29"/>
      <c r="Q233" t="s">
        <v>88</v>
      </c>
      <c r="R233" t="s">
        <v>88</v>
      </c>
      <c r="S233" t="s">
        <v>88</v>
      </c>
      <c r="T233" t="s">
        <v>88</v>
      </c>
      <c r="U233" t="s">
        <v>88</v>
      </c>
      <c r="V233" t="s">
        <v>20</v>
      </c>
    </row>
    <row r="234" spans="1:22" x14ac:dyDescent="0.45">
      <c r="A234" s="79">
        <v>120427334</v>
      </c>
      <c r="B234" s="29" t="str">
        <f t="shared" si="14"/>
        <v>12.042.733-4</v>
      </c>
      <c r="C234" s="22" t="s">
        <v>22</v>
      </c>
      <c r="D234" s="29" t="s">
        <v>515</v>
      </c>
      <c r="E234" s="29" t="s">
        <v>422</v>
      </c>
      <c r="F234" s="29" t="s">
        <v>1282</v>
      </c>
      <c r="G234" s="49">
        <v>45623</v>
      </c>
      <c r="H234" s="49">
        <v>45636</v>
      </c>
      <c r="I234" s="29"/>
      <c r="J234" s="29"/>
      <c r="K234" s="24" t="s">
        <v>43</v>
      </c>
      <c r="L234" s="49">
        <v>45623</v>
      </c>
      <c r="M234" s="49">
        <v>45626</v>
      </c>
      <c r="N234" s="34">
        <f t="shared" si="15"/>
        <v>3</v>
      </c>
      <c r="O234" s="29"/>
      <c r="P234" s="29"/>
      <c r="Q234" t="s">
        <v>88</v>
      </c>
      <c r="R234" t="s">
        <v>88</v>
      </c>
      <c r="S234" t="s">
        <v>88</v>
      </c>
      <c r="T234" t="s">
        <v>88</v>
      </c>
      <c r="U234" t="s">
        <v>88</v>
      </c>
      <c r="V234" t="s">
        <v>20</v>
      </c>
    </row>
    <row r="235" spans="1:22" x14ac:dyDescent="0.45">
      <c r="A235" s="79">
        <v>120427334</v>
      </c>
      <c r="B235" s="29" t="str">
        <f t="shared" si="14"/>
        <v>12.042.733-4</v>
      </c>
      <c r="C235" s="22" t="str">
        <f>IF(IFERROR(VLOOKUP(A235,$A$10:$I234,1,0),0)=0,"",VLOOKUP(A235,$A$10:$I234,3,0))</f>
        <v>UCI</v>
      </c>
      <c r="D235" s="29" t="str">
        <f>IF(IFERROR(VLOOKUP(A235,$A$10:$I234,1,0),0)=0,"",VLOOKUP(A235,$A$10:$I234,4,0))</f>
        <v>CESAR</v>
      </c>
      <c r="E235" s="29" t="str">
        <f>IF(IFERROR(VLOOKUP(A235,$A$10:$I234,1,0),0)=0,"",VLOOKUP(A235,$A$10:$I234,5,0))</f>
        <v>TORRES</v>
      </c>
      <c r="F235" s="29" t="str">
        <f>IF(IFERROR(VLOOKUP(A235,$A$10:$I234,1,0),0)=0,"",VLOOKUP(A235,$A$10:$I234,6,0))</f>
        <v>MACHUCA</v>
      </c>
      <c r="G235" s="49">
        <f>IF(IFERROR(VLOOKUP(A235,$A$10:$I234,1,0),0)=0,"",VLOOKUP(A235,$A$10:$I234,7,0))</f>
        <v>45623</v>
      </c>
      <c r="H235" s="49">
        <v>45636</v>
      </c>
      <c r="I235" s="29"/>
      <c r="J235" s="29"/>
      <c r="K235" s="24" t="s">
        <v>47</v>
      </c>
      <c r="L235" s="49">
        <v>45623</v>
      </c>
      <c r="M235" s="49">
        <v>45626</v>
      </c>
      <c r="N235" s="34">
        <f t="shared" si="15"/>
        <v>3</v>
      </c>
      <c r="O235" s="29"/>
      <c r="P235" s="29"/>
      <c r="Q235" t="s">
        <v>88</v>
      </c>
      <c r="R235" t="s">
        <v>88</v>
      </c>
      <c r="S235" t="s">
        <v>88</v>
      </c>
      <c r="T235" t="s">
        <v>88</v>
      </c>
      <c r="U235" t="s">
        <v>88</v>
      </c>
      <c r="V235" t="s">
        <v>20</v>
      </c>
    </row>
    <row r="236" spans="1:22" x14ac:dyDescent="0.45">
      <c r="V236">
        <f>COUNTIF(V8:V235,"si")</f>
        <v>3</v>
      </c>
    </row>
  </sheetData>
  <dataValidations count="2">
    <dataValidation allowBlank="1" showInputMessage="1" sqref="P1:P7" xr:uid="{00000000-0002-0000-0C00-000000000000}"/>
    <dataValidation allowBlank="1" sqref="N1:O7" xr:uid="{00000000-0002-0000-0C00-000001000000}"/>
  </dataValidations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265"/>
  <sheetViews>
    <sheetView topLeftCell="A233" zoomScale="80" zoomScaleNormal="80" workbookViewId="0">
      <pane xSplit="2" topLeftCell="C1" activePane="topRight" state="frozen"/>
      <selection pane="topRight" activeCell="J228" sqref="J228:J229"/>
    </sheetView>
  </sheetViews>
  <sheetFormatPr baseColWidth="10" defaultRowHeight="14.25" x14ac:dyDescent="0.45"/>
  <cols>
    <col min="3" max="3" width="18.265625" customWidth="1"/>
    <col min="5" max="5" width="13" customWidth="1"/>
    <col min="11" max="11" width="20.265625" customWidth="1"/>
  </cols>
  <sheetData>
    <row r="1" spans="1:21" x14ac:dyDescent="0.45">
      <c r="A1" s="94" t="s">
        <v>215</v>
      </c>
      <c r="B1" s="1"/>
      <c r="C1" s="94"/>
      <c r="D1" s="1"/>
      <c r="E1" s="1"/>
      <c r="F1" s="1"/>
      <c r="G1" s="103"/>
      <c r="H1" s="1"/>
      <c r="I1" s="1"/>
      <c r="J1" s="2"/>
      <c r="K1" s="87"/>
      <c r="L1" s="103"/>
      <c r="M1" s="103"/>
      <c r="N1" s="1"/>
      <c r="O1" s="1"/>
    </row>
    <row r="2" spans="1:21" x14ac:dyDescent="0.45">
      <c r="A2" s="122"/>
      <c r="B2" s="3"/>
      <c r="C2" s="67"/>
      <c r="D2" s="3"/>
      <c r="E2" s="3"/>
      <c r="F2" s="3"/>
      <c r="G2" s="104"/>
      <c r="H2" s="3"/>
      <c r="I2" s="3"/>
      <c r="J2" s="54"/>
      <c r="K2" s="88"/>
      <c r="L2" s="104"/>
      <c r="M2" s="104"/>
      <c r="N2" s="3"/>
      <c r="O2" s="3"/>
    </row>
    <row r="3" spans="1:21" x14ac:dyDescent="0.45">
      <c r="A3" s="123" t="s">
        <v>216</v>
      </c>
      <c r="B3" s="6"/>
      <c r="C3" s="95" t="s">
        <v>22</v>
      </c>
      <c r="D3" s="6" t="s">
        <v>217</v>
      </c>
      <c r="E3" s="7" t="s">
        <v>1091</v>
      </c>
      <c r="F3" s="6" t="s">
        <v>218</v>
      </c>
      <c r="G3" s="105"/>
      <c r="H3" s="6" t="s">
        <v>219</v>
      </c>
      <c r="I3" s="7">
        <v>2024</v>
      </c>
      <c r="J3" s="55"/>
      <c r="K3" s="89"/>
      <c r="L3" s="112"/>
      <c r="M3" s="112"/>
      <c r="N3" s="6"/>
      <c r="O3" s="6"/>
    </row>
    <row r="4" spans="1:21" x14ac:dyDescent="0.45">
      <c r="A4" s="122"/>
      <c r="B4" s="3"/>
      <c r="C4" s="67"/>
      <c r="D4" s="3"/>
      <c r="E4" s="3"/>
      <c r="F4" s="3"/>
      <c r="G4" s="104"/>
      <c r="H4" s="3"/>
      <c r="I4" s="3"/>
      <c r="J4" s="54"/>
      <c r="K4" s="90"/>
      <c r="L4" s="104"/>
      <c r="M4" s="104"/>
      <c r="N4" s="3"/>
      <c r="O4" s="3"/>
    </row>
    <row r="5" spans="1:21" x14ac:dyDescent="0.45">
      <c r="A5" s="122"/>
      <c r="B5" s="3"/>
      <c r="C5" s="67"/>
      <c r="E5" s="3"/>
      <c r="F5" s="3"/>
      <c r="G5" s="104"/>
      <c r="H5" s="3"/>
      <c r="I5" s="3"/>
      <c r="J5" s="54"/>
      <c r="K5" s="90"/>
      <c r="L5" s="104"/>
      <c r="M5" s="104"/>
      <c r="N5" s="3"/>
      <c r="O5" s="3"/>
    </row>
    <row r="6" spans="1:21" ht="14.65" customHeight="1" thickBot="1" x14ac:dyDescent="0.5">
      <c r="A6" s="122"/>
      <c r="B6" s="3"/>
      <c r="C6" s="67"/>
      <c r="D6" s="3"/>
      <c r="E6" s="3"/>
      <c r="F6" s="3"/>
      <c r="G6" s="104"/>
      <c r="H6" s="3"/>
      <c r="I6" s="3"/>
      <c r="J6" s="54"/>
      <c r="K6" s="90"/>
      <c r="L6" s="104"/>
      <c r="M6" s="104"/>
      <c r="N6" s="3"/>
      <c r="O6" s="3"/>
    </row>
    <row r="7" spans="1:21" ht="28.5" customHeight="1" x14ac:dyDescent="0.45">
      <c r="A7" s="124" t="s">
        <v>220</v>
      </c>
      <c r="B7" s="11" t="s">
        <v>221</v>
      </c>
      <c r="C7" s="96" t="s">
        <v>222</v>
      </c>
      <c r="D7" s="11" t="s">
        <v>225</v>
      </c>
      <c r="E7" s="12" t="s">
        <v>223</v>
      </c>
      <c r="F7" s="12" t="s">
        <v>224</v>
      </c>
      <c r="G7" s="106" t="s">
        <v>226</v>
      </c>
      <c r="H7" s="12" t="s">
        <v>227</v>
      </c>
      <c r="I7" s="11" t="s">
        <v>4</v>
      </c>
      <c r="J7" s="86" t="s">
        <v>5</v>
      </c>
      <c r="K7" s="91" t="s">
        <v>3</v>
      </c>
      <c r="L7" s="106" t="s">
        <v>228</v>
      </c>
      <c r="M7" s="106" t="s">
        <v>229</v>
      </c>
      <c r="N7" s="14" t="s">
        <v>230</v>
      </c>
      <c r="O7" s="16" t="s">
        <v>7</v>
      </c>
      <c r="P7" s="127" t="s">
        <v>231</v>
      </c>
      <c r="Q7" s="127" t="s">
        <v>232</v>
      </c>
      <c r="R7" s="127" t="s">
        <v>233</v>
      </c>
      <c r="S7" s="127" t="s">
        <v>234</v>
      </c>
      <c r="T7" s="127" t="s">
        <v>235</v>
      </c>
      <c r="U7" s="127" t="s">
        <v>8</v>
      </c>
    </row>
    <row r="8" spans="1:21" x14ac:dyDescent="0.45">
      <c r="A8" s="79">
        <v>173478720</v>
      </c>
      <c r="B8" s="29" t="str">
        <f t="shared" ref="B8:B15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17.347.872-0</v>
      </c>
      <c r="C8" s="22" t="s">
        <v>22</v>
      </c>
      <c r="D8" s="29" t="s">
        <v>250</v>
      </c>
      <c r="E8" s="29" t="s">
        <v>954</v>
      </c>
      <c r="F8" s="29" t="s">
        <v>1304</v>
      </c>
      <c r="G8" s="49">
        <v>45620</v>
      </c>
      <c r="H8" s="49">
        <v>45652</v>
      </c>
      <c r="I8" s="29"/>
      <c r="J8" s="29"/>
      <c r="K8" s="24" t="s">
        <v>43</v>
      </c>
      <c r="L8" s="49">
        <v>45627</v>
      </c>
      <c r="M8" s="49">
        <v>45645</v>
      </c>
      <c r="N8" s="34">
        <f t="shared" ref="N8:N39" si="1">+M8-L8</f>
        <v>18</v>
      </c>
      <c r="O8" s="29"/>
      <c r="P8" t="s">
        <v>88</v>
      </c>
      <c r="Q8" t="s">
        <v>88</v>
      </c>
      <c r="R8" t="s">
        <v>88</v>
      </c>
      <c r="S8" t="s">
        <v>88</v>
      </c>
      <c r="T8" t="s">
        <v>88</v>
      </c>
      <c r="U8" t="s">
        <v>20</v>
      </c>
    </row>
    <row r="9" spans="1:21" x14ac:dyDescent="0.45">
      <c r="A9" s="79">
        <v>173478720</v>
      </c>
      <c r="B9" s="29" t="str">
        <f t="shared" si="0"/>
        <v>17.347.872-0</v>
      </c>
      <c r="C9" s="22" t="str">
        <f>IF(IFERROR(VLOOKUP(A9,$A8:$I$9,1,0),0)=0,"",VLOOKUP(A9,$A8:$I$9,3,0))</f>
        <v>UCI</v>
      </c>
      <c r="D9" s="29" t="str">
        <f>IF(IFERROR(VLOOKUP(A9,$A8:$I$9,1,0),0)=0,"",VLOOKUP(A9,$A8:$I$9,4,0))</f>
        <v>JOSE</v>
      </c>
      <c r="E9" s="29" t="str">
        <f>IF(IFERROR(VLOOKUP(A9,$A8:$I$9,1,0),0)=0,"",VLOOKUP(A9,$A8:$I$9,5,0))</f>
        <v>ESCALONA</v>
      </c>
      <c r="F9" s="29" t="str">
        <f>IF(IFERROR(VLOOKUP(A9,$A8:$I$9,1,0),0)=0,"",VLOOKUP(A9,$A8:$I$9,6,0))</f>
        <v>LAVIN</v>
      </c>
      <c r="G9" s="49">
        <f>IF(IFERROR(VLOOKUP(A9,$A8:$I$9,1,0),0)=0,"",VLOOKUP(A9,$A8:$I$9,7,0))</f>
        <v>45620</v>
      </c>
      <c r="H9" s="49">
        <v>45652</v>
      </c>
      <c r="I9" s="29"/>
      <c r="J9" s="29" t="s">
        <v>1615</v>
      </c>
      <c r="K9" s="24" t="s">
        <v>51</v>
      </c>
      <c r="L9" s="49">
        <v>45627</v>
      </c>
      <c r="M9" s="49">
        <v>45644</v>
      </c>
      <c r="N9" s="34">
        <f t="shared" si="1"/>
        <v>17</v>
      </c>
      <c r="O9" s="29"/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20</v>
      </c>
    </row>
    <row r="10" spans="1:21" x14ac:dyDescent="0.45">
      <c r="A10" s="79">
        <v>173478720</v>
      </c>
      <c r="B10" s="29" t="str">
        <f t="shared" si="0"/>
        <v>17.347.872-0</v>
      </c>
      <c r="C10" s="22" t="str">
        <f>IF(IFERROR(VLOOKUP(A10,$A9:$I$9,1,0),0)=0,"",VLOOKUP(A10,$A9:$I$9,3,0))</f>
        <v>UCI</v>
      </c>
      <c r="D10" s="29" t="str">
        <f>IF(IFERROR(VLOOKUP(A10,$A9:$I$9,1,0),0)=0,"",VLOOKUP(A10,$A9:$I$9,4,0))</f>
        <v>JOSE</v>
      </c>
      <c r="E10" s="29" t="str">
        <f>IF(IFERROR(VLOOKUP(A10,$A9:$I$9,1,0),0)=0,"",VLOOKUP(A10,$A9:$I$9,5,0))</f>
        <v>ESCALONA</v>
      </c>
      <c r="F10" s="29" t="str">
        <f>IF(IFERROR(VLOOKUP(A10,$A9:$I$9,1,0),0)=0,"",VLOOKUP(A10,$A9:$I$9,6,0))</f>
        <v>LAVIN</v>
      </c>
      <c r="G10" s="49">
        <f>IF(IFERROR(VLOOKUP(A10,$A9:$I$9,1,0),0)=0,"",VLOOKUP(A10,$A9:$I$9,7,0))</f>
        <v>45620</v>
      </c>
      <c r="H10" s="49">
        <v>45652</v>
      </c>
      <c r="I10" s="29"/>
      <c r="J10" s="29" t="s">
        <v>1615</v>
      </c>
      <c r="K10" s="24" t="s">
        <v>55</v>
      </c>
      <c r="L10" s="49">
        <v>45627</v>
      </c>
      <c r="M10" s="49">
        <v>45641</v>
      </c>
      <c r="N10" s="34">
        <f t="shared" si="1"/>
        <v>14</v>
      </c>
      <c r="O10" s="29"/>
      <c r="P10" t="s">
        <v>88</v>
      </c>
      <c r="Q10" t="s">
        <v>88</v>
      </c>
      <c r="R10" t="s">
        <v>88</v>
      </c>
      <c r="S10" t="s">
        <v>88</v>
      </c>
      <c r="T10" t="s">
        <v>88</v>
      </c>
      <c r="U10" t="s">
        <v>20</v>
      </c>
    </row>
    <row r="11" spans="1:21" x14ac:dyDescent="0.45">
      <c r="A11" s="79" t="s">
        <v>1616</v>
      </c>
      <c r="B11" s="29" t="str">
        <f t="shared" si="0"/>
        <v>7.586.437-k</v>
      </c>
      <c r="C11" s="22" t="s">
        <v>22</v>
      </c>
      <c r="D11" s="29" t="s">
        <v>1617</v>
      </c>
      <c r="E11" s="29" t="s">
        <v>352</v>
      </c>
      <c r="F11" s="29" t="s">
        <v>873</v>
      </c>
      <c r="G11" s="49">
        <v>45627</v>
      </c>
      <c r="H11" s="49">
        <v>45629</v>
      </c>
      <c r="I11" s="29"/>
      <c r="J11" s="29" t="s">
        <v>19</v>
      </c>
      <c r="K11" s="24" t="s">
        <v>43</v>
      </c>
      <c r="L11" s="49">
        <v>45627</v>
      </c>
      <c r="M11" s="49">
        <v>45629</v>
      </c>
      <c r="N11" s="34">
        <f t="shared" si="1"/>
        <v>2</v>
      </c>
      <c r="O11" s="29"/>
      <c r="P11" t="s">
        <v>88</v>
      </c>
      <c r="Q11" t="s">
        <v>88</v>
      </c>
      <c r="R11" t="s">
        <v>88</v>
      </c>
      <c r="S11" t="s">
        <v>88</v>
      </c>
      <c r="T11" t="s">
        <v>88</v>
      </c>
      <c r="U11" t="s">
        <v>20</v>
      </c>
    </row>
    <row r="12" spans="1:21" x14ac:dyDescent="0.45">
      <c r="A12" s="79" t="s">
        <v>1616</v>
      </c>
      <c r="B12" s="29" t="str">
        <f t="shared" si="0"/>
        <v>7.586.437-k</v>
      </c>
      <c r="C12" s="22" t="str">
        <f>IF(IFERROR(VLOOKUP(A12,$A$9:$I11,1,0),0)=0,"",VLOOKUP(A12,$A$9:$I11,3,0))</f>
        <v>UCI</v>
      </c>
      <c r="D12" s="29" t="str">
        <f>IF(IFERROR(VLOOKUP(A12,$A$9:$I11,1,0),0)=0,"",VLOOKUP(A12,$A$9:$I11,4,0))</f>
        <v>IBETE</v>
      </c>
      <c r="E12" s="29" t="str">
        <f>IF(IFERROR(VLOOKUP(A12,$A$9:$I11,1,0),0)=0,"",VLOOKUP(A12,$A$9:$I11,5,0))</f>
        <v>CONTRERAS</v>
      </c>
      <c r="F12" s="29" t="str">
        <f>IF(IFERROR(VLOOKUP(A12,$A$9:$I11,1,0),0)=0,"",VLOOKUP(A12,$A$9:$I11,6,0))</f>
        <v>ZAPATA</v>
      </c>
      <c r="G12" s="49">
        <f>IF(IFERROR(VLOOKUP(A12,$A$9:$I11,1,0),0)=0,"",VLOOKUP(A12,$A$9:$I11,7,0))</f>
        <v>45627</v>
      </c>
      <c r="H12" s="49">
        <v>45629</v>
      </c>
      <c r="I12" s="29"/>
      <c r="J12" s="29" t="s">
        <v>19</v>
      </c>
      <c r="K12" s="24" t="s">
        <v>47</v>
      </c>
      <c r="L12" s="49">
        <v>45627</v>
      </c>
      <c r="M12" s="49">
        <v>45629</v>
      </c>
      <c r="N12" s="34">
        <f t="shared" si="1"/>
        <v>2</v>
      </c>
      <c r="O12" s="29"/>
      <c r="P12" t="s">
        <v>88</v>
      </c>
      <c r="Q12" t="s">
        <v>88</v>
      </c>
      <c r="R12" t="s">
        <v>88</v>
      </c>
      <c r="S12" t="s">
        <v>88</v>
      </c>
      <c r="T12" t="s">
        <v>88</v>
      </c>
      <c r="U12" t="s">
        <v>20</v>
      </c>
    </row>
    <row r="13" spans="1:21" x14ac:dyDescent="0.45">
      <c r="A13" s="79" t="s">
        <v>1616</v>
      </c>
      <c r="B13" s="29" t="str">
        <f t="shared" si="0"/>
        <v>7.586.437-k</v>
      </c>
      <c r="C13" s="22" t="str">
        <f>IF(IFERROR(VLOOKUP(A13,$A$9:$I12,1,0),0)=0,"",VLOOKUP(A13,$A$9:$I12,3,0))</f>
        <v>UCI</v>
      </c>
      <c r="D13" s="29" t="str">
        <f>IF(IFERROR(VLOOKUP(A13,$A$9:$I12,1,0),0)=0,"",VLOOKUP(A13,$A$9:$I12,4,0))</f>
        <v>IBETE</v>
      </c>
      <c r="E13" s="29" t="str">
        <f>IF(IFERROR(VLOOKUP(A13,$A$9:$I12,1,0),0)=0,"",VLOOKUP(A13,$A$9:$I12,5,0))</f>
        <v>CONTRERAS</v>
      </c>
      <c r="F13" s="29" t="str">
        <f>IF(IFERROR(VLOOKUP(A13,$A$9:$I12,1,0),0)=0,"",VLOOKUP(A13,$A$9:$I12,6,0))</f>
        <v>ZAPATA</v>
      </c>
      <c r="G13" s="49">
        <f>IF(IFERROR(VLOOKUP(A13,$A$9:$I12,1,0),0)=0,"",VLOOKUP(A13,$A$9:$I12,7,0))</f>
        <v>45627</v>
      </c>
      <c r="H13" s="49">
        <v>45629</v>
      </c>
      <c r="I13" s="29"/>
      <c r="J13" s="29" t="s">
        <v>19</v>
      </c>
      <c r="K13" s="24" t="s">
        <v>55</v>
      </c>
      <c r="L13" s="49">
        <v>45627</v>
      </c>
      <c r="M13" s="49">
        <v>45629</v>
      </c>
      <c r="N13" s="34">
        <f t="shared" si="1"/>
        <v>2</v>
      </c>
      <c r="O13" s="29"/>
      <c r="P13" t="s">
        <v>88</v>
      </c>
      <c r="Q13" t="s">
        <v>88</v>
      </c>
      <c r="R13" t="s">
        <v>88</v>
      </c>
      <c r="S13" t="s">
        <v>88</v>
      </c>
      <c r="T13" t="s">
        <v>88</v>
      </c>
      <c r="U13" t="s">
        <v>20</v>
      </c>
    </row>
    <row r="14" spans="1:21" x14ac:dyDescent="0.45">
      <c r="A14" s="79" t="s">
        <v>1618</v>
      </c>
      <c r="B14" s="29" t="str">
        <f t="shared" si="0"/>
        <v>17.574.424-k</v>
      </c>
      <c r="C14" s="22" t="s">
        <v>22</v>
      </c>
      <c r="D14" s="29" t="s">
        <v>1619</v>
      </c>
      <c r="E14" s="29" t="s">
        <v>617</v>
      </c>
      <c r="F14" s="29" t="s">
        <v>1368</v>
      </c>
      <c r="G14" s="49">
        <v>45628</v>
      </c>
      <c r="H14" s="49">
        <v>45631</v>
      </c>
      <c r="I14" s="29"/>
      <c r="J14" s="29" t="s">
        <v>1615</v>
      </c>
      <c r="K14" s="24" t="s">
        <v>43</v>
      </c>
      <c r="L14" s="49">
        <v>45628</v>
      </c>
      <c r="M14" s="49">
        <v>45631</v>
      </c>
      <c r="N14" s="34">
        <f t="shared" si="1"/>
        <v>3</v>
      </c>
      <c r="O14" s="29"/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20</v>
      </c>
    </row>
    <row r="15" spans="1:21" x14ac:dyDescent="0.45">
      <c r="A15" s="79">
        <v>90098551</v>
      </c>
      <c r="B15" s="29" t="str">
        <f t="shared" si="0"/>
        <v>9.009.855-1</v>
      </c>
      <c r="C15" s="22" t="s">
        <v>22</v>
      </c>
      <c r="D15" s="29" t="s">
        <v>508</v>
      </c>
      <c r="E15" s="29" t="s">
        <v>417</v>
      </c>
      <c r="F15" s="29" t="s">
        <v>1620</v>
      </c>
      <c r="G15" s="49">
        <v>45626</v>
      </c>
      <c r="H15" s="49">
        <v>45631</v>
      </c>
      <c r="I15" s="29"/>
      <c r="J15" s="29" t="s">
        <v>69</v>
      </c>
      <c r="K15" s="24" t="s">
        <v>43</v>
      </c>
      <c r="L15" s="49">
        <v>45627</v>
      </c>
      <c r="M15" s="49">
        <v>45631</v>
      </c>
      <c r="N15" s="34">
        <f t="shared" si="1"/>
        <v>4</v>
      </c>
      <c r="O15" s="29"/>
      <c r="P15" t="s">
        <v>88</v>
      </c>
      <c r="Q15" t="s">
        <v>88</v>
      </c>
      <c r="R15" t="s">
        <v>88</v>
      </c>
      <c r="S15" t="s">
        <v>88</v>
      </c>
      <c r="T15" t="s">
        <v>88</v>
      </c>
      <c r="U15" t="s">
        <v>20</v>
      </c>
    </row>
    <row r="16" spans="1:21" x14ac:dyDescent="0.45">
      <c r="A16" s="79">
        <v>72423917</v>
      </c>
      <c r="B16" s="29" t="s">
        <v>1621</v>
      </c>
      <c r="C16" s="22" t="s">
        <v>22</v>
      </c>
      <c r="D16" s="29" t="s">
        <v>250</v>
      </c>
      <c r="E16" s="29" t="s">
        <v>369</v>
      </c>
      <c r="F16" s="29" t="s">
        <v>363</v>
      </c>
      <c r="G16" s="49">
        <v>45622</v>
      </c>
      <c r="H16" s="49">
        <v>45633</v>
      </c>
      <c r="I16" s="29"/>
      <c r="J16" s="29" t="s">
        <v>26</v>
      </c>
      <c r="K16" s="24" t="s">
        <v>43</v>
      </c>
      <c r="L16" s="49">
        <v>45627</v>
      </c>
      <c r="M16" s="49">
        <v>45633</v>
      </c>
      <c r="N16" s="34">
        <f t="shared" si="1"/>
        <v>6</v>
      </c>
      <c r="O16" s="29"/>
      <c r="P16" t="s">
        <v>88</v>
      </c>
      <c r="Q16" t="s">
        <v>88</v>
      </c>
      <c r="R16" t="s">
        <v>88</v>
      </c>
      <c r="S16" t="s">
        <v>88</v>
      </c>
      <c r="T16" t="s">
        <v>88</v>
      </c>
      <c r="U16" t="s">
        <v>20</v>
      </c>
    </row>
    <row r="17" spans="1:21" x14ac:dyDescent="0.45">
      <c r="A17" s="79">
        <v>72423917</v>
      </c>
      <c r="B17" s="29" t="str">
        <f>IF(LEN(A17)=8,MID(A17,1,1)&amp;"."&amp;MID(A17,2,3)&amp;"."&amp;MID(A17,5,3)&amp;"-"&amp;RIGHT(A17,1),IF(LEFT(RIGHT(A17,2),1)="-",MID(A17,1,1)&amp;"."&amp;MID(A17,2,3)&amp;"."&amp;MID(A17,5,3)&amp;"-"&amp;RIGHT(A17,1),MID(A17,1,2)&amp;"."&amp;MID(A17,3,3)&amp;"."&amp;MID(A17,6,3)&amp;"-"&amp;MID(A17,9,1)))</f>
        <v>7.242.391-7</v>
      </c>
      <c r="C17" s="22" t="str">
        <f>IF(IFERROR(VLOOKUP(A17,$A$9:$I16,1,0),0)=0,"",VLOOKUP(A17,$A$9:$I16,3,0))</f>
        <v>UCI</v>
      </c>
      <c r="D17" s="29" t="str">
        <f>IF(IFERROR(VLOOKUP(A17,$A$9:$I16,1,0),0)=0,"",VLOOKUP(A17,$A$9:$I16,4,0))</f>
        <v>JOSE</v>
      </c>
      <c r="E17" s="29" t="str">
        <f>IF(IFERROR(VLOOKUP(A17,$A$9:$I16,1,0),0)=0,"",VLOOKUP(A17,$A$9:$I16,5,0))</f>
        <v>SEGUEL</v>
      </c>
      <c r="F17" s="29" t="str">
        <f>IF(IFERROR(VLOOKUP(A17,$A$9:$I16,1,0),0)=0,"",VLOOKUP(A17,$A$9:$I16,6,0))</f>
        <v>DIAZ</v>
      </c>
      <c r="G17" s="49">
        <f>IF(IFERROR(VLOOKUP(A17,$A$9:$I16,1,0),0)=0,"",VLOOKUP(A17,$A$9:$I16,7,0))</f>
        <v>45622</v>
      </c>
      <c r="H17" s="49">
        <v>45633</v>
      </c>
      <c r="I17" s="29"/>
      <c r="J17" s="29" t="s">
        <v>26</v>
      </c>
      <c r="K17" s="24" t="s">
        <v>47</v>
      </c>
      <c r="L17" s="49">
        <v>45627</v>
      </c>
      <c r="M17" s="49">
        <v>45633</v>
      </c>
      <c r="N17" s="34">
        <f t="shared" si="1"/>
        <v>6</v>
      </c>
      <c r="O17" s="29"/>
      <c r="P17" t="s">
        <v>88</v>
      </c>
      <c r="Q17" t="s">
        <v>88</v>
      </c>
      <c r="R17" t="s">
        <v>88</v>
      </c>
      <c r="S17" t="s">
        <v>88</v>
      </c>
      <c r="T17" t="s">
        <v>88</v>
      </c>
      <c r="U17" t="s">
        <v>20</v>
      </c>
    </row>
    <row r="18" spans="1:21" x14ac:dyDescent="0.45">
      <c r="A18" s="79">
        <v>72423917</v>
      </c>
      <c r="B18" s="29" t="str">
        <f>IF(LEN(A18)=8,MID(A18,1,1)&amp;"."&amp;MID(A18,2,3)&amp;"."&amp;MID(A18,5,3)&amp;"-"&amp;RIGHT(A18,1),IF(LEFT(RIGHT(A18,2),1)="-",MID(A18,1,1)&amp;"."&amp;MID(A18,2,3)&amp;"."&amp;MID(A18,5,3)&amp;"-"&amp;RIGHT(A18,1),MID(A18,1,2)&amp;"."&amp;MID(A18,3,3)&amp;"."&amp;MID(A18,6,3)&amp;"-"&amp;MID(A18,9,1)))</f>
        <v>7.242.391-7</v>
      </c>
      <c r="C18" s="22" t="str">
        <f>IF(IFERROR(VLOOKUP(A18,$A$9:$I17,1,0),0)=0,"",VLOOKUP(A18,$A$9:$I17,3,0))</f>
        <v>UCI</v>
      </c>
      <c r="D18" s="29" t="str">
        <f>IF(IFERROR(VLOOKUP(A18,$A$9:$I17,1,0),0)=0,"",VLOOKUP(A18,$A$9:$I17,4,0))</f>
        <v>JOSE</v>
      </c>
      <c r="E18" s="29" t="str">
        <f>IF(IFERROR(VLOOKUP(A18,$A$9:$I17,1,0),0)=0,"",VLOOKUP(A18,$A$9:$I17,5,0))</f>
        <v>SEGUEL</v>
      </c>
      <c r="F18" s="29" t="str">
        <f>IF(IFERROR(VLOOKUP(A18,$A$9:$I17,1,0),0)=0,"",VLOOKUP(A18,$A$9:$I17,6,0))</f>
        <v>DIAZ</v>
      </c>
      <c r="G18" s="49">
        <f>IF(IFERROR(VLOOKUP(A18,$A$9:$I17,1,0),0)=0,"",VLOOKUP(A18,$A$9:$I17,7,0))</f>
        <v>45622</v>
      </c>
      <c r="H18" s="49">
        <v>45633</v>
      </c>
      <c r="I18" s="29"/>
      <c r="J18" s="29" t="s">
        <v>26</v>
      </c>
      <c r="K18" s="24" t="s">
        <v>55</v>
      </c>
      <c r="L18" s="49">
        <v>45627</v>
      </c>
      <c r="M18" s="49">
        <v>45631</v>
      </c>
      <c r="N18" s="34">
        <f t="shared" si="1"/>
        <v>4</v>
      </c>
      <c r="O18" s="29"/>
      <c r="P18" t="s">
        <v>88</v>
      </c>
      <c r="Q18" t="s">
        <v>88</v>
      </c>
      <c r="R18" t="s">
        <v>88</v>
      </c>
      <c r="S18" t="s">
        <v>88</v>
      </c>
      <c r="T18" t="s">
        <v>88</v>
      </c>
      <c r="U18" t="s">
        <v>20</v>
      </c>
    </row>
    <row r="19" spans="1:21" x14ac:dyDescent="0.45">
      <c r="A19" s="79">
        <v>57683201</v>
      </c>
      <c r="B19" s="29" t="s">
        <v>1622</v>
      </c>
      <c r="C19" s="22" t="s">
        <v>22</v>
      </c>
      <c r="D19" s="29" t="s">
        <v>362</v>
      </c>
      <c r="E19" s="29" t="s">
        <v>1612</v>
      </c>
      <c r="F19" s="29" t="s">
        <v>257</v>
      </c>
      <c r="G19" s="49">
        <v>45621</v>
      </c>
      <c r="H19" s="49">
        <v>45632</v>
      </c>
      <c r="I19" s="29"/>
      <c r="J19" s="29" t="s">
        <v>1615</v>
      </c>
      <c r="K19" s="24" t="s">
        <v>43</v>
      </c>
      <c r="L19" s="49">
        <v>45627</v>
      </c>
      <c r="M19" s="49">
        <v>45632</v>
      </c>
      <c r="N19" s="34">
        <f t="shared" si="1"/>
        <v>5</v>
      </c>
      <c r="O19" s="29"/>
      <c r="P19" t="s">
        <v>88</v>
      </c>
      <c r="Q19" t="s">
        <v>88</v>
      </c>
      <c r="R19" t="s">
        <v>88</v>
      </c>
      <c r="S19" t="s">
        <v>88</v>
      </c>
      <c r="T19" t="s">
        <v>88</v>
      </c>
      <c r="U19" t="s">
        <v>20</v>
      </c>
    </row>
    <row r="20" spans="1:21" x14ac:dyDescent="0.45">
      <c r="A20" s="79">
        <v>57683201</v>
      </c>
      <c r="B20" s="29" t="str">
        <f t="shared" ref="B20:B83" si="2">IF(LEN(A20)=8,MID(A20,1,1)&amp;"."&amp;MID(A20,2,3)&amp;"."&amp;MID(A20,5,3)&amp;"-"&amp;RIGHT(A20,1),IF(LEFT(RIGHT(A20,2),1)="-",MID(A20,1,1)&amp;"."&amp;MID(A20,2,3)&amp;"."&amp;MID(A20,5,3)&amp;"-"&amp;RIGHT(A20,1),MID(A20,1,2)&amp;"."&amp;MID(A20,3,3)&amp;"."&amp;MID(A20,6,3)&amp;"-"&amp;MID(A20,9,1)))</f>
        <v>5.768.320-1</v>
      </c>
      <c r="C20" s="22" t="str">
        <f>IF(IFERROR(VLOOKUP(A20,$A$9:$I19,1,0),0)=0,"",VLOOKUP(A20,$A$9:$I19,3,0))</f>
        <v>UCI</v>
      </c>
      <c r="D20" s="29" t="str">
        <f>IF(IFERROR(VLOOKUP(A20,$A$9:$I19,1,0),0)=0,"",VLOOKUP(A20,$A$9:$I19,4,0))</f>
        <v>JORGE</v>
      </c>
      <c r="E20" s="29" t="str">
        <f>IF(IFERROR(VLOOKUP(A20,$A$9:$I19,1,0),0)=0,"",VLOOKUP(A20,$A$9:$I19,5,0))</f>
        <v>MONJE</v>
      </c>
      <c r="F20" s="29" t="str">
        <f>IF(IFERROR(VLOOKUP(A20,$A$9:$I19,1,0),0)=0,"",VLOOKUP(A20,$A$9:$I19,6,0))</f>
        <v>CHAVEZ</v>
      </c>
      <c r="G20" s="49">
        <f>IF(IFERROR(VLOOKUP(A20,$A$9:$I19,1,0),0)=0,"",VLOOKUP(A20,$A$9:$I19,7,0))</f>
        <v>45621</v>
      </c>
      <c r="H20" s="49">
        <v>45632</v>
      </c>
      <c r="I20" s="29"/>
      <c r="J20" s="29" t="s">
        <v>1615</v>
      </c>
      <c r="K20" s="24" t="s">
        <v>47</v>
      </c>
      <c r="L20" s="49">
        <v>45627</v>
      </c>
      <c r="M20" s="49">
        <v>45632</v>
      </c>
      <c r="N20" s="34">
        <f t="shared" si="1"/>
        <v>5</v>
      </c>
      <c r="O20" s="29"/>
      <c r="P20" t="s">
        <v>88</v>
      </c>
      <c r="Q20" t="s">
        <v>88</v>
      </c>
      <c r="R20" t="s">
        <v>88</v>
      </c>
      <c r="S20" t="s">
        <v>88</v>
      </c>
      <c r="T20" t="s">
        <v>88</v>
      </c>
      <c r="U20" t="s">
        <v>20</v>
      </c>
    </row>
    <row r="21" spans="1:21" x14ac:dyDescent="0.45">
      <c r="A21" s="79">
        <v>57683201</v>
      </c>
      <c r="B21" s="29" t="str">
        <f t="shared" si="2"/>
        <v>5.768.320-1</v>
      </c>
      <c r="C21" s="22" t="str">
        <f>IF(IFERROR(VLOOKUP(A21,$A$9:$I20,1,0),0)=0,"",VLOOKUP(A21,$A$9:$I20,3,0))</f>
        <v>UCI</v>
      </c>
      <c r="D21" s="29" t="str">
        <f>IF(IFERROR(VLOOKUP(A21,$A$9:$I20,1,0),0)=0,"",VLOOKUP(A21,$A$9:$I20,4,0))</f>
        <v>JORGE</v>
      </c>
      <c r="E21" s="29" t="str">
        <f>IF(IFERROR(VLOOKUP(A21,$A$9:$I20,1,0),0)=0,"",VLOOKUP(A21,$A$9:$I20,5,0))</f>
        <v>MONJE</v>
      </c>
      <c r="F21" s="29" t="str">
        <f>IF(IFERROR(VLOOKUP(A21,$A$9:$I20,1,0),0)=0,"",VLOOKUP(A21,$A$9:$I20,6,0))</f>
        <v>CHAVEZ</v>
      </c>
      <c r="G21" s="49">
        <f>IF(IFERROR(VLOOKUP(A21,$A$9:$I20,1,0),0)=0,"",VLOOKUP(A21,$A$9:$I20,7,0))</f>
        <v>45621</v>
      </c>
      <c r="H21" s="49">
        <v>45632</v>
      </c>
      <c r="I21" s="29"/>
      <c r="J21" s="29" t="s">
        <v>1615</v>
      </c>
      <c r="K21" s="24" t="s">
        <v>55</v>
      </c>
      <c r="L21" s="49">
        <v>45627</v>
      </c>
      <c r="M21" s="49">
        <v>45629</v>
      </c>
      <c r="N21" s="34">
        <f t="shared" si="1"/>
        <v>2</v>
      </c>
      <c r="O21" s="29"/>
      <c r="P21" t="s">
        <v>88</v>
      </c>
      <c r="Q21" t="s">
        <v>88</v>
      </c>
      <c r="R21" t="s">
        <v>88</v>
      </c>
      <c r="S21" t="s">
        <v>88</v>
      </c>
      <c r="T21" t="s">
        <v>88</v>
      </c>
      <c r="U21" t="s">
        <v>20</v>
      </c>
    </row>
    <row r="22" spans="1:21" x14ac:dyDescent="0.45">
      <c r="A22" s="79">
        <v>63294535</v>
      </c>
      <c r="B22" s="29" t="str">
        <f t="shared" si="2"/>
        <v>6.329.453-5</v>
      </c>
      <c r="C22" s="22" t="s">
        <v>22</v>
      </c>
      <c r="D22" s="29" t="s">
        <v>974</v>
      </c>
      <c r="E22" s="29" t="s">
        <v>1431</v>
      </c>
      <c r="F22" s="29" t="s">
        <v>248</v>
      </c>
      <c r="G22" s="49">
        <v>45617</v>
      </c>
      <c r="H22" s="49">
        <v>45636</v>
      </c>
      <c r="I22" s="29"/>
      <c r="J22" s="29" t="s">
        <v>1615</v>
      </c>
      <c r="K22" s="24" t="s">
        <v>43</v>
      </c>
      <c r="L22" s="49">
        <v>45627</v>
      </c>
      <c r="M22" s="49">
        <v>45636</v>
      </c>
      <c r="N22" s="34">
        <f t="shared" si="1"/>
        <v>9</v>
      </c>
      <c r="O22" s="29"/>
      <c r="P22" t="s">
        <v>88</v>
      </c>
      <c r="Q22" t="s">
        <v>88</v>
      </c>
      <c r="R22" t="s">
        <v>88</v>
      </c>
      <c r="S22" t="s">
        <v>88</v>
      </c>
      <c r="T22" t="s">
        <v>88</v>
      </c>
      <c r="U22" t="s">
        <v>20</v>
      </c>
    </row>
    <row r="23" spans="1:21" x14ac:dyDescent="0.45">
      <c r="A23" s="79">
        <v>63294535</v>
      </c>
      <c r="B23" s="29" t="str">
        <f t="shared" si="2"/>
        <v>6.329.453-5</v>
      </c>
      <c r="C23" s="22" t="str">
        <f>IF(IFERROR(VLOOKUP(A23,$A$9:$I22,1,0),0)=0,"",VLOOKUP(A23,$A$9:$I22,3,0))</f>
        <v>UCI</v>
      </c>
      <c r="D23" s="29" t="str">
        <f>IF(IFERROR(VLOOKUP(A23,$A$9:$I22,1,0),0)=0,"",VLOOKUP(A23,$A$9:$I22,4,0))</f>
        <v>JOSÉ</v>
      </c>
      <c r="E23" s="29" t="str">
        <f>IF(IFERROR(VLOOKUP(A23,$A$9:$I22,1,0),0)=0,"",VLOOKUP(A23,$A$9:$I22,5,0))</f>
        <v>ALARCÓN</v>
      </c>
      <c r="F23" s="29" t="str">
        <f>IF(IFERROR(VLOOKUP(A23,$A$9:$I22,1,0),0)=0,"",VLOOKUP(A23,$A$9:$I22,6,0))</f>
        <v>PINO</v>
      </c>
      <c r="G23" s="49">
        <f>IF(IFERROR(VLOOKUP(A23,$A$9:$I22,1,0),0)=0,"",VLOOKUP(A23,$A$9:$I22,7,0))</f>
        <v>45617</v>
      </c>
      <c r="H23" s="49">
        <v>45636</v>
      </c>
      <c r="I23" s="29"/>
      <c r="J23" s="29" t="s">
        <v>1615</v>
      </c>
      <c r="K23" s="24" t="s">
        <v>47</v>
      </c>
      <c r="L23" s="49">
        <v>45627</v>
      </c>
      <c r="M23" s="49">
        <v>45636</v>
      </c>
      <c r="N23" s="34">
        <f t="shared" si="1"/>
        <v>9</v>
      </c>
      <c r="O23" s="29"/>
      <c r="P23" t="s">
        <v>88</v>
      </c>
      <c r="Q23" t="s">
        <v>88</v>
      </c>
      <c r="R23" t="s">
        <v>88</v>
      </c>
      <c r="S23" t="s">
        <v>88</v>
      </c>
      <c r="T23" t="s">
        <v>88</v>
      </c>
      <c r="U23" t="s">
        <v>20</v>
      </c>
    </row>
    <row r="24" spans="1:21" x14ac:dyDescent="0.45">
      <c r="A24" s="79">
        <v>63294535</v>
      </c>
      <c r="B24" s="29" t="str">
        <f t="shared" si="2"/>
        <v>6.329.453-5</v>
      </c>
      <c r="C24" s="22" t="str">
        <f>IF(IFERROR(VLOOKUP(A24,$A$9:$I23,1,0),0)=0,"",VLOOKUP(A24,$A$9:$I23,3,0))</f>
        <v>UCI</v>
      </c>
      <c r="D24" s="29" t="str">
        <f>IF(IFERROR(VLOOKUP(A24,$A$9:$I23,1,0),0)=0,"",VLOOKUP(A24,$A$9:$I23,4,0))</f>
        <v>JOSÉ</v>
      </c>
      <c r="E24" s="29" t="str">
        <f>IF(IFERROR(VLOOKUP(A24,$A$9:$I23,1,0),0)=0,"",VLOOKUP(A24,$A$9:$I23,5,0))</f>
        <v>ALARCÓN</v>
      </c>
      <c r="F24" s="29" t="str">
        <f>IF(IFERROR(VLOOKUP(A24,$A$9:$I23,1,0),0)=0,"",VLOOKUP(A24,$A$9:$I23,6,0))</f>
        <v>PINO</v>
      </c>
      <c r="G24" s="49">
        <f>IF(IFERROR(VLOOKUP(A24,$A$9:$I23,1,0),0)=0,"",VLOOKUP(A24,$A$9:$I23,7,0))</f>
        <v>45617</v>
      </c>
      <c r="H24" s="49">
        <v>45636</v>
      </c>
      <c r="I24" s="29"/>
      <c r="J24" s="29" t="s">
        <v>1615</v>
      </c>
      <c r="K24" s="24" t="s">
        <v>55</v>
      </c>
      <c r="L24" s="49">
        <v>45627</v>
      </c>
      <c r="M24" s="49">
        <v>45630</v>
      </c>
      <c r="N24" s="34">
        <f t="shared" si="1"/>
        <v>3</v>
      </c>
      <c r="O24" s="29"/>
      <c r="P24" t="s">
        <v>88</v>
      </c>
      <c r="Q24" t="s">
        <v>88</v>
      </c>
      <c r="R24" t="s">
        <v>88</v>
      </c>
      <c r="S24" t="s">
        <v>88</v>
      </c>
      <c r="T24" t="s">
        <v>88</v>
      </c>
      <c r="U24" t="s">
        <v>20</v>
      </c>
    </row>
    <row r="25" spans="1:21" x14ac:dyDescent="0.45">
      <c r="A25" s="79">
        <v>101849724</v>
      </c>
      <c r="B25" s="29" t="str">
        <f t="shared" si="2"/>
        <v>10.184.972-4</v>
      </c>
      <c r="C25" s="22" t="s">
        <v>22</v>
      </c>
      <c r="D25" s="29" t="s">
        <v>506</v>
      </c>
      <c r="E25" s="29" t="s">
        <v>1623</v>
      </c>
      <c r="F25" s="29" t="s">
        <v>1560</v>
      </c>
      <c r="G25" s="49">
        <v>45625</v>
      </c>
      <c r="H25" s="49">
        <v>45629</v>
      </c>
      <c r="I25" s="29"/>
      <c r="J25" s="29" t="s">
        <v>1615</v>
      </c>
      <c r="K25" s="24" t="s">
        <v>18</v>
      </c>
      <c r="L25" s="49">
        <v>45627</v>
      </c>
      <c r="M25" s="49">
        <v>45629</v>
      </c>
      <c r="N25" s="34">
        <f t="shared" si="1"/>
        <v>2</v>
      </c>
      <c r="O25" s="29"/>
      <c r="P25" t="s">
        <v>88</v>
      </c>
      <c r="Q25" t="s">
        <v>88</v>
      </c>
      <c r="R25" t="s">
        <v>88</v>
      </c>
      <c r="S25" t="s">
        <v>88</v>
      </c>
      <c r="T25" t="s">
        <v>88</v>
      </c>
      <c r="U25" t="s">
        <v>20</v>
      </c>
    </row>
    <row r="26" spans="1:21" x14ac:dyDescent="0.45">
      <c r="A26" s="79">
        <v>101849724</v>
      </c>
      <c r="B26" s="29" t="str">
        <f t="shared" si="2"/>
        <v>10.184.972-4</v>
      </c>
      <c r="C26" s="22" t="str">
        <f>IF(IFERROR(VLOOKUP(A26,$A$9:$I25,1,0),0)=0,"",VLOOKUP(A26,$A$9:$I25,3,0))</f>
        <v>UCI</v>
      </c>
      <c r="D26" s="29" t="str">
        <f>IF(IFERROR(VLOOKUP(A26,$A$9:$I25,1,0),0)=0,"",VLOOKUP(A26,$A$9:$I25,4,0))</f>
        <v>RICARDO</v>
      </c>
      <c r="E26" s="29" t="str">
        <f>IF(IFERROR(VLOOKUP(A26,$A$9:$I25,1,0),0)=0,"",VLOOKUP(A26,$A$9:$I25,5,0))</f>
        <v>CARTER</v>
      </c>
      <c r="F26" s="29" t="str">
        <f>IF(IFERROR(VLOOKUP(A26,$A$9:$I25,1,0),0)=0,"",VLOOKUP(A26,$A$9:$I25,6,0))</f>
        <v>ARELLANO</v>
      </c>
      <c r="G26" s="49">
        <f>IF(IFERROR(VLOOKUP(A26,$A$9:$I25,1,0),0)=0,"",VLOOKUP(A26,$A$9:$I25,7,0))</f>
        <v>45625</v>
      </c>
      <c r="H26" s="49">
        <v>45629</v>
      </c>
      <c r="I26" s="29"/>
      <c r="J26" s="29" t="s">
        <v>1615</v>
      </c>
      <c r="K26" s="24" t="s">
        <v>47</v>
      </c>
      <c r="L26" s="49">
        <v>45627</v>
      </c>
      <c r="M26" s="49">
        <v>45629</v>
      </c>
      <c r="N26" s="34">
        <f t="shared" si="1"/>
        <v>2</v>
      </c>
      <c r="O26" s="29"/>
      <c r="P26" t="s">
        <v>88</v>
      </c>
      <c r="Q26" t="s">
        <v>88</v>
      </c>
      <c r="R26" t="s">
        <v>88</v>
      </c>
      <c r="S26" t="s">
        <v>88</v>
      </c>
      <c r="T26" t="s">
        <v>88</v>
      </c>
      <c r="U26" t="s">
        <v>20</v>
      </c>
    </row>
    <row r="27" spans="1:21" x14ac:dyDescent="0.45">
      <c r="A27" s="79">
        <v>47102286</v>
      </c>
      <c r="B27" s="29" t="str">
        <f t="shared" si="2"/>
        <v>4.710.228-6</v>
      </c>
      <c r="C27" s="22" t="s">
        <v>22</v>
      </c>
      <c r="D27" s="29" t="s">
        <v>445</v>
      </c>
      <c r="E27" s="29" t="s">
        <v>558</v>
      </c>
      <c r="F27" s="29" t="s">
        <v>241</v>
      </c>
      <c r="G27" s="49">
        <v>45629</v>
      </c>
      <c r="H27" s="49">
        <v>45631</v>
      </c>
      <c r="I27" s="29" t="s">
        <v>22</v>
      </c>
      <c r="J27" s="29" t="s">
        <v>24</v>
      </c>
      <c r="K27" s="24" t="s">
        <v>43</v>
      </c>
      <c r="L27" s="49">
        <v>45629</v>
      </c>
      <c r="M27" s="49">
        <v>45631</v>
      </c>
      <c r="N27" s="34">
        <f t="shared" si="1"/>
        <v>2</v>
      </c>
      <c r="O27" s="29"/>
      <c r="P27" t="s">
        <v>88</v>
      </c>
      <c r="Q27" t="s">
        <v>88</v>
      </c>
      <c r="R27" t="s">
        <v>88</v>
      </c>
      <c r="S27" t="s">
        <v>88</v>
      </c>
      <c r="T27" t="s">
        <v>88</v>
      </c>
      <c r="U27" t="s">
        <v>20</v>
      </c>
    </row>
    <row r="28" spans="1:21" x14ac:dyDescent="0.45">
      <c r="A28" s="79">
        <v>47102286</v>
      </c>
      <c r="B28" s="29" t="str">
        <f t="shared" si="2"/>
        <v>4.710.228-6</v>
      </c>
      <c r="C28" s="22" t="str">
        <f>IF(IFERROR(VLOOKUP(A28,$A$9:$I27,1,0),0)=0,"",VLOOKUP(A28,$A$9:$I27,3,0))</f>
        <v>UCI</v>
      </c>
      <c r="D28" s="29" t="str">
        <f>IF(IFERROR(VLOOKUP(A28,$A$9:$I27,1,0),0)=0,"",VLOOKUP(A28,$A$9:$I27,4,0))</f>
        <v>RODOLFO</v>
      </c>
      <c r="E28" s="29" t="str">
        <f>IF(IFERROR(VLOOKUP(A28,$A$9:$I27,1,0),0)=0,"",VLOOKUP(A28,$A$9:$I27,5,0))</f>
        <v>CIFUENTES</v>
      </c>
      <c r="F28" s="29" t="str">
        <f>IF(IFERROR(VLOOKUP(A28,$A$9:$I27,1,0),0)=0,"",VLOOKUP(A28,$A$9:$I27,6,0))</f>
        <v>FUENTES</v>
      </c>
      <c r="G28" s="49">
        <f>IF(IFERROR(VLOOKUP(A28,$A$9:$I27,1,0),0)=0,"",VLOOKUP(A28,$A$9:$I27,7,0))</f>
        <v>45629</v>
      </c>
      <c r="H28" s="49">
        <v>45631</v>
      </c>
      <c r="I28" s="29"/>
      <c r="J28" s="29" t="s">
        <v>24</v>
      </c>
      <c r="K28" s="24" t="s">
        <v>47</v>
      </c>
      <c r="L28" s="49">
        <v>45629</v>
      </c>
      <c r="M28" s="49">
        <v>45631</v>
      </c>
      <c r="N28" s="34">
        <f t="shared" si="1"/>
        <v>2</v>
      </c>
      <c r="O28" s="29"/>
      <c r="P28" t="s">
        <v>88</v>
      </c>
      <c r="Q28" t="s">
        <v>88</v>
      </c>
      <c r="R28" t="s">
        <v>88</v>
      </c>
      <c r="S28" t="s">
        <v>88</v>
      </c>
      <c r="T28" t="s">
        <v>88</v>
      </c>
      <c r="U28" t="s">
        <v>20</v>
      </c>
    </row>
    <row r="29" spans="1:21" x14ac:dyDescent="0.45">
      <c r="A29" s="79">
        <v>125611680</v>
      </c>
      <c r="B29" s="29" t="str">
        <f t="shared" si="2"/>
        <v>12.561.168-0</v>
      </c>
      <c r="C29" s="22" t="s">
        <v>22</v>
      </c>
      <c r="D29" s="29" t="s">
        <v>246</v>
      </c>
      <c r="E29" s="29" t="s">
        <v>539</v>
      </c>
      <c r="F29" s="29" t="s">
        <v>303</v>
      </c>
      <c r="G29" s="49">
        <v>45626</v>
      </c>
      <c r="H29" s="49">
        <v>45629</v>
      </c>
      <c r="I29" s="29"/>
      <c r="J29" s="29" t="s">
        <v>1615</v>
      </c>
      <c r="K29" s="24" t="s">
        <v>43</v>
      </c>
      <c r="L29" s="49">
        <v>45627</v>
      </c>
      <c r="M29" s="49">
        <v>45629</v>
      </c>
      <c r="N29" s="34">
        <f t="shared" si="1"/>
        <v>2</v>
      </c>
      <c r="O29" s="29"/>
      <c r="P29" t="s">
        <v>88</v>
      </c>
      <c r="Q29" t="s">
        <v>88</v>
      </c>
      <c r="R29" t="s">
        <v>88</v>
      </c>
      <c r="S29" t="s">
        <v>88</v>
      </c>
      <c r="T29" t="s">
        <v>88</v>
      </c>
      <c r="U29" t="s">
        <v>20</v>
      </c>
    </row>
    <row r="30" spans="1:21" x14ac:dyDescent="0.45">
      <c r="A30" s="79">
        <v>125611680</v>
      </c>
      <c r="B30" s="29" t="str">
        <f t="shared" si="2"/>
        <v>12.561.168-0</v>
      </c>
      <c r="C30" s="22" t="str">
        <f>IF(IFERROR(VLOOKUP(A30,$A$9:$I29,1,0),0)=0,"",VLOOKUP(A30,$A$9:$I29,3,0))</f>
        <v>UCI</v>
      </c>
      <c r="D30" s="29" t="str">
        <f>IF(IFERROR(VLOOKUP(A30,$A$9:$I29,1,0),0)=0,"",VLOOKUP(A30,$A$9:$I29,4,0))</f>
        <v>GLADYS</v>
      </c>
      <c r="E30" s="29" t="str">
        <f>IF(IFERROR(VLOOKUP(A30,$A$9:$I29,1,0),0)=0,"",VLOOKUP(A30,$A$9:$I29,5,0))</f>
        <v>CARRILLO</v>
      </c>
      <c r="F30" s="29" t="str">
        <f>IF(IFERROR(VLOOKUP(A30,$A$9:$I29,1,0),0)=0,"",VLOOKUP(A30,$A$9:$I29,6,0))</f>
        <v>PEÑA</v>
      </c>
      <c r="G30" s="49">
        <f>IF(IFERROR(VLOOKUP(A30,$A$9:$I29,1,0),0)=0,"",VLOOKUP(A30,$A$9:$I29,7,0))</f>
        <v>45626</v>
      </c>
      <c r="H30" s="49">
        <v>45629</v>
      </c>
      <c r="I30" s="29"/>
      <c r="J30" s="29" t="s">
        <v>1615</v>
      </c>
      <c r="K30" s="24" t="s">
        <v>47</v>
      </c>
      <c r="L30" s="49">
        <v>45627</v>
      </c>
      <c r="M30" s="49">
        <v>45629</v>
      </c>
      <c r="N30" s="34">
        <f t="shared" si="1"/>
        <v>2</v>
      </c>
      <c r="O30" s="29"/>
      <c r="P30" t="s">
        <v>88</v>
      </c>
      <c r="Q30" t="s">
        <v>88</v>
      </c>
      <c r="R30" t="s">
        <v>88</v>
      </c>
      <c r="S30" t="s">
        <v>88</v>
      </c>
      <c r="T30" t="s">
        <v>88</v>
      </c>
      <c r="U30" t="s">
        <v>20</v>
      </c>
    </row>
    <row r="31" spans="1:21" x14ac:dyDescent="0.45">
      <c r="A31" s="79">
        <v>175727582</v>
      </c>
      <c r="B31" s="29" t="str">
        <f t="shared" si="2"/>
        <v>17.572.758-2</v>
      </c>
      <c r="C31" s="22" t="s">
        <v>22</v>
      </c>
      <c r="D31" s="29" t="s">
        <v>311</v>
      </c>
      <c r="E31" s="29" t="s">
        <v>1624</v>
      </c>
      <c r="F31" s="29" t="s">
        <v>1625</v>
      </c>
      <c r="G31" s="49">
        <v>45626</v>
      </c>
      <c r="H31" s="49">
        <v>45636</v>
      </c>
      <c r="I31" s="29" t="s">
        <v>22</v>
      </c>
      <c r="J31" s="29" t="s">
        <v>83</v>
      </c>
      <c r="K31" s="24" t="s">
        <v>18</v>
      </c>
      <c r="L31" s="49">
        <v>45627</v>
      </c>
      <c r="M31" s="49">
        <v>45636</v>
      </c>
      <c r="N31" s="34">
        <f t="shared" si="1"/>
        <v>9</v>
      </c>
      <c r="O31" s="29"/>
      <c r="P31" t="s">
        <v>88</v>
      </c>
      <c r="Q31" t="s">
        <v>88</v>
      </c>
      <c r="R31" t="s">
        <v>88</v>
      </c>
      <c r="S31" t="s">
        <v>88</v>
      </c>
      <c r="T31" t="s">
        <v>88</v>
      </c>
      <c r="U31" t="s">
        <v>20</v>
      </c>
    </row>
    <row r="32" spans="1:21" x14ac:dyDescent="0.45">
      <c r="A32" s="79">
        <v>75394810</v>
      </c>
      <c r="B32" s="29" t="str">
        <f t="shared" si="2"/>
        <v>7.539.481-0</v>
      </c>
      <c r="C32" s="22" t="s">
        <v>22</v>
      </c>
      <c r="D32" s="29" t="s">
        <v>1574</v>
      </c>
      <c r="E32" s="29" t="s">
        <v>1575</v>
      </c>
      <c r="F32" s="29" t="s">
        <v>486</v>
      </c>
      <c r="G32" s="49">
        <v>45615</v>
      </c>
      <c r="H32" s="49">
        <v>45629</v>
      </c>
      <c r="I32" s="29"/>
      <c r="J32" s="29" t="s">
        <v>1615</v>
      </c>
      <c r="K32" s="24" t="s">
        <v>18</v>
      </c>
      <c r="L32" s="49">
        <v>45627</v>
      </c>
      <c r="M32" s="49">
        <v>45629</v>
      </c>
      <c r="N32" s="34">
        <f t="shared" si="1"/>
        <v>2</v>
      </c>
      <c r="O32" s="29"/>
      <c r="P32" t="s">
        <v>88</v>
      </c>
      <c r="Q32" t="s">
        <v>88</v>
      </c>
      <c r="R32" t="s">
        <v>88</v>
      </c>
      <c r="S32" t="s">
        <v>88</v>
      </c>
      <c r="T32" t="s">
        <v>88</v>
      </c>
      <c r="U32" t="s">
        <v>20</v>
      </c>
    </row>
    <row r="33" spans="1:21" x14ac:dyDescent="0.45">
      <c r="A33" s="79">
        <v>75394810</v>
      </c>
      <c r="B33" s="29" t="str">
        <f t="shared" si="2"/>
        <v>7.539.481-0</v>
      </c>
      <c r="C33" s="22" t="s">
        <v>22</v>
      </c>
      <c r="D33" s="29" t="str">
        <f>IF(IFERROR(VLOOKUP(A33,$A$9:$I32,1,0),0)=0,"",VLOOKUP(A33,$A$9:$I32,4,0))</f>
        <v>ADÁN</v>
      </c>
      <c r="E33" s="29" t="str">
        <f>IF(IFERROR(VLOOKUP(A33,$A$9:$I32,1,0),0)=0,"",VLOOKUP(A33,$A$9:$I32,5,0))</f>
        <v>FICA</v>
      </c>
      <c r="F33" s="29" t="str">
        <f>IF(IFERROR(VLOOKUP(A33,$A$9:$I32,1,0),0)=0,"",VLOOKUP(A33,$A$9:$I32,6,0))</f>
        <v>CUEVAS</v>
      </c>
      <c r="G33" s="49">
        <f>IF(IFERROR(VLOOKUP(A33,$A$9:$I32,1,0),0)=0,"",VLOOKUP(A33,$A$9:$I32,7,0))</f>
        <v>45615</v>
      </c>
      <c r="H33" s="49">
        <v>45630</v>
      </c>
      <c r="I33" s="29"/>
      <c r="J33" s="29" t="s">
        <v>1615</v>
      </c>
      <c r="K33" s="24" t="s">
        <v>47</v>
      </c>
      <c r="L33" s="49">
        <v>45627</v>
      </c>
      <c r="M33" s="49">
        <v>45629</v>
      </c>
      <c r="N33" s="34">
        <f t="shared" si="1"/>
        <v>2</v>
      </c>
      <c r="O33" s="29"/>
      <c r="P33" t="s">
        <v>88</v>
      </c>
      <c r="Q33" t="s">
        <v>88</v>
      </c>
      <c r="R33" t="s">
        <v>88</v>
      </c>
      <c r="S33" t="s">
        <v>88</v>
      </c>
      <c r="T33" t="s">
        <v>88</v>
      </c>
      <c r="U33" t="s">
        <v>20</v>
      </c>
    </row>
    <row r="34" spans="1:21" x14ac:dyDescent="0.45">
      <c r="A34" s="79">
        <v>113499540</v>
      </c>
      <c r="B34" s="29" t="str">
        <f t="shared" si="2"/>
        <v>11.349.954-0</v>
      </c>
      <c r="C34" s="22" t="s">
        <v>22</v>
      </c>
      <c r="D34" s="29" t="s">
        <v>487</v>
      </c>
      <c r="E34" s="29" t="s">
        <v>559</v>
      </c>
      <c r="F34" s="29" t="s">
        <v>507</v>
      </c>
      <c r="G34" s="49">
        <v>45629</v>
      </c>
      <c r="H34" s="49">
        <v>45633</v>
      </c>
      <c r="I34" s="29"/>
      <c r="J34" s="29" t="s">
        <v>1615</v>
      </c>
      <c r="K34" s="24" t="s">
        <v>43</v>
      </c>
      <c r="L34" s="49">
        <v>45629</v>
      </c>
      <c r="M34" s="49">
        <v>45633</v>
      </c>
      <c r="N34" s="34">
        <f t="shared" si="1"/>
        <v>4</v>
      </c>
      <c r="O34" s="29"/>
      <c r="P34" t="s">
        <v>88</v>
      </c>
      <c r="Q34" t="s">
        <v>88</v>
      </c>
      <c r="R34" t="s">
        <v>88</v>
      </c>
      <c r="S34" t="s">
        <v>88</v>
      </c>
      <c r="T34" t="s">
        <v>88</v>
      </c>
      <c r="U34" t="s">
        <v>20</v>
      </c>
    </row>
    <row r="35" spans="1:21" x14ac:dyDescent="0.45">
      <c r="A35" s="79">
        <v>113499540</v>
      </c>
      <c r="B35" s="29" t="str">
        <f t="shared" si="2"/>
        <v>11.349.954-0</v>
      </c>
      <c r="C35" s="22" t="str">
        <f>IF(IFERROR(VLOOKUP(A35,$A$9:$I34,1,0),0)=0,"",VLOOKUP(A35,$A$9:$I34,3,0))</f>
        <v>UCI</v>
      </c>
      <c r="D35" s="29" t="str">
        <f>IF(IFERROR(VLOOKUP(A35,$A$9:$I34,1,0),0)=0,"",VLOOKUP(A35,$A$9:$I34,4,0))</f>
        <v>CRISTIAN</v>
      </c>
      <c r="E35" s="29" t="str">
        <f>IF(IFERROR(VLOOKUP(A35,$A$9:$I34,1,0),0)=0,"",VLOOKUP(A35,$A$9:$I34,5,0))</f>
        <v>SEPULVEDA</v>
      </c>
      <c r="F35" s="29" t="str">
        <f>IF(IFERROR(VLOOKUP(A35,$A$9:$I34,1,0),0)=0,"",VLOOKUP(A35,$A$9:$I34,6,0))</f>
        <v>CAMPOS</v>
      </c>
      <c r="G35" s="49">
        <f>IF(IFERROR(VLOOKUP(A35,$A$9:$I34,1,0),0)=0,"",VLOOKUP(A35,$A$9:$I34,7,0))</f>
        <v>45629</v>
      </c>
      <c r="H35" s="49">
        <v>45633</v>
      </c>
      <c r="I35" s="29"/>
      <c r="J35" s="29" t="s">
        <v>1615</v>
      </c>
      <c r="K35" s="24" t="s">
        <v>47</v>
      </c>
      <c r="L35" s="49">
        <v>45629</v>
      </c>
      <c r="M35" s="49">
        <v>45633</v>
      </c>
      <c r="N35" s="34">
        <f t="shared" si="1"/>
        <v>4</v>
      </c>
      <c r="O35" s="29"/>
      <c r="P35" t="s">
        <v>88</v>
      </c>
      <c r="Q35" t="s">
        <v>88</v>
      </c>
      <c r="R35" t="s">
        <v>88</v>
      </c>
      <c r="S35" t="s">
        <v>88</v>
      </c>
      <c r="T35" t="s">
        <v>88</v>
      </c>
      <c r="U35" t="s">
        <v>20</v>
      </c>
    </row>
    <row r="36" spans="1:21" x14ac:dyDescent="0.45">
      <c r="A36" s="79" t="s">
        <v>1581</v>
      </c>
      <c r="B36" s="29" t="str">
        <f t="shared" si="2"/>
        <v>8.736.710-k</v>
      </c>
      <c r="C36" s="22" t="s">
        <v>22</v>
      </c>
      <c r="D36" s="29" t="s">
        <v>793</v>
      </c>
      <c r="E36" s="29" t="s">
        <v>352</v>
      </c>
      <c r="F36" s="29" t="s">
        <v>859</v>
      </c>
      <c r="G36" s="49">
        <v>45626</v>
      </c>
      <c r="H36" s="49">
        <v>45631</v>
      </c>
      <c r="I36" s="29"/>
      <c r="J36" s="29" t="s">
        <v>1615</v>
      </c>
      <c r="K36" s="24" t="s">
        <v>43</v>
      </c>
      <c r="L36" s="49">
        <v>45627</v>
      </c>
      <c r="M36" s="49">
        <v>45631</v>
      </c>
      <c r="N36" s="34">
        <f t="shared" si="1"/>
        <v>4</v>
      </c>
      <c r="O36" s="29"/>
      <c r="P36" t="s">
        <v>88</v>
      </c>
      <c r="Q36" t="s">
        <v>88</v>
      </c>
      <c r="R36" t="s">
        <v>88</v>
      </c>
      <c r="S36" t="s">
        <v>88</v>
      </c>
      <c r="T36" t="s">
        <v>88</v>
      </c>
      <c r="U36" t="s">
        <v>20</v>
      </c>
    </row>
    <row r="37" spans="1:21" x14ac:dyDescent="0.45">
      <c r="A37" s="79" t="s">
        <v>1581</v>
      </c>
      <c r="B37" s="29" t="str">
        <f t="shared" si="2"/>
        <v>8.736.710-k</v>
      </c>
      <c r="C37" s="22" t="str">
        <f>IF(IFERROR(VLOOKUP(A37,$A$9:$I36,1,0),0)=0,"",VLOOKUP(A37,$A$9:$I36,3,0))</f>
        <v>UCI</v>
      </c>
      <c r="D37" s="29" t="str">
        <f>IF(IFERROR(VLOOKUP(A37,$A$9:$I36,1,0),0)=0,"",VLOOKUP(A37,$A$9:$I36,4,0))</f>
        <v>MIGUEL</v>
      </c>
      <c r="E37" s="29" t="str">
        <f>IF(IFERROR(VLOOKUP(A37,$A$9:$I36,1,0),0)=0,"",VLOOKUP(A37,$A$9:$I36,5,0))</f>
        <v>CONTRERAS</v>
      </c>
      <c r="F37" s="29" t="str">
        <f>IF(IFERROR(VLOOKUP(A37,$A$9:$I36,1,0),0)=0,"",VLOOKUP(A37,$A$9:$I36,6,0))</f>
        <v>CORREA</v>
      </c>
      <c r="G37" s="49">
        <f>IF(IFERROR(VLOOKUP(A37,$A$9:$I36,1,0),0)=0,"",VLOOKUP(A37,$A$9:$I36,7,0))</f>
        <v>45626</v>
      </c>
      <c r="H37" s="29"/>
      <c r="I37" s="29"/>
      <c r="J37" s="29" t="s">
        <v>1615</v>
      </c>
      <c r="K37" s="24" t="s">
        <v>47</v>
      </c>
      <c r="L37" s="49">
        <v>45627</v>
      </c>
      <c r="M37" s="49">
        <v>45631</v>
      </c>
      <c r="N37" s="34">
        <f t="shared" si="1"/>
        <v>4</v>
      </c>
      <c r="O37" s="29"/>
      <c r="P37" t="s">
        <v>88</v>
      </c>
      <c r="Q37" t="s">
        <v>88</v>
      </c>
      <c r="R37" t="s">
        <v>88</v>
      </c>
      <c r="S37" t="s">
        <v>88</v>
      </c>
      <c r="T37" t="s">
        <v>88</v>
      </c>
      <c r="U37" t="s">
        <v>20</v>
      </c>
    </row>
    <row r="38" spans="1:21" x14ac:dyDescent="0.45">
      <c r="A38" s="79">
        <v>92737675</v>
      </c>
      <c r="B38" s="29" t="str">
        <f t="shared" si="2"/>
        <v>9.273.767-5</v>
      </c>
      <c r="C38" s="22" t="s">
        <v>22</v>
      </c>
      <c r="D38" s="29" t="s">
        <v>629</v>
      </c>
      <c r="E38" s="29" t="s">
        <v>375</v>
      </c>
      <c r="F38" s="29" t="s">
        <v>387</v>
      </c>
      <c r="G38" s="49">
        <v>45619</v>
      </c>
      <c r="H38" s="49">
        <v>45631</v>
      </c>
      <c r="I38" s="29"/>
      <c r="J38" s="29" t="s">
        <v>56</v>
      </c>
      <c r="K38" s="24" t="s">
        <v>18</v>
      </c>
      <c r="L38" s="49">
        <v>45627</v>
      </c>
      <c r="M38" s="49">
        <v>45631</v>
      </c>
      <c r="N38" s="34">
        <f t="shared" si="1"/>
        <v>4</v>
      </c>
      <c r="O38" s="29"/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20</v>
      </c>
    </row>
    <row r="39" spans="1:21" x14ac:dyDescent="0.45">
      <c r="A39" s="79">
        <v>120427334</v>
      </c>
      <c r="B39" s="29" t="str">
        <f t="shared" si="2"/>
        <v>12.042.733-4</v>
      </c>
      <c r="C39" s="22" t="s">
        <v>22</v>
      </c>
      <c r="D39" s="29" t="s">
        <v>515</v>
      </c>
      <c r="E39" s="29" t="s">
        <v>422</v>
      </c>
      <c r="F39" s="29" t="s">
        <v>1282</v>
      </c>
      <c r="G39" s="49">
        <v>45623</v>
      </c>
      <c r="H39" s="49">
        <v>45636</v>
      </c>
      <c r="I39" s="29"/>
      <c r="J39" s="29" t="s">
        <v>26</v>
      </c>
      <c r="K39" s="24" t="s">
        <v>18</v>
      </c>
      <c r="L39" s="49">
        <v>45627</v>
      </c>
      <c r="M39" s="49">
        <v>45636</v>
      </c>
      <c r="N39" s="34">
        <f t="shared" si="1"/>
        <v>9</v>
      </c>
      <c r="O39" s="29"/>
      <c r="P39" t="s">
        <v>88</v>
      </c>
      <c r="Q39" t="s">
        <v>88</v>
      </c>
      <c r="R39" t="s">
        <v>88</v>
      </c>
      <c r="S39" t="s">
        <v>88</v>
      </c>
      <c r="T39" t="s">
        <v>88</v>
      </c>
      <c r="U39" t="s">
        <v>20</v>
      </c>
    </row>
    <row r="40" spans="1:21" x14ac:dyDescent="0.45">
      <c r="A40" s="79">
        <v>120427334</v>
      </c>
      <c r="B40" s="29" t="str">
        <f t="shared" si="2"/>
        <v>12.042.733-4</v>
      </c>
      <c r="C40" s="22" t="str">
        <f>IF(IFERROR(VLOOKUP(A40,$A$9:$I39,1,0),0)=0,"",VLOOKUP(A40,$A$9:$I39,3,0))</f>
        <v>UCI</v>
      </c>
      <c r="D40" s="29" t="str">
        <f>IF(IFERROR(VLOOKUP(A40,$A$9:$I39,1,0),0)=0,"",VLOOKUP(A40,$A$9:$I39,4,0))</f>
        <v>CESAR</v>
      </c>
      <c r="E40" s="29" t="str">
        <f>IF(IFERROR(VLOOKUP(A40,$A$9:$I39,1,0),0)=0,"",VLOOKUP(A40,$A$9:$I39,5,0))</f>
        <v>TORRES</v>
      </c>
      <c r="F40" s="29" t="str">
        <f>IF(IFERROR(VLOOKUP(A40,$A$9:$I39,1,0),0)=0,"",VLOOKUP(A40,$A$9:$I39,6,0))</f>
        <v>MACHUCA</v>
      </c>
      <c r="G40" s="49">
        <f>IF(IFERROR(VLOOKUP(A40,$A$9:$I39,1,0),0)=0,"",VLOOKUP(A40,$A$9:$I39,7,0))</f>
        <v>45623</v>
      </c>
      <c r="H40" s="49">
        <v>45636</v>
      </c>
      <c r="I40" s="29"/>
      <c r="J40" s="29" t="s">
        <v>26</v>
      </c>
      <c r="K40" s="24" t="s">
        <v>47</v>
      </c>
      <c r="L40" s="49">
        <v>45627</v>
      </c>
      <c r="M40" s="49">
        <v>45636</v>
      </c>
      <c r="N40" s="34">
        <f t="shared" ref="N40:N57" si="3">+M40-L40</f>
        <v>9</v>
      </c>
      <c r="O40" s="29"/>
      <c r="P40" t="s">
        <v>88</v>
      </c>
      <c r="Q40" t="s">
        <v>88</v>
      </c>
      <c r="R40" t="s">
        <v>88</v>
      </c>
      <c r="S40" t="s">
        <v>88</v>
      </c>
      <c r="T40" t="s">
        <v>88</v>
      </c>
      <c r="U40" t="s">
        <v>20</v>
      </c>
    </row>
    <row r="41" spans="1:21" x14ac:dyDescent="0.45">
      <c r="A41" s="79">
        <v>114951404</v>
      </c>
      <c r="B41" s="29" t="str">
        <f t="shared" si="2"/>
        <v>11.495.140-4</v>
      </c>
      <c r="C41" s="22" t="s">
        <v>22</v>
      </c>
      <c r="D41" s="29" t="s">
        <v>1043</v>
      </c>
      <c r="E41" s="29" t="s">
        <v>236</v>
      </c>
      <c r="F41" s="29" t="s">
        <v>842</v>
      </c>
      <c r="G41" s="49">
        <v>45617</v>
      </c>
      <c r="H41" s="49">
        <v>45636</v>
      </c>
      <c r="I41" s="29"/>
      <c r="J41" s="29" t="s">
        <v>24</v>
      </c>
      <c r="K41" s="24" t="s">
        <v>18</v>
      </c>
      <c r="L41" s="49">
        <v>45627</v>
      </c>
      <c r="M41" s="49">
        <v>45636</v>
      </c>
      <c r="N41" s="34">
        <f t="shared" si="3"/>
        <v>9</v>
      </c>
      <c r="O41" s="29" t="s">
        <v>14</v>
      </c>
      <c r="P41" t="s">
        <v>88</v>
      </c>
      <c r="Q41" t="s">
        <v>88</v>
      </c>
      <c r="R41" t="s">
        <v>88</v>
      </c>
      <c r="S41" t="s">
        <v>88</v>
      </c>
      <c r="T41" t="s">
        <v>88</v>
      </c>
      <c r="U41" t="s">
        <v>20</v>
      </c>
    </row>
    <row r="42" spans="1:21" x14ac:dyDescent="0.45">
      <c r="A42" s="79">
        <v>114951404</v>
      </c>
      <c r="B42" s="29" t="str">
        <f t="shared" si="2"/>
        <v>11.495.140-4</v>
      </c>
      <c r="C42" s="22" t="str">
        <f>IF(IFERROR(VLOOKUP(A42,$A$9:$I41,1,0),0)=0,"",VLOOKUP(A42,$A$9:$I41,3,0))</f>
        <v>UCI</v>
      </c>
      <c r="D42" s="29" t="str">
        <f>IF(IFERROR(VLOOKUP(A42,$A$9:$I41,1,0),0)=0,"",VLOOKUP(A42,$A$9:$I41,4,0))</f>
        <v>DAVID</v>
      </c>
      <c r="E42" s="29" t="str">
        <f>IF(IFERROR(VLOOKUP(A42,$A$9:$I41,1,0),0)=0,"",VLOOKUP(A42,$A$9:$I41,5,0))</f>
        <v>LARA</v>
      </c>
      <c r="F42" s="29" t="str">
        <f>IF(IFERROR(VLOOKUP(A42,$A$9:$I41,1,0),0)=0,"",VLOOKUP(A42,$A$9:$I41,6,0))</f>
        <v>RIFFO</v>
      </c>
      <c r="G42" s="49">
        <f>IF(IFERROR(VLOOKUP(A42,$A$9:$I41,1,0),0)=0,"",VLOOKUP(A42,$A$9:$I41,7,0))</f>
        <v>45617</v>
      </c>
      <c r="H42" s="49">
        <v>45636</v>
      </c>
      <c r="I42" s="29"/>
      <c r="J42" s="29" t="s">
        <v>24</v>
      </c>
      <c r="K42" s="24" t="s">
        <v>47</v>
      </c>
      <c r="L42" s="49">
        <v>45627</v>
      </c>
      <c r="M42" s="49">
        <v>45636</v>
      </c>
      <c r="N42" s="34">
        <f t="shared" si="3"/>
        <v>9</v>
      </c>
      <c r="O42" s="29"/>
      <c r="P42" t="s">
        <v>88</v>
      </c>
      <c r="Q42" t="s">
        <v>88</v>
      </c>
      <c r="R42" t="s">
        <v>88</v>
      </c>
      <c r="S42" t="s">
        <v>88</v>
      </c>
      <c r="T42" t="s">
        <v>88</v>
      </c>
      <c r="U42" t="s">
        <v>20</v>
      </c>
    </row>
    <row r="43" spans="1:21" x14ac:dyDescent="0.45">
      <c r="A43" s="79">
        <v>144205081</v>
      </c>
      <c r="B43" s="29" t="str">
        <f t="shared" si="2"/>
        <v>14.420.508-1</v>
      </c>
      <c r="C43" s="22" t="s">
        <v>22</v>
      </c>
      <c r="D43" s="29" t="s">
        <v>638</v>
      </c>
      <c r="E43" s="29" t="s">
        <v>426</v>
      </c>
      <c r="F43" s="29" t="s">
        <v>323</v>
      </c>
      <c r="G43" s="49">
        <v>45626</v>
      </c>
      <c r="H43" s="49">
        <v>45632</v>
      </c>
      <c r="I43" s="29"/>
      <c r="J43" s="29" t="s">
        <v>22</v>
      </c>
      <c r="K43" s="24" t="s">
        <v>18</v>
      </c>
      <c r="L43" s="49">
        <v>45627</v>
      </c>
      <c r="M43" s="49">
        <v>45632</v>
      </c>
      <c r="N43" s="34">
        <f t="shared" si="3"/>
        <v>5</v>
      </c>
      <c r="O43" s="29" t="s">
        <v>14</v>
      </c>
      <c r="P43" t="s">
        <v>88</v>
      </c>
      <c r="Q43" t="s">
        <v>88</v>
      </c>
      <c r="R43" t="s">
        <v>88</v>
      </c>
      <c r="S43" t="s">
        <v>88</v>
      </c>
      <c r="T43" t="s">
        <v>88</v>
      </c>
      <c r="U43" t="s">
        <v>20</v>
      </c>
    </row>
    <row r="44" spans="1:21" x14ac:dyDescent="0.45">
      <c r="A44" s="79">
        <v>144205081</v>
      </c>
      <c r="B44" s="29" t="str">
        <f t="shared" si="2"/>
        <v>14.420.508-1</v>
      </c>
      <c r="C44" s="22" t="str">
        <f>IF(IFERROR(VLOOKUP(A44,$A$9:$I43,1,0),0)=0,"",VLOOKUP(A44,$A$9:$I43,3,0))</f>
        <v>UCI</v>
      </c>
      <c r="D44" s="29" t="str">
        <f>IF(IFERROR(VLOOKUP(A44,$A$9:$I43,1,0),0)=0,"",VLOOKUP(A44,$A$9:$I43,4,0))</f>
        <v>CARLOS</v>
      </c>
      <c r="E44" s="29" t="str">
        <f>IF(IFERROR(VLOOKUP(A44,$A$9:$I43,1,0),0)=0,"",VLOOKUP(A44,$A$9:$I43,5,0))</f>
        <v>GODOY</v>
      </c>
      <c r="F44" s="29" t="str">
        <f>IF(IFERROR(VLOOKUP(A44,$A$9:$I43,1,0),0)=0,"",VLOOKUP(A44,$A$9:$I43,6,0))</f>
        <v>BASCUÑAN</v>
      </c>
      <c r="G44" s="49">
        <v>45626</v>
      </c>
      <c r="H44" s="49">
        <v>45632</v>
      </c>
      <c r="I44" s="29"/>
      <c r="J44" s="29" t="s">
        <v>1615</v>
      </c>
      <c r="K44" s="24" t="s">
        <v>47</v>
      </c>
      <c r="L44" s="49">
        <v>45627</v>
      </c>
      <c r="M44" s="49">
        <v>45632</v>
      </c>
      <c r="N44" s="34">
        <f t="shared" si="3"/>
        <v>5</v>
      </c>
      <c r="O44" s="29"/>
      <c r="P44" t="s">
        <v>88</v>
      </c>
      <c r="Q44" t="s">
        <v>88</v>
      </c>
      <c r="R44" t="s">
        <v>88</v>
      </c>
      <c r="S44" t="s">
        <v>88</v>
      </c>
      <c r="T44" t="s">
        <v>88</v>
      </c>
      <c r="U44" t="s">
        <v>20</v>
      </c>
    </row>
    <row r="45" spans="1:21" x14ac:dyDescent="0.45">
      <c r="A45" s="79">
        <v>57966696</v>
      </c>
      <c r="B45" s="29" t="str">
        <f t="shared" si="2"/>
        <v>5.796.669-6</v>
      </c>
      <c r="C45" s="22" t="s">
        <v>22</v>
      </c>
      <c r="D45" s="29" t="s">
        <v>351</v>
      </c>
      <c r="E45" s="29" t="s">
        <v>559</v>
      </c>
      <c r="F45" s="29" t="s">
        <v>559</v>
      </c>
      <c r="G45" s="49">
        <v>45618</v>
      </c>
      <c r="H45" s="49">
        <v>45629</v>
      </c>
      <c r="I45" s="29"/>
      <c r="J45" s="29" t="s">
        <v>56</v>
      </c>
      <c r="K45" s="24" t="s">
        <v>43</v>
      </c>
      <c r="L45" s="49">
        <v>45627</v>
      </c>
      <c r="M45" s="49">
        <v>45629</v>
      </c>
      <c r="N45" s="34">
        <f t="shared" si="3"/>
        <v>2</v>
      </c>
      <c r="O45" s="29" t="s">
        <v>14</v>
      </c>
      <c r="P45" t="s">
        <v>88</v>
      </c>
      <c r="Q45" t="s">
        <v>88</v>
      </c>
      <c r="R45" t="s">
        <v>88</v>
      </c>
      <c r="S45" t="s">
        <v>88</v>
      </c>
      <c r="T45" t="s">
        <v>88</v>
      </c>
      <c r="U45" t="s">
        <v>20</v>
      </c>
    </row>
    <row r="46" spans="1:21" x14ac:dyDescent="0.45">
      <c r="A46" s="79">
        <v>267962499</v>
      </c>
      <c r="B46" s="29" t="str">
        <f t="shared" si="2"/>
        <v>26.796.249-9</v>
      </c>
      <c r="C46" s="22" t="s">
        <v>10</v>
      </c>
      <c r="D46" s="29" t="s">
        <v>524</v>
      </c>
      <c r="E46" s="29" t="s">
        <v>282</v>
      </c>
      <c r="F46" s="29" t="s">
        <v>946</v>
      </c>
      <c r="G46" s="49">
        <v>45619</v>
      </c>
      <c r="H46" s="49">
        <v>45642</v>
      </c>
      <c r="I46" s="29"/>
      <c r="J46" s="29" t="s">
        <v>24</v>
      </c>
      <c r="K46" s="24" t="s">
        <v>43</v>
      </c>
      <c r="L46" s="49">
        <v>45627</v>
      </c>
      <c r="M46" s="49">
        <v>45639</v>
      </c>
      <c r="N46" s="34">
        <f t="shared" si="3"/>
        <v>12</v>
      </c>
      <c r="O46" s="29"/>
      <c r="P46" t="s">
        <v>88</v>
      </c>
      <c r="Q46" t="s">
        <v>88</v>
      </c>
      <c r="R46" t="s">
        <v>88</v>
      </c>
      <c r="S46" t="s">
        <v>88</v>
      </c>
      <c r="T46" t="s">
        <v>88</v>
      </c>
      <c r="U46" t="s">
        <v>20</v>
      </c>
    </row>
    <row r="47" spans="1:21" x14ac:dyDescent="0.45">
      <c r="A47" s="79">
        <v>284458796</v>
      </c>
      <c r="B47" s="29" t="str">
        <f t="shared" si="2"/>
        <v>28.445.879-6</v>
      </c>
      <c r="C47" s="22" t="s">
        <v>10</v>
      </c>
      <c r="D47" s="29" t="s">
        <v>524</v>
      </c>
      <c r="E47" s="29" t="s">
        <v>461</v>
      </c>
      <c r="F47" s="29" t="s">
        <v>1115</v>
      </c>
      <c r="G47" s="49">
        <v>45531</v>
      </c>
      <c r="H47" s="29"/>
      <c r="I47" s="29"/>
      <c r="J47" s="29" t="s">
        <v>1615</v>
      </c>
      <c r="K47" s="24" t="s">
        <v>43</v>
      </c>
      <c r="L47" s="49">
        <v>45627</v>
      </c>
      <c r="M47" s="49">
        <v>45650</v>
      </c>
      <c r="N47" s="34">
        <f t="shared" si="3"/>
        <v>23</v>
      </c>
      <c r="O47" s="29"/>
      <c r="P47" t="s">
        <v>88</v>
      </c>
      <c r="Q47" t="s">
        <v>88</v>
      </c>
      <c r="R47" t="s">
        <v>88</v>
      </c>
      <c r="S47" t="s">
        <v>88</v>
      </c>
      <c r="T47" t="s">
        <v>88</v>
      </c>
      <c r="U47" t="s">
        <v>20</v>
      </c>
    </row>
    <row r="48" spans="1:21" x14ac:dyDescent="0.45">
      <c r="A48" s="79">
        <v>284458796</v>
      </c>
      <c r="B48" s="29" t="str">
        <f t="shared" si="2"/>
        <v>28.445.879-6</v>
      </c>
      <c r="C48" s="22" t="str">
        <f>IF(IFERROR(VLOOKUP(A48,$A$9:$I47,1,0),0)=0,"",VLOOKUP(A48,$A$9:$I47,3,0))</f>
        <v>UCI infanto juvenil</v>
      </c>
      <c r="D48" s="29" t="str">
        <f>IF(IFERROR(VLOOKUP(A48,$A$9:$I47,1,0),0)=0,"",VLOOKUP(A48,$A$9:$I47,4,0))</f>
        <v>NICOLAS</v>
      </c>
      <c r="E48" s="29" t="str">
        <f>IF(IFERROR(VLOOKUP(A48,$A$9:$I47,1,0),0)=0,"",VLOOKUP(A48,$A$9:$I47,5,0))</f>
        <v>MEDINA</v>
      </c>
      <c r="F48" s="29" t="str">
        <f>IF(IFERROR(VLOOKUP(A48,$A$9:$I47,1,0),0)=0,"",VLOOKUP(A48,$A$9:$I47,6,0))</f>
        <v>LEPEZ</v>
      </c>
      <c r="G48" s="49">
        <f>IF(IFERROR(VLOOKUP(A48,$A$9:$I47,1,0),0)=0,"",VLOOKUP(A48,$A$9:$I47,7,0))</f>
        <v>45531</v>
      </c>
      <c r="H48" s="29"/>
      <c r="I48" s="29"/>
      <c r="J48" s="29" t="s">
        <v>1615</v>
      </c>
      <c r="K48" s="24" t="s">
        <v>18</v>
      </c>
      <c r="L48" s="49">
        <v>45627</v>
      </c>
      <c r="M48" s="49">
        <v>45657</v>
      </c>
      <c r="N48" s="34">
        <f t="shared" si="3"/>
        <v>30</v>
      </c>
      <c r="O48" s="29"/>
      <c r="P48" t="s">
        <v>88</v>
      </c>
      <c r="Q48" t="s">
        <v>88</v>
      </c>
      <c r="R48" t="s">
        <v>88</v>
      </c>
      <c r="S48" t="s">
        <v>88</v>
      </c>
      <c r="T48" t="s">
        <v>88</v>
      </c>
      <c r="U48" t="s">
        <v>20</v>
      </c>
    </row>
    <row r="49" spans="1:21" x14ac:dyDescent="0.45">
      <c r="A49" s="79">
        <v>286077552</v>
      </c>
      <c r="B49" s="29" t="str">
        <f t="shared" si="2"/>
        <v>28.607.755-2</v>
      </c>
      <c r="C49" s="22" t="s">
        <v>16</v>
      </c>
      <c r="D49" s="29" t="s">
        <v>1065</v>
      </c>
      <c r="E49" s="29" t="s">
        <v>507</v>
      </c>
      <c r="F49" s="29" t="s">
        <v>490</v>
      </c>
      <c r="G49" s="49">
        <v>45617</v>
      </c>
      <c r="H49" s="49">
        <v>45642</v>
      </c>
      <c r="I49" s="29"/>
      <c r="J49" s="29" t="s">
        <v>86</v>
      </c>
      <c r="K49" s="24" t="s">
        <v>18</v>
      </c>
      <c r="L49" s="49">
        <v>45627</v>
      </c>
      <c r="M49" s="49">
        <v>45630</v>
      </c>
      <c r="N49" s="34">
        <f t="shared" si="3"/>
        <v>3</v>
      </c>
      <c r="O49" s="29"/>
      <c r="P49" t="s">
        <v>88</v>
      </c>
      <c r="Q49" t="s">
        <v>88</v>
      </c>
      <c r="R49" t="s">
        <v>88</v>
      </c>
      <c r="S49" t="s">
        <v>88</v>
      </c>
      <c r="T49" t="s">
        <v>88</v>
      </c>
      <c r="U49" t="s">
        <v>20</v>
      </c>
    </row>
    <row r="50" spans="1:21" x14ac:dyDescent="0.45">
      <c r="A50" s="79">
        <v>286079792</v>
      </c>
      <c r="B50" s="29" t="str">
        <f t="shared" si="2"/>
        <v>28.607.979-2</v>
      </c>
      <c r="C50" s="22" t="s">
        <v>16</v>
      </c>
      <c r="D50" s="29" t="s">
        <v>798</v>
      </c>
      <c r="E50" s="29" t="s">
        <v>312</v>
      </c>
      <c r="F50" s="29" t="s">
        <v>306</v>
      </c>
      <c r="G50" s="49">
        <v>45617</v>
      </c>
      <c r="H50" s="49">
        <v>45637</v>
      </c>
      <c r="I50" s="29"/>
      <c r="J50" s="29" t="s">
        <v>86</v>
      </c>
      <c r="K50" s="24" t="s">
        <v>18</v>
      </c>
      <c r="L50" s="49">
        <v>45627</v>
      </c>
      <c r="M50" s="49">
        <v>45629</v>
      </c>
      <c r="N50" s="34">
        <f t="shared" si="3"/>
        <v>2</v>
      </c>
      <c r="O50" s="29"/>
      <c r="P50" t="s">
        <v>88</v>
      </c>
      <c r="Q50" t="s">
        <v>88</v>
      </c>
      <c r="R50" t="s">
        <v>88</v>
      </c>
      <c r="S50" t="s">
        <v>88</v>
      </c>
      <c r="T50" t="s">
        <v>88</v>
      </c>
      <c r="U50" t="s">
        <v>20</v>
      </c>
    </row>
    <row r="51" spans="1:21" x14ac:dyDescent="0.45">
      <c r="A51" s="79">
        <v>64866931</v>
      </c>
      <c r="B51" s="29" t="str">
        <f t="shared" si="2"/>
        <v>6.486.693-1</v>
      </c>
      <c r="C51" s="22" t="s">
        <v>38</v>
      </c>
      <c r="D51" s="29" t="s">
        <v>506</v>
      </c>
      <c r="E51" s="29" t="s">
        <v>523</v>
      </c>
      <c r="F51" s="29" t="s">
        <v>1442</v>
      </c>
      <c r="G51" s="49">
        <v>45628</v>
      </c>
      <c r="H51" s="49">
        <v>45635</v>
      </c>
      <c r="I51" s="29"/>
      <c r="J51" s="29" t="s">
        <v>13</v>
      </c>
      <c r="K51" s="24" t="s">
        <v>47</v>
      </c>
      <c r="L51" s="49">
        <v>45628</v>
      </c>
      <c r="M51" s="49">
        <v>45631</v>
      </c>
      <c r="N51" s="34">
        <f t="shared" si="3"/>
        <v>3</v>
      </c>
      <c r="O51" s="29"/>
      <c r="P51" t="s">
        <v>88</v>
      </c>
      <c r="Q51" t="s">
        <v>88</v>
      </c>
      <c r="R51" t="s">
        <v>88</v>
      </c>
      <c r="S51" t="s">
        <v>88</v>
      </c>
      <c r="T51" t="s">
        <v>88</v>
      </c>
      <c r="U51" t="s">
        <v>20</v>
      </c>
    </row>
    <row r="52" spans="1:21" x14ac:dyDescent="0.45">
      <c r="A52" s="79">
        <v>70204800</v>
      </c>
      <c r="B52" s="29" t="str">
        <f t="shared" si="2"/>
        <v>7.020.480-0</v>
      </c>
      <c r="C52" s="22" t="s">
        <v>38</v>
      </c>
      <c r="D52" s="29" t="s">
        <v>1626</v>
      </c>
      <c r="E52" s="29" t="s">
        <v>266</v>
      </c>
      <c r="F52" s="29" t="s">
        <v>666</v>
      </c>
      <c r="G52" s="49">
        <v>45628</v>
      </c>
      <c r="H52" s="49">
        <v>45635</v>
      </c>
      <c r="I52" s="29"/>
      <c r="J52" s="29" t="s">
        <v>24</v>
      </c>
      <c r="K52" s="24" t="s">
        <v>43</v>
      </c>
      <c r="L52" s="49">
        <v>45628</v>
      </c>
      <c r="M52" s="49">
        <v>45635</v>
      </c>
      <c r="N52" s="34">
        <f t="shared" si="3"/>
        <v>7</v>
      </c>
      <c r="O52" s="29"/>
      <c r="P52" t="s">
        <v>88</v>
      </c>
      <c r="Q52" t="s">
        <v>88</v>
      </c>
      <c r="R52" t="s">
        <v>88</v>
      </c>
      <c r="S52" t="s">
        <v>88</v>
      </c>
      <c r="T52" t="s">
        <v>88</v>
      </c>
      <c r="U52" t="s">
        <v>20</v>
      </c>
    </row>
    <row r="53" spans="1:21" x14ac:dyDescent="0.45">
      <c r="A53" s="79">
        <v>70204800</v>
      </c>
      <c r="B53" s="29" t="str">
        <f t="shared" si="2"/>
        <v>7.020.480-0</v>
      </c>
      <c r="C53" s="22" t="str">
        <f>IF(IFERROR(VLOOKUP(A53,$A$9:$I52,1,0),0)=0,"",VLOOKUP(A53,$A$9:$I52,3,0))</f>
        <v xml:space="preserve">Sala de cuidados intermedios </v>
      </c>
      <c r="D53" s="29" t="str">
        <f>IF(IFERROR(VLOOKUP(A53,$A$9:$I52,1,0),0)=0,"",VLOOKUP(A53,$A$9:$I52,4,0))</f>
        <v>EMPERATRIZ</v>
      </c>
      <c r="E53" s="29" t="str">
        <f>IF(IFERROR(VLOOKUP(A53,$A$9:$I52,1,0),0)=0,"",VLOOKUP(A53,$A$9:$I52,5,0))</f>
        <v>SOTO</v>
      </c>
      <c r="F53" s="29" t="str">
        <f>IF(IFERROR(VLOOKUP(A53,$A$9:$I52,1,0),0)=0,"",VLOOKUP(A53,$A$9:$I52,6,0))</f>
        <v>MOSCOSO</v>
      </c>
      <c r="G53" s="49">
        <f>IF(IFERROR(VLOOKUP(A53,$A$9:$I52,1,0),0)=0,"",VLOOKUP(A53,$A$9:$I52,7,0))</f>
        <v>45628</v>
      </c>
      <c r="H53" s="49">
        <v>45635</v>
      </c>
      <c r="I53" s="29"/>
      <c r="J53" s="29" t="s">
        <v>24</v>
      </c>
      <c r="K53" s="24" t="s">
        <v>47</v>
      </c>
      <c r="L53" s="49">
        <v>45628</v>
      </c>
      <c r="M53" s="49">
        <v>45635</v>
      </c>
      <c r="N53" s="34">
        <f t="shared" si="3"/>
        <v>7</v>
      </c>
      <c r="O53" s="29"/>
      <c r="P53" t="s">
        <v>88</v>
      </c>
      <c r="Q53" t="s">
        <v>88</v>
      </c>
      <c r="R53" t="s">
        <v>88</v>
      </c>
      <c r="S53" t="s">
        <v>88</v>
      </c>
      <c r="T53" t="s">
        <v>88</v>
      </c>
      <c r="U53" t="s">
        <v>20</v>
      </c>
    </row>
    <row r="54" spans="1:21" x14ac:dyDescent="0.45">
      <c r="A54" s="79">
        <v>51340744</v>
      </c>
      <c r="B54" s="29" t="str">
        <f t="shared" si="2"/>
        <v>5.134.074-4</v>
      </c>
      <c r="C54" s="22" t="s">
        <v>38</v>
      </c>
      <c r="D54" s="29" t="s">
        <v>1627</v>
      </c>
      <c r="E54" s="29" t="s">
        <v>632</v>
      </c>
      <c r="F54" s="29" t="s">
        <v>422</v>
      </c>
      <c r="G54" s="49">
        <v>45623</v>
      </c>
      <c r="H54" s="49">
        <v>45630</v>
      </c>
      <c r="I54" s="29"/>
      <c r="J54" s="29" t="s">
        <v>24</v>
      </c>
      <c r="K54" s="24" t="s">
        <v>43</v>
      </c>
      <c r="L54" s="49">
        <v>45627</v>
      </c>
      <c r="M54" s="49">
        <v>45630</v>
      </c>
      <c r="N54" s="34">
        <f t="shared" si="3"/>
        <v>3</v>
      </c>
      <c r="O54" s="29"/>
      <c r="P54" t="s">
        <v>88</v>
      </c>
      <c r="Q54" t="s">
        <v>88</v>
      </c>
      <c r="R54" t="s">
        <v>88</v>
      </c>
      <c r="S54" t="s">
        <v>88</v>
      </c>
      <c r="T54" t="s">
        <v>88</v>
      </c>
      <c r="U54" t="s">
        <v>20</v>
      </c>
    </row>
    <row r="55" spans="1:21" x14ac:dyDescent="0.45">
      <c r="A55" s="79">
        <v>51340744</v>
      </c>
      <c r="B55" s="29" t="str">
        <f t="shared" si="2"/>
        <v>5.134.074-4</v>
      </c>
      <c r="C55" s="22" t="str">
        <f>IF(IFERROR(VLOOKUP(A55,$A$9:$I54,1,0),0)=0,"",VLOOKUP(A55,$A$9:$I54,3,0))</f>
        <v xml:space="preserve">Sala de cuidados intermedios </v>
      </c>
      <c r="D55" s="29" t="str">
        <f>IF(IFERROR(VLOOKUP(A55,$A$9:$I54,1,0),0)=0,"",VLOOKUP(A55,$A$9:$I54,4,0))</f>
        <v>ADELA</v>
      </c>
      <c r="E55" s="29" t="str">
        <f>IF(IFERROR(VLOOKUP(A55,$A$9:$I54,1,0),0)=0,"",VLOOKUP(A55,$A$9:$I54,5,0))</f>
        <v>ROA</v>
      </c>
      <c r="F55" s="29" t="str">
        <f>IF(IFERROR(VLOOKUP(A55,$A$9:$I54,1,0),0)=0,"",VLOOKUP(A55,$A$9:$I54,6,0))</f>
        <v>TORRES</v>
      </c>
      <c r="G55" s="49">
        <v>45623</v>
      </c>
      <c r="H55" s="49">
        <v>45630</v>
      </c>
      <c r="I55" s="29"/>
      <c r="J55" s="29" t="s">
        <v>1615</v>
      </c>
      <c r="K55" s="24" t="s">
        <v>47</v>
      </c>
      <c r="L55" s="49">
        <v>45627</v>
      </c>
      <c r="M55" s="49">
        <v>45630</v>
      </c>
      <c r="N55" s="34">
        <f t="shared" si="3"/>
        <v>3</v>
      </c>
      <c r="O55" s="29"/>
      <c r="P55" t="s">
        <v>88</v>
      </c>
      <c r="Q55" t="s">
        <v>88</v>
      </c>
      <c r="R55" t="s">
        <v>88</v>
      </c>
      <c r="S55" t="s">
        <v>88</v>
      </c>
      <c r="T55" t="s">
        <v>88</v>
      </c>
      <c r="U55" t="s">
        <v>20</v>
      </c>
    </row>
    <row r="56" spans="1:21" x14ac:dyDescent="0.45">
      <c r="A56" s="79">
        <v>93421329</v>
      </c>
      <c r="B56" s="29" t="str">
        <f t="shared" si="2"/>
        <v>9.342.132-9</v>
      </c>
      <c r="C56" s="22" t="s">
        <v>38</v>
      </c>
      <c r="D56" s="29" t="s">
        <v>268</v>
      </c>
      <c r="E56" s="29" t="s">
        <v>313</v>
      </c>
      <c r="F56" s="29" t="s">
        <v>329</v>
      </c>
      <c r="G56" s="49">
        <v>45574</v>
      </c>
      <c r="H56" s="49">
        <v>45650</v>
      </c>
      <c r="I56" s="29"/>
      <c r="J56" s="29" t="s">
        <v>13</v>
      </c>
      <c r="K56" s="24" t="s">
        <v>43</v>
      </c>
      <c r="L56" s="49">
        <v>45627</v>
      </c>
      <c r="M56" s="49">
        <v>45650</v>
      </c>
      <c r="N56" s="34">
        <f t="shared" si="3"/>
        <v>23</v>
      </c>
      <c r="O56" s="29" t="s">
        <v>14</v>
      </c>
      <c r="P56" t="s">
        <v>88</v>
      </c>
      <c r="Q56" t="s">
        <v>88</v>
      </c>
      <c r="R56" t="s">
        <v>88</v>
      </c>
      <c r="S56" t="s">
        <v>88</v>
      </c>
      <c r="T56" t="s">
        <v>88</v>
      </c>
      <c r="U56" t="s">
        <v>20</v>
      </c>
    </row>
    <row r="57" spans="1:21" x14ac:dyDescent="0.45">
      <c r="A57" s="79">
        <v>112380647</v>
      </c>
      <c r="B57" s="29" t="str">
        <f t="shared" si="2"/>
        <v>11.238.064-7</v>
      </c>
      <c r="C57" s="22" t="s">
        <v>38</v>
      </c>
      <c r="D57" s="29" t="s">
        <v>484</v>
      </c>
      <c r="E57" s="29" t="s">
        <v>341</v>
      </c>
      <c r="F57" s="29" t="s">
        <v>696</v>
      </c>
      <c r="G57" s="49">
        <v>45621</v>
      </c>
      <c r="H57" s="49">
        <v>45639</v>
      </c>
      <c r="I57" s="29"/>
      <c r="J57" s="29" t="s">
        <v>66</v>
      </c>
      <c r="K57" s="24" t="s">
        <v>43</v>
      </c>
      <c r="L57" s="49">
        <v>45627</v>
      </c>
      <c r="M57" s="49">
        <v>45639</v>
      </c>
      <c r="N57" s="34">
        <f t="shared" si="3"/>
        <v>12</v>
      </c>
      <c r="O57" s="29"/>
      <c r="P57" t="s">
        <v>88</v>
      </c>
      <c r="Q57" t="s">
        <v>88</v>
      </c>
      <c r="R57" t="s">
        <v>88</v>
      </c>
      <c r="S57" t="s">
        <v>88</v>
      </c>
      <c r="T57" t="s">
        <v>88</v>
      </c>
      <c r="U57" t="s">
        <v>20</v>
      </c>
    </row>
    <row r="58" spans="1:21" x14ac:dyDescent="0.45">
      <c r="A58" s="79">
        <v>112380647</v>
      </c>
      <c r="B58" s="29" t="str">
        <f t="shared" si="2"/>
        <v>11.238.064-7</v>
      </c>
      <c r="C58" s="22" t="s">
        <v>38</v>
      </c>
      <c r="D58" s="29" t="s">
        <v>484</v>
      </c>
      <c r="E58" s="29" t="s">
        <v>341</v>
      </c>
      <c r="F58" s="29" t="s">
        <v>696</v>
      </c>
      <c r="G58" s="49">
        <v>45621</v>
      </c>
      <c r="H58" s="49">
        <v>45639</v>
      </c>
      <c r="I58" s="29"/>
      <c r="J58" s="29" t="s">
        <v>66</v>
      </c>
      <c r="K58" s="24"/>
      <c r="L58" s="49">
        <v>45627</v>
      </c>
      <c r="M58" s="49">
        <v>45639</v>
      </c>
      <c r="N58" s="34"/>
      <c r="O58" s="29"/>
      <c r="P58" t="s">
        <v>120</v>
      </c>
      <c r="Q58" t="s">
        <v>88</v>
      </c>
      <c r="R58" t="s">
        <v>88</v>
      </c>
      <c r="S58" t="s">
        <v>88</v>
      </c>
      <c r="T58" t="s">
        <v>88</v>
      </c>
      <c r="U58" t="s">
        <v>20</v>
      </c>
    </row>
    <row r="59" spans="1:21" x14ac:dyDescent="0.45">
      <c r="A59" s="79">
        <v>100300508</v>
      </c>
      <c r="B59" s="29" t="str">
        <f t="shared" si="2"/>
        <v>10.030.050-8</v>
      </c>
      <c r="C59" s="22" t="s">
        <v>22</v>
      </c>
      <c r="D59" s="29" t="s">
        <v>238</v>
      </c>
      <c r="E59" s="29" t="s">
        <v>347</v>
      </c>
      <c r="F59" s="29" t="s">
        <v>486</v>
      </c>
      <c r="G59" s="49">
        <v>45631</v>
      </c>
      <c r="H59" s="49">
        <v>45635</v>
      </c>
      <c r="I59" s="29"/>
      <c r="J59" s="29" t="s">
        <v>46</v>
      </c>
      <c r="K59" s="24" t="s">
        <v>43</v>
      </c>
      <c r="L59" s="49">
        <v>45631</v>
      </c>
      <c r="M59" s="49">
        <v>45635</v>
      </c>
      <c r="N59" s="34">
        <f t="shared" ref="N59:N122" si="4">+M59-L59</f>
        <v>4</v>
      </c>
      <c r="O59" s="29"/>
      <c r="P59" t="s">
        <v>88</v>
      </c>
      <c r="Q59" t="s">
        <v>88</v>
      </c>
      <c r="R59" t="s">
        <v>88</v>
      </c>
      <c r="S59" t="s">
        <v>88</v>
      </c>
      <c r="T59" t="s">
        <v>88</v>
      </c>
      <c r="U59" t="s">
        <v>20</v>
      </c>
    </row>
    <row r="60" spans="1:21" x14ac:dyDescent="0.45">
      <c r="A60" s="79">
        <v>100300508</v>
      </c>
      <c r="B60" s="29" t="str">
        <f t="shared" si="2"/>
        <v>10.030.050-8</v>
      </c>
      <c r="C60" s="22" t="str">
        <f>IF(IFERROR(VLOOKUP(A60,$A$9:$I59,1,0),0)=0,"",VLOOKUP(A60,$A$9:$I59,3,0))</f>
        <v>UCI</v>
      </c>
      <c r="D60" s="29" t="str">
        <f>IF(IFERROR(VLOOKUP(A60,$A$9:$I59,1,0),0)=0,"",VLOOKUP(A60,$A$9:$I59,4,0))</f>
        <v>LUIS</v>
      </c>
      <c r="E60" s="29" t="str">
        <f>IF(IFERROR(VLOOKUP(A60,$A$9:$I59,1,0),0)=0,"",VLOOKUP(A60,$A$9:$I59,5,0))</f>
        <v>SAAVEDRA</v>
      </c>
      <c r="F60" s="29" t="str">
        <f>IF(IFERROR(VLOOKUP(A60,$A$9:$I59,1,0),0)=0,"",VLOOKUP(A60,$A$9:$I59,6,0))</f>
        <v>CUEVAS</v>
      </c>
      <c r="G60" s="49">
        <f>IF(IFERROR(VLOOKUP(A60,$A$9:$I59,1,0),0)=0,"",VLOOKUP(A60,$A$9:$I59,7,0))</f>
        <v>45631</v>
      </c>
      <c r="H60" s="49">
        <v>45635</v>
      </c>
      <c r="I60" s="29"/>
      <c r="J60" s="29" t="s">
        <v>46</v>
      </c>
      <c r="K60" s="24" t="s">
        <v>47</v>
      </c>
      <c r="L60" s="49">
        <v>45631</v>
      </c>
      <c r="M60" s="49">
        <v>45635</v>
      </c>
      <c r="N60" s="34">
        <f t="shared" si="4"/>
        <v>4</v>
      </c>
      <c r="O60" s="29"/>
      <c r="P60" t="s">
        <v>88</v>
      </c>
      <c r="Q60" t="s">
        <v>88</v>
      </c>
      <c r="R60" t="s">
        <v>88</v>
      </c>
      <c r="S60" t="s">
        <v>88</v>
      </c>
      <c r="T60" t="s">
        <v>88</v>
      </c>
      <c r="U60" t="s">
        <v>20</v>
      </c>
    </row>
    <row r="61" spans="1:21" x14ac:dyDescent="0.45">
      <c r="A61" s="79">
        <v>98629831</v>
      </c>
      <c r="B61" s="29" t="str">
        <f t="shared" si="2"/>
        <v>9.862.983-1</v>
      </c>
      <c r="C61" s="22" t="s">
        <v>22</v>
      </c>
      <c r="D61" s="29" t="s">
        <v>250</v>
      </c>
      <c r="E61" s="29" t="s">
        <v>277</v>
      </c>
      <c r="F61" s="29" t="s">
        <v>252</v>
      </c>
      <c r="G61" s="49">
        <v>45630</v>
      </c>
      <c r="H61" s="49">
        <v>45635</v>
      </c>
      <c r="I61" s="29"/>
      <c r="J61" s="29" t="s">
        <v>1615</v>
      </c>
      <c r="K61" s="24" t="s">
        <v>43</v>
      </c>
      <c r="L61" s="49">
        <v>45630</v>
      </c>
      <c r="M61" s="49">
        <v>45635</v>
      </c>
      <c r="N61" s="34">
        <f t="shared" si="4"/>
        <v>5</v>
      </c>
      <c r="O61" s="29"/>
      <c r="P61" t="s">
        <v>88</v>
      </c>
      <c r="Q61" t="s">
        <v>88</v>
      </c>
      <c r="R61" t="s">
        <v>88</v>
      </c>
      <c r="S61" t="s">
        <v>88</v>
      </c>
      <c r="T61" t="s">
        <v>88</v>
      </c>
      <c r="U61" t="s">
        <v>20</v>
      </c>
    </row>
    <row r="62" spans="1:21" x14ac:dyDescent="0.45">
      <c r="A62" s="79">
        <v>98629831</v>
      </c>
      <c r="B62" s="29" t="str">
        <f t="shared" si="2"/>
        <v>9.862.983-1</v>
      </c>
      <c r="C62" s="22" t="str">
        <f>IF(IFERROR(VLOOKUP(A62,$A$9:$I61,1,0),0)=0,"",VLOOKUP(A62,$A$9:$I61,3,0))</f>
        <v>UCI</v>
      </c>
      <c r="D62" s="29" t="str">
        <f>IF(IFERROR(VLOOKUP(A62,$A$9:$I61,1,0),0)=0,"",VLOOKUP(A62,$A$9:$I61,4,0))</f>
        <v>JOSE</v>
      </c>
      <c r="E62" s="29" t="str">
        <f>IF(IFERROR(VLOOKUP(A62,$A$9:$I61,1,0),0)=0,"",VLOOKUP(A62,$A$9:$I61,5,0))</f>
        <v>MORA</v>
      </c>
      <c r="F62" s="29" t="str">
        <f>IF(IFERROR(VLOOKUP(A62,$A$9:$I61,1,0),0)=0,"",VLOOKUP(A62,$A$9:$I61,6,0))</f>
        <v>SILVA</v>
      </c>
      <c r="G62" s="49">
        <f>IF(IFERROR(VLOOKUP(A62,$A$9:$I61,1,0),0)=0,"",VLOOKUP(A62,$A$9:$I61,7,0))</f>
        <v>45630</v>
      </c>
      <c r="H62" s="49">
        <v>45635</v>
      </c>
      <c r="I62" s="29"/>
      <c r="J62" s="29" t="s">
        <v>1615</v>
      </c>
      <c r="K62" s="24" t="s">
        <v>47</v>
      </c>
      <c r="L62" s="49">
        <v>45630</v>
      </c>
      <c r="M62" s="49">
        <v>45635</v>
      </c>
      <c r="N62" s="34">
        <f t="shared" si="4"/>
        <v>5</v>
      </c>
      <c r="O62" s="29"/>
      <c r="P62" t="s">
        <v>88</v>
      </c>
      <c r="Q62" t="s">
        <v>88</v>
      </c>
      <c r="R62" t="s">
        <v>88</v>
      </c>
      <c r="S62" t="s">
        <v>88</v>
      </c>
      <c r="T62" t="s">
        <v>88</v>
      </c>
      <c r="U62" t="s">
        <v>20</v>
      </c>
    </row>
    <row r="63" spans="1:21" x14ac:dyDescent="0.45">
      <c r="A63" s="79">
        <v>98629831</v>
      </c>
      <c r="B63" s="29" t="str">
        <f t="shared" si="2"/>
        <v>9.862.983-1</v>
      </c>
      <c r="C63" s="22" t="str">
        <f>IF(IFERROR(VLOOKUP(A63,$A$9:$I62,1,0),0)=0,"",VLOOKUP(A63,$A$9:$I62,3,0))</f>
        <v>UCI</v>
      </c>
      <c r="D63" s="29" t="str">
        <f>IF(IFERROR(VLOOKUP(A63,$A$9:$I62,1,0),0)=0,"",VLOOKUP(A63,$A$9:$I62,4,0))</f>
        <v>JOSE</v>
      </c>
      <c r="E63" s="29" t="str">
        <f>IF(IFERROR(VLOOKUP(A63,$A$9:$I62,1,0),0)=0,"",VLOOKUP(A63,$A$9:$I62,5,0))</f>
        <v>MORA</v>
      </c>
      <c r="F63" s="29" t="str">
        <f>IF(IFERROR(VLOOKUP(A63,$A$9:$I62,1,0),0)=0,"",VLOOKUP(A63,$A$9:$I62,6,0))</f>
        <v>SILVA</v>
      </c>
      <c r="G63" s="49">
        <f>IF(IFERROR(VLOOKUP(A63,$A$9:$I62,1,0),0)=0,"",VLOOKUP(A63,$A$9:$I62,7,0))</f>
        <v>45630</v>
      </c>
      <c r="H63" s="49">
        <v>45635</v>
      </c>
      <c r="I63" s="29"/>
      <c r="J63" s="29" t="s">
        <v>1615</v>
      </c>
      <c r="K63" s="24" t="s">
        <v>55</v>
      </c>
      <c r="L63" s="49">
        <v>45630</v>
      </c>
      <c r="M63" s="49">
        <v>45634</v>
      </c>
      <c r="N63" s="34">
        <f t="shared" si="4"/>
        <v>4</v>
      </c>
      <c r="O63" s="29"/>
      <c r="P63" t="s">
        <v>88</v>
      </c>
      <c r="Q63" t="s">
        <v>88</v>
      </c>
      <c r="R63" t="s">
        <v>88</v>
      </c>
      <c r="S63" t="s">
        <v>88</v>
      </c>
      <c r="T63" t="s">
        <v>88</v>
      </c>
      <c r="U63" t="s">
        <v>20</v>
      </c>
    </row>
    <row r="64" spans="1:21" x14ac:dyDescent="0.45">
      <c r="A64" s="79">
        <v>58739170</v>
      </c>
      <c r="B64" s="29" t="str">
        <f t="shared" si="2"/>
        <v>5.873.917-0</v>
      </c>
      <c r="C64" s="22" t="s">
        <v>22</v>
      </c>
      <c r="D64" s="29" t="s">
        <v>1628</v>
      </c>
      <c r="E64" s="29" t="s">
        <v>1422</v>
      </c>
      <c r="F64" s="29" t="s">
        <v>1629</v>
      </c>
      <c r="G64" s="49">
        <v>45630</v>
      </c>
      <c r="H64" s="49">
        <v>45633</v>
      </c>
      <c r="I64" s="29"/>
      <c r="J64" s="29" t="s">
        <v>1615</v>
      </c>
      <c r="K64" s="24" t="s">
        <v>43</v>
      </c>
      <c r="L64" s="49">
        <v>45630</v>
      </c>
      <c r="M64" s="49">
        <v>45632</v>
      </c>
      <c r="N64" s="34">
        <f t="shared" si="4"/>
        <v>2</v>
      </c>
      <c r="O64" s="29"/>
      <c r="P64" t="s">
        <v>88</v>
      </c>
      <c r="Q64" t="s">
        <v>88</v>
      </c>
      <c r="R64" t="s">
        <v>88</v>
      </c>
      <c r="S64" t="s">
        <v>88</v>
      </c>
      <c r="T64" t="s">
        <v>88</v>
      </c>
      <c r="U64" t="s">
        <v>20</v>
      </c>
    </row>
    <row r="65" spans="1:21" x14ac:dyDescent="0.45">
      <c r="A65" s="79">
        <v>58739170</v>
      </c>
      <c r="B65" s="29" t="str">
        <f t="shared" si="2"/>
        <v>5.873.917-0</v>
      </c>
      <c r="C65" s="22" t="str">
        <f>IF(IFERROR(VLOOKUP(A65,$A$9:$I64,1,0),0)=0,"",VLOOKUP(A65,$A$9:$I64,3,0))</f>
        <v>UCI</v>
      </c>
      <c r="D65" s="29" t="str">
        <f>IF(IFERROR(VLOOKUP(A65,$A$9:$I64,1,0),0)=0,"",VLOOKUP(A65,$A$9:$I64,4,0))</f>
        <v>VÍCTOR</v>
      </c>
      <c r="E65" s="29" t="str">
        <f>IF(IFERROR(VLOOKUP(A65,$A$9:$I64,1,0),0)=0,"",VLOOKUP(A65,$A$9:$I64,5,0))</f>
        <v>PAREDES</v>
      </c>
      <c r="F65" s="29" t="str">
        <f>IF(IFERROR(VLOOKUP(A65,$A$9:$I64,1,0),0)=0,"",VLOOKUP(A65,$A$9:$I64,6,0))</f>
        <v>SANTANA</v>
      </c>
      <c r="G65" s="49">
        <f>IF(IFERROR(VLOOKUP(A65,$A$9:$I64,1,0),0)=0,"",VLOOKUP(A65,$A$9:$I64,7,0))</f>
        <v>45630</v>
      </c>
      <c r="H65" s="29"/>
      <c r="I65" s="29"/>
      <c r="J65" s="29" t="s">
        <v>1615</v>
      </c>
      <c r="K65" s="24" t="s">
        <v>47</v>
      </c>
      <c r="L65" s="49">
        <v>45630</v>
      </c>
      <c r="M65" s="49">
        <v>45632</v>
      </c>
      <c r="N65" s="34">
        <f t="shared" si="4"/>
        <v>2</v>
      </c>
      <c r="O65" s="29"/>
      <c r="P65" t="s">
        <v>88</v>
      </c>
      <c r="Q65" t="s">
        <v>88</v>
      </c>
      <c r="R65" t="s">
        <v>88</v>
      </c>
      <c r="S65" t="s">
        <v>88</v>
      </c>
      <c r="T65" t="s">
        <v>88</v>
      </c>
      <c r="U65" t="s">
        <v>20</v>
      </c>
    </row>
    <row r="66" spans="1:21" x14ac:dyDescent="0.45">
      <c r="A66" s="79">
        <v>58739170</v>
      </c>
      <c r="B66" s="29" t="str">
        <f t="shared" si="2"/>
        <v>5.873.917-0</v>
      </c>
      <c r="C66" s="22" t="str">
        <f>IF(IFERROR(VLOOKUP(A66,$A$9:$I65,1,0),0)=0,"",VLOOKUP(A66,$A$9:$I65,3,0))</f>
        <v>UCI</v>
      </c>
      <c r="D66" s="29" t="str">
        <f>IF(IFERROR(VLOOKUP(A66,$A$9:$I65,1,0),0)=0,"",VLOOKUP(A66,$A$9:$I65,4,0))</f>
        <v>VÍCTOR</v>
      </c>
      <c r="E66" s="29" t="str">
        <f>IF(IFERROR(VLOOKUP(A66,$A$9:$I65,1,0),0)=0,"",VLOOKUP(A66,$A$9:$I65,5,0))</f>
        <v>PAREDES</v>
      </c>
      <c r="F66" s="29" t="str">
        <f>IF(IFERROR(VLOOKUP(A66,$A$9:$I65,1,0),0)=0,"",VLOOKUP(A66,$A$9:$I65,6,0))</f>
        <v>SANTANA</v>
      </c>
      <c r="G66" s="49">
        <f>IF(IFERROR(VLOOKUP(A66,$A$9:$I65,1,0),0)=0,"",VLOOKUP(A66,$A$9:$I65,7,0))</f>
        <v>45630</v>
      </c>
      <c r="H66" s="29"/>
      <c r="I66" s="29"/>
      <c r="J66" s="29" t="s">
        <v>1615</v>
      </c>
      <c r="K66" s="24" t="s">
        <v>55</v>
      </c>
      <c r="L66" s="49">
        <v>45630</v>
      </c>
      <c r="M66" s="49">
        <v>45632</v>
      </c>
      <c r="N66" s="34">
        <f t="shared" si="4"/>
        <v>2</v>
      </c>
      <c r="O66" s="29"/>
      <c r="P66" t="s">
        <v>88</v>
      </c>
      <c r="Q66" t="s">
        <v>88</v>
      </c>
      <c r="R66" t="s">
        <v>88</v>
      </c>
      <c r="S66" t="s">
        <v>88</v>
      </c>
      <c r="T66" t="s">
        <v>88</v>
      </c>
      <c r="U66" t="s">
        <v>20</v>
      </c>
    </row>
    <row r="67" spans="1:21" x14ac:dyDescent="0.45">
      <c r="A67" s="79">
        <v>59943928</v>
      </c>
      <c r="B67" s="29" t="str">
        <f t="shared" si="2"/>
        <v>5.994.392-8</v>
      </c>
      <c r="C67" s="22" t="s">
        <v>22</v>
      </c>
      <c r="D67" s="29" t="s">
        <v>872</v>
      </c>
      <c r="E67" s="29" t="s">
        <v>341</v>
      </c>
      <c r="F67" s="29" t="s">
        <v>422</v>
      </c>
      <c r="G67" s="49">
        <v>45631</v>
      </c>
      <c r="H67" s="49">
        <v>45637</v>
      </c>
      <c r="I67" s="29"/>
      <c r="J67" s="29" t="s">
        <v>1615</v>
      </c>
      <c r="K67" s="24" t="s">
        <v>43</v>
      </c>
      <c r="L67" s="49">
        <v>45632</v>
      </c>
      <c r="M67" s="49">
        <v>45637</v>
      </c>
      <c r="N67" s="34">
        <f t="shared" si="4"/>
        <v>5</v>
      </c>
      <c r="O67" s="29"/>
      <c r="P67" t="s">
        <v>88</v>
      </c>
      <c r="Q67" t="s">
        <v>88</v>
      </c>
      <c r="R67" t="s">
        <v>88</v>
      </c>
      <c r="S67" t="s">
        <v>88</v>
      </c>
      <c r="T67" t="s">
        <v>88</v>
      </c>
      <c r="U67" t="s">
        <v>20</v>
      </c>
    </row>
    <row r="68" spans="1:21" x14ac:dyDescent="0.45">
      <c r="A68" s="79">
        <v>59943928</v>
      </c>
      <c r="B68" s="29" t="str">
        <f t="shared" si="2"/>
        <v>5.994.392-8</v>
      </c>
      <c r="C68" s="22" t="str">
        <f>IF(IFERROR(VLOOKUP(A68,$A$9:$I67,1,0),0)=0,"",VLOOKUP(A68,$A$9:$I67,3,0))</f>
        <v>UCI</v>
      </c>
      <c r="D68" s="29" t="str">
        <f>IF(IFERROR(VLOOKUP(A68,$A$9:$I67,1,0),0)=0,"",VLOOKUP(A68,$A$9:$I67,4,0))</f>
        <v>BERNARDO</v>
      </c>
      <c r="E68" s="29" t="str">
        <f>IF(IFERROR(VLOOKUP(A68,$A$9:$I67,1,0),0)=0,"",VLOOKUP(A68,$A$9:$I67,5,0))</f>
        <v>LAGOS</v>
      </c>
      <c r="F68" s="29" t="str">
        <f>IF(IFERROR(VLOOKUP(A68,$A$9:$I67,1,0),0)=0,"",VLOOKUP(A68,$A$9:$I67,6,0))</f>
        <v>TORRES</v>
      </c>
      <c r="G68" s="49">
        <f>IF(IFERROR(VLOOKUP(A68,$A$9:$I67,1,0),0)=0,"",VLOOKUP(A68,$A$9:$I67,7,0))</f>
        <v>45631</v>
      </c>
      <c r="H68" s="29"/>
      <c r="I68" s="29"/>
      <c r="J68" s="29" t="s">
        <v>1615</v>
      </c>
      <c r="K68" s="24" t="s">
        <v>47</v>
      </c>
      <c r="L68" s="49">
        <v>45632</v>
      </c>
      <c r="M68" s="49">
        <v>45635</v>
      </c>
      <c r="N68" s="34">
        <f t="shared" si="4"/>
        <v>3</v>
      </c>
      <c r="O68" s="29"/>
      <c r="P68" t="s">
        <v>88</v>
      </c>
      <c r="Q68" t="s">
        <v>88</v>
      </c>
      <c r="R68" t="s">
        <v>88</v>
      </c>
      <c r="S68" t="s">
        <v>88</v>
      </c>
      <c r="T68" t="s">
        <v>88</v>
      </c>
      <c r="U68" t="s">
        <v>20</v>
      </c>
    </row>
    <row r="69" spans="1:21" x14ac:dyDescent="0.45">
      <c r="A69" s="79">
        <v>59943928</v>
      </c>
      <c r="B69" s="29" t="str">
        <f t="shared" si="2"/>
        <v>5.994.392-8</v>
      </c>
      <c r="C69" s="22" t="str">
        <f>IF(IFERROR(VLOOKUP(A69,$A$9:$I68,1,0),0)=0,"",VLOOKUP(A69,$A$9:$I68,3,0))</f>
        <v>UCI</v>
      </c>
      <c r="D69" s="29" t="str">
        <f>IF(IFERROR(VLOOKUP(A69,$A$9:$I68,1,0),0)=0,"",VLOOKUP(A69,$A$9:$I68,4,0))</f>
        <v>BERNARDO</v>
      </c>
      <c r="E69" s="29" t="str">
        <f>IF(IFERROR(VLOOKUP(A69,$A$9:$I68,1,0),0)=0,"",VLOOKUP(A69,$A$9:$I68,5,0))</f>
        <v>LAGOS</v>
      </c>
      <c r="F69" s="29" t="str">
        <f>IF(IFERROR(VLOOKUP(A69,$A$9:$I68,1,0),0)=0,"",VLOOKUP(A69,$A$9:$I68,6,0))</f>
        <v>TORRES</v>
      </c>
      <c r="G69" s="49">
        <f>IF(IFERROR(VLOOKUP(A69,$A$9:$I68,1,0),0)=0,"",VLOOKUP(A69,$A$9:$I68,7,0))</f>
        <v>45631</v>
      </c>
      <c r="H69" s="29"/>
      <c r="I69" s="29"/>
      <c r="J69" s="29" t="s">
        <v>1615</v>
      </c>
      <c r="K69" s="24" t="s">
        <v>55</v>
      </c>
      <c r="L69" s="49">
        <v>45632</v>
      </c>
      <c r="M69" s="49">
        <v>45633</v>
      </c>
      <c r="N69" s="34">
        <f t="shared" si="4"/>
        <v>1</v>
      </c>
      <c r="O69" s="29"/>
      <c r="P69" t="s">
        <v>88</v>
      </c>
      <c r="Q69" t="s">
        <v>88</v>
      </c>
      <c r="R69" t="s">
        <v>88</v>
      </c>
      <c r="S69" t="s">
        <v>88</v>
      </c>
      <c r="T69" t="s">
        <v>88</v>
      </c>
      <c r="U69" t="s">
        <v>20</v>
      </c>
    </row>
    <row r="70" spans="1:21" x14ac:dyDescent="0.45">
      <c r="A70" s="79">
        <v>106940975</v>
      </c>
      <c r="B70" s="29" t="str">
        <f t="shared" si="2"/>
        <v>10.694.097-5</v>
      </c>
      <c r="C70" s="22" t="s">
        <v>30</v>
      </c>
      <c r="D70" s="29" t="s">
        <v>1435</v>
      </c>
      <c r="E70" s="29" t="s">
        <v>1271</v>
      </c>
      <c r="F70" s="29" t="s">
        <v>696</v>
      </c>
      <c r="G70" s="49">
        <v>45624</v>
      </c>
      <c r="H70" s="49">
        <v>45635</v>
      </c>
      <c r="I70" s="29"/>
      <c r="J70" s="29" t="s">
        <v>46</v>
      </c>
      <c r="K70" s="24" t="s">
        <v>43</v>
      </c>
      <c r="L70" s="49">
        <v>45627</v>
      </c>
      <c r="M70" s="49">
        <v>45635</v>
      </c>
      <c r="N70" s="34">
        <f t="shared" si="4"/>
        <v>8</v>
      </c>
      <c r="O70" s="29"/>
      <c r="P70" t="s">
        <v>88</v>
      </c>
      <c r="Q70" t="s">
        <v>88</v>
      </c>
      <c r="R70" t="s">
        <v>88</v>
      </c>
      <c r="S70" t="s">
        <v>88</v>
      </c>
      <c r="T70" t="s">
        <v>88</v>
      </c>
      <c r="U70" t="s">
        <v>20</v>
      </c>
    </row>
    <row r="71" spans="1:21" x14ac:dyDescent="0.45">
      <c r="A71" s="79">
        <v>106940975</v>
      </c>
      <c r="B71" s="29" t="str">
        <f t="shared" si="2"/>
        <v>10.694.097-5</v>
      </c>
      <c r="C71" s="22" t="str">
        <f>IF(IFERROR(VLOOKUP(A71,$A$9:$I70,1,0),0)=0,"",VLOOKUP(A71,$A$9:$I70,3,0))</f>
        <v>UCO</v>
      </c>
      <c r="D71" s="29" t="str">
        <f>IF(IFERROR(VLOOKUP(A71,$A$9:$I70,1,0),0)=0,"",VLOOKUP(A71,$A$9:$I70,4,0))</f>
        <v>MARITZA</v>
      </c>
      <c r="E71" s="29" t="str">
        <f>IF(IFERROR(VLOOKUP(A71,$A$9:$I70,1,0),0)=0,"",VLOOKUP(A71,$A$9:$I70,5,0))</f>
        <v>BARRIENTOS</v>
      </c>
      <c r="F71" s="29" t="str">
        <f>IF(IFERROR(VLOOKUP(A71,$A$9:$I70,1,0),0)=0,"",VLOOKUP(A71,$A$9:$I70,6,0))</f>
        <v>CARDENAS</v>
      </c>
      <c r="G71" s="49">
        <f>IF(IFERROR(VLOOKUP(A71,$A$9:$I70,1,0),0)=0,"",VLOOKUP(A71,$A$9:$I70,7,0))</f>
        <v>45624</v>
      </c>
      <c r="H71" s="49">
        <v>45635</v>
      </c>
      <c r="I71" s="29"/>
      <c r="J71" s="29" t="s">
        <v>46</v>
      </c>
      <c r="K71" s="24" t="s">
        <v>47</v>
      </c>
      <c r="L71" s="49">
        <v>45627</v>
      </c>
      <c r="M71" s="49">
        <v>45632</v>
      </c>
      <c r="N71" s="34">
        <f t="shared" si="4"/>
        <v>5</v>
      </c>
      <c r="O71" s="29"/>
      <c r="P71" t="s">
        <v>88</v>
      </c>
      <c r="Q71" t="s">
        <v>88</v>
      </c>
      <c r="R71" t="s">
        <v>88</v>
      </c>
      <c r="S71" t="s">
        <v>88</v>
      </c>
      <c r="T71" t="s">
        <v>88</v>
      </c>
      <c r="U71" t="s">
        <v>20</v>
      </c>
    </row>
    <row r="72" spans="1:21" x14ac:dyDescent="0.45">
      <c r="A72" s="79">
        <v>64415751</v>
      </c>
      <c r="B72" s="29" t="str">
        <f t="shared" si="2"/>
        <v>6.441.575-1</v>
      </c>
      <c r="C72" s="22" t="s">
        <v>30</v>
      </c>
      <c r="D72" s="29" t="s">
        <v>782</v>
      </c>
      <c r="E72" s="29" t="s">
        <v>1172</v>
      </c>
      <c r="F72" s="29" t="s">
        <v>1624</v>
      </c>
      <c r="G72" s="49">
        <v>45616</v>
      </c>
      <c r="H72" s="49">
        <v>45630</v>
      </c>
      <c r="I72" s="29"/>
      <c r="J72" s="29" t="s">
        <v>69</v>
      </c>
      <c r="K72" s="24" t="s">
        <v>43</v>
      </c>
      <c r="L72" s="49">
        <v>45627</v>
      </c>
      <c r="M72" s="49">
        <v>45630</v>
      </c>
      <c r="N72" s="34">
        <f t="shared" si="4"/>
        <v>3</v>
      </c>
      <c r="O72" s="29"/>
      <c r="P72" t="s">
        <v>88</v>
      </c>
      <c r="Q72" t="s">
        <v>88</v>
      </c>
      <c r="R72" t="s">
        <v>88</v>
      </c>
      <c r="S72" t="s">
        <v>88</v>
      </c>
      <c r="T72" t="s">
        <v>88</v>
      </c>
      <c r="U72" t="s">
        <v>20</v>
      </c>
    </row>
    <row r="73" spans="1:21" x14ac:dyDescent="0.45">
      <c r="A73" s="79">
        <v>64415751</v>
      </c>
      <c r="B73" s="29" t="str">
        <f t="shared" si="2"/>
        <v>6.441.575-1</v>
      </c>
      <c r="C73" s="22" t="str">
        <f>IF(IFERROR(VLOOKUP(A73,$A$9:$I72,1,0),0)=0,"",VLOOKUP(A73,$A$9:$I72,3,0))</f>
        <v>UCO</v>
      </c>
      <c r="D73" s="29" t="str">
        <f>IF(IFERROR(VLOOKUP(A73,$A$9:$I72,1,0),0)=0,"",VLOOKUP(A73,$A$9:$I72,4,0))</f>
        <v>TERESA</v>
      </c>
      <c r="E73" s="29" t="str">
        <f>IF(IFERROR(VLOOKUP(A73,$A$9:$I72,1,0),0)=0,"",VLOOKUP(A73,$A$9:$I72,5,0))</f>
        <v>ZAMBRANO</v>
      </c>
      <c r="F73" s="29" t="str">
        <f>IF(IFERROR(VLOOKUP(A73,$A$9:$I72,1,0),0)=0,"",VLOOKUP(A73,$A$9:$I72,6,0))</f>
        <v>BASTÍAS</v>
      </c>
      <c r="G73" s="49">
        <f>IF(IFERROR(VLOOKUP(A73,$A$9:$I72,1,0),0)=0,"",VLOOKUP(A73,$A$9:$I72,7,0))</f>
        <v>45616</v>
      </c>
      <c r="H73" s="49">
        <v>45630</v>
      </c>
      <c r="I73" s="29"/>
      <c r="J73" s="29" t="s">
        <v>69</v>
      </c>
      <c r="K73" s="24" t="s">
        <v>43</v>
      </c>
      <c r="L73" s="49">
        <v>45627</v>
      </c>
      <c r="M73" s="49">
        <v>45630</v>
      </c>
      <c r="N73" s="34">
        <f t="shared" si="4"/>
        <v>3</v>
      </c>
      <c r="O73" s="29"/>
      <c r="P73" t="s">
        <v>88</v>
      </c>
      <c r="Q73" t="s">
        <v>88</v>
      </c>
      <c r="R73" t="s">
        <v>88</v>
      </c>
      <c r="S73" t="s">
        <v>88</v>
      </c>
      <c r="T73" t="s">
        <v>88</v>
      </c>
      <c r="U73" t="s">
        <v>20</v>
      </c>
    </row>
    <row r="74" spans="1:21" x14ac:dyDescent="0.45">
      <c r="A74" s="79">
        <v>73327121</v>
      </c>
      <c r="B74" s="29" t="str">
        <f t="shared" si="2"/>
        <v>7.332.712-1</v>
      </c>
      <c r="C74" s="22" t="s">
        <v>30</v>
      </c>
      <c r="D74" s="29" t="s">
        <v>238</v>
      </c>
      <c r="E74" s="29" t="s">
        <v>266</v>
      </c>
      <c r="F74" s="29" t="s">
        <v>804</v>
      </c>
      <c r="G74" s="49">
        <v>45628</v>
      </c>
      <c r="H74" s="49">
        <v>45632</v>
      </c>
      <c r="I74" s="29"/>
      <c r="J74" s="29" t="s">
        <v>24</v>
      </c>
      <c r="K74" s="24" t="s">
        <v>43</v>
      </c>
      <c r="L74" s="49">
        <v>45628</v>
      </c>
      <c r="M74" s="49">
        <v>45632</v>
      </c>
      <c r="N74" s="34">
        <f t="shared" si="4"/>
        <v>4</v>
      </c>
      <c r="O74" s="29"/>
      <c r="P74" t="s">
        <v>88</v>
      </c>
      <c r="Q74" t="s">
        <v>88</v>
      </c>
      <c r="R74" t="s">
        <v>88</v>
      </c>
      <c r="S74" t="s">
        <v>88</v>
      </c>
      <c r="T74" t="s">
        <v>88</v>
      </c>
      <c r="U74" t="s">
        <v>20</v>
      </c>
    </row>
    <row r="75" spans="1:21" x14ac:dyDescent="0.45">
      <c r="A75" s="79">
        <v>73327121</v>
      </c>
      <c r="B75" s="29" t="str">
        <f t="shared" si="2"/>
        <v>7.332.712-1</v>
      </c>
      <c r="C75" s="22" t="str">
        <f>IF(IFERROR(VLOOKUP(A75,$A$9:$I74,1,0),0)=0,"",VLOOKUP(A75,$A$9:$I74,3,0))</f>
        <v>UCO</v>
      </c>
      <c r="D75" s="29" t="str">
        <f>IF(IFERROR(VLOOKUP(A75,$A$9:$I74,1,0),0)=0,"",VLOOKUP(A75,$A$9:$I74,4,0))</f>
        <v>LUIS</v>
      </c>
      <c r="E75" s="29" t="str">
        <f>IF(IFERROR(VLOOKUP(A75,$A$9:$I74,1,0),0)=0,"",VLOOKUP(A75,$A$9:$I74,5,0))</f>
        <v>SOTO</v>
      </c>
      <c r="F75" s="29" t="str">
        <f>IF(IFERROR(VLOOKUP(A75,$A$9:$I74,1,0),0)=0,"",VLOOKUP(A75,$A$9:$I74,6,0))</f>
        <v>VALDES</v>
      </c>
      <c r="G75" s="49">
        <f>IF(IFERROR(VLOOKUP(A75,$A$9:$I74,1,0),0)=0,"",VLOOKUP(A75,$A$9:$I74,7,0))</f>
        <v>45628</v>
      </c>
      <c r="H75" s="49">
        <v>45632</v>
      </c>
      <c r="I75" s="29"/>
      <c r="J75" s="29" t="s">
        <v>24</v>
      </c>
      <c r="K75" s="24" t="s">
        <v>47</v>
      </c>
      <c r="L75" s="49">
        <v>45628</v>
      </c>
      <c r="M75" s="49">
        <v>45630</v>
      </c>
      <c r="N75" s="34">
        <f t="shared" si="4"/>
        <v>2</v>
      </c>
      <c r="O75" s="29"/>
      <c r="P75" t="s">
        <v>88</v>
      </c>
      <c r="Q75" t="s">
        <v>88</v>
      </c>
      <c r="R75" t="s">
        <v>88</v>
      </c>
      <c r="S75" t="s">
        <v>88</v>
      </c>
      <c r="T75" t="s">
        <v>88</v>
      </c>
      <c r="U75" t="s">
        <v>20</v>
      </c>
    </row>
    <row r="76" spans="1:21" x14ac:dyDescent="0.45">
      <c r="A76" s="79">
        <v>122054136</v>
      </c>
      <c r="B76" s="29" t="str">
        <f t="shared" si="2"/>
        <v>12.205.413-6</v>
      </c>
      <c r="C76" s="22" t="s">
        <v>30</v>
      </c>
      <c r="D76" s="29" t="s">
        <v>508</v>
      </c>
      <c r="E76" s="29" t="s">
        <v>1454</v>
      </c>
      <c r="F76" s="29" t="s">
        <v>1454</v>
      </c>
      <c r="G76" s="49">
        <v>45628</v>
      </c>
      <c r="H76" s="49">
        <v>45631</v>
      </c>
      <c r="I76" s="29"/>
      <c r="J76" s="29" t="s">
        <v>46</v>
      </c>
      <c r="K76" s="24" t="s">
        <v>43</v>
      </c>
      <c r="L76" s="49">
        <v>45628</v>
      </c>
      <c r="M76" s="49">
        <v>45631</v>
      </c>
      <c r="N76" s="34">
        <f t="shared" si="4"/>
        <v>3</v>
      </c>
      <c r="O76" s="29"/>
      <c r="P76" t="s">
        <v>88</v>
      </c>
      <c r="Q76" t="s">
        <v>88</v>
      </c>
      <c r="R76" t="s">
        <v>88</v>
      </c>
      <c r="S76" t="s">
        <v>88</v>
      </c>
      <c r="T76" t="s">
        <v>88</v>
      </c>
      <c r="U76" t="s">
        <v>20</v>
      </c>
    </row>
    <row r="77" spans="1:21" x14ac:dyDescent="0.45">
      <c r="A77" s="79">
        <v>122054136</v>
      </c>
      <c r="B77" s="29" t="str">
        <f t="shared" si="2"/>
        <v>12.205.413-6</v>
      </c>
      <c r="C77" s="22" t="str">
        <f>IF(IFERROR(VLOOKUP(A77,$A$9:$I76,1,0),0)=0,"",VLOOKUP(A77,$A$9:$I76,3,0))</f>
        <v>UCO</v>
      </c>
      <c r="D77" s="29" t="str">
        <f>IF(IFERROR(VLOOKUP(A77,$A$9:$I76,1,0),0)=0,"",VLOOKUP(A77,$A$9:$I76,4,0))</f>
        <v>HUGO</v>
      </c>
      <c r="E77" s="29" t="str">
        <f>IF(IFERROR(VLOOKUP(A77,$A$9:$I76,1,0),0)=0,"",VLOOKUP(A77,$A$9:$I76,5,0))</f>
        <v>SEPÚLVEDA</v>
      </c>
      <c r="F77" s="29" t="str">
        <f>IF(IFERROR(VLOOKUP(A77,$A$9:$I76,1,0),0)=0,"",VLOOKUP(A77,$A$9:$I76,6,0))</f>
        <v>SEPÚLVEDA</v>
      </c>
      <c r="G77" s="49">
        <f>IF(IFERROR(VLOOKUP(A77,$A$9:$I76,1,0),0)=0,"",VLOOKUP(A77,$A$9:$I76,7,0))</f>
        <v>45628</v>
      </c>
      <c r="H77" s="49">
        <v>45631</v>
      </c>
      <c r="I77" s="29"/>
      <c r="J77" s="29" t="s">
        <v>46</v>
      </c>
      <c r="K77" s="24" t="s">
        <v>47</v>
      </c>
      <c r="L77" s="49">
        <v>45628</v>
      </c>
      <c r="M77" s="49">
        <v>45629</v>
      </c>
      <c r="N77" s="34">
        <f t="shared" si="4"/>
        <v>1</v>
      </c>
      <c r="O77" s="29"/>
      <c r="P77" t="s">
        <v>88</v>
      </c>
      <c r="Q77" t="s">
        <v>88</v>
      </c>
      <c r="R77" t="s">
        <v>88</v>
      </c>
      <c r="S77" t="s">
        <v>88</v>
      </c>
      <c r="T77" t="s">
        <v>88</v>
      </c>
      <c r="U77" t="s">
        <v>20</v>
      </c>
    </row>
    <row r="78" spans="1:21" x14ac:dyDescent="0.45">
      <c r="A78" s="79" t="s">
        <v>1630</v>
      </c>
      <c r="B78" s="29" t="str">
        <f t="shared" si="2"/>
        <v>7.852.751-K</v>
      </c>
      <c r="C78" s="22" t="s">
        <v>30</v>
      </c>
      <c r="D78" s="29" t="s">
        <v>380</v>
      </c>
      <c r="E78" s="29" t="s">
        <v>448</v>
      </c>
      <c r="F78" s="29" t="s">
        <v>426</v>
      </c>
      <c r="G78" s="49">
        <v>45625</v>
      </c>
      <c r="H78" s="49">
        <v>45630</v>
      </c>
      <c r="I78" s="29"/>
      <c r="J78" s="29" t="s">
        <v>46</v>
      </c>
      <c r="K78" s="24" t="s">
        <v>43</v>
      </c>
      <c r="L78" s="49">
        <v>45627</v>
      </c>
      <c r="M78" s="49">
        <v>45630</v>
      </c>
      <c r="N78" s="34">
        <f t="shared" si="4"/>
        <v>3</v>
      </c>
      <c r="O78" s="29"/>
      <c r="P78" t="s">
        <v>88</v>
      </c>
      <c r="Q78" t="s">
        <v>88</v>
      </c>
      <c r="R78" t="s">
        <v>88</v>
      </c>
      <c r="S78" t="s">
        <v>88</v>
      </c>
      <c r="T78" t="s">
        <v>88</v>
      </c>
      <c r="U78" t="s">
        <v>20</v>
      </c>
    </row>
    <row r="79" spans="1:21" x14ac:dyDescent="0.45">
      <c r="A79" s="79">
        <v>215332802</v>
      </c>
      <c r="B79" s="29" t="str">
        <f t="shared" si="2"/>
        <v>21.533.280-2</v>
      </c>
      <c r="C79" s="22" t="s">
        <v>22</v>
      </c>
      <c r="D79" s="29" t="s">
        <v>1631</v>
      </c>
      <c r="E79" s="29" t="s">
        <v>501</v>
      </c>
      <c r="F79" s="29" t="s">
        <v>266</v>
      </c>
      <c r="G79" s="49">
        <v>45629</v>
      </c>
      <c r="H79" s="49">
        <v>45632</v>
      </c>
      <c r="I79" s="29"/>
      <c r="J79" s="29" t="s">
        <v>46</v>
      </c>
      <c r="K79" s="24" t="s">
        <v>43</v>
      </c>
      <c r="L79" s="49">
        <v>45630</v>
      </c>
      <c r="M79" s="49">
        <v>45632</v>
      </c>
      <c r="N79" s="34">
        <f t="shared" si="4"/>
        <v>2</v>
      </c>
      <c r="O79" s="29"/>
      <c r="P79" t="s">
        <v>88</v>
      </c>
      <c r="Q79" t="s">
        <v>88</v>
      </c>
      <c r="R79" t="s">
        <v>88</v>
      </c>
      <c r="S79" t="s">
        <v>88</v>
      </c>
      <c r="T79" t="s">
        <v>88</v>
      </c>
      <c r="U79" t="s">
        <v>20</v>
      </c>
    </row>
    <row r="80" spans="1:21" x14ac:dyDescent="0.45">
      <c r="A80" s="79">
        <v>129208880</v>
      </c>
      <c r="B80" s="29" t="str">
        <f t="shared" si="2"/>
        <v>12.920.888-0</v>
      </c>
      <c r="C80" s="22" t="s">
        <v>22</v>
      </c>
      <c r="D80" s="29" t="s">
        <v>798</v>
      </c>
      <c r="E80" s="29" t="s">
        <v>285</v>
      </c>
      <c r="F80" s="29" t="s">
        <v>422</v>
      </c>
      <c r="G80" s="49">
        <v>45629</v>
      </c>
      <c r="H80" s="49">
        <v>45632</v>
      </c>
      <c r="I80" s="29"/>
      <c r="J80" s="29" t="s">
        <v>56</v>
      </c>
      <c r="K80" s="24" t="s">
        <v>43</v>
      </c>
      <c r="L80" s="49">
        <v>45629</v>
      </c>
      <c r="M80" s="49">
        <v>45632</v>
      </c>
      <c r="N80" s="34">
        <f t="shared" si="4"/>
        <v>3</v>
      </c>
      <c r="O80" s="29"/>
      <c r="P80" t="s">
        <v>88</v>
      </c>
      <c r="Q80" t="s">
        <v>88</v>
      </c>
      <c r="R80" t="s">
        <v>88</v>
      </c>
      <c r="S80" t="s">
        <v>88</v>
      </c>
      <c r="T80" t="s">
        <v>88</v>
      </c>
      <c r="U80" t="s">
        <v>20</v>
      </c>
    </row>
    <row r="81" spans="1:21" x14ac:dyDescent="0.45">
      <c r="A81" s="79">
        <v>129208880</v>
      </c>
      <c r="B81" s="29" t="str">
        <f t="shared" si="2"/>
        <v>12.920.888-0</v>
      </c>
      <c r="C81" s="22" t="str">
        <f>IF(IFERROR(VLOOKUP(A81,$A$9:$I80,1,0),0)=0,"",VLOOKUP(A81,$A$9:$I80,3,0))</f>
        <v>UCI</v>
      </c>
      <c r="D81" s="29" t="str">
        <f>IF(IFERROR(VLOOKUP(A81,$A$9:$I80,1,0),0)=0,"",VLOOKUP(A81,$A$9:$I80,4,0))</f>
        <v>CLAUDIO</v>
      </c>
      <c r="E81" s="29" t="str">
        <f>IF(IFERROR(VLOOKUP(A81,$A$9:$I80,1,0),0)=0,"",VLOOKUP(A81,$A$9:$I80,5,0))</f>
        <v>JARA</v>
      </c>
      <c r="F81" s="29" t="str">
        <f>IF(IFERROR(VLOOKUP(A81,$A$9:$I80,1,0),0)=0,"",VLOOKUP(A81,$A$9:$I80,6,0))</f>
        <v>TORRES</v>
      </c>
      <c r="G81" s="49">
        <f>IF(IFERROR(VLOOKUP(A81,$A$9:$I80,1,0),0)=0,"",VLOOKUP(A81,$A$9:$I80,7,0))</f>
        <v>45629</v>
      </c>
      <c r="H81" s="49">
        <v>45632</v>
      </c>
      <c r="I81" s="29"/>
      <c r="J81" s="29" t="s">
        <v>56</v>
      </c>
      <c r="K81" s="24" t="s">
        <v>47</v>
      </c>
      <c r="L81" s="49">
        <v>45629</v>
      </c>
      <c r="M81" s="49">
        <v>45632</v>
      </c>
      <c r="N81" s="34">
        <f t="shared" si="4"/>
        <v>3</v>
      </c>
      <c r="O81" s="29"/>
      <c r="P81" t="s">
        <v>88</v>
      </c>
      <c r="Q81" t="s">
        <v>88</v>
      </c>
      <c r="R81" t="s">
        <v>88</v>
      </c>
      <c r="S81" t="s">
        <v>88</v>
      </c>
      <c r="T81" t="s">
        <v>88</v>
      </c>
      <c r="U81" t="s">
        <v>20</v>
      </c>
    </row>
    <row r="82" spans="1:21" x14ac:dyDescent="0.45">
      <c r="A82" s="79">
        <v>75511973</v>
      </c>
      <c r="B82" s="29" t="str">
        <f t="shared" si="2"/>
        <v>7.551.197-3</v>
      </c>
      <c r="C82" s="22" t="s">
        <v>22</v>
      </c>
      <c r="D82" s="29" t="s">
        <v>1357</v>
      </c>
      <c r="E82" s="29" t="s">
        <v>1486</v>
      </c>
      <c r="F82" s="29" t="s">
        <v>364</v>
      </c>
      <c r="G82" s="49">
        <v>45630</v>
      </c>
      <c r="H82" s="49">
        <v>45635</v>
      </c>
      <c r="I82" s="29"/>
      <c r="J82" s="29" t="s">
        <v>56</v>
      </c>
      <c r="K82" s="24" t="s">
        <v>43</v>
      </c>
      <c r="L82" s="49">
        <v>45630</v>
      </c>
      <c r="M82" s="49">
        <v>45635</v>
      </c>
      <c r="N82" s="34">
        <f t="shared" si="4"/>
        <v>5</v>
      </c>
      <c r="O82" s="29"/>
      <c r="P82" t="s">
        <v>88</v>
      </c>
      <c r="Q82" t="s">
        <v>88</v>
      </c>
      <c r="R82" t="s">
        <v>88</v>
      </c>
      <c r="S82" t="s">
        <v>88</v>
      </c>
      <c r="T82" t="s">
        <v>88</v>
      </c>
      <c r="U82" t="s">
        <v>20</v>
      </c>
    </row>
    <row r="83" spans="1:21" x14ac:dyDescent="0.45">
      <c r="A83" s="79">
        <v>75511973</v>
      </c>
      <c r="B83" s="29" t="str">
        <f t="shared" si="2"/>
        <v>7.551.197-3</v>
      </c>
      <c r="C83" s="22" t="str">
        <f>IF(IFERROR(VLOOKUP(A83,$A$9:$I82,1,0),0)=0,"",VLOOKUP(A83,$A$9:$I82,3,0))</f>
        <v>UCI</v>
      </c>
      <c r="D83" s="29" t="str">
        <f>IF(IFERROR(VLOOKUP(A83,$A$9:$I82,1,0),0)=0,"",VLOOKUP(A83,$A$9:$I82,4,0))</f>
        <v>MARCIA</v>
      </c>
      <c r="E83" s="29" t="str">
        <f>IF(IFERROR(VLOOKUP(A83,$A$9:$I82,1,0),0)=0,"",VLOOKUP(A83,$A$9:$I82,5,0))</f>
        <v>COLLANTE</v>
      </c>
      <c r="F83" s="29" t="str">
        <f>IF(IFERROR(VLOOKUP(A83,$A$9:$I82,1,0),0)=0,"",VLOOKUP(A83,$A$9:$I82,6,0))</f>
        <v>ITURRA</v>
      </c>
      <c r="G83" s="49">
        <f>IF(IFERROR(VLOOKUP(A83,$A$9:$I82,1,0),0)=0,"",VLOOKUP(A83,$A$9:$I82,7,0))</f>
        <v>45630</v>
      </c>
      <c r="H83" s="49">
        <v>45636</v>
      </c>
      <c r="I83" s="29"/>
      <c r="J83" s="29" t="s">
        <v>56</v>
      </c>
      <c r="K83" s="24" t="s">
        <v>47</v>
      </c>
      <c r="L83" s="49">
        <v>45630</v>
      </c>
      <c r="M83" s="49">
        <v>45635</v>
      </c>
      <c r="N83" s="34">
        <f t="shared" si="4"/>
        <v>5</v>
      </c>
      <c r="O83" s="29"/>
      <c r="P83" t="s">
        <v>88</v>
      </c>
      <c r="Q83" t="s">
        <v>88</v>
      </c>
      <c r="R83" t="s">
        <v>88</v>
      </c>
      <c r="S83" t="s">
        <v>88</v>
      </c>
      <c r="T83" t="s">
        <v>88</v>
      </c>
      <c r="U83" t="s">
        <v>20</v>
      </c>
    </row>
    <row r="84" spans="1:21" x14ac:dyDescent="0.45">
      <c r="A84" s="79">
        <v>85295209</v>
      </c>
      <c r="B84" s="29" t="str">
        <f t="shared" ref="B84:B147" si="5">IF(LEN(A84)=8,MID(A84,1,1)&amp;"."&amp;MID(A84,2,3)&amp;"."&amp;MID(A84,5,3)&amp;"-"&amp;RIGHT(A84,1),IF(LEFT(RIGHT(A84,2),1)="-",MID(A84,1,1)&amp;"."&amp;MID(A84,2,3)&amp;"."&amp;MID(A84,5,3)&amp;"-"&amp;RIGHT(A84,1),MID(A84,1,2)&amp;"."&amp;MID(A84,3,3)&amp;"."&amp;MID(A84,6,3)&amp;"-"&amp;MID(A84,9,1)))</f>
        <v>8.529.520-9</v>
      </c>
      <c r="C84" s="22" t="s">
        <v>22</v>
      </c>
      <c r="D84" s="29" t="s">
        <v>250</v>
      </c>
      <c r="E84" s="29" t="s">
        <v>559</v>
      </c>
      <c r="F84" s="29" t="s">
        <v>1632</v>
      </c>
      <c r="G84" s="49">
        <v>45603</v>
      </c>
      <c r="H84" s="49">
        <v>45637</v>
      </c>
      <c r="I84" s="29"/>
      <c r="J84" s="29" t="s">
        <v>1615</v>
      </c>
      <c r="K84" s="24" t="s">
        <v>43</v>
      </c>
      <c r="L84" s="49">
        <v>45633</v>
      </c>
      <c r="M84" s="49">
        <v>45636</v>
      </c>
      <c r="N84" s="34">
        <f t="shared" si="4"/>
        <v>3</v>
      </c>
      <c r="O84" s="29"/>
      <c r="P84" t="s">
        <v>88</v>
      </c>
      <c r="Q84" t="s">
        <v>88</v>
      </c>
      <c r="R84" t="s">
        <v>88</v>
      </c>
      <c r="S84" t="s">
        <v>88</v>
      </c>
      <c r="T84" t="s">
        <v>88</v>
      </c>
      <c r="U84" t="s">
        <v>20</v>
      </c>
    </row>
    <row r="85" spans="1:21" x14ac:dyDescent="0.45">
      <c r="A85" s="79" t="s">
        <v>1633</v>
      </c>
      <c r="B85" s="29" t="str">
        <f t="shared" si="5"/>
        <v>7.210.113-8</v>
      </c>
      <c r="C85" s="22" t="s">
        <v>22</v>
      </c>
      <c r="D85" s="29" t="s">
        <v>485</v>
      </c>
      <c r="E85" s="29" t="s">
        <v>1078</v>
      </c>
      <c r="F85" s="29" t="s">
        <v>1634</v>
      </c>
      <c r="G85" s="49">
        <v>45632</v>
      </c>
      <c r="H85" s="49">
        <v>45636</v>
      </c>
      <c r="I85" s="29"/>
      <c r="J85" s="29" t="s">
        <v>26</v>
      </c>
      <c r="K85" s="24" t="s">
        <v>43</v>
      </c>
      <c r="L85" s="49">
        <v>45632</v>
      </c>
      <c r="M85" s="49">
        <v>45636</v>
      </c>
      <c r="N85" s="34">
        <f t="shared" si="4"/>
        <v>4</v>
      </c>
      <c r="O85" s="29"/>
      <c r="P85" t="s">
        <v>88</v>
      </c>
      <c r="Q85" t="s">
        <v>88</v>
      </c>
      <c r="R85" t="s">
        <v>88</v>
      </c>
      <c r="S85" t="s">
        <v>88</v>
      </c>
      <c r="T85" t="s">
        <v>88</v>
      </c>
      <c r="U85" t="s">
        <v>20</v>
      </c>
    </row>
    <row r="86" spans="1:21" x14ac:dyDescent="0.45">
      <c r="A86" s="79" t="s">
        <v>1633</v>
      </c>
      <c r="B86" s="29" t="str">
        <f t="shared" si="5"/>
        <v>7.210.113-8</v>
      </c>
      <c r="C86" s="22" t="str">
        <f>IF(IFERROR(VLOOKUP(A86,$A$9:$I85,1,0),0)=0,"",VLOOKUP(A86,$A$9:$I85,3,0))</f>
        <v>UCI</v>
      </c>
      <c r="D86" s="29" t="str">
        <f>IF(IFERROR(VLOOKUP(A86,$A$9:$I85,1,0),0)=0,"",VLOOKUP(A86,$A$9:$I85,4,0))</f>
        <v>PEDRO</v>
      </c>
      <c r="E86" s="29" t="str">
        <f>IF(IFERROR(VLOOKUP(A86,$A$9:$I85,1,0),0)=0,"",VLOOKUP(A86,$A$9:$I85,5,0))</f>
        <v>IRRIBARRA</v>
      </c>
      <c r="F86" s="29" t="str">
        <f>IF(IFERROR(VLOOKUP(A86,$A$9:$I85,1,0),0)=0,"",VLOOKUP(A86,$A$9:$I85,6,0))</f>
        <v>MÉNDEZ</v>
      </c>
      <c r="G86" s="49">
        <f>IF(IFERROR(VLOOKUP(A86,$A$9:$I85,1,0),0)=0,"",VLOOKUP(A86,$A$9:$I85,7,0))</f>
        <v>45632</v>
      </c>
      <c r="H86" s="49">
        <v>45636</v>
      </c>
      <c r="I86" s="29"/>
      <c r="J86" s="29" t="s">
        <v>26</v>
      </c>
      <c r="K86" s="24" t="s">
        <v>47</v>
      </c>
      <c r="L86" s="49">
        <v>45632</v>
      </c>
      <c r="M86" s="49">
        <v>45636</v>
      </c>
      <c r="N86" s="34">
        <f t="shared" si="4"/>
        <v>4</v>
      </c>
      <c r="O86" s="29"/>
      <c r="P86" t="s">
        <v>88</v>
      </c>
      <c r="Q86" t="s">
        <v>88</v>
      </c>
      <c r="R86" t="s">
        <v>88</v>
      </c>
      <c r="S86" t="s">
        <v>88</v>
      </c>
      <c r="T86" t="s">
        <v>88</v>
      </c>
      <c r="U86" t="s">
        <v>20</v>
      </c>
    </row>
    <row r="87" spans="1:21" x14ac:dyDescent="0.45">
      <c r="A87" s="79">
        <v>210069763</v>
      </c>
      <c r="B87" s="29" t="str">
        <f t="shared" si="5"/>
        <v>21.006.976-3</v>
      </c>
      <c r="C87" s="22" t="s">
        <v>22</v>
      </c>
      <c r="D87" s="29" t="s">
        <v>524</v>
      </c>
      <c r="E87" s="29" t="s">
        <v>442</v>
      </c>
      <c r="F87" s="29" t="s">
        <v>1378</v>
      </c>
      <c r="G87" s="49">
        <v>45635</v>
      </c>
      <c r="H87" s="49">
        <v>45639</v>
      </c>
      <c r="I87" s="29" t="s">
        <v>22</v>
      </c>
      <c r="J87" s="29" t="s">
        <v>13</v>
      </c>
      <c r="K87" s="24" t="s">
        <v>18</v>
      </c>
      <c r="L87" s="49">
        <v>45635</v>
      </c>
      <c r="M87" s="49">
        <v>45639</v>
      </c>
      <c r="N87" s="34">
        <f t="shared" si="4"/>
        <v>4</v>
      </c>
      <c r="O87" s="29"/>
      <c r="P87" t="s">
        <v>88</v>
      </c>
      <c r="Q87" t="s">
        <v>88</v>
      </c>
      <c r="R87" t="s">
        <v>88</v>
      </c>
      <c r="S87" t="s">
        <v>88</v>
      </c>
      <c r="T87" t="s">
        <v>88</v>
      </c>
      <c r="U87" t="s">
        <v>20</v>
      </c>
    </row>
    <row r="88" spans="1:21" x14ac:dyDescent="0.45">
      <c r="A88" s="79">
        <v>27291864</v>
      </c>
      <c r="B88" s="29" t="str">
        <f t="shared" si="5"/>
        <v>2.729.186-4</v>
      </c>
      <c r="C88" s="22" t="s">
        <v>22</v>
      </c>
      <c r="D88" s="29" t="s">
        <v>250</v>
      </c>
      <c r="E88" s="29" t="s">
        <v>285</v>
      </c>
      <c r="F88" s="29" t="s">
        <v>281</v>
      </c>
      <c r="G88" s="49">
        <v>45634</v>
      </c>
      <c r="H88" s="49">
        <v>45638</v>
      </c>
      <c r="I88" s="29"/>
      <c r="J88" s="29" t="s">
        <v>56</v>
      </c>
      <c r="K88" s="24" t="s">
        <v>43</v>
      </c>
      <c r="L88" s="49">
        <v>45634</v>
      </c>
      <c r="M88" s="49">
        <v>45638</v>
      </c>
      <c r="N88" s="34">
        <f t="shared" si="4"/>
        <v>4</v>
      </c>
      <c r="O88" s="29"/>
      <c r="P88" t="s">
        <v>88</v>
      </c>
      <c r="Q88" t="s">
        <v>88</v>
      </c>
      <c r="R88" t="s">
        <v>88</v>
      </c>
      <c r="S88" t="s">
        <v>88</v>
      </c>
      <c r="T88" t="s">
        <v>88</v>
      </c>
      <c r="U88" t="s">
        <v>20</v>
      </c>
    </row>
    <row r="89" spans="1:21" x14ac:dyDescent="0.45">
      <c r="A89" s="79">
        <v>27291864</v>
      </c>
      <c r="B89" s="29" t="str">
        <f t="shared" si="5"/>
        <v>2.729.186-4</v>
      </c>
      <c r="C89" s="22" t="str">
        <f>IF(IFERROR(VLOOKUP(A89,$A$9:$I88,1,0),0)=0,"",VLOOKUP(A89,$A$9:$I88,3,0))</f>
        <v>UCI</v>
      </c>
      <c r="D89" s="29" t="str">
        <f>IF(IFERROR(VLOOKUP(A89,$A$9:$I88,1,0),0)=0,"",VLOOKUP(A89,$A$9:$I88,4,0))</f>
        <v>JOSE</v>
      </c>
      <c r="E89" s="29" t="str">
        <f>IF(IFERROR(VLOOKUP(A89,$A$9:$I88,1,0),0)=0,"",VLOOKUP(A89,$A$9:$I88,5,0))</f>
        <v>JARA</v>
      </c>
      <c r="F89" s="29" t="str">
        <f>IF(IFERROR(VLOOKUP(A89,$A$9:$I88,1,0),0)=0,"",VLOOKUP(A89,$A$9:$I88,6,0))</f>
        <v>FIGUEROA</v>
      </c>
      <c r="G89" s="49">
        <f>IF(IFERROR(VLOOKUP(A89,$A$9:$I88,1,0),0)=0,"",VLOOKUP(A89,$A$9:$I88,7,0))</f>
        <v>45634</v>
      </c>
      <c r="H89" s="49">
        <v>45638</v>
      </c>
      <c r="I89" s="29"/>
      <c r="J89" s="29" t="s">
        <v>56</v>
      </c>
      <c r="K89" s="24" t="s">
        <v>47</v>
      </c>
      <c r="L89" s="49">
        <v>45634</v>
      </c>
      <c r="M89" s="49">
        <v>45638</v>
      </c>
      <c r="N89" s="34">
        <f t="shared" si="4"/>
        <v>4</v>
      </c>
      <c r="O89" s="29"/>
      <c r="P89" t="s">
        <v>88</v>
      </c>
      <c r="Q89" t="s">
        <v>88</v>
      </c>
      <c r="R89" t="s">
        <v>88</v>
      </c>
      <c r="S89" t="s">
        <v>88</v>
      </c>
      <c r="T89" t="s">
        <v>88</v>
      </c>
      <c r="U89" t="s">
        <v>20</v>
      </c>
    </row>
    <row r="90" spans="1:21" x14ac:dyDescent="0.45">
      <c r="A90" s="79">
        <v>55091129</v>
      </c>
      <c r="B90" s="29" t="str">
        <f t="shared" si="5"/>
        <v>5.509.112-9</v>
      </c>
      <c r="C90" s="22" t="s">
        <v>22</v>
      </c>
      <c r="D90" s="29" t="s">
        <v>481</v>
      </c>
      <c r="E90" s="29" t="s">
        <v>1635</v>
      </c>
      <c r="F90" s="29" t="s">
        <v>1272</v>
      </c>
      <c r="G90" s="49">
        <v>45635</v>
      </c>
      <c r="H90" s="49">
        <v>45643</v>
      </c>
      <c r="I90" s="29" t="s">
        <v>22</v>
      </c>
      <c r="J90" s="29" t="s">
        <v>56</v>
      </c>
      <c r="K90" s="24" t="s">
        <v>43</v>
      </c>
      <c r="L90" s="49">
        <v>45635</v>
      </c>
      <c r="M90" s="49">
        <v>45643</v>
      </c>
      <c r="N90" s="34">
        <f t="shared" si="4"/>
        <v>8</v>
      </c>
      <c r="O90" s="29"/>
      <c r="P90" t="s">
        <v>88</v>
      </c>
      <c r="Q90" t="s">
        <v>88</v>
      </c>
      <c r="R90" t="s">
        <v>88</v>
      </c>
      <c r="S90" t="s">
        <v>88</v>
      </c>
      <c r="T90" t="s">
        <v>88</v>
      </c>
      <c r="U90" t="s">
        <v>20</v>
      </c>
    </row>
    <row r="91" spans="1:21" x14ac:dyDescent="0.45">
      <c r="A91" s="79">
        <v>55091129</v>
      </c>
      <c r="B91" s="29" t="str">
        <f t="shared" si="5"/>
        <v>5.509.112-9</v>
      </c>
      <c r="C91" s="22" t="str">
        <f>IF(IFERROR(VLOOKUP(A91,$A$9:$I90,1,0),0)=0,"",VLOOKUP(A91,$A$9:$I90,3,0))</f>
        <v>UCI</v>
      </c>
      <c r="D91" s="29" t="str">
        <f>IF(IFERROR(VLOOKUP(A91,$A$9:$I90,1,0),0)=0,"",VLOOKUP(A91,$A$9:$I90,4,0))</f>
        <v>JUAN</v>
      </c>
      <c r="E91" s="29" t="str">
        <f>IF(IFERROR(VLOOKUP(A91,$A$9:$I90,1,0),0)=0,"",VLOOKUP(A91,$A$9:$I90,5,0))</f>
        <v>BONILLA</v>
      </c>
      <c r="F91" s="29" t="str">
        <f>IF(IFERROR(VLOOKUP(A91,$A$9:$I90,1,0),0)=0,"",VLOOKUP(A91,$A$9:$I90,6,0))</f>
        <v>ALFARO</v>
      </c>
      <c r="G91" s="49">
        <f>IF(IFERROR(VLOOKUP(A91,$A$9:$I90,1,0),0)=0,"",VLOOKUP(A91,$A$9:$I90,7,0))</f>
        <v>45635</v>
      </c>
      <c r="H91" s="49">
        <v>45643</v>
      </c>
      <c r="I91" s="29" t="s">
        <v>22</v>
      </c>
      <c r="J91" s="29" t="s">
        <v>56</v>
      </c>
      <c r="K91" s="24" t="s">
        <v>47</v>
      </c>
      <c r="L91" s="49">
        <v>45635</v>
      </c>
      <c r="M91" s="49">
        <v>45643</v>
      </c>
      <c r="N91" s="34">
        <f t="shared" si="4"/>
        <v>8</v>
      </c>
      <c r="O91" s="29"/>
      <c r="P91" t="s">
        <v>88</v>
      </c>
      <c r="Q91" t="s">
        <v>88</v>
      </c>
      <c r="R91" t="s">
        <v>88</v>
      </c>
      <c r="S91" t="s">
        <v>88</v>
      </c>
      <c r="T91" t="s">
        <v>88</v>
      </c>
      <c r="U91" t="s">
        <v>20</v>
      </c>
    </row>
    <row r="92" spans="1:21" x14ac:dyDescent="0.45">
      <c r="A92" s="79">
        <v>57683201</v>
      </c>
      <c r="B92" s="29" t="str">
        <f t="shared" si="5"/>
        <v>5.768.320-1</v>
      </c>
      <c r="C92" s="22" t="s">
        <v>22</v>
      </c>
      <c r="D92" s="29" t="str">
        <f>IF(IFERROR(VLOOKUP(A92,$A$9:$I91,1,0),0)=0,"",VLOOKUP(A92,$A$9:$I91,4,0))</f>
        <v>JORGE</v>
      </c>
      <c r="E92" s="29" t="str">
        <f>IF(IFERROR(VLOOKUP(A92,$A$9:$I91,1,0),0)=0,"",VLOOKUP(A92,$A$9:$I91,5,0))</f>
        <v>MONJE</v>
      </c>
      <c r="F92" s="29" t="str">
        <f>IF(IFERROR(VLOOKUP(A92,$A$9:$I91,1,0),0)=0,"",VLOOKUP(A92,$A$9:$I91,6,0))</f>
        <v>CHAVEZ</v>
      </c>
      <c r="G92" s="49">
        <v>45632</v>
      </c>
      <c r="H92" s="49">
        <v>45637</v>
      </c>
      <c r="I92" s="29"/>
      <c r="J92" s="29" t="s">
        <v>56</v>
      </c>
      <c r="K92" s="24" t="s">
        <v>43</v>
      </c>
      <c r="L92" s="49">
        <v>45632</v>
      </c>
      <c r="M92" s="49">
        <v>45637</v>
      </c>
      <c r="N92" s="34">
        <f t="shared" si="4"/>
        <v>5</v>
      </c>
      <c r="O92" s="29"/>
      <c r="P92" t="s">
        <v>88</v>
      </c>
      <c r="Q92" t="s">
        <v>88</v>
      </c>
      <c r="R92" t="s">
        <v>88</v>
      </c>
      <c r="S92" t="s">
        <v>88</v>
      </c>
      <c r="T92" t="s">
        <v>88</v>
      </c>
      <c r="U92" t="s">
        <v>20</v>
      </c>
    </row>
    <row r="93" spans="1:21" x14ac:dyDescent="0.45">
      <c r="A93" s="79">
        <v>57683201</v>
      </c>
      <c r="B93" s="29" t="str">
        <f t="shared" si="5"/>
        <v>5.768.320-1</v>
      </c>
      <c r="C93" s="22" t="s">
        <v>22</v>
      </c>
      <c r="D93" s="29" t="str">
        <f>IF(IFERROR(VLOOKUP(A93,$A$9:$I92,1,0),0)=0,"",VLOOKUP(A93,$A$9:$I92,4,0))</f>
        <v>JORGE</v>
      </c>
      <c r="E93" s="29" t="str">
        <f>IF(IFERROR(VLOOKUP(A93,$A$9:$I92,1,0),0)=0,"",VLOOKUP(A93,$A$9:$I92,5,0))</f>
        <v>MONJE</v>
      </c>
      <c r="F93" s="29" t="str">
        <f>IF(IFERROR(VLOOKUP(A93,$A$9:$I92,1,0),0)=0,"",VLOOKUP(A93,$A$9:$I92,6,0))</f>
        <v>CHAVEZ</v>
      </c>
      <c r="G93" s="49">
        <v>45632</v>
      </c>
      <c r="H93" s="49">
        <v>45637</v>
      </c>
      <c r="I93" s="29"/>
      <c r="J93" s="29" t="s">
        <v>56</v>
      </c>
      <c r="K93" s="24" t="s">
        <v>23</v>
      </c>
      <c r="L93" s="49">
        <v>45632</v>
      </c>
      <c r="M93" s="49">
        <v>45637</v>
      </c>
      <c r="N93" s="34">
        <f t="shared" si="4"/>
        <v>5</v>
      </c>
      <c r="O93" s="29"/>
      <c r="P93" t="s">
        <v>88</v>
      </c>
      <c r="Q93" t="s">
        <v>88</v>
      </c>
      <c r="R93" t="s">
        <v>88</v>
      </c>
      <c r="S93" t="s">
        <v>88</v>
      </c>
      <c r="T93" t="s">
        <v>88</v>
      </c>
      <c r="U93" t="s">
        <v>20</v>
      </c>
    </row>
    <row r="94" spans="1:21" x14ac:dyDescent="0.45">
      <c r="A94" s="79">
        <v>106320012</v>
      </c>
      <c r="B94" s="29" t="str">
        <f t="shared" si="5"/>
        <v>10.632.001-2</v>
      </c>
      <c r="C94" s="22" t="s">
        <v>22</v>
      </c>
      <c r="D94" s="29" t="s">
        <v>1558</v>
      </c>
      <c r="E94" s="29" t="s">
        <v>488</v>
      </c>
      <c r="F94" s="29" t="s">
        <v>364</v>
      </c>
      <c r="G94" s="49">
        <v>45633</v>
      </c>
      <c r="H94" s="49">
        <v>45640</v>
      </c>
      <c r="I94" s="29"/>
      <c r="J94" s="29" t="s">
        <v>56</v>
      </c>
      <c r="K94" s="24" t="s">
        <v>43</v>
      </c>
      <c r="L94" s="49">
        <v>45633</v>
      </c>
      <c r="M94" s="49">
        <v>45640</v>
      </c>
      <c r="N94" s="34">
        <f t="shared" si="4"/>
        <v>7</v>
      </c>
      <c r="O94" s="29"/>
      <c r="P94" t="s">
        <v>88</v>
      </c>
      <c r="Q94" t="s">
        <v>88</v>
      </c>
      <c r="R94" t="s">
        <v>88</v>
      </c>
      <c r="S94" t="s">
        <v>88</v>
      </c>
      <c r="T94" t="s">
        <v>88</v>
      </c>
      <c r="U94" t="s">
        <v>20</v>
      </c>
    </row>
    <row r="95" spans="1:21" x14ac:dyDescent="0.45">
      <c r="A95" s="79">
        <v>67281950</v>
      </c>
      <c r="B95" s="29" t="str">
        <f t="shared" si="5"/>
        <v>6.728.195-0</v>
      </c>
      <c r="C95" s="22" t="s">
        <v>46</v>
      </c>
      <c r="D95" s="29" t="s">
        <v>1444</v>
      </c>
      <c r="E95" s="29" t="s">
        <v>300</v>
      </c>
      <c r="F95" s="29" t="s">
        <v>751</v>
      </c>
      <c r="G95" s="49">
        <v>45633</v>
      </c>
      <c r="H95" s="49">
        <v>45657</v>
      </c>
      <c r="I95" s="29"/>
      <c r="J95" s="29" t="s">
        <v>13</v>
      </c>
      <c r="K95" s="24" t="s">
        <v>47</v>
      </c>
      <c r="L95" s="49">
        <v>45633</v>
      </c>
      <c r="M95" s="49">
        <v>45657</v>
      </c>
      <c r="N95" s="34">
        <f t="shared" si="4"/>
        <v>24</v>
      </c>
      <c r="O95" s="29"/>
      <c r="P95" t="s">
        <v>88</v>
      </c>
      <c r="Q95" t="s">
        <v>88</v>
      </c>
      <c r="R95" t="s">
        <v>88</v>
      </c>
      <c r="S95" t="s">
        <v>88</v>
      </c>
      <c r="T95" t="s">
        <v>88</v>
      </c>
      <c r="U95" t="s">
        <v>20</v>
      </c>
    </row>
    <row r="96" spans="1:21" x14ac:dyDescent="0.45">
      <c r="A96" s="79">
        <v>81454442</v>
      </c>
      <c r="B96" s="29" t="str">
        <f t="shared" si="5"/>
        <v>8.145.444-2</v>
      </c>
      <c r="C96" s="22" t="s">
        <v>46</v>
      </c>
      <c r="D96" s="29" t="s">
        <v>504</v>
      </c>
      <c r="E96" s="29" t="s">
        <v>363</v>
      </c>
      <c r="F96" s="29" t="s">
        <v>1548</v>
      </c>
      <c r="G96" s="49">
        <v>45629</v>
      </c>
      <c r="H96" s="49">
        <v>45657</v>
      </c>
      <c r="I96" s="29"/>
      <c r="J96" s="29" t="s">
        <v>1615</v>
      </c>
      <c r="K96" s="24" t="s">
        <v>47</v>
      </c>
      <c r="L96" s="49">
        <v>45629</v>
      </c>
      <c r="M96" s="49">
        <v>45657</v>
      </c>
      <c r="N96" s="34">
        <f t="shared" si="4"/>
        <v>28</v>
      </c>
      <c r="O96" s="29"/>
      <c r="P96" t="s">
        <v>88</v>
      </c>
      <c r="Q96" t="s">
        <v>88</v>
      </c>
      <c r="R96" t="s">
        <v>88</v>
      </c>
      <c r="S96" t="s">
        <v>88</v>
      </c>
      <c r="T96" t="s">
        <v>88</v>
      </c>
      <c r="U96" t="s">
        <v>20</v>
      </c>
    </row>
    <row r="97" spans="1:21" x14ac:dyDescent="0.45">
      <c r="A97" s="79">
        <v>28819706</v>
      </c>
      <c r="B97" s="29" t="str">
        <f t="shared" si="5"/>
        <v>2.881.970-6</v>
      </c>
      <c r="C97" s="22" t="s">
        <v>46</v>
      </c>
      <c r="D97" s="29" t="s">
        <v>1089</v>
      </c>
      <c r="E97" s="29" t="s">
        <v>439</v>
      </c>
      <c r="F97" s="29" t="s">
        <v>249</v>
      </c>
      <c r="G97" s="49">
        <v>45633</v>
      </c>
      <c r="H97" s="49">
        <v>45646</v>
      </c>
      <c r="I97" s="29"/>
      <c r="J97" s="29" t="s">
        <v>66</v>
      </c>
      <c r="K97" s="24" t="s">
        <v>47</v>
      </c>
      <c r="L97" s="49">
        <v>45633</v>
      </c>
      <c r="M97" s="49">
        <v>45646</v>
      </c>
      <c r="N97" s="34">
        <f t="shared" si="4"/>
        <v>13</v>
      </c>
      <c r="O97" s="29"/>
      <c r="P97" t="s">
        <v>88</v>
      </c>
      <c r="Q97" t="s">
        <v>88</v>
      </c>
      <c r="R97" t="s">
        <v>88</v>
      </c>
      <c r="S97" t="s">
        <v>88</v>
      </c>
      <c r="T97" t="s">
        <v>88</v>
      </c>
      <c r="U97" t="s">
        <v>20</v>
      </c>
    </row>
    <row r="98" spans="1:21" x14ac:dyDescent="0.45">
      <c r="A98" s="79">
        <v>51766504</v>
      </c>
      <c r="B98" s="29" t="str">
        <f t="shared" si="5"/>
        <v>5.176.650-4</v>
      </c>
      <c r="C98" s="22" t="s">
        <v>46</v>
      </c>
      <c r="D98" s="29" t="s">
        <v>238</v>
      </c>
      <c r="E98" s="29" t="s">
        <v>873</v>
      </c>
      <c r="F98" s="29" t="s">
        <v>488</v>
      </c>
      <c r="G98" s="49">
        <v>45628</v>
      </c>
      <c r="H98" s="49">
        <v>45634</v>
      </c>
      <c r="I98" s="29"/>
      <c r="J98" s="29" t="s">
        <v>1615</v>
      </c>
      <c r="K98" s="24" t="s">
        <v>47</v>
      </c>
      <c r="L98" s="49">
        <v>45628</v>
      </c>
      <c r="M98" s="49">
        <v>45634</v>
      </c>
      <c r="N98" s="34">
        <f t="shared" si="4"/>
        <v>6</v>
      </c>
      <c r="O98" s="29"/>
      <c r="P98" t="s">
        <v>88</v>
      </c>
      <c r="Q98" t="s">
        <v>88</v>
      </c>
      <c r="R98" t="s">
        <v>88</v>
      </c>
      <c r="S98" t="s">
        <v>88</v>
      </c>
      <c r="T98" t="s">
        <v>88</v>
      </c>
      <c r="U98" t="s">
        <v>20</v>
      </c>
    </row>
    <row r="99" spans="1:21" x14ac:dyDescent="0.45">
      <c r="A99" s="79">
        <v>64070266</v>
      </c>
      <c r="B99" s="29" t="str">
        <f t="shared" si="5"/>
        <v>6.407.026-6</v>
      </c>
      <c r="C99" s="22" t="s">
        <v>46</v>
      </c>
      <c r="D99" s="29" t="s">
        <v>481</v>
      </c>
      <c r="E99" s="29" t="s">
        <v>1636</v>
      </c>
      <c r="F99" s="29" t="s">
        <v>391</v>
      </c>
      <c r="G99" s="49">
        <v>45630</v>
      </c>
      <c r="H99" s="49">
        <v>45631</v>
      </c>
      <c r="I99" s="29"/>
      <c r="J99" s="29" t="s">
        <v>13</v>
      </c>
      <c r="K99" s="24" t="s">
        <v>47</v>
      </c>
      <c r="L99" s="49">
        <v>45630</v>
      </c>
      <c r="M99" s="49">
        <v>45631</v>
      </c>
      <c r="N99" s="34">
        <f t="shared" si="4"/>
        <v>1</v>
      </c>
      <c r="O99" s="29"/>
      <c r="P99" t="s">
        <v>88</v>
      </c>
      <c r="Q99" t="s">
        <v>88</v>
      </c>
      <c r="R99" t="s">
        <v>88</v>
      </c>
      <c r="S99" t="s">
        <v>88</v>
      </c>
      <c r="T99" t="s">
        <v>88</v>
      </c>
      <c r="U99" t="s">
        <v>20</v>
      </c>
    </row>
    <row r="100" spans="1:21" x14ac:dyDescent="0.45">
      <c r="A100" s="79">
        <v>102266218</v>
      </c>
      <c r="B100" s="29" t="str">
        <f t="shared" si="5"/>
        <v>10.226.621-8</v>
      </c>
      <c r="C100" s="22" t="s">
        <v>46</v>
      </c>
      <c r="D100" s="29" t="s">
        <v>1610</v>
      </c>
      <c r="E100" s="29" t="s">
        <v>1496</v>
      </c>
      <c r="F100" s="29" t="s">
        <v>310</v>
      </c>
      <c r="G100" s="49">
        <v>45627</v>
      </c>
      <c r="H100" s="49">
        <v>45631</v>
      </c>
      <c r="I100" s="29"/>
      <c r="J100" s="29" t="s">
        <v>13</v>
      </c>
      <c r="K100" s="24" t="s">
        <v>47</v>
      </c>
      <c r="L100" s="49">
        <v>45627</v>
      </c>
      <c r="M100" s="49">
        <v>45631</v>
      </c>
      <c r="N100" s="34">
        <f t="shared" si="4"/>
        <v>4</v>
      </c>
      <c r="O100" s="29"/>
      <c r="P100" t="s">
        <v>88</v>
      </c>
      <c r="Q100" t="s">
        <v>88</v>
      </c>
      <c r="R100" t="s">
        <v>88</v>
      </c>
      <c r="S100" t="s">
        <v>88</v>
      </c>
      <c r="T100" t="s">
        <v>88</v>
      </c>
      <c r="U100" t="s">
        <v>20</v>
      </c>
    </row>
    <row r="101" spans="1:21" x14ac:dyDescent="0.45">
      <c r="A101" s="79">
        <v>59183621</v>
      </c>
      <c r="B101" s="29" t="str">
        <f t="shared" si="5"/>
        <v>5.918.362-1</v>
      </c>
      <c r="C101" s="22" t="s">
        <v>46</v>
      </c>
      <c r="D101" s="29" t="s">
        <v>538</v>
      </c>
      <c r="E101" s="29" t="s">
        <v>442</v>
      </c>
      <c r="F101" s="29" t="s">
        <v>1527</v>
      </c>
      <c r="G101" s="49">
        <v>45610</v>
      </c>
      <c r="H101" s="49">
        <v>45633</v>
      </c>
      <c r="I101" s="29"/>
      <c r="J101" s="29" t="s">
        <v>24</v>
      </c>
      <c r="K101" s="24" t="s">
        <v>47</v>
      </c>
      <c r="L101" s="49">
        <v>45627</v>
      </c>
      <c r="M101" s="49">
        <v>45633</v>
      </c>
      <c r="N101" s="34">
        <f t="shared" si="4"/>
        <v>6</v>
      </c>
      <c r="O101" s="29"/>
      <c r="P101" t="s">
        <v>88</v>
      </c>
      <c r="Q101" t="s">
        <v>88</v>
      </c>
      <c r="R101" t="s">
        <v>88</v>
      </c>
      <c r="S101" t="s">
        <v>88</v>
      </c>
      <c r="T101" t="s">
        <v>88</v>
      </c>
      <c r="U101" t="s">
        <v>20</v>
      </c>
    </row>
    <row r="102" spans="1:21" x14ac:dyDescent="0.45">
      <c r="A102" s="79" t="s">
        <v>1637</v>
      </c>
      <c r="B102" s="29" t="str">
        <f t="shared" si="5"/>
        <v>5.652.164-k</v>
      </c>
      <c r="C102" s="22" t="s">
        <v>38</v>
      </c>
      <c r="D102" s="29" t="s">
        <v>445</v>
      </c>
      <c r="E102" s="29" t="s">
        <v>364</v>
      </c>
      <c r="F102" s="29" t="s">
        <v>488</v>
      </c>
      <c r="G102" s="49">
        <v>45635</v>
      </c>
      <c r="H102" s="49">
        <v>45638</v>
      </c>
      <c r="I102" s="29"/>
      <c r="J102" s="29" t="s">
        <v>24</v>
      </c>
      <c r="K102" s="24" t="s">
        <v>47</v>
      </c>
      <c r="L102" s="49">
        <v>45635</v>
      </c>
      <c r="M102" s="49">
        <v>45638</v>
      </c>
      <c r="N102" s="34">
        <f t="shared" si="4"/>
        <v>3</v>
      </c>
      <c r="O102" s="29"/>
      <c r="P102" t="s">
        <v>88</v>
      </c>
      <c r="Q102" t="s">
        <v>88</v>
      </c>
      <c r="R102" t="s">
        <v>88</v>
      </c>
      <c r="S102" t="s">
        <v>88</v>
      </c>
      <c r="T102" t="s">
        <v>88</v>
      </c>
      <c r="U102" t="s">
        <v>20</v>
      </c>
    </row>
    <row r="103" spans="1:21" x14ac:dyDescent="0.45">
      <c r="A103" s="79">
        <v>57603798</v>
      </c>
      <c r="B103" s="29" t="str">
        <f t="shared" si="5"/>
        <v>5.760.379-8</v>
      </c>
      <c r="C103" s="22" t="s">
        <v>38</v>
      </c>
      <c r="D103" s="29" t="s">
        <v>1638</v>
      </c>
      <c r="E103" s="29" t="s">
        <v>341</v>
      </c>
      <c r="F103" s="29" t="s">
        <v>536</v>
      </c>
      <c r="G103" s="49">
        <v>45636</v>
      </c>
      <c r="H103" s="49">
        <v>45638</v>
      </c>
      <c r="I103" s="29"/>
      <c r="J103" s="29" t="s">
        <v>1615</v>
      </c>
      <c r="K103" s="24" t="s">
        <v>47</v>
      </c>
      <c r="L103" s="49">
        <v>45636</v>
      </c>
      <c r="M103" s="49">
        <v>45638</v>
      </c>
      <c r="N103" s="34">
        <f t="shared" si="4"/>
        <v>2</v>
      </c>
      <c r="O103" s="29"/>
      <c r="P103" t="s">
        <v>88</v>
      </c>
      <c r="Q103" t="s">
        <v>88</v>
      </c>
      <c r="R103" t="s">
        <v>88</v>
      </c>
      <c r="S103" t="s">
        <v>88</v>
      </c>
      <c r="T103" t="s">
        <v>88</v>
      </c>
      <c r="U103" t="s">
        <v>20</v>
      </c>
    </row>
    <row r="104" spans="1:21" x14ac:dyDescent="0.45">
      <c r="A104" s="79">
        <v>72380282</v>
      </c>
      <c r="B104" s="29" t="str">
        <f t="shared" si="5"/>
        <v>7.238.028-2</v>
      </c>
      <c r="C104" s="22" t="s">
        <v>38</v>
      </c>
      <c r="D104" s="29" t="s">
        <v>1639</v>
      </c>
      <c r="E104" s="29" t="s">
        <v>657</v>
      </c>
      <c r="F104" s="29" t="s">
        <v>924</v>
      </c>
      <c r="G104" s="49">
        <v>45594</v>
      </c>
      <c r="H104" s="49">
        <v>45637</v>
      </c>
      <c r="I104" s="29" t="s">
        <v>24</v>
      </c>
      <c r="J104" s="29" t="s">
        <v>24</v>
      </c>
      <c r="K104" s="24" t="s">
        <v>43</v>
      </c>
      <c r="L104" s="49">
        <v>45627</v>
      </c>
      <c r="M104" s="49">
        <v>45637</v>
      </c>
      <c r="N104" s="34">
        <f t="shared" si="4"/>
        <v>10</v>
      </c>
      <c r="O104" s="29"/>
      <c r="P104" t="s">
        <v>88</v>
      </c>
      <c r="Q104" t="s">
        <v>88</v>
      </c>
      <c r="R104" t="s">
        <v>88</v>
      </c>
      <c r="S104" t="s">
        <v>88</v>
      </c>
      <c r="T104" t="s">
        <v>88</v>
      </c>
      <c r="U104" t="s">
        <v>20</v>
      </c>
    </row>
    <row r="105" spans="1:21" x14ac:dyDescent="0.45">
      <c r="A105" s="79">
        <v>72380282</v>
      </c>
      <c r="B105" s="29" t="str">
        <f t="shared" si="5"/>
        <v>7.238.028-2</v>
      </c>
      <c r="C105" s="22" t="str">
        <f>IF(IFERROR(VLOOKUP(A105,$A$9:$I104,1,0),0)=0,"",VLOOKUP(A105,$A$9:$I104,3,0))</f>
        <v xml:space="preserve">Sala de cuidados intermedios </v>
      </c>
      <c r="D105" s="29" t="str">
        <f>IF(IFERROR(VLOOKUP(A105,$A$9:$I104,1,0),0)=0,"",VLOOKUP(A105,$A$9:$I104,4,0))</f>
        <v>MIGUELINA</v>
      </c>
      <c r="E105" s="29" t="str">
        <f>IF(IFERROR(VLOOKUP(A105,$A$9:$I104,1,0),0)=0,"",VLOOKUP(A105,$A$9:$I104,5,0))</f>
        <v>VIDAL</v>
      </c>
      <c r="F105" s="29" t="str">
        <f>IF(IFERROR(VLOOKUP(A105,$A$9:$I104,1,0),0)=0,"",VLOOKUP(A105,$A$9:$I104,6,0))</f>
        <v>MORAGA</v>
      </c>
      <c r="G105" s="49">
        <f>IF(IFERROR(VLOOKUP(A105,$A$9:$I104,1,0),0)=0,"",VLOOKUP(A105,$A$9:$I104,7,0))</f>
        <v>45594</v>
      </c>
      <c r="H105" s="49">
        <v>45637</v>
      </c>
      <c r="I105" s="29" t="s">
        <v>24</v>
      </c>
      <c r="J105" s="29" t="s">
        <v>24</v>
      </c>
      <c r="K105" s="24" t="s">
        <v>47</v>
      </c>
      <c r="L105" s="49">
        <v>45627</v>
      </c>
      <c r="M105" s="49">
        <v>45636</v>
      </c>
      <c r="N105" s="34">
        <f t="shared" si="4"/>
        <v>9</v>
      </c>
      <c r="O105" s="29"/>
      <c r="P105" t="s">
        <v>88</v>
      </c>
      <c r="Q105" t="s">
        <v>88</v>
      </c>
      <c r="R105" t="s">
        <v>88</v>
      </c>
      <c r="S105" t="s">
        <v>88</v>
      </c>
      <c r="T105" t="s">
        <v>88</v>
      </c>
      <c r="U105" t="s">
        <v>20</v>
      </c>
    </row>
    <row r="106" spans="1:21" x14ac:dyDescent="0.45">
      <c r="A106" s="79">
        <v>56097805</v>
      </c>
      <c r="B106" s="29" t="str">
        <f t="shared" si="5"/>
        <v>5.609.780-5</v>
      </c>
      <c r="C106" s="22" t="s">
        <v>30</v>
      </c>
      <c r="D106" s="29" t="s">
        <v>1544</v>
      </c>
      <c r="E106" s="29" t="s">
        <v>1382</v>
      </c>
      <c r="F106" s="29" t="s">
        <v>1033</v>
      </c>
      <c r="G106" s="49">
        <v>45631</v>
      </c>
      <c r="H106" s="49">
        <v>45639</v>
      </c>
      <c r="I106" s="29"/>
      <c r="J106" s="29" t="s">
        <v>1615</v>
      </c>
      <c r="K106" s="24" t="s">
        <v>43</v>
      </c>
      <c r="L106" s="49">
        <v>45631</v>
      </c>
      <c r="M106" s="49">
        <v>45639</v>
      </c>
      <c r="N106" s="34">
        <f t="shared" si="4"/>
        <v>8</v>
      </c>
      <c r="O106" s="29"/>
      <c r="P106" t="s">
        <v>88</v>
      </c>
      <c r="Q106" t="s">
        <v>88</v>
      </c>
      <c r="R106" t="s">
        <v>88</v>
      </c>
      <c r="S106" t="s">
        <v>88</v>
      </c>
      <c r="T106" t="s">
        <v>88</v>
      </c>
      <c r="U106" t="s">
        <v>20</v>
      </c>
    </row>
    <row r="107" spans="1:21" x14ac:dyDescent="0.45">
      <c r="A107" s="79">
        <v>56097805</v>
      </c>
      <c r="B107" s="29" t="str">
        <f t="shared" si="5"/>
        <v>5.609.780-5</v>
      </c>
      <c r="C107" s="22" t="str">
        <f>IF(IFERROR(VLOOKUP(A107,$A$9:$I106,1,0),0)=0,"",VLOOKUP(A107,$A$9:$I106,3,0))</f>
        <v>UCO</v>
      </c>
      <c r="D107" s="29" t="str">
        <f>IF(IFERROR(VLOOKUP(A107,$A$9:$I106,1,0),0)=0,"",VLOOKUP(A107,$A$9:$I106,4,0))</f>
        <v>GUSTAVO</v>
      </c>
      <c r="E107" s="29" t="str">
        <f>IF(IFERROR(VLOOKUP(A107,$A$9:$I106,1,0),0)=0,"",VLOOKUP(A107,$A$9:$I106,5,0))</f>
        <v>VARGAS</v>
      </c>
      <c r="F107" s="29" t="str">
        <f>IF(IFERROR(VLOOKUP(A107,$A$9:$I106,1,0),0)=0,"",VLOOKUP(A107,$A$9:$I106,6,0))</f>
        <v>OJEDA</v>
      </c>
      <c r="G107" s="49">
        <f>IF(IFERROR(VLOOKUP(A107,$A$9:$I106,1,0),0)=0,"",VLOOKUP(A107,$A$9:$I106,7,0))</f>
        <v>45631</v>
      </c>
      <c r="H107" s="49">
        <v>45639</v>
      </c>
      <c r="I107" s="29"/>
      <c r="J107" s="29" t="s">
        <v>1615</v>
      </c>
      <c r="K107" s="24" t="s">
        <v>47</v>
      </c>
      <c r="L107" s="49">
        <v>45631</v>
      </c>
      <c r="M107" s="49">
        <v>45639</v>
      </c>
      <c r="N107" s="34">
        <f t="shared" si="4"/>
        <v>8</v>
      </c>
      <c r="O107" s="29"/>
      <c r="P107" t="s">
        <v>88</v>
      </c>
      <c r="Q107" t="s">
        <v>88</v>
      </c>
      <c r="R107" t="s">
        <v>88</v>
      </c>
      <c r="S107" t="s">
        <v>88</v>
      </c>
      <c r="T107" t="s">
        <v>88</v>
      </c>
      <c r="U107" t="s">
        <v>20</v>
      </c>
    </row>
    <row r="108" spans="1:21" x14ac:dyDescent="0.45">
      <c r="A108" s="79">
        <v>105340982</v>
      </c>
      <c r="B108" s="29" t="str">
        <f t="shared" si="5"/>
        <v>10.534.098-2</v>
      </c>
      <c r="C108" s="22" t="s">
        <v>30</v>
      </c>
      <c r="D108" s="29" t="s">
        <v>287</v>
      </c>
      <c r="E108" s="29" t="s">
        <v>393</v>
      </c>
      <c r="F108" s="29" t="s">
        <v>461</v>
      </c>
      <c r="G108" s="49">
        <v>45635</v>
      </c>
      <c r="H108" s="49">
        <v>45645</v>
      </c>
      <c r="I108" s="29"/>
      <c r="J108" s="29" t="s">
        <v>24</v>
      </c>
      <c r="K108" s="24" t="s">
        <v>43</v>
      </c>
      <c r="L108" s="49">
        <v>45635</v>
      </c>
      <c r="M108" s="49">
        <v>45645</v>
      </c>
      <c r="N108" s="34">
        <f t="shared" si="4"/>
        <v>10</v>
      </c>
      <c r="O108" s="29"/>
      <c r="P108" t="s">
        <v>88</v>
      </c>
      <c r="Q108" t="s">
        <v>88</v>
      </c>
      <c r="R108" t="s">
        <v>88</v>
      </c>
      <c r="S108" t="s">
        <v>88</v>
      </c>
      <c r="T108" t="s">
        <v>88</v>
      </c>
      <c r="U108" t="s">
        <v>20</v>
      </c>
    </row>
    <row r="109" spans="1:21" x14ac:dyDescent="0.45">
      <c r="A109" s="79">
        <v>105340982</v>
      </c>
      <c r="B109" s="29" t="str">
        <f t="shared" si="5"/>
        <v>10.534.098-2</v>
      </c>
      <c r="C109" s="22" t="str">
        <f>IF(IFERROR(VLOOKUP(A109,$A$9:$I108,1,0),0)=0,"",VLOOKUP(A109,$A$9:$I108,3,0))</f>
        <v>UCO</v>
      </c>
      <c r="D109" s="29" t="str">
        <f>IF(IFERROR(VLOOKUP(A109,$A$9:$I108,1,0),0)=0,"",VLOOKUP(A109,$A$9:$I108,4,0))</f>
        <v>RAMON</v>
      </c>
      <c r="E109" s="29" t="str">
        <f>IF(IFERROR(VLOOKUP(A109,$A$9:$I108,1,0),0)=0,"",VLOOKUP(A109,$A$9:$I108,5,0))</f>
        <v>FERNANDEZ</v>
      </c>
      <c r="F109" s="29" t="str">
        <f>IF(IFERROR(VLOOKUP(A109,$A$9:$I108,1,0),0)=0,"",VLOOKUP(A109,$A$9:$I108,6,0))</f>
        <v>MEDINA</v>
      </c>
      <c r="G109" s="49">
        <f>IF(IFERROR(VLOOKUP(A109,$A$9:$I108,1,0),0)=0,"",VLOOKUP(A109,$A$9:$I108,7,0))</f>
        <v>45635</v>
      </c>
      <c r="H109" s="49">
        <v>45645</v>
      </c>
      <c r="I109" s="29"/>
      <c r="J109" s="29" t="s">
        <v>24</v>
      </c>
      <c r="K109" s="24" t="s">
        <v>47</v>
      </c>
      <c r="L109" s="49">
        <v>45635</v>
      </c>
      <c r="M109" s="49">
        <v>45640</v>
      </c>
      <c r="N109" s="34">
        <f t="shared" si="4"/>
        <v>5</v>
      </c>
      <c r="O109" s="29"/>
      <c r="P109" t="s">
        <v>88</v>
      </c>
      <c r="Q109" t="s">
        <v>88</v>
      </c>
      <c r="R109" t="s">
        <v>88</v>
      </c>
      <c r="S109" t="s">
        <v>88</v>
      </c>
      <c r="T109" t="s">
        <v>88</v>
      </c>
      <c r="U109" t="s">
        <v>20</v>
      </c>
    </row>
    <row r="110" spans="1:21" x14ac:dyDescent="0.45">
      <c r="A110" s="79">
        <v>105340982</v>
      </c>
      <c r="B110" s="29" t="str">
        <f t="shared" si="5"/>
        <v>10.534.098-2</v>
      </c>
      <c r="C110" s="22" t="str">
        <f>IF(IFERROR(VLOOKUP(A110,$A$9:$I109,1,0),0)=0,"",VLOOKUP(A110,$A$9:$I109,3,0))</f>
        <v>UCO</v>
      </c>
      <c r="D110" s="29" t="str">
        <f>IF(IFERROR(VLOOKUP(A110,$A$9:$I109,1,0),0)=0,"",VLOOKUP(A110,$A$9:$I109,4,0))</f>
        <v>RAMON</v>
      </c>
      <c r="E110" s="29" t="str">
        <f>IF(IFERROR(VLOOKUP(A110,$A$9:$I109,1,0),0)=0,"",VLOOKUP(A110,$A$9:$I109,5,0))</f>
        <v>FERNANDEZ</v>
      </c>
      <c r="F110" s="29" t="str">
        <f>IF(IFERROR(VLOOKUP(A110,$A$9:$I109,1,0),0)=0,"",VLOOKUP(A110,$A$9:$I109,6,0))</f>
        <v>MEDINA</v>
      </c>
      <c r="G110" s="49">
        <f>IF(IFERROR(VLOOKUP(A110,$A$9:$I109,1,0),0)=0,"",VLOOKUP(A110,$A$9:$I109,7,0))</f>
        <v>45635</v>
      </c>
      <c r="H110" s="49">
        <v>45645</v>
      </c>
      <c r="I110" s="29"/>
      <c r="J110" s="29" t="s">
        <v>24</v>
      </c>
      <c r="K110" s="24" t="s">
        <v>55</v>
      </c>
      <c r="L110" s="49">
        <v>45635</v>
      </c>
      <c r="M110" s="49">
        <v>45636</v>
      </c>
      <c r="N110" s="34">
        <f t="shared" si="4"/>
        <v>1</v>
      </c>
      <c r="O110" s="29"/>
      <c r="P110" t="s">
        <v>88</v>
      </c>
      <c r="Q110" t="s">
        <v>88</v>
      </c>
      <c r="R110" t="s">
        <v>88</v>
      </c>
      <c r="S110" t="s">
        <v>88</v>
      </c>
      <c r="T110" t="s">
        <v>88</v>
      </c>
      <c r="U110" t="s">
        <v>20</v>
      </c>
    </row>
    <row r="111" spans="1:21" x14ac:dyDescent="0.45">
      <c r="A111" s="79">
        <v>41728167</v>
      </c>
      <c r="B111" s="29" t="str">
        <f t="shared" si="5"/>
        <v>4.172.816-7</v>
      </c>
      <c r="C111" s="22" t="s">
        <v>30</v>
      </c>
      <c r="D111" s="29" t="s">
        <v>1640</v>
      </c>
      <c r="E111" s="29" t="s">
        <v>1044</v>
      </c>
      <c r="F111" s="29" t="s">
        <v>1044</v>
      </c>
      <c r="G111" s="49">
        <v>45632</v>
      </c>
      <c r="H111" s="49">
        <v>45637</v>
      </c>
      <c r="I111" s="29"/>
      <c r="J111" s="29" t="s">
        <v>1615</v>
      </c>
      <c r="K111" s="24" t="s">
        <v>43</v>
      </c>
      <c r="L111" s="49">
        <v>45632</v>
      </c>
      <c r="M111" s="49">
        <v>45637</v>
      </c>
      <c r="N111" s="34">
        <f t="shared" si="4"/>
        <v>5</v>
      </c>
      <c r="O111" s="29"/>
      <c r="P111" t="s">
        <v>88</v>
      </c>
      <c r="Q111" t="s">
        <v>88</v>
      </c>
      <c r="R111" t="s">
        <v>88</v>
      </c>
      <c r="S111" t="s">
        <v>88</v>
      </c>
      <c r="T111" t="s">
        <v>88</v>
      </c>
      <c r="U111" t="s">
        <v>20</v>
      </c>
    </row>
    <row r="112" spans="1:21" x14ac:dyDescent="0.45">
      <c r="A112" s="79">
        <v>41728167</v>
      </c>
      <c r="B112" s="29" t="str">
        <f t="shared" si="5"/>
        <v>4.172.816-7</v>
      </c>
      <c r="C112" s="22" t="str">
        <f>IF(IFERROR(VLOOKUP(A112,$A$9:$I111,1,0),0)=0,"",VLOOKUP(A112,$A$9:$I111,3,0))</f>
        <v>UCO</v>
      </c>
      <c r="D112" s="29" t="str">
        <f>IF(IFERROR(VLOOKUP(A112,$A$9:$I111,1,0),0)=0,"",VLOOKUP(A112,$A$9:$I111,4,0))</f>
        <v>BLANCA</v>
      </c>
      <c r="E112" s="29" t="str">
        <f>IF(IFERROR(VLOOKUP(A112,$A$9:$I111,1,0),0)=0,"",VLOOKUP(A112,$A$9:$I111,5,0))</f>
        <v>MALDONADO</v>
      </c>
      <c r="F112" s="29" t="str">
        <f>IF(IFERROR(VLOOKUP(A112,$A$9:$I111,1,0),0)=0,"",VLOOKUP(A112,$A$9:$I111,6,0))</f>
        <v>MALDONADO</v>
      </c>
      <c r="G112" s="49">
        <f>IF(IFERROR(VLOOKUP(A112,$A$9:$I111,1,0),0)=0,"",VLOOKUP(A112,$A$9:$I111,7,0))</f>
        <v>45632</v>
      </c>
      <c r="H112" s="49">
        <v>45637</v>
      </c>
      <c r="I112" s="29"/>
      <c r="J112" s="29" t="s">
        <v>1615</v>
      </c>
      <c r="K112" s="24" t="s">
        <v>47</v>
      </c>
      <c r="L112" s="49">
        <v>45632</v>
      </c>
      <c r="M112" s="49">
        <v>45637</v>
      </c>
      <c r="N112" s="34">
        <f t="shared" si="4"/>
        <v>5</v>
      </c>
      <c r="O112" s="29"/>
      <c r="P112" t="s">
        <v>88</v>
      </c>
      <c r="Q112" t="s">
        <v>88</v>
      </c>
      <c r="R112" t="s">
        <v>88</v>
      </c>
      <c r="S112" t="s">
        <v>88</v>
      </c>
      <c r="T112" t="s">
        <v>88</v>
      </c>
      <c r="U112" t="s">
        <v>20</v>
      </c>
    </row>
    <row r="113" spans="1:21" x14ac:dyDescent="0.45">
      <c r="A113" s="79">
        <v>286171591</v>
      </c>
      <c r="B113" s="29" t="str">
        <f t="shared" si="5"/>
        <v>28.617.159-1</v>
      </c>
      <c r="C113" s="22" t="s">
        <v>16</v>
      </c>
      <c r="D113" s="29" t="s">
        <v>1641</v>
      </c>
      <c r="E113" s="29" t="s">
        <v>379</v>
      </c>
      <c r="F113" s="29" t="s">
        <v>1642</v>
      </c>
      <c r="G113" s="49">
        <v>45627</v>
      </c>
      <c r="H113" s="29"/>
      <c r="I113" s="29"/>
      <c r="J113" s="29" t="s">
        <v>1615</v>
      </c>
      <c r="K113" s="24" t="s">
        <v>18</v>
      </c>
      <c r="L113" s="49">
        <v>45631</v>
      </c>
      <c r="M113" s="49">
        <v>45642</v>
      </c>
      <c r="N113" s="34">
        <f t="shared" si="4"/>
        <v>11</v>
      </c>
      <c r="O113" s="29"/>
      <c r="P113" t="s">
        <v>88</v>
      </c>
      <c r="Q113" t="s">
        <v>88</v>
      </c>
      <c r="R113" t="s">
        <v>88</v>
      </c>
      <c r="S113" t="s">
        <v>88</v>
      </c>
      <c r="T113" t="s">
        <v>88</v>
      </c>
      <c r="U113" t="s">
        <v>20</v>
      </c>
    </row>
    <row r="114" spans="1:21" x14ac:dyDescent="0.45">
      <c r="A114" s="79">
        <v>286264808</v>
      </c>
      <c r="B114" s="29" t="str">
        <f t="shared" si="5"/>
        <v>28.626.480-8</v>
      </c>
      <c r="C114" s="22" t="s">
        <v>16</v>
      </c>
      <c r="D114" s="29" t="s">
        <v>1643</v>
      </c>
      <c r="E114" s="29" t="s">
        <v>768</v>
      </c>
      <c r="F114" s="29" t="s">
        <v>403</v>
      </c>
      <c r="G114" s="49">
        <v>45634</v>
      </c>
      <c r="H114" s="29"/>
      <c r="I114" s="29"/>
      <c r="J114" s="29" t="s">
        <v>1615</v>
      </c>
      <c r="K114" s="24" t="s">
        <v>55</v>
      </c>
      <c r="L114" s="49">
        <v>45634</v>
      </c>
      <c r="M114" s="49">
        <v>45657</v>
      </c>
      <c r="N114" s="34">
        <f t="shared" si="4"/>
        <v>23</v>
      </c>
      <c r="O114" s="29"/>
      <c r="P114" t="s">
        <v>88</v>
      </c>
      <c r="Q114" t="s">
        <v>88</v>
      </c>
      <c r="R114" t="s">
        <v>88</v>
      </c>
      <c r="S114" t="s">
        <v>88</v>
      </c>
      <c r="T114" t="s">
        <v>88</v>
      </c>
      <c r="U114" t="s">
        <v>20</v>
      </c>
    </row>
    <row r="115" spans="1:21" x14ac:dyDescent="0.45">
      <c r="A115" s="79">
        <v>286264808</v>
      </c>
      <c r="B115" s="29" t="str">
        <f t="shared" si="5"/>
        <v>28.626.480-8</v>
      </c>
      <c r="C115" s="22" t="str">
        <f>IF(IFERROR(VLOOKUP(A115,$A$9:$I114,1,0),0)=0,"",VLOOKUP(A115,$A$9:$I114,3,0))</f>
        <v>UCI neonatal</v>
      </c>
      <c r="D115" s="29" t="str">
        <f>IF(IFERROR(VLOOKUP(A115,$A$9:$I114,1,0),0)=0,"",VLOOKUP(A115,$A$9:$I114,4,0))</f>
        <v>ALICE</v>
      </c>
      <c r="E115" s="29" t="str">
        <f>IF(IFERROR(VLOOKUP(A115,$A$9:$I114,1,0),0)=0,"",VLOOKUP(A115,$A$9:$I114,5,0))</f>
        <v>SUAZO</v>
      </c>
      <c r="F115" s="29" t="str">
        <f>IF(IFERROR(VLOOKUP(A115,$A$9:$I114,1,0),0)=0,"",VLOOKUP(A115,$A$9:$I114,6,0))</f>
        <v>GARRIDO</v>
      </c>
      <c r="G115" s="49">
        <f>IF(IFERROR(VLOOKUP(A115,$A$9:$I114,1,0),0)=0,"",VLOOKUP(A115,$A$9:$I114,7,0))</f>
        <v>45634</v>
      </c>
      <c r="H115" s="29"/>
      <c r="I115" s="29"/>
      <c r="J115" s="29" t="s">
        <v>1615</v>
      </c>
      <c r="K115" s="24" t="s">
        <v>39</v>
      </c>
      <c r="L115" s="49">
        <v>45634</v>
      </c>
      <c r="M115" s="49">
        <v>45643</v>
      </c>
      <c r="N115" s="34">
        <f t="shared" si="4"/>
        <v>9</v>
      </c>
      <c r="O115" s="29"/>
      <c r="P115" t="s">
        <v>88</v>
      </c>
      <c r="Q115" t="s">
        <v>88</v>
      </c>
      <c r="R115" t="s">
        <v>88</v>
      </c>
      <c r="S115" t="s">
        <v>88</v>
      </c>
      <c r="T115" t="s">
        <v>88</v>
      </c>
      <c r="U115" t="s">
        <v>20</v>
      </c>
    </row>
    <row r="116" spans="1:21" x14ac:dyDescent="0.45">
      <c r="A116" s="79">
        <v>286264808</v>
      </c>
      <c r="B116" s="29" t="str">
        <f t="shared" si="5"/>
        <v>28.626.480-8</v>
      </c>
      <c r="C116" s="22" t="str">
        <f>IF(IFERROR(VLOOKUP(A116,$A$9:$I115,1,0),0)=0,"",VLOOKUP(A116,$A$9:$I115,3,0))</f>
        <v>UCI neonatal</v>
      </c>
      <c r="D116" s="29" t="str">
        <f>IF(IFERROR(VLOOKUP(A116,$A$9:$I115,1,0),0)=0,"",VLOOKUP(A116,$A$9:$I115,4,0))</f>
        <v>ALICE</v>
      </c>
      <c r="E116" s="29" t="str">
        <f>IF(IFERROR(VLOOKUP(A116,$A$9:$I115,1,0),0)=0,"",VLOOKUP(A116,$A$9:$I115,5,0))</f>
        <v>SUAZO</v>
      </c>
      <c r="F116" s="29" t="str">
        <f>IF(IFERROR(VLOOKUP(A116,$A$9:$I115,1,0),0)=0,"",VLOOKUP(A116,$A$9:$I115,6,0))</f>
        <v>GARRIDO</v>
      </c>
      <c r="G116" s="49">
        <f>IF(IFERROR(VLOOKUP(A116,$A$9:$I115,1,0),0)=0,"",VLOOKUP(A116,$A$9:$I115,7,0))</f>
        <v>45634</v>
      </c>
      <c r="H116" s="29"/>
      <c r="I116" s="29"/>
      <c r="J116" s="29" t="s">
        <v>1615</v>
      </c>
      <c r="K116" s="24" t="s">
        <v>18</v>
      </c>
      <c r="L116" s="49">
        <v>45641</v>
      </c>
      <c r="M116" s="49">
        <v>45646</v>
      </c>
      <c r="N116" s="34">
        <f t="shared" si="4"/>
        <v>5</v>
      </c>
      <c r="O116" s="29"/>
      <c r="P116" t="s">
        <v>88</v>
      </c>
      <c r="Q116" t="s">
        <v>88</v>
      </c>
      <c r="R116" t="s">
        <v>88</v>
      </c>
      <c r="S116" t="s">
        <v>88</v>
      </c>
      <c r="T116" t="s">
        <v>88</v>
      </c>
      <c r="U116" t="s">
        <v>20</v>
      </c>
    </row>
    <row r="117" spans="1:21" x14ac:dyDescent="0.45">
      <c r="A117" s="79">
        <v>286264026</v>
      </c>
      <c r="B117" s="29" t="str">
        <f t="shared" si="5"/>
        <v>28.626.402-6</v>
      </c>
      <c r="C117" s="22" t="s">
        <v>16</v>
      </c>
      <c r="D117" s="29" t="s">
        <v>365</v>
      </c>
      <c r="E117" s="29" t="s">
        <v>583</v>
      </c>
      <c r="F117" s="29" t="s">
        <v>1642</v>
      </c>
      <c r="G117" s="49">
        <v>45635</v>
      </c>
      <c r="H117" s="29"/>
      <c r="I117" s="29"/>
      <c r="J117" s="29" t="s">
        <v>1615</v>
      </c>
      <c r="K117" s="24" t="s">
        <v>39</v>
      </c>
      <c r="L117" s="49">
        <v>45636</v>
      </c>
      <c r="M117" s="49">
        <v>45640</v>
      </c>
      <c r="N117" s="34">
        <f t="shared" si="4"/>
        <v>4</v>
      </c>
      <c r="O117" s="29"/>
      <c r="P117" t="s">
        <v>88</v>
      </c>
      <c r="Q117" t="s">
        <v>88</v>
      </c>
      <c r="R117" t="s">
        <v>88</v>
      </c>
      <c r="S117" t="s">
        <v>88</v>
      </c>
      <c r="T117" t="s">
        <v>88</v>
      </c>
      <c r="U117" t="s">
        <v>20</v>
      </c>
    </row>
    <row r="118" spans="1:21" x14ac:dyDescent="0.45">
      <c r="A118" s="79">
        <v>286264026</v>
      </c>
      <c r="B118" s="29" t="str">
        <f t="shared" si="5"/>
        <v>28.626.402-6</v>
      </c>
      <c r="C118" s="22" t="str">
        <f>IF(IFERROR(VLOOKUP(A118,$A$9:$I117,1,0),0)=0,"",VLOOKUP(A118,$A$9:$I117,3,0))</f>
        <v>UCI neonatal</v>
      </c>
      <c r="D118" s="29" t="str">
        <f>IF(IFERROR(VLOOKUP(A118,$A$9:$I117,1,0),0)=0,"",VLOOKUP(A118,$A$9:$I117,4,0))</f>
        <v>BENJAMIN</v>
      </c>
      <c r="E118" s="29" t="str">
        <f>IF(IFERROR(VLOOKUP(A118,$A$9:$I117,1,0),0)=0,"",VLOOKUP(A118,$A$9:$I117,5,0))</f>
        <v>ALVAREZ</v>
      </c>
      <c r="F118" s="29" t="str">
        <f>IF(IFERROR(VLOOKUP(A118,$A$9:$I117,1,0),0)=0,"",VLOOKUP(A118,$A$9:$I117,6,0))</f>
        <v>ROBLES</v>
      </c>
      <c r="G118" s="49">
        <f>IF(IFERROR(VLOOKUP(A118,$A$9:$I117,1,0),0)=0,"",VLOOKUP(A118,$A$9:$I117,7,0))</f>
        <v>45635</v>
      </c>
      <c r="H118" s="29"/>
      <c r="I118" s="29"/>
      <c r="J118" s="29" t="s">
        <v>1615</v>
      </c>
      <c r="K118" s="24" t="s">
        <v>18</v>
      </c>
      <c r="L118" s="49">
        <v>45640</v>
      </c>
      <c r="M118" s="49">
        <v>45643</v>
      </c>
      <c r="N118" s="34">
        <f t="shared" si="4"/>
        <v>3</v>
      </c>
      <c r="O118" s="29"/>
      <c r="P118" t="s">
        <v>88</v>
      </c>
      <c r="Q118" t="s">
        <v>88</v>
      </c>
      <c r="R118" t="s">
        <v>88</v>
      </c>
      <c r="S118" t="s">
        <v>88</v>
      </c>
      <c r="T118" t="s">
        <v>88</v>
      </c>
      <c r="U118" t="s">
        <v>20</v>
      </c>
    </row>
    <row r="119" spans="1:21" x14ac:dyDescent="0.45">
      <c r="A119" s="79">
        <v>198366986</v>
      </c>
      <c r="B119" s="29" t="str">
        <f t="shared" si="5"/>
        <v>19.836.698-6</v>
      </c>
      <c r="C119" s="22" t="s">
        <v>22</v>
      </c>
      <c r="D119" s="29" t="s">
        <v>1039</v>
      </c>
      <c r="E119" s="29" t="s">
        <v>457</v>
      </c>
      <c r="F119" s="29" t="s">
        <v>1075</v>
      </c>
      <c r="G119" s="49">
        <v>45635</v>
      </c>
      <c r="H119" s="49">
        <v>45639</v>
      </c>
      <c r="I119" s="29"/>
      <c r="J119" s="29" t="s">
        <v>24</v>
      </c>
      <c r="K119" s="24" t="s">
        <v>43</v>
      </c>
      <c r="L119" s="49">
        <v>45635</v>
      </c>
      <c r="M119" s="49">
        <v>45639</v>
      </c>
      <c r="N119" s="34">
        <f t="shared" si="4"/>
        <v>4</v>
      </c>
      <c r="O119" s="29"/>
      <c r="P119" t="s">
        <v>88</v>
      </c>
      <c r="Q119" t="s">
        <v>88</v>
      </c>
      <c r="R119" t="s">
        <v>88</v>
      </c>
      <c r="S119" t="s">
        <v>88</v>
      </c>
      <c r="T119" t="s">
        <v>88</v>
      </c>
      <c r="U119" t="s">
        <v>20</v>
      </c>
    </row>
    <row r="120" spans="1:21" x14ac:dyDescent="0.45">
      <c r="A120" s="79">
        <v>198366986</v>
      </c>
      <c r="B120" s="29" t="str">
        <f t="shared" si="5"/>
        <v>19.836.698-6</v>
      </c>
      <c r="C120" s="22" t="str">
        <f>IF(IFERROR(VLOOKUP(A120,$A$9:$I119,1,0),0)=0,"",VLOOKUP(A120,$A$9:$I119,3,0))</f>
        <v>UCI</v>
      </c>
      <c r="D120" s="29" t="str">
        <f>IF(IFERROR(VLOOKUP(A120,$A$9:$I119,1,0),0)=0,"",VLOOKUP(A120,$A$9:$I119,4,0))</f>
        <v>ANTONIO</v>
      </c>
      <c r="E120" s="29" t="str">
        <f>IF(IFERROR(VLOOKUP(A120,$A$9:$I119,1,0),0)=0,"",VLOOKUP(A120,$A$9:$I119,5,0))</f>
        <v>CANALES</v>
      </c>
      <c r="F120" s="29" t="str">
        <f>IF(IFERROR(VLOOKUP(A120,$A$9:$I119,1,0),0)=0,"",VLOOKUP(A120,$A$9:$I119,6,0))</f>
        <v>MONTERO</v>
      </c>
      <c r="G120" s="49">
        <f>IF(IFERROR(VLOOKUP(A120,$A$9:$I119,1,0),0)=0,"",VLOOKUP(A120,$A$9:$I119,7,0))</f>
        <v>45635</v>
      </c>
      <c r="H120" s="49">
        <v>45639</v>
      </c>
      <c r="I120" s="29"/>
      <c r="J120" s="29" t="s">
        <v>24</v>
      </c>
      <c r="K120" s="24" t="s">
        <v>47</v>
      </c>
      <c r="L120" s="49">
        <v>45635</v>
      </c>
      <c r="M120" s="49">
        <v>45639</v>
      </c>
      <c r="N120" s="34">
        <f t="shared" si="4"/>
        <v>4</v>
      </c>
      <c r="O120" s="29"/>
      <c r="P120" t="s">
        <v>88</v>
      </c>
      <c r="Q120" t="s">
        <v>88</v>
      </c>
      <c r="R120" t="s">
        <v>88</v>
      </c>
      <c r="S120" t="s">
        <v>88</v>
      </c>
      <c r="T120" t="s">
        <v>88</v>
      </c>
      <c r="U120" t="s">
        <v>20</v>
      </c>
    </row>
    <row r="121" spans="1:21" x14ac:dyDescent="0.45">
      <c r="A121" s="79">
        <v>198366986</v>
      </c>
      <c r="B121" s="29" t="str">
        <f t="shared" si="5"/>
        <v>19.836.698-6</v>
      </c>
      <c r="C121" s="22" t="str">
        <f>IF(IFERROR(VLOOKUP(A121,$A$9:$I120,1,0),0)=0,"",VLOOKUP(A121,$A$9:$I120,3,0))</f>
        <v>UCI</v>
      </c>
      <c r="D121" s="29" t="str">
        <f>IF(IFERROR(VLOOKUP(A121,$A$9:$I120,1,0),0)=0,"",VLOOKUP(A121,$A$9:$I120,4,0))</f>
        <v>ANTONIO</v>
      </c>
      <c r="E121" s="29" t="str">
        <f>IF(IFERROR(VLOOKUP(A121,$A$9:$I120,1,0),0)=0,"",VLOOKUP(A121,$A$9:$I120,5,0))</f>
        <v>CANALES</v>
      </c>
      <c r="F121" s="29" t="str">
        <f>IF(IFERROR(VLOOKUP(A121,$A$9:$I120,1,0),0)=0,"",VLOOKUP(A121,$A$9:$I120,6,0))</f>
        <v>MONTERO</v>
      </c>
      <c r="G121" s="49">
        <f>IF(IFERROR(VLOOKUP(A121,$A$9:$I120,1,0),0)=0,"",VLOOKUP(A121,$A$9:$I120,7,0))</f>
        <v>45635</v>
      </c>
      <c r="H121" s="49">
        <v>45639</v>
      </c>
      <c r="I121" s="29"/>
      <c r="J121" s="29" t="s">
        <v>24</v>
      </c>
      <c r="K121" s="24" t="s">
        <v>55</v>
      </c>
      <c r="L121" s="49">
        <v>45635</v>
      </c>
      <c r="M121" s="49">
        <v>45637</v>
      </c>
      <c r="N121" s="34">
        <f t="shared" si="4"/>
        <v>2</v>
      </c>
      <c r="O121" s="29"/>
      <c r="P121" t="s">
        <v>88</v>
      </c>
      <c r="Q121" t="s">
        <v>88</v>
      </c>
      <c r="R121" t="s">
        <v>88</v>
      </c>
      <c r="S121" t="s">
        <v>88</v>
      </c>
      <c r="T121" t="s">
        <v>88</v>
      </c>
      <c r="U121" t="s">
        <v>20</v>
      </c>
    </row>
    <row r="122" spans="1:21" x14ac:dyDescent="0.45">
      <c r="A122" s="79" t="s">
        <v>1644</v>
      </c>
      <c r="B122" s="29" t="str">
        <f t="shared" si="5"/>
        <v>10.347.647-k</v>
      </c>
      <c r="C122" s="22" t="s">
        <v>22</v>
      </c>
      <c r="D122" s="29" t="s">
        <v>802</v>
      </c>
      <c r="E122" s="29" t="s">
        <v>1201</v>
      </c>
      <c r="F122" s="29" t="s">
        <v>799</v>
      </c>
      <c r="G122" s="49">
        <v>45635</v>
      </c>
      <c r="H122" s="49">
        <v>45638</v>
      </c>
      <c r="I122" s="29"/>
      <c r="J122" s="29" t="s">
        <v>83</v>
      </c>
      <c r="K122" s="24" t="s">
        <v>43</v>
      </c>
      <c r="L122" s="49">
        <v>45635</v>
      </c>
      <c r="M122" s="49">
        <v>45638</v>
      </c>
      <c r="N122" s="34">
        <f t="shared" si="4"/>
        <v>3</v>
      </c>
      <c r="O122" s="29"/>
      <c r="P122" t="s">
        <v>88</v>
      </c>
      <c r="Q122" t="s">
        <v>88</v>
      </c>
      <c r="R122" t="s">
        <v>88</v>
      </c>
      <c r="S122" t="s">
        <v>88</v>
      </c>
      <c r="T122" t="s">
        <v>88</v>
      </c>
      <c r="U122" t="s">
        <v>20</v>
      </c>
    </row>
    <row r="123" spans="1:21" x14ac:dyDescent="0.45">
      <c r="A123" s="79" t="s">
        <v>1644</v>
      </c>
      <c r="B123" s="29" t="str">
        <f t="shared" si="5"/>
        <v>10.347.647-k</v>
      </c>
      <c r="C123" s="22" t="str">
        <f>IF(IFERROR(VLOOKUP(A123,$A$9:$I122,1,0),0)=0,"",VLOOKUP(A123,$A$9:$I122,3,0))</f>
        <v>UCI</v>
      </c>
      <c r="D123" s="29" t="str">
        <f>IF(IFERROR(VLOOKUP(A123,$A$9:$I122,1,0),0)=0,"",VLOOKUP(A123,$A$9:$I122,4,0))</f>
        <v>RODRIGO</v>
      </c>
      <c r="E123" s="29" t="str">
        <f>IF(IFERROR(VLOOKUP(A123,$A$9:$I122,1,0),0)=0,"",VLOOKUP(A123,$A$9:$I122,5,0))</f>
        <v>PLACENCIA</v>
      </c>
      <c r="F123" s="29" t="str">
        <f>IF(IFERROR(VLOOKUP(A123,$A$9:$I122,1,0),0)=0,"",VLOOKUP(A123,$A$9:$I122,6,0))</f>
        <v>CRUCES</v>
      </c>
      <c r="G123" s="49">
        <f>IF(IFERROR(VLOOKUP(A123,$A$9:$I122,1,0),0)=0,"",VLOOKUP(A123,$A$9:$I122,7,0))</f>
        <v>45635</v>
      </c>
      <c r="H123" s="49">
        <v>45638</v>
      </c>
      <c r="I123" s="29"/>
      <c r="J123" s="29" t="s">
        <v>83</v>
      </c>
      <c r="K123" s="24" t="s">
        <v>47</v>
      </c>
      <c r="L123" s="49">
        <v>45635</v>
      </c>
      <c r="M123" s="49">
        <v>45638</v>
      </c>
      <c r="N123" s="34">
        <f t="shared" ref="N123:N186" si="6">+M123-L123</f>
        <v>3</v>
      </c>
      <c r="O123" s="29"/>
      <c r="P123" t="s">
        <v>88</v>
      </c>
      <c r="Q123" t="s">
        <v>88</v>
      </c>
      <c r="R123" t="s">
        <v>88</v>
      </c>
      <c r="S123" t="s">
        <v>88</v>
      </c>
      <c r="T123" t="s">
        <v>88</v>
      </c>
      <c r="U123" t="s">
        <v>20</v>
      </c>
    </row>
    <row r="124" spans="1:21" x14ac:dyDescent="0.45">
      <c r="A124" s="79" t="s">
        <v>1644</v>
      </c>
      <c r="B124" s="29" t="str">
        <f t="shared" si="5"/>
        <v>10.347.647-k</v>
      </c>
      <c r="C124" s="22" t="str">
        <f>IF(IFERROR(VLOOKUP(A124,$A$9:$I123,1,0),0)=0,"",VLOOKUP(A124,$A$9:$I123,3,0))</f>
        <v>UCI</v>
      </c>
      <c r="D124" s="29" t="str">
        <f>IF(IFERROR(VLOOKUP(A124,$A$9:$I123,1,0),0)=0,"",VLOOKUP(A124,$A$9:$I123,4,0))</f>
        <v>RODRIGO</v>
      </c>
      <c r="E124" s="29" t="str">
        <f>IF(IFERROR(VLOOKUP(A124,$A$9:$I123,1,0),0)=0,"",VLOOKUP(A124,$A$9:$I123,5,0))</f>
        <v>PLACENCIA</v>
      </c>
      <c r="F124" s="29" t="str">
        <f>IF(IFERROR(VLOOKUP(A124,$A$9:$I123,1,0),0)=0,"",VLOOKUP(A124,$A$9:$I123,6,0))</f>
        <v>CRUCES</v>
      </c>
      <c r="G124" s="49">
        <f>IF(IFERROR(VLOOKUP(A124,$A$9:$I123,1,0),0)=0,"",VLOOKUP(A124,$A$9:$I123,7,0))</f>
        <v>45635</v>
      </c>
      <c r="H124" s="49">
        <v>45638</v>
      </c>
      <c r="I124" s="29"/>
      <c r="J124" s="29" t="s">
        <v>83</v>
      </c>
      <c r="K124" s="24" t="s">
        <v>55</v>
      </c>
      <c r="L124" s="49">
        <v>45635</v>
      </c>
      <c r="M124" s="49">
        <v>45636</v>
      </c>
      <c r="N124" s="34">
        <f t="shared" si="6"/>
        <v>1</v>
      </c>
      <c r="O124" s="29"/>
      <c r="P124" t="s">
        <v>88</v>
      </c>
      <c r="Q124" t="s">
        <v>88</v>
      </c>
      <c r="R124" t="s">
        <v>88</v>
      </c>
      <c r="S124" t="s">
        <v>88</v>
      </c>
      <c r="T124" t="s">
        <v>88</v>
      </c>
      <c r="U124" t="s">
        <v>20</v>
      </c>
    </row>
    <row r="125" spans="1:21" x14ac:dyDescent="0.45">
      <c r="A125" s="79">
        <v>189787758</v>
      </c>
      <c r="B125" s="29" t="str">
        <f t="shared" si="5"/>
        <v>18.978.775-8</v>
      </c>
      <c r="C125" s="22" t="s">
        <v>22</v>
      </c>
      <c r="D125" s="29" t="s">
        <v>254</v>
      </c>
      <c r="E125" s="29" t="s">
        <v>403</v>
      </c>
      <c r="F125" s="29" t="s">
        <v>902</v>
      </c>
      <c r="G125" s="49">
        <v>45634</v>
      </c>
      <c r="H125" s="49">
        <v>45636</v>
      </c>
      <c r="I125" s="29"/>
      <c r="J125" s="29" t="s">
        <v>1615</v>
      </c>
      <c r="K125" s="24" t="s">
        <v>43</v>
      </c>
      <c r="L125" s="49">
        <v>45634</v>
      </c>
      <c r="M125" s="49">
        <v>45636</v>
      </c>
      <c r="N125" s="34">
        <f t="shared" si="6"/>
        <v>2</v>
      </c>
      <c r="O125" s="29"/>
      <c r="P125" t="s">
        <v>88</v>
      </c>
      <c r="Q125" t="s">
        <v>88</v>
      </c>
      <c r="R125" t="s">
        <v>88</v>
      </c>
      <c r="S125" t="s">
        <v>88</v>
      </c>
      <c r="T125" t="s">
        <v>88</v>
      </c>
      <c r="U125" t="s">
        <v>20</v>
      </c>
    </row>
    <row r="126" spans="1:21" x14ac:dyDescent="0.45">
      <c r="A126" s="79">
        <v>113499540</v>
      </c>
      <c r="B126" s="29" t="str">
        <f t="shared" si="5"/>
        <v>11.349.954-0</v>
      </c>
      <c r="C126" s="22" t="s">
        <v>22</v>
      </c>
      <c r="D126" s="29" t="str">
        <f>IF(IFERROR(VLOOKUP(A126,$A$9:$I125,1,0),0)=0,"",VLOOKUP(A126,$A$9:$I125,4,0))</f>
        <v>CRISTIAN</v>
      </c>
      <c r="E126" s="29" t="str">
        <f>IF(IFERROR(VLOOKUP(A126,$A$9:$I125,1,0),0)=0,"",VLOOKUP(A126,$A$9:$I125,5,0))</f>
        <v>SEPULVEDA</v>
      </c>
      <c r="F126" s="29" t="str">
        <f>IF(IFERROR(VLOOKUP(A126,$A$9:$I125,1,0),0)=0,"",VLOOKUP(A126,$A$9:$I125,6,0))</f>
        <v>CAMPOS</v>
      </c>
      <c r="G126" s="49">
        <v>45633</v>
      </c>
      <c r="H126" s="49">
        <v>45640</v>
      </c>
      <c r="I126" s="29"/>
      <c r="J126" s="29" t="s">
        <v>22</v>
      </c>
      <c r="K126" s="24" t="s">
        <v>43</v>
      </c>
      <c r="L126" s="49">
        <v>45633</v>
      </c>
      <c r="M126" s="49">
        <v>45640</v>
      </c>
      <c r="N126" s="34">
        <f t="shared" si="6"/>
        <v>7</v>
      </c>
      <c r="O126" s="29"/>
      <c r="P126" t="s">
        <v>88</v>
      </c>
      <c r="Q126" t="s">
        <v>88</v>
      </c>
      <c r="R126" t="s">
        <v>88</v>
      </c>
      <c r="S126" t="s">
        <v>88</v>
      </c>
      <c r="T126" t="s">
        <v>88</v>
      </c>
      <c r="U126" t="s">
        <v>20</v>
      </c>
    </row>
    <row r="127" spans="1:21" x14ac:dyDescent="0.45">
      <c r="A127" s="79">
        <v>113499540</v>
      </c>
      <c r="B127" s="29" t="str">
        <f t="shared" si="5"/>
        <v>11.349.954-0</v>
      </c>
      <c r="C127" s="22" t="s">
        <v>22</v>
      </c>
      <c r="D127" s="29" t="str">
        <f>IF(IFERROR(VLOOKUP(A127,$A$9:$I126,1,0),0)=0,"",VLOOKUP(A127,$A$9:$I126,4,0))</f>
        <v>CRISTIAN</v>
      </c>
      <c r="E127" s="29" t="str">
        <f>IF(IFERROR(VLOOKUP(A127,$A$9:$I126,1,0),0)=0,"",VLOOKUP(A127,$A$9:$I126,5,0))</f>
        <v>SEPULVEDA</v>
      </c>
      <c r="F127" s="29" t="str">
        <f>IF(IFERROR(VLOOKUP(A127,$A$9:$I126,1,0),0)=0,"",VLOOKUP(A127,$A$9:$I126,6,0))</f>
        <v>CAMPOS</v>
      </c>
      <c r="G127" s="49">
        <v>45633</v>
      </c>
      <c r="H127" s="49">
        <v>45640</v>
      </c>
      <c r="I127" s="29"/>
      <c r="J127" s="29" t="s">
        <v>22</v>
      </c>
      <c r="K127" s="24" t="s">
        <v>47</v>
      </c>
      <c r="L127" s="49">
        <v>45633</v>
      </c>
      <c r="M127" s="49">
        <v>45640</v>
      </c>
      <c r="N127" s="34">
        <f t="shared" si="6"/>
        <v>7</v>
      </c>
      <c r="O127" s="29"/>
      <c r="P127" t="s">
        <v>88</v>
      </c>
      <c r="Q127" t="s">
        <v>88</v>
      </c>
      <c r="R127" t="s">
        <v>88</v>
      </c>
      <c r="S127" t="s">
        <v>88</v>
      </c>
      <c r="T127" t="s">
        <v>88</v>
      </c>
      <c r="U127" t="s">
        <v>20</v>
      </c>
    </row>
    <row r="128" spans="1:21" x14ac:dyDescent="0.45">
      <c r="A128" s="79">
        <v>113499540</v>
      </c>
      <c r="B128" s="29" t="str">
        <f t="shared" si="5"/>
        <v>11.349.954-0</v>
      </c>
      <c r="C128" s="22" t="s">
        <v>22</v>
      </c>
      <c r="D128" s="29" t="str">
        <f>IF(IFERROR(VLOOKUP(A128,$A$9:$I127,1,0),0)=0,"",VLOOKUP(A128,$A$9:$I127,4,0))</f>
        <v>CRISTIAN</v>
      </c>
      <c r="E128" s="29" t="str">
        <f>IF(IFERROR(VLOOKUP(A128,$A$9:$I127,1,0),0)=0,"",VLOOKUP(A128,$A$9:$I127,5,0))</f>
        <v>SEPULVEDA</v>
      </c>
      <c r="F128" s="29" t="str">
        <f>IF(IFERROR(VLOOKUP(A128,$A$9:$I127,1,0),0)=0,"",VLOOKUP(A128,$A$9:$I127,6,0))</f>
        <v>CAMPOS</v>
      </c>
      <c r="G128" s="49">
        <v>45633</v>
      </c>
      <c r="H128" s="49">
        <v>45640</v>
      </c>
      <c r="I128" s="29"/>
      <c r="J128" s="29" t="s">
        <v>22</v>
      </c>
      <c r="K128" s="24" t="s">
        <v>55</v>
      </c>
      <c r="L128" s="49">
        <v>45633</v>
      </c>
      <c r="M128" s="49">
        <v>45638</v>
      </c>
      <c r="N128" s="34">
        <f t="shared" si="6"/>
        <v>5</v>
      </c>
      <c r="O128" s="29"/>
      <c r="P128" t="s">
        <v>88</v>
      </c>
      <c r="Q128" t="s">
        <v>88</v>
      </c>
      <c r="R128" t="s">
        <v>88</v>
      </c>
      <c r="S128" t="s">
        <v>88</v>
      </c>
      <c r="T128" t="s">
        <v>88</v>
      </c>
      <c r="U128" t="s">
        <v>20</v>
      </c>
    </row>
    <row r="129" spans="1:21" x14ac:dyDescent="0.45">
      <c r="A129" s="79">
        <v>42926655</v>
      </c>
      <c r="B129" s="29" t="str">
        <f t="shared" si="5"/>
        <v>4.292.665-5</v>
      </c>
      <c r="C129" s="22" t="s">
        <v>22</v>
      </c>
      <c r="D129" s="29" t="s">
        <v>1063</v>
      </c>
      <c r="E129" s="29" t="s">
        <v>299</v>
      </c>
      <c r="F129" s="29" t="s">
        <v>448</v>
      </c>
      <c r="G129" s="49">
        <v>45635</v>
      </c>
      <c r="H129" s="49">
        <v>45639</v>
      </c>
      <c r="I129" s="29"/>
      <c r="J129" s="29" t="s">
        <v>1615</v>
      </c>
      <c r="K129" s="24" t="s">
        <v>43</v>
      </c>
      <c r="L129" s="49">
        <v>45635</v>
      </c>
      <c r="M129" s="49">
        <v>45639</v>
      </c>
      <c r="N129" s="34">
        <f t="shared" si="6"/>
        <v>4</v>
      </c>
      <c r="O129" s="29"/>
      <c r="P129" t="s">
        <v>88</v>
      </c>
      <c r="Q129" t="s">
        <v>88</v>
      </c>
      <c r="R129" t="s">
        <v>88</v>
      </c>
      <c r="S129" t="s">
        <v>88</v>
      </c>
      <c r="T129" t="s">
        <v>88</v>
      </c>
      <c r="U129" t="s">
        <v>20</v>
      </c>
    </row>
    <row r="130" spans="1:21" x14ac:dyDescent="0.45">
      <c r="A130" s="79">
        <v>42926655</v>
      </c>
      <c r="B130" s="29" t="str">
        <f t="shared" si="5"/>
        <v>4.292.665-5</v>
      </c>
      <c r="C130" s="22" t="str">
        <f>IF(IFERROR(VLOOKUP(A130,$A$9:$I129,1,0),0)=0,"",VLOOKUP(A130,$A$9:$I129,3,0))</f>
        <v>UCI</v>
      </c>
      <c r="D130" s="29" t="str">
        <f>IF(IFERROR(VLOOKUP(A130,$A$9:$I129,1,0),0)=0,"",VLOOKUP(A130,$A$9:$I129,4,0))</f>
        <v>RAFAEL</v>
      </c>
      <c r="E130" s="29" t="str">
        <f>IF(IFERROR(VLOOKUP(A130,$A$9:$I129,1,0),0)=0,"",VLOOKUP(A130,$A$9:$I129,5,0))</f>
        <v>HENRIQUEZ</v>
      </c>
      <c r="F130" s="29" t="str">
        <f>IF(IFERROR(VLOOKUP(A130,$A$9:$I129,1,0),0)=0,"",VLOOKUP(A130,$A$9:$I129,6,0))</f>
        <v>ROMERO</v>
      </c>
      <c r="G130" s="49">
        <f>IF(IFERROR(VLOOKUP(A130,$A$9:$I129,1,0),0)=0,"",VLOOKUP(A130,$A$9:$I129,7,0))</f>
        <v>45635</v>
      </c>
      <c r="H130" s="49">
        <v>45639</v>
      </c>
      <c r="I130" s="29"/>
      <c r="J130" s="29" t="s">
        <v>1615</v>
      </c>
      <c r="K130" s="24" t="s">
        <v>47</v>
      </c>
      <c r="L130" s="49">
        <v>45635</v>
      </c>
      <c r="M130" s="49">
        <v>45639</v>
      </c>
      <c r="N130" s="34">
        <f t="shared" si="6"/>
        <v>4</v>
      </c>
      <c r="O130" s="29"/>
      <c r="P130" t="s">
        <v>88</v>
      </c>
      <c r="Q130" t="s">
        <v>88</v>
      </c>
      <c r="R130" t="s">
        <v>88</v>
      </c>
      <c r="S130" t="s">
        <v>88</v>
      </c>
      <c r="T130" t="s">
        <v>88</v>
      </c>
      <c r="U130" t="s">
        <v>20</v>
      </c>
    </row>
    <row r="131" spans="1:21" x14ac:dyDescent="0.45">
      <c r="A131" s="79">
        <v>42926655</v>
      </c>
      <c r="B131" s="29" t="str">
        <f t="shared" si="5"/>
        <v>4.292.665-5</v>
      </c>
      <c r="C131" s="22" t="str">
        <f>IF(IFERROR(VLOOKUP(A131,$A$9:$I130,1,0),0)=0,"",VLOOKUP(A131,$A$9:$I130,3,0))</f>
        <v>UCI</v>
      </c>
      <c r="D131" s="29" t="str">
        <f>IF(IFERROR(VLOOKUP(A131,$A$9:$I130,1,0),0)=0,"",VLOOKUP(A131,$A$9:$I130,4,0))</f>
        <v>RAFAEL</v>
      </c>
      <c r="E131" s="29" t="str">
        <f>IF(IFERROR(VLOOKUP(A131,$A$9:$I130,1,0),0)=0,"",VLOOKUP(A131,$A$9:$I130,5,0))</f>
        <v>HENRIQUEZ</v>
      </c>
      <c r="F131" s="29" t="str">
        <f>IF(IFERROR(VLOOKUP(A131,$A$9:$I130,1,0),0)=0,"",VLOOKUP(A131,$A$9:$I130,6,0))</f>
        <v>ROMERO</v>
      </c>
      <c r="G131" s="49">
        <f>IF(IFERROR(VLOOKUP(A131,$A$9:$I130,1,0),0)=0,"",VLOOKUP(A131,$A$9:$I130,7,0))</f>
        <v>45635</v>
      </c>
      <c r="H131" s="49">
        <v>45639</v>
      </c>
      <c r="I131" s="29"/>
      <c r="J131" s="29" t="s">
        <v>1615</v>
      </c>
      <c r="K131" s="24" t="s">
        <v>55</v>
      </c>
      <c r="L131" s="49">
        <v>45635</v>
      </c>
      <c r="M131" s="49">
        <v>45637</v>
      </c>
      <c r="N131" s="34">
        <f t="shared" si="6"/>
        <v>2</v>
      </c>
      <c r="O131" s="29"/>
      <c r="P131" t="s">
        <v>88</v>
      </c>
      <c r="Q131" t="s">
        <v>88</v>
      </c>
      <c r="R131" t="s">
        <v>88</v>
      </c>
      <c r="S131" t="s">
        <v>88</v>
      </c>
      <c r="T131" t="s">
        <v>88</v>
      </c>
      <c r="U131" t="s">
        <v>20</v>
      </c>
    </row>
    <row r="132" spans="1:21" x14ac:dyDescent="0.45">
      <c r="A132" s="79" t="s">
        <v>1645</v>
      </c>
      <c r="B132" s="29" t="str">
        <f t="shared" si="5"/>
        <v>7.920.112-k</v>
      </c>
      <c r="C132" s="22" t="s">
        <v>22</v>
      </c>
      <c r="D132" s="29" t="s">
        <v>551</v>
      </c>
      <c r="E132" s="29" t="s">
        <v>477</v>
      </c>
      <c r="F132" s="29" t="s">
        <v>341</v>
      </c>
      <c r="G132" s="49">
        <v>45636</v>
      </c>
      <c r="H132" s="49">
        <v>45644</v>
      </c>
      <c r="I132" s="29"/>
      <c r="J132" s="29" t="s">
        <v>22</v>
      </c>
      <c r="K132" s="24" t="s">
        <v>43</v>
      </c>
      <c r="L132" s="49">
        <v>45636</v>
      </c>
      <c r="M132" s="49">
        <v>45642</v>
      </c>
      <c r="N132" s="34">
        <f t="shared" si="6"/>
        <v>6</v>
      </c>
      <c r="O132" s="29"/>
      <c r="P132" t="s">
        <v>88</v>
      </c>
      <c r="Q132" t="s">
        <v>88</v>
      </c>
      <c r="R132" t="s">
        <v>88</v>
      </c>
      <c r="S132" t="s">
        <v>88</v>
      </c>
      <c r="T132" t="s">
        <v>88</v>
      </c>
      <c r="U132" t="s">
        <v>20</v>
      </c>
    </row>
    <row r="133" spans="1:21" x14ac:dyDescent="0.45">
      <c r="A133" s="79" t="s">
        <v>1645</v>
      </c>
      <c r="B133" s="29" t="str">
        <f t="shared" si="5"/>
        <v>7.920.112-k</v>
      </c>
      <c r="C133" s="22" t="str">
        <f>IF(IFERROR(VLOOKUP(A133,$A$9:$I132,1,0),0)=0,"",VLOOKUP(A133,$A$9:$I132,3,0))</f>
        <v>UCI</v>
      </c>
      <c r="D133" s="29" t="str">
        <f>IF(IFERROR(VLOOKUP(A133,$A$9:$I132,1,0),0)=0,"",VLOOKUP(A133,$A$9:$I132,4,0))</f>
        <v>ADRIANA</v>
      </c>
      <c r="E133" s="29" t="str">
        <f>IF(IFERROR(VLOOKUP(A133,$A$9:$I132,1,0),0)=0,"",VLOOKUP(A133,$A$9:$I132,5,0))</f>
        <v>AEDO</v>
      </c>
      <c r="F133" s="29" t="str">
        <f>IF(IFERROR(VLOOKUP(A133,$A$9:$I132,1,0),0)=0,"",VLOOKUP(A133,$A$9:$I132,6,0))</f>
        <v>LAGOS</v>
      </c>
      <c r="G133" s="49">
        <f>IF(IFERROR(VLOOKUP(A133,$A$9:$I132,1,0),0)=0,"",VLOOKUP(A133,$A$9:$I132,7,0))</f>
        <v>45636</v>
      </c>
      <c r="H133" s="49">
        <v>45644</v>
      </c>
      <c r="I133" s="29"/>
      <c r="J133" s="29" t="s">
        <v>22</v>
      </c>
      <c r="K133" s="24" t="s">
        <v>47</v>
      </c>
      <c r="L133" s="49">
        <v>45636</v>
      </c>
      <c r="M133" s="49">
        <v>45642</v>
      </c>
      <c r="N133" s="34">
        <f t="shared" si="6"/>
        <v>6</v>
      </c>
      <c r="O133" s="29"/>
      <c r="P133" t="s">
        <v>88</v>
      </c>
      <c r="Q133" t="s">
        <v>88</v>
      </c>
      <c r="R133" t="s">
        <v>88</v>
      </c>
      <c r="S133" t="s">
        <v>88</v>
      </c>
      <c r="T133" t="s">
        <v>88</v>
      </c>
      <c r="U133" t="s">
        <v>20</v>
      </c>
    </row>
    <row r="134" spans="1:21" x14ac:dyDescent="0.45">
      <c r="A134" s="79">
        <v>6236545</v>
      </c>
      <c r="B134" s="29" t="str">
        <f t="shared" si="5"/>
        <v>62.365.45-</v>
      </c>
      <c r="C134" s="22" t="s">
        <v>22</v>
      </c>
      <c r="D134" s="29" t="s">
        <v>348</v>
      </c>
      <c r="E134" s="29" t="s">
        <v>439</v>
      </c>
      <c r="F134" s="29" t="s">
        <v>1646</v>
      </c>
      <c r="G134" s="49">
        <v>45636</v>
      </c>
      <c r="H134" s="49">
        <v>45646</v>
      </c>
      <c r="I134" s="29"/>
      <c r="J134" s="29" t="s">
        <v>22</v>
      </c>
      <c r="K134" s="24" t="s">
        <v>43</v>
      </c>
      <c r="L134" s="49">
        <v>45636</v>
      </c>
      <c r="M134" s="49">
        <v>45646</v>
      </c>
      <c r="N134" s="34">
        <f t="shared" si="6"/>
        <v>10</v>
      </c>
      <c r="O134" s="29" t="s">
        <v>14</v>
      </c>
      <c r="P134" t="s">
        <v>98</v>
      </c>
      <c r="Q134" t="s">
        <v>88</v>
      </c>
      <c r="R134" t="s">
        <v>88</v>
      </c>
      <c r="S134" t="s">
        <v>88</v>
      </c>
      <c r="T134" t="s">
        <v>88</v>
      </c>
      <c r="U134" t="s">
        <v>14</v>
      </c>
    </row>
    <row r="135" spans="1:21" x14ac:dyDescent="0.45">
      <c r="A135" s="79">
        <v>6236545</v>
      </c>
      <c r="B135" s="29" t="str">
        <f t="shared" si="5"/>
        <v>62.365.45-</v>
      </c>
      <c r="C135" s="22" t="str">
        <f>IF(IFERROR(VLOOKUP(A135,$A$9:$I134,1,0),0)=0,"",VLOOKUP(A135,$A$9:$I134,3,0))</f>
        <v>UCI</v>
      </c>
      <c r="D135" s="29" t="str">
        <f>IF(IFERROR(VLOOKUP(A135,$A$9:$I134,1,0),0)=0,"",VLOOKUP(A135,$A$9:$I134,4,0))</f>
        <v>MARIA</v>
      </c>
      <c r="E135" s="29" t="str">
        <f>IF(IFERROR(VLOOKUP(A135,$A$9:$I134,1,0),0)=0,"",VLOOKUP(A135,$A$9:$I134,5,0))</f>
        <v>GONZALEZ</v>
      </c>
      <c r="F135" s="29" t="str">
        <f>IF(IFERROR(VLOOKUP(A135,$A$9:$I134,1,0),0)=0,"",VLOOKUP(A135,$A$9:$I134,6,0))</f>
        <v>GALLEGUILLOS</v>
      </c>
      <c r="G135" s="49">
        <f>IF(IFERROR(VLOOKUP(A135,$A$9:$I134,1,0),0)=0,"",VLOOKUP(A135,$A$9:$I134,7,0))</f>
        <v>45636</v>
      </c>
      <c r="H135" s="49">
        <v>45646</v>
      </c>
      <c r="I135" s="29"/>
      <c r="J135" s="29" t="s">
        <v>22</v>
      </c>
      <c r="K135" s="24" t="s">
        <v>47</v>
      </c>
      <c r="L135" s="49">
        <v>45636</v>
      </c>
      <c r="M135" s="49">
        <v>45646</v>
      </c>
      <c r="N135" s="34">
        <f t="shared" si="6"/>
        <v>10</v>
      </c>
      <c r="O135" s="29"/>
      <c r="P135" t="s">
        <v>88</v>
      </c>
      <c r="Q135" t="s">
        <v>88</v>
      </c>
      <c r="R135" t="s">
        <v>88</v>
      </c>
      <c r="S135" t="s">
        <v>88</v>
      </c>
      <c r="T135" t="s">
        <v>88</v>
      </c>
      <c r="U135" t="s">
        <v>20</v>
      </c>
    </row>
    <row r="136" spans="1:21" x14ac:dyDescent="0.45">
      <c r="A136" s="79">
        <v>6236545</v>
      </c>
      <c r="B136" s="29" t="str">
        <f t="shared" si="5"/>
        <v>62.365.45-</v>
      </c>
      <c r="C136" s="22" t="str">
        <f>IF(IFERROR(VLOOKUP(A136,$A$9:$I135,1,0),0)=0,"",VLOOKUP(A136,$A$9:$I135,3,0))</f>
        <v>UCI</v>
      </c>
      <c r="D136" s="29" t="str">
        <f>IF(IFERROR(VLOOKUP(A136,$A$9:$I135,1,0),0)=0,"",VLOOKUP(A136,$A$9:$I135,4,0))</f>
        <v>MARIA</v>
      </c>
      <c r="E136" s="29" t="str">
        <f>IF(IFERROR(VLOOKUP(A136,$A$9:$I135,1,0),0)=0,"",VLOOKUP(A136,$A$9:$I135,5,0))</f>
        <v>GONZALEZ</v>
      </c>
      <c r="F136" s="29" t="str">
        <f>IF(IFERROR(VLOOKUP(A136,$A$9:$I135,1,0),0)=0,"",VLOOKUP(A136,$A$9:$I135,6,0))</f>
        <v>GALLEGUILLOS</v>
      </c>
      <c r="G136" s="49">
        <f>IF(IFERROR(VLOOKUP(A136,$A$9:$I135,1,0),0)=0,"",VLOOKUP(A136,$A$9:$I135,7,0))</f>
        <v>45636</v>
      </c>
      <c r="H136" s="49">
        <v>45646</v>
      </c>
      <c r="I136" s="29"/>
      <c r="J136" s="29" t="s">
        <v>22</v>
      </c>
      <c r="K136" s="24" t="s">
        <v>55</v>
      </c>
      <c r="L136" s="49">
        <v>45636</v>
      </c>
      <c r="M136" s="49">
        <v>45645</v>
      </c>
      <c r="N136" s="34">
        <f t="shared" si="6"/>
        <v>9</v>
      </c>
      <c r="O136" s="29"/>
      <c r="P136" t="s">
        <v>88</v>
      </c>
      <c r="Q136" t="s">
        <v>88</v>
      </c>
      <c r="R136" t="s">
        <v>88</v>
      </c>
      <c r="S136" t="s">
        <v>88</v>
      </c>
      <c r="T136" t="s">
        <v>88</v>
      </c>
      <c r="U136" t="s">
        <v>20</v>
      </c>
    </row>
    <row r="137" spans="1:21" x14ac:dyDescent="0.45">
      <c r="A137" s="79">
        <v>97327688</v>
      </c>
      <c r="B137" s="29" t="str">
        <f t="shared" si="5"/>
        <v>9.732.768-8</v>
      </c>
      <c r="C137" s="22" t="s">
        <v>22</v>
      </c>
      <c r="D137" s="29" t="s">
        <v>481</v>
      </c>
      <c r="E137" s="29" t="s">
        <v>471</v>
      </c>
      <c r="F137" s="29" t="s">
        <v>417</v>
      </c>
      <c r="G137" s="49">
        <v>45638</v>
      </c>
      <c r="H137" s="49">
        <v>45639</v>
      </c>
      <c r="I137" s="29"/>
      <c r="J137" s="29" t="s">
        <v>24</v>
      </c>
      <c r="K137" s="24" t="s">
        <v>43</v>
      </c>
      <c r="L137" s="49">
        <v>45638</v>
      </c>
      <c r="M137" s="49">
        <v>45639</v>
      </c>
      <c r="N137" s="34">
        <f t="shared" si="6"/>
        <v>1</v>
      </c>
      <c r="O137" s="29"/>
      <c r="P137" t="s">
        <v>88</v>
      </c>
      <c r="Q137" t="s">
        <v>88</v>
      </c>
      <c r="R137" t="s">
        <v>88</v>
      </c>
      <c r="S137" t="s">
        <v>88</v>
      </c>
      <c r="T137" t="s">
        <v>88</v>
      </c>
      <c r="U137" t="s">
        <v>20</v>
      </c>
    </row>
    <row r="138" spans="1:21" x14ac:dyDescent="0.45">
      <c r="A138" s="79">
        <v>47140218</v>
      </c>
      <c r="B138" s="29" t="str">
        <f t="shared" si="5"/>
        <v>4.714.021-8</v>
      </c>
      <c r="C138" s="22" t="s">
        <v>22</v>
      </c>
      <c r="D138" s="29" t="s">
        <v>682</v>
      </c>
      <c r="E138" s="29" t="s">
        <v>403</v>
      </c>
      <c r="F138" s="29" t="s">
        <v>1647</v>
      </c>
      <c r="G138" s="49">
        <v>45637</v>
      </c>
      <c r="H138" s="49">
        <v>45643</v>
      </c>
      <c r="I138" s="29"/>
      <c r="J138" s="29" t="s">
        <v>1615</v>
      </c>
      <c r="K138" s="24" t="s">
        <v>43</v>
      </c>
      <c r="L138" s="49">
        <v>45637</v>
      </c>
      <c r="M138" s="49">
        <v>45639</v>
      </c>
      <c r="N138" s="34">
        <f t="shared" si="6"/>
        <v>2</v>
      </c>
      <c r="O138" s="29"/>
      <c r="P138" t="s">
        <v>88</v>
      </c>
      <c r="Q138" t="s">
        <v>88</v>
      </c>
      <c r="R138" t="s">
        <v>88</v>
      </c>
      <c r="S138" t="s">
        <v>88</v>
      </c>
      <c r="T138" t="s">
        <v>88</v>
      </c>
      <c r="U138" t="s">
        <v>20</v>
      </c>
    </row>
    <row r="139" spans="1:21" x14ac:dyDescent="0.45">
      <c r="A139" s="79">
        <v>47140218</v>
      </c>
      <c r="B139" s="29" t="str">
        <f t="shared" si="5"/>
        <v>4.714.021-8</v>
      </c>
      <c r="C139" s="22" t="str">
        <f>IF(IFERROR(VLOOKUP(A139,$A$9:$I138,1,0),0)=0,"",VLOOKUP(A139,$A$9:$I138,3,0))</f>
        <v>UCI</v>
      </c>
      <c r="D139" s="29" t="str">
        <f>IF(IFERROR(VLOOKUP(A139,$A$9:$I138,1,0),0)=0,"",VLOOKUP(A139,$A$9:$I138,4,0))</f>
        <v>LUZ</v>
      </c>
      <c r="E139" s="29" t="str">
        <f>IF(IFERROR(VLOOKUP(A139,$A$9:$I138,1,0),0)=0,"",VLOOKUP(A139,$A$9:$I138,5,0))</f>
        <v>GARRIDO</v>
      </c>
      <c r="F139" s="29" t="str">
        <f>IF(IFERROR(VLOOKUP(A139,$A$9:$I138,1,0),0)=0,"",VLOOKUP(A139,$A$9:$I138,6,0))</f>
        <v>OPORTUS</v>
      </c>
      <c r="G139" s="49">
        <f>IF(IFERROR(VLOOKUP(A139,$A$9:$I138,1,0),0)=0,"",VLOOKUP(A139,$A$9:$I138,7,0))</f>
        <v>45637</v>
      </c>
      <c r="H139" s="49">
        <v>45643</v>
      </c>
      <c r="I139" s="29"/>
      <c r="J139" s="29" t="s">
        <v>1615</v>
      </c>
      <c r="K139" s="24" t="s">
        <v>18</v>
      </c>
      <c r="L139" s="49">
        <v>45639</v>
      </c>
      <c r="M139" s="49">
        <v>45643</v>
      </c>
      <c r="N139" s="34">
        <f t="shared" si="6"/>
        <v>4</v>
      </c>
      <c r="O139" s="29"/>
      <c r="P139" t="s">
        <v>88</v>
      </c>
      <c r="Q139" t="s">
        <v>88</v>
      </c>
      <c r="R139" t="s">
        <v>88</v>
      </c>
      <c r="S139" t="s">
        <v>88</v>
      </c>
      <c r="T139" t="s">
        <v>88</v>
      </c>
      <c r="U139" t="s">
        <v>20</v>
      </c>
    </row>
    <row r="140" spans="1:21" x14ac:dyDescent="0.45">
      <c r="A140" s="79">
        <v>47140218</v>
      </c>
      <c r="B140" s="29" t="str">
        <f t="shared" si="5"/>
        <v>4.714.021-8</v>
      </c>
      <c r="C140" s="22" t="str">
        <f>IF(IFERROR(VLOOKUP(A140,$A$9:$I139,1,0),0)=0,"",VLOOKUP(A140,$A$9:$I139,3,0))</f>
        <v>UCI</v>
      </c>
      <c r="D140" s="29" t="str">
        <f>IF(IFERROR(VLOOKUP(A140,$A$9:$I139,1,0),0)=0,"",VLOOKUP(A140,$A$9:$I139,4,0))</f>
        <v>LUZ</v>
      </c>
      <c r="E140" s="29" t="str">
        <f>IF(IFERROR(VLOOKUP(A140,$A$9:$I139,1,0),0)=0,"",VLOOKUP(A140,$A$9:$I139,5,0))</f>
        <v>GARRIDO</v>
      </c>
      <c r="F140" s="29" t="str">
        <f>IF(IFERROR(VLOOKUP(A140,$A$9:$I139,1,0),0)=0,"",VLOOKUP(A140,$A$9:$I139,6,0))</f>
        <v>OPORTUS</v>
      </c>
      <c r="G140" s="49">
        <f>IF(IFERROR(VLOOKUP(A140,$A$9:$I139,1,0),0)=0,"",VLOOKUP(A140,$A$9:$I139,7,0))</f>
        <v>45637</v>
      </c>
      <c r="H140" s="49">
        <v>45643</v>
      </c>
      <c r="I140" s="29"/>
      <c r="J140" s="29" t="s">
        <v>1615</v>
      </c>
      <c r="K140" s="24" t="s">
        <v>47</v>
      </c>
      <c r="L140" s="49">
        <v>45637</v>
      </c>
      <c r="M140" s="49">
        <v>45643</v>
      </c>
      <c r="N140" s="34">
        <f t="shared" si="6"/>
        <v>6</v>
      </c>
      <c r="O140" s="29"/>
      <c r="P140" t="s">
        <v>88</v>
      </c>
      <c r="Q140" t="s">
        <v>88</v>
      </c>
      <c r="R140" t="s">
        <v>88</v>
      </c>
      <c r="S140" t="s">
        <v>88</v>
      </c>
      <c r="T140" t="s">
        <v>88</v>
      </c>
      <c r="U140" t="s">
        <v>20</v>
      </c>
    </row>
    <row r="141" spans="1:21" x14ac:dyDescent="0.45">
      <c r="A141" s="79">
        <v>47140218</v>
      </c>
      <c r="B141" s="29" t="str">
        <f t="shared" si="5"/>
        <v>4.714.021-8</v>
      </c>
      <c r="C141" s="22" t="s">
        <v>22</v>
      </c>
      <c r="D141" s="29" t="str">
        <f>IF(IFERROR(VLOOKUP(A141,$A$9:$I140,1,0),0)=0,"",VLOOKUP(A141,$A$9:$I140,4,0))</f>
        <v>LUZ</v>
      </c>
      <c r="E141" s="29" t="str">
        <f>IF(IFERROR(VLOOKUP(A141,$A$9:$I140,1,0),0)=0,"",VLOOKUP(A141,$A$9:$I140,5,0))</f>
        <v>GARRIDO</v>
      </c>
      <c r="F141" s="29" t="str">
        <f>IF(IFERROR(VLOOKUP(A141,$A$9:$I140,1,0),0)=0,"",VLOOKUP(A141,$A$9:$I140,6,0))</f>
        <v>OPORTUS</v>
      </c>
      <c r="G141" s="49">
        <f>IF(IFERROR(VLOOKUP(A141,$A$9:$I140,1,0),0)=0,"",VLOOKUP(A141,$A$9:$I140,7,0))</f>
        <v>45637</v>
      </c>
      <c r="H141" s="49">
        <v>45643</v>
      </c>
      <c r="I141" s="29"/>
      <c r="J141" s="29" t="s">
        <v>1615</v>
      </c>
      <c r="K141" s="24" t="s">
        <v>55</v>
      </c>
      <c r="L141" s="49">
        <v>45637</v>
      </c>
      <c r="M141" s="49">
        <v>45642</v>
      </c>
      <c r="N141" s="34">
        <f t="shared" si="6"/>
        <v>5</v>
      </c>
      <c r="O141" s="29"/>
      <c r="P141" t="s">
        <v>88</v>
      </c>
      <c r="Q141" t="s">
        <v>88</v>
      </c>
      <c r="R141" t="s">
        <v>88</v>
      </c>
      <c r="S141" t="s">
        <v>88</v>
      </c>
      <c r="T141" t="s">
        <v>88</v>
      </c>
      <c r="U141" t="s">
        <v>20</v>
      </c>
    </row>
    <row r="142" spans="1:21" x14ac:dyDescent="0.45">
      <c r="A142" s="79">
        <v>50631125</v>
      </c>
      <c r="B142" s="29" t="str">
        <f t="shared" si="5"/>
        <v>5.063.112-5</v>
      </c>
      <c r="C142" s="22" t="s">
        <v>22</v>
      </c>
      <c r="D142" s="29" t="s">
        <v>793</v>
      </c>
      <c r="E142" s="29" t="s">
        <v>1648</v>
      </c>
      <c r="F142" s="29" t="s">
        <v>687</v>
      </c>
      <c r="G142" s="49">
        <v>45637</v>
      </c>
      <c r="H142" s="49">
        <v>45642</v>
      </c>
      <c r="I142" s="29" t="s">
        <v>22</v>
      </c>
      <c r="J142" s="29" t="s">
        <v>22</v>
      </c>
      <c r="K142" s="24" t="s">
        <v>43</v>
      </c>
      <c r="L142" s="49">
        <v>45637</v>
      </c>
      <c r="M142" s="49">
        <v>45642</v>
      </c>
      <c r="N142" s="34">
        <f t="shared" si="6"/>
        <v>5</v>
      </c>
      <c r="O142" s="29"/>
      <c r="P142" t="s">
        <v>88</v>
      </c>
      <c r="Q142" t="s">
        <v>88</v>
      </c>
      <c r="R142" t="s">
        <v>88</v>
      </c>
      <c r="S142" t="s">
        <v>88</v>
      </c>
      <c r="T142" t="s">
        <v>88</v>
      </c>
      <c r="U142" t="s">
        <v>20</v>
      </c>
    </row>
    <row r="143" spans="1:21" x14ac:dyDescent="0.45">
      <c r="A143" s="79">
        <v>50631125</v>
      </c>
      <c r="B143" s="29" t="str">
        <f t="shared" si="5"/>
        <v>5.063.112-5</v>
      </c>
      <c r="C143" s="22" t="str">
        <f>IF(IFERROR(VLOOKUP(A143,$A$9:$I142,1,0),0)=0,"",VLOOKUP(A143,$A$9:$I142,3,0))</f>
        <v>UCI</v>
      </c>
      <c r="D143" s="29" t="str">
        <f>IF(IFERROR(VLOOKUP(A143,$A$9:$I142,1,0),0)=0,"",VLOOKUP(A143,$A$9:$I142,4,0))</f>
        <v>MIGUEL</v>
      </c>
      <c r="E143" s="29" t="str">
        <f>IF(IFERROR(VLOOKUP(A143,$A$9:$I142,1,0),0)=0,"",VLOOKUP(A143,$A$9:$I142,5,0))</f>
        <v>PASTEN</v>
      </c>
      <c r="F143" s="29" t="str">
        <f>IF(IFERROR(VLOOKUP(A143,$A$9:$I142,1,0),0)=0,"",VLOOKUP(A143,$A$9:$I142,6,0))</f>
        <v>BAEZ</v>
      </c>
      <c r="G143" s="49">
        <f>IF(IFERROR(VLOOKUP(A143,$A$9:$I142,1,0),0)=0,"",VLOOKUP(A143,$A$9:$I142,7,0))</f>
        <v>45637</v>
      </c>
      <c r="H143" s="49">
        <v>45642</v>
      </c>
      <c r="I143" s="29" t="s">
        <v>22</v>
      </c>
      <c r="J143" s="29" t="s">
        <v>22</v>
      </c>
      <c r="K143" s="24" t="s">
        <v>47</v>
      </c>
      <c r="L143" s="49">
        <v>45637</v>
      </c>
      <c r="M143" s="49">
        <v>45642</v>
      </c>
      <c r="N143" s="34">
        <f t="shared" si="6"/>
        <v>5</v>
      </c>
      <c r="O143" s="29"/>
      <c r="P143" t="s">
        <v>88</v>
      </c>
      <c r="Q143" t="s">
        <v>88</v>
      </c>
      <c r="R143" t="s">
        <v>88</v>
      </c>
      <c r="S143" t="s">
        <v>88</v>
      </c>
      <c r="T143" t="s">
        <v>88</v>
      </c>
      <c r="U143" t="s">
        <v>20</v>
      </c>
    </row>
    <row r="144" spans="1:21" x14ac:dyDescent="0.45">
      <c r="A144" s="79">
        <v>63294535</v>
      </c>
      <c r="B144" s="29" t="str">
        <f t="shared" si="5"/>
        <v>6.329.453-5</v>
      </c>
      <c r="C144" s="22" t="str">
        <f>IF(IFERROR(VLOOKUP(A144,$A$9:$I143,1,0),0)=0,"",VLOOKUP(A144,$A$9:$I143,3,0))</f>
        <v>UCI</v>
      </c>
      <c r="D144" s="29" t="str">
        <f>IF(IFERROR(VLOOKUP(A144,$A$9:$I143,1,0),0)=0,"",VLOOKUP(A144,$A$9:$I143,4,0))</f>
        <v>JOSÉ</v>
      </c>
      <c r="E144" s="29" t="str">
        <f>IF(IFERROR(VLOOKUP(A144,$A$9:$I143,1,0),0)=0,"",VLOOKUP(A144,$A$9:$I143,5,0))</f>
        <v>ALARCÓN</v>
      </c>
      <c r="F144" s="29" t="str">
        <f>IF(IFERROR(VLOOKUP(A144,$A$9:$I143,1,0),0)=0,"",VLOOKUP(A144,$A$9:$I143,6,0))</f>
        <v>PINO</v>
      </c>
      <c r="G144" s="49">
        <v>45636</v>
      </c>
      <c r="H144" s="49">
        <v>45639</v>
      </c>
      <c r="I144" s="29"/>
      <c r="J144" s="29" t="s">
        <v>22</v>
      </c>
      <c r="K144" s="24" t="s">
        <v>47</v>
      </c>
      <c r="L144" s="49">
        <v>45636</v>
      </c>
      <c r="M144" s="49">
        <v>45639</v>
      </c>
      <c r="N144" s="34">
        <f t="shared" si="6"/>
        <v>3</v>
      </c>
      <c r="O144" s="29"/>
      <c r="P144" t="s">
        <v>88</v>
      </c>
      <c r="Q144" t="s">
        <v>88</v>
      </c>
      <c r="R144" t="s">
        <v>88</v>
      </c>
      <c r="S144" t="s">
        <v>88</v>
      </c>
      <c r="T144" t="s">
        <v>88</v>
      </c>
      <c r="U144" t="s">
        <v>20</v>
      </c>
    </row>
    <row r="145" spans="1:21" x14ac:dyDescent="0.45">
      <c r="A145" s="79">
        <v>41728167</v>
      </c>
      <c r="B145" s="29" t="str">
        <f t="shared" si="5"/>
        <v>4.172.816-7</v>
      </c>
      <c r="C145" s="22" t="s">
        <v>22</v>
      </c>
      <c r="D145" s="29" t="str">
        <f>IF(IFERROR(VLOOKUP(A145,$A$9:$I144,1,0),0)=0,"",VLOOKUP(A145,$A$9:$I144,4,0))</f>
        <v>BLANCA</v>
      </c>
      <c r="E145" s="29" t="str">
        <f>IF(IFERROR(VLOOKUP(A145,$A$9:$I144,1,0),0)=0,"",VLOOKUP(A145,$A$9:$I144,5,0))</f>
        <v>MALDONADO</v>
      </c>
      <c r="F145" s="29" t="str">
        <f>IF(IFERROR(VLOOKUP(A145,$A$9:$I144,1,0),0)=0,"",VLOOKUP(A145,$A$9:$I144,6,0))</f>
        <v>MALDONADO</v>
      </c>
      <c r="G145" s="49">
        <v>45637</v>
      </c>
      <c r="H145" s="49">
        <v>45643</v>
      </c>
      <c r="I145" s="29" t="s">
        <v>30</v>
      </c>
      <c r="J145" s="29" t="s">
        <v>69</v>
      </c>
      <c r="K145" s="24" t="s">
        <v>43</v>
      </c>
      <c r="L145" s="49">
        <v>45637</v>
      </c>
      <c r="M145" s="49">
        <v>45643</v>
      </c>
      <c r="N145" s="34">
        <f t="shared" si="6"/>
        <v>6</v>
      </c>
      <c r="O145" s="29"/>
      <c r="P145" t="s">
        <v>88</v>
      </c>
      <c r="Q145" t="s">
        <v>88</v>
      </c>
      <c r="R145" t="s">
        <v>88</v>
      </c>
      <c r="S145" t="s">
        <v>88</v>
      </c>
      <c r="T145" t="s">
        <v>88</v>
      </c>
      <c r="U145" t="s">
        <v>20</v>
      </c>
    </row>
    <row r="146" spans="1:21" x14ac:dyDescent="0.45">
      <c r="A146" s="79">
        <v>41728167</v>
      </c>
      <c r="B146" s="29" t="str">
        <f t="shared" si="5"/>
        <v>4.172.816-7</v>
      </c>
      <c r="C146" s="22" t="s">
        <v>22</v>
      </c>
      <c r="D146" s="29" t="str">
        <f>IF(IFERROR(VLOOKUP(A146,$A$9:$I145,1,0),0)=0,"",VLOOKUP(A146,$A$9:$I145,4,0))</f>
        <v>BLANCA</v>
      </c>
      <c r="E146" s="29" t="str">
        <f>IF(IFERROR(VLOOKUP(A146,$A$9:$I145,1,0),0)=0,"",VLOOKUP(A146,$A$9:$I145,5,0))</f>
        <v>MALDONADO</v>
      </c>
      <c r="F146" s="29" t="str">
        <f>IF(IFERROR(VLOOKUP(A146,$A$9:$I145,1,0),0)=0,"",VLOOKUP(A146,$A$9:$I145,6,0))</f>
        <v>MALDONADO</v>
      </c>
      <c r="G146" s="49">
        <v>45637</v>
      </c>
      <c r="H146" s="49">
        <v>45643</v>
      </c>
      <c r="I146" s="29" t="s">
        <v>30</v>
      </c>
      <c r="J146" s="29" t="s">
        <v>69</v>
      </c>
      <c r="K146" s="24" t="s">
        <v>47</v>
      </c>
      <c r="L146" s="49">
        <v>45637</v>
      </c>
      <c r="M146" s="49">
        <v>45640</v>
      </c>
      <c r="N146" s="34">
        <f t="shared" si="6"/>
        <v>3</v>
      </c>
      <c r="O146" s="29"/>
      <c r="P146" t="s">
        <v>88</v>
      </c>
      <c r="Q146" t="s">
        <v>88</v>
      </c>
      <c r="R146" t="s">
        <v>88</v>
      </c>
      <c r="S146" t="s">
        <v>88</v>
      </c>
      <c r="T146" t="s">
        <v>88</v>
      </c>
      <c r="U146" t="s">
        <v>20</v>
      </c>
    </row>
    <row r="147" spans="1:21" x14ac:dyDescent="0.45">
      <c r="A147" s="79">
        <v>98629831</v>
      </c>
      <c r="B147" s="29" t="str">
        <f t="shared" si="5"/>
        <v>9.862.983-1</v>
      </c>
      <c r="C147" s="22" t="s">
        <v>22</v>
      </c>
      <c r="D147" s="29" t="str">
        <f>IF(IFERROR(VLOOKUP(A147,$A$9:$I146,1,0),0)=0,"",VLOOKUP(A147,$A$9:$I146,4,0))</f>
        <v>JOSE</v>
      </c>
      <c r="E147" s="29" t="str">
        <f>IF(IFERROR(VLOOKUP(A147,$A$9:$I146,1,0),0)=0,"",VLOOKUP(A147,$A$9:$I146,5,0))</f>
        <v>MORA</v>
      </c>
      <c r="F147" s="29" t="str">
        <f>IF(IFERROR(VLOOKUP(A147,$A$9:$I146,1,0),0)=0,"",VLOOKUP(A147,$A$9:$I146,6,0))</f>
        <v>SILVA</v>
      </c>
      <c r="G147" s="49">
        <v>45638</v>
      </c>
      <c r="H147" s="49">
        <v>45645</v>
      </c>
      <c r="I147" s="29"/>
      <c r="J147" s="29" t="s">
        <v>1615</v>
      </c>
      <c r="K147" s="24" t="s">
        <v>43</v>
      </c>
      <c r="L147" s="49">
        <v>45638</v>
      </c>
      <c r="M147" s="49">
        <v>45645</v>
      </c>
      <c r="N147" s="34">
        <f t="shared" si="6"/>
        <v>7</v>
      </c>
      <c r="O147" s="29"/>
      <c r="P147" t="s">
        <v>88</v>
      </c>
      <c r="Q147" t="s">
        <v>88</v>
      </c>
      <c r="R147" t="s">
        <v>88</v>
      </c>
      <c r="S147" t="s">
        <v>88</v>
      </c>
      <c r="T147" t="s">
        <v>88</v>
      </c>
      <c r="U147" t="s">
        <v>20</v>
      </c>
    </row>
    <row r="148" spans="1:21" x14ac:dyDescent="0.45">
      <c r="A148" s="79">
        <v>98629831</v>
      </c>
      <c r="B148" s="29" t="str">
        <f t="shared" ref="B148:B211" si="7">IF(LEN(A148)=8,MID(A148,1,1)&amp;"."&amp;MID(A148,2,3)&amp;"."&amp;MID(A148,5,3)&amp;"-"&amp;RIGHT(A148,1),IF(LEFT(RIGHT(A148,2),1)="-",MID(A148,1,1)&amp;"."&amp;MID(A148,2,3)&amp;"."&amp;MID(A148,5,3)&amp;"-"&amp;RIGHT(A148,1),MID(A148,1,2)&amp;"."&amp;MID(A148,3,3)&amp;"."&amp;MID(A148,6,3)&amp;"-"&amp;MID(A148,9,1)))</f>
        <v>9.862.983-1</v>
      </c>
      <c r="C148" s="22" t="s">
        <v>22</v>
      </c>
      <c r="D148" s="29" t="str">
        <f>IF(IFERROR(VLOOKUP(A148,$A$9:$I147,1,0),0)=0,"",VLOOKUP(A148,$A$9:$I147,4,0))</f>
        <v>JOSE</v>
      </c>
      <c r="E148" s="29" t="str">
        <f>IF(IFERROR(VLOOKUP(A148,$A$9:$I147,1,0),0)=0,"",VLOOKUP(A148,$A$9:$I147,5,0))</f>
        <v>MORA</v>
      </c>
      <c r="F148" s="29" t="str">
        <f>IF(IFERROR(VLOOKUP(A148,$A$9:$I147,1,0),0)=0,"",VLOOKUP(A148,$A$9:$I147,6,0))</f>
        <v>SILVA</v>
      </c>
      <c r="G148" s="49">
        <v>45638</v>
      </c>
      <c r="H148" s="49">
        <v>45645</v>
      </c>
      <c r="I148" s="29"/>
      <c r="J148" s="29" t="s">
        <v>1615</v>
      </c>
      <c r="K148" s="24" t="s">
        <v>47</v>
      </c>
      <c r="L148" s="49">
        <v>45638</v>
      </c>
      <c r="M148" s="49">
        <v>45645</v>
      </c>
      <c r="N148" s="34">
        <f t="shared" si="6"/>
        <v>7</v>
      </c>
      <c r="O148" s="29"/>
      <c r="P148" t="s">
        <v>88</v>
      </c>
      <c r="Q148" t="s">
        <v>88</v>
      </c>
      <c r="R148" t="s">
        <v>88</v>
      </c>
      <c r="S148" t="s">
        <v>88</v>
      </c>
      <c r="T148" t="s">
        <v>88</v>
      </c>
      <c r="U148" t="s">
        <v>20</v>
      </c>
    </row>
    <row r="149" spans="1:21" x14ac:dyDescent="0.45">
      <c r="A149" s="79">
        <v>59488473</v>
      </c>
      <c r="B149" s="29" t="str">
        <f t="shared" si="7"/>
        <v>5.948.847-3</v>
      </c>
      <c r="C149" s="22" t="s">
        <v>22</v>
      </c>
      <c r="D149" s="29" t="s">
        <v>923</v>
      </c>
      <c r="E149" s="29" t="s">
        <v>295</v>
      </c>
      <c r="F149" s="29" t="s">
        <v>631</v>
      </c>
      <c r="G149" s="49">
        <v>45637</v>
      </c>
      <c r="H149" s="49">
        <v>45640</v>
      </c>
      <c r="I149" s="29"/>
      <c r="J149" s="29" t="s">
        <v>1615</v>
      </c>
      <c r="K149" s="24" t="s">
        <v>43</v>
      </c>
      <c r="L149" s="49">
        <v>45637</v>
      </c>
      <c r="M149" s="49">
        <v>45640</v>
      </c>
      <c r="N149" s="34">
        <f t="shared" si="6"/>
        <v>3</v>
      </c>
      <c r="O149" s="29"/>
      <c r="P149" t="s">
        <v>88</v>
      </c>
      <c r="Q149" t="s">
        <v>88</v>
      </c>
      <c r="R149" t="s">
        <v>88</v>
      </c>
      <c r="S149" t="s">
        <v>88</v>
      </c>
      <c r="T149" t="s">
        <v>88</v>
      </c>
      <c r="U149" t="s">
        <v>20</v>
      </c>
    </row>
    <row r="150" spans="1:21" x14ac:dyDescent="0.45">
      <c r="A150" s="79">
        <v>59488473</v>
      </c>
      <c r="B150" s="29" t="str">
        <f t="shared" si="7"/>
        <v>5.948.847-3</v>
      </c>
      <c r="C150" s="22" t="str">
        <f>IF(IFERROR(VLOOKUP(A150,$A$9:$I149,1,0),0)=0,"",VLOOKUP(A150,$A$9:$I149,3,0))</f>
        <v>UCI</v>
      </c>
      <c r="D150" s="29" t="str">
        <f>IF(IFERROR(VLOOKUP(A150,$A$9:$I149,1,0),0)=0,"",VLOOKUP(A150,$A$9:$I149,4,0))</f>
        <v>LORENZA</v>
      </c>
      <c r="E150" s="29" t="str">
        <f>IF(IFERROR(VLOOKUP(A150,$A$9:$I149,1,0),0)=0,"",VLOOKUP(A150,$A$9:$I149,5,0))</f>
        <v>OSORIO</v>
      </c>
      <c r="F150" s="29" t="str">
        <f>IF(IFERROR(VLOOKUP(A150,$A$9:$I149,1,0),0)=0,"",VLOOKUP(A150,$A$9:$I149,6,0))</f>
        <v>ALARCON</v>
      </c>
      <c r="G150" s="49">
        <f>IF(IFERROR(VLOOKUP(A150,$A$9:$I149,1,0),0)=0,"",VLOOKUP(A150,$A$9:$I149,7,0))</f>
        <v>45637</v>
      </c>
      <c r="H150" s="49">
        <v>45640</v>
      </c>
      <c r="I150" s="29"/>
      <c r="J150" s="29" t="s">
        <v>1615</v>
      </c>
      <c r="K150" s="24" t="s">
        <v>47</v>
      </c>
      <c r="L150" s="49">
        <v>45637</v>
      </c>
      <c r="M150" s="49">
        <v>45640</v>
      </c>
      <c r="N150" s="34">
        <f t="shared" si="6"/>
        <v>3</v>
      </c>
      <c r="O150" s="29"/>
      <c r="P150" t="s">
        <v>88</v>
      </c>
      <c r="Q150" t="s">
        <v>88</v>
      </c>
      <c r="R150" t="s">
        <v>88</v>
      </c>
      <c r="S150" t="s">
        <v>88</v>
      </c>
      <c r="T150" t="s">
        <v>88</v>
      </c>
      <c r="U150" t="s">
        <v>20</v>
      </c>
    </row>
    <row r="151" spans="1:21" x14ac:dyDescent="0.45">
      <c r="A151" s="79">
        <v>287468574</v>
      </c>
      <c r="B151" s="29" t="str">
        <f t="shared" si="7"/>
        <v>28.746.857-4</v>
      </c>
      <c r="C151" s="22" t="s">
        <v>10</v>
      </c>
      <c r="D151" s="29" t="s">
        <v>947</v>
      </c>
      <c r="E151" s="29" t="s">
        <v>780</v>
      </c>
      <c r="F151" s="29" t="s">
        <v>328</v>
      </c>
      <c r="G151" s="49">
        <v>45602</v>
      </c>
      <c r="H151" s="29"/>
      <c r="I151" s="29"/>
      <c r="J151" s="29" t="s">
        <v>1615</v>
      </c>
      <c r="K151" s="24" t="s">
        <v>43</v>
      </c>
      <c r="L151" s="49">
        <v>45637</v>
      </c>
      <c r="M151" s="49">
        <v>45657</v>
      </c>
      <c r="N151" s="34">
        <f t="shared" si="6"/>
        <v>20</v>
      </c>
      <c r="O151" s="29"/>
      <c r="P151" t="s">
        <v>88</v>
      </c>
      <c r="Q151" t="s">
        <v>88</v>
      </c>
      <c r="R151" t="s">
        <v>88</v>
      </c>
      <c r="S151" t="s">
        <v>88</v>
      </c>
      <c r="T151" t="s">
        <v>88</v>
      </c>
      <c r="U151" t="s">
        <v>20</v>
      </c>
    </row>
    <row r="152" spans="1:21" x14ac:dyDescent="0.45">
      <c r="A152" s="79">
        <v>287468574</v>
      </c>
      <c r="B152" s="29" t="str">
        <f t="shared" si="7"/>
        <v>28.746.857-4</v>
      </c>
      <c r="C152" s="22" t="str">
        <f>IF(IFERROR(VLOOKUP(A152,$A$9:$I151,1,0),0)=0,"",VLOOKUP(A152,$A$9:$I151,3,0))</f>
        <v>UCI infanto juvenil</v>
      </c>
      <c r="D152" s="29" t="str">
        <f>IF(IFERROR(VLOOKUP(A152,$A$9:$I151,1,0),0)=0,"",VLOOKUP(A152,$A$9:$I151,4,0))</f>
        <v>JULIETA</v>
      </c>
      <c r="E152" s="29" t="str">
        <f>IF(IFERROR(VLOOKUP(A152,$A$9:$I151,1,0),0)=0,"",VLOOKUP(A152,$A$9:$I151,5,0))</f>
        <v>LUENGO</v>
      </c>
      <c r="F152" s="29" t="str">
        <f>IF(IFERROR(VLOOKUP(A152,$A$9:$I151,1,0),0)=0,"",VLOOKUP(A152,$A$9:$I151,6,0))</f>
        <v>GUTIERREZ</v>
      </c>
      <c r="G152" s="49">
        <f>IF(IFERROR(VLOOKUP(A152,$A$9:$I151,1,0),0)=0,"",VLOOKUP(A152,$A$9:$I151,7,0))</f>
        <v>45602</v>
      </c>
      <c r="H152" s="29"/>
      <c r="I152" s="29"/>
      <c r="J152" s="29" t="s">
        <v>1615</v>
      </c>
      <c r="K152" s="24" t="s">
        <v>55</v>
      </c>
      <c r="L152" s="49">
        <v>45639</v>
      </c>
      <c r="M152" s="49">
        <v>45657</v>
      </c>
      <c r="N152" s="34">
        <f t="shared" si="6"/>
        <v>18</v>
      </c>
      <c r="O152" s="29"/>
      <c r="P152" t="s">
        <v>88</v>
      </c>
      <c r="Q152" t="s">
        <v>88</v>
      </c>
      <c r="R152" t="s">
        <v>88</v>
      </c>
      <c r="S152" t="s">
        <v>88</v>
      </c>
      <c r="T152" t="s">
        <v>88</v>
      </c>
      <c r="U152" t="s">
        <v>20</v>
      </c>
    </row>
    <row r="153" spans="1:21" x14ac:dyDescent="0.45">
      <c r="A153" s="79">
        <v>260601180</v>
      </c>
      <c r="B153" s="29" t="str">
        <f t="shared" si="7"/>
        <v>26.060.118-0</v>
      </c>
      <c r="C153" s="22" t="s">
        <v>10</v>
      </c>
      <c r="D153" s="29" t="s">
        <v>250</v>
      </c>
      <c r="E153" s="29" t="s">
        <v>1649</v>
      </c>
      <c r="F153" s="29" t="s">
        <v>1650</v>
      </c>
      <c r="G153" s="49">
        <v>45639</v>
      </c>
      <c r="H153" s="49">
        <v>45649</v>
      </c>
      <c r="I153" s="29"/>
      <c r="J153" s="29" t="s">
        <v>1615</v>
      </c>
      <c r="K153" s="24" t="s">
        <v>43</v>
      </c>
      <c r="L153" s="49">
        <v>45638</v>
      </c>
      <c r="M153" s="49">
        <v>45644</v>
      </c>
      <c r="N153" s="34">
        <f t="shared" si="6"/>
        <v>6</v>
      </c>
      <c r="O153" s="29"/>
      <c r="P153" t="s">
        <v>88</v>
      </c>
      <c r="Q153" t="s">
        <v>88</v>
      </c>
      <c r="R153" t="s">
        <v>88</v>
      </c>
      <c r="S153" t="s">
        <v>88</v>
      </c>
      <c r="T153" t="s">
        <v>88</v>
      </c>
      <c r="U153" t="s">
        <v>20</v>
      </c>
    </row>
    <row r="154" spans="1:21" x14ac:dyDescent="0.45">
      <c r="A154" s="79">
        <v>115376136</v>
      </c>
      <c r="B154" s="29" t="str">
        <f t="shared" si="7"/>
        <v>11.537.613-6</v>
      </c>
      <c r="C154" s="22" t="s">
        <v>38</v>
      </c>
      <c r="D154" s="29" t="s">
        <v>1651</v>
      </c>
      <c r="E154" s="29" t="s">
        <v>383</v>
      </c>
      <c r="F154" s="29" t="s">
        <v>266</v>
      </c>
      <c r="G154" s="49">
        <v>45639</v>
      </c>
      <c r="H154" s="29"/>
      <c r="I154" s="29"/>
      <c r="J154" s="29" t="s">
        <v>1615</v>
      </c>
      <c r="K154" s="24" t="s">
        <v>43</v>
      </c>
      <c r="L154" s="49">
        <v>45639</v>
      </c>
      <c r="M154" s="49">
        <v>45649</v>
      </c>
      <c r="N154" s="34">
        <f t="shared" si="6"/>
        <v>10</v>
      </c>
      <c r="O154" s="29" t="s">
        <v>14</v>
      </c>
      <c r="P154" t="s">
        <v>88</v>
      </c>
      <c r="Q154" t="s">
        <v>88</v>
      </c>
      <c r="R154" t="s">
        <v>88</v>
      </c>
      <c r="S154" t="s">
        <v>88</v>
      </c>
      <c r="T154" t="s">
        <v>88</v>
      </c>
      <c r="U154" t="s">
        <v>20</v>
      </c>
    </row>
    <row r="155" spans="1:21" x14ac:dyDescent="0.45">
      <c r="A155" s="79">
        <v>115376136</v>
      </c>
      <c r="B155" s="29" t="str">
        <f t="shared" si="7"/>
        <v>11.537.613-6</v>
      </c>
      <c r="C155" s="22" t="str">
        <f>IF(IFERROR(VLOOKUP(A155,$A$9:$I154,1,0),0)=0,"",VLOOKUP(A155,$A$9:$I154,3,0))</f>
        <v xml:space="preserve">Sala de cuidados intermedios </v>
      </c>
      <c r="D155" s="29" t="str">
        <f>IF(IFERROR(VLOOKUP(A155,$A$9:$I154,1,0),0)=0,"",VLOOKUP(A155,$A$9:$I154,4,0))</f>
        <v>DENIS</v>
      </c>
      <c r="E155" s="29" t="str">
        <f>IF(IFERROR(VLOOKUP(A155,$A$9:$I154,1,0),0)=0,"",VLOOKUP(A155,$A$9:$I154,5,0))</f>
        <v>ARAYA</v>
      </c>
      <c r="F155" s="29" t="str">
        <f>IF(IFERROR(VLOOKUP(A155,$A$9:$I154,1,0),0)=0,"",VLOOKUP(A155,$A$9:$I154,6,0))</f>
        <v>SOTO</v>
      </c>
      <c r="G155" s="49">
        <f>IF(IFERROR(VLOOKUP(A155,$A$9:$I154,1,0),0)=0,"",VLOOKUP(A155,$A$9:$I154,7,0))</f>
        <v>45639</v>
      </c>
      <c r="H155" s="29"/>
      <c r="I155" s="29"/>
      <c r="J155" s="29" t="s">
        <v>1615</v>
      </c>
      <c r="K155" s="24" t="s">
        <v>47</v>
      </c>
      <c r="L155" s="49">
        <v>45639</v>
      </c>
      <c r="M155" s="49">
        <v>45643</v>
      </c>
      <c r="N155" s="34">
        <f t="shared" si="6"/>
        <v>4</v>
      </c>
      <c r="O155" s="29"/>
      <c r="P155" t="s">
        <v>88</v>
      </c>
      <c r="Q155" t="s">
        <v>88</v>
      </c>
      <c r="R155" t="s">
        <v>88</v>
      </c>
      <c r="S155" t="s">
        <v>88</v>
      </c>
      <c r="T155" t="s">
        <v>88</v>
      </c>
      <c r="U155" t="s">
        <v>20</v>
      </c>
    </row>
    <row r="156" spans="1:21" x14ac:dyDescent="0.45">
      <c r="A156" s="79">
        <v>49142943</v>
      </c>
      <c r="B156" s="29" t="str">
        <f t="shared" si="7"/>
        <v>4.914.294-3</v>
      </c>
      <c r="C156" s="22" t="s">
        <v>38</v>
      </c>
      <c r="D156" s="29" t="s">
        <v>238</v>
      </c>
      <c r="E156" s="29" t="s">
        <v>1652</v>
      </c>
      <c r="F156" s="29" t="s">
        <v>384</v>
      </c>
      <c r="G156" s="49">
        <v>45637</v>
      </c>
      <c r="H156" s="49">
        <v>45645</v>
      </c>
      <c r="I156" s="29"/>
      <c r="J156" s="29" t="s">
        <v>1615</v>
      </c>
      <c r="K156" s="24" t="s">
        <v>43</v>
      </c>
      <c r="L156" s="49">
        <v>45637</v>
      </c>
      <c r="M156" s="49">
        <v>45645</v>
      </c>
      <c r="N156" s="34">
        <f t="shared" si="6"/>
        <v>8</v>
      </c>
      <c r="O156" s="29"/>
      <c r="P156" t="s">
        <v>88</v>
      </c>
      <c r="Q156" t="s">
        <v>88</v>
      </c>
      <c r="R156" t="s">
        <v>88</v>
      </c>
      <c r="S156" t="s">
        <v>88</v>
      </c>
      <c r="T156" t="s">
        <v>88</v>
      </c>
      <c r="U156" t="s">
        <v>20</v>
      </c>
    </row>
    <row r="157" spans="1:21" x14ac:dyDescent="0.45">
      <c r="A157" s="79">
        <v>172212174</v>
      </c>
      <c r="B157" s="29" t="str">
        <f t="shared" si="7"/>
        <v>17.221.217-4</v>
      </c>
      <c r="C157" s="22" t="s">
        <v>38</v>
      </c>
      <c r="D157" s="29" t="s">
        <v>841</v>
      </c>
      <c r="E157" s="29" t="s">
        <v>842</v>
      </c>
      <c r="F157" s="29" t="s">
        <v>1653</v>
      </c>
      <c r="G157" s="49">
        <v>45642</v>
      </c>
      <c r="H157" s="49">
        <v>45650</v>
      </c>
      <c r="I157" s="29"/>
      <c r="J157" s="29" t="s">
        <v>24</v>
      </c>
      <c r="K157" s="24" t="s">
        <v>18</v>
      </c>
      <c r="L157" s="49">
        <v>45642</v>
      </c>
      <c r="M157" s="49">
        <v>45650</v>
      </c>
      <c r="N157" s="34">
        <f t="shared" si="6"/>
        <v>8</v>
      </c>
      <c r="O157" s="29"/>
      <c r="P157" t="s">
        <v>88</v>
      </c>
      <c r="Q157" t="s">
        <v>88</v>
      </c>
      <c r="R157" t="s">
        <v>88</v>
      </c>
      <c r="S157" t="s">
        <v>88</v>
      </c>
      <c r="T157" t="s">
        <v>88</v>
      </c>
      <c r="U157" t="s">
        <v>20</v>
      </c>
    </row>
    <row r="158" spans="1:21" x14ac:dyDescent="0.45">
      <c r="A158" s="79">
        <v>172212174</v>
      </c>
      <c r="B158" s="29" t="str">
        <f t="shared" si="7"/>
        <v>17.221.217-4</v>
      </c>
      <c r="C158" s="22" t="str">
        <f>IF(IFERROR(VLOOKUP(A158,$A$9:$I157,1,0),0)=0,"",VLOOKUP(A158,$A$9:$I157,3,0))</f>
        <v xml:space="preserve">Sala de cuidados intermedios </v>
      </c>
      <c r="D158" s="29" t="str">
        <f>IF(IFERROR(VLOOKUP(A158,$A$9:$I157,1,0),0)=0,"",VLOOKUP(A158,$A$9:$I157,4,0))</f>
        <v>DANIELA</v>
      </c>
      <c r="E158" s="29" t="str">
        <f>IF(IFERROR(VLOOKUP(A158,$A$9:$I157,1,0),0)=0,"",VLOOKUP(A158,$A$9:$I157,5,0))</f>
        <v>RIFFO</v>
      </c>
      <c r="F158" s="29" t="str">
        <f>IF(IFERROR(VLOOKUP(A158,$A$9:$I157,1,0),0)=0,"",VLOOKUP(A158,$A$9:$I157,6,0))</f>
        <v>MARDONEZ</v>
      </c>
      <c r="G158" s="49">
        <f>IF(IFERROR(VLOOKUP(A158,$A$9:$I157,1,0),0)=0,"",VLOOKUP(A158,$A$9:$I157,7,0))</f>
        <v>45642</v>
      </c>
      <c r="H158" s="49">
        <v>45650</v>
      </c>
      <c r="I158" s="29"/>
      <c r="J158" s="29" t="s">
        <v>24</v>
      </c>
      <c r="K158" s="24" t="s">
        <v>47</v>
      </c>
      <c r="L158" s="49">
        <v>45642</v>
      </c>
      <c r="M158" s="49">
        <v>45645</v>
      </c>
      <c r="N158" s="34">
        <f t="shared" si="6"/>
        <v>3</v>
      </c>
      <c r="O158" s="29"/>
      <c r="P158" t="s">
        <v>88</v>
      </c>
      <c r="Q158" t="s">
        <v>88</v>
      </c>
      <c r="R158" t="s">
        <v>88</v>
      </c>
      <c r="S158" t="s">
        <v>88</v>
      </c>
      <c r="T158" t="s">
        <v>88</v>
      </c>
      <c r="U158" t="s">
        <v>20</v>
      </c>
    </row>
    <row r="159" spans="1:21" x14ac:dyDescent="0.45">
      <c r="A159" s="79">
        <v>69598269</v>
      </c>
      <c r="B159" s="29" t="str">
        <f t="shared" si="7"/>
        <v>6.959.826-9</v>
      </c>
      <c r="C159" s="22" t="s">
        <v>38</v>
      </c>
      <c r="D159" s="29" t="s">
        <v>348</v>
      </c>
      <c r="E159" s="29" t="s">
        <v>299</v>
      </c>
      <c r="F159" s="29" t="s">
        <v>1020</v>
      </c>
      <c r="G159" s="49">
        <v>45643</v>
      </c>
      <c r="H159" s="29"/>
      <c r="I159" s="29" t="s">
        <v>46</v>
      </c>
      <c r="J159" s="29" t="s">
        <v>1615</v>
      </c>
      <c r="K159" s="24" t="s">
        <v>43</v>
      </c>
      <c r="L159" s="49">
        <v>45643</v>
      </c>
      <c r="M159" s="49">
        <v>45657</v>
      </c>
      <c r="N159" s="34">
        <f t="shared" si="6"/>
        <v>14</v>
      </c>
      <c r="O159" s="29"/>
      <c r="P159" t="s">
        <v>88</v>
      </c>
      <c r="Q159" t="s">
        <v>88</v>
      </c>
      <c r="R159" t="s">
        <v>88</v>
      </c>
      <c r="S159" t="s">
        <v>88</v>
      </c>
      <c r="T159" t="s">
        <v>88</v>
      </c>
      <c r="U159" t="s">
        <v>20</v>
      </c>
    </row>
    <row r="160" spans="1:21" x14ac:dyDescent="0.45">
      <c r="A160" s="79">
        <v>69598269</v>
      </c>
      <c r="B160" s="29" t="str">
        <f t="shared" si="7"/>
        <v>6.959.826-9</v>
      </c>
      <c r="C160" s="22" t="str">
        <f>IF(IFERROR(VLOOKUP(A160,$A$9:$I159,1,0),0)=0,"",VLOOKUP(A160,$A$9:$I159,3,0))</f>
        <v xml:space="preserve">Sala de cuidados intermedios </v>
      </c>
      <c r="D160" s="29" t="str">
        <f>IF(IFERROR(VLOOKUP(A160,$A$9:$I159,1,0),0)=0,"",VLOOKUP(A160,$A$9:$I159,4,0))</f>
        <v>MARIA</v>
      </c>
      <c r="E160" s="29" t="str">
        <f>IF(IFERROR(VLOOKUP(A160,$A$9:$I159,1,0),0)=0,"",VLOOKUP(A160,$A$9:$I159,5,0))</f>
        <v>HENRIQUEZ</v>
      </c>
      <c r="F160" s="29" t="str">
        <f>IF(IFERROR(VLOOKUP(A160,$A$9:$I159,1,0),0)=0,"",VLOOKUP(A160,$A$9:$I159,6,0))</f>
        <v>JOFRE</v>
      </c>
      <c r="G160" s="49">
        <f>IF(IFERROR(VLOOKUP(A160,$A$9:$I159,1,0),0)=0,"",VLOOKUP(A160,$A$9:$I159,7,0))</f>
        <v>45643</v>
      </c>
      <c r="H160" s="29"/>
      <c r="I160" s="29" t="s">
        <v>46</v>
      </c>
      <c r="J160" s="29" t="s">
        <v>1615</v>
      </c>
      <c r="K160" s="24" t="s">
        <v>43</v>
      </c>
      <c r="L160" s="49">
        <v>45643</v>
      </c>
      <c r="M160" s="49">
        <v>45648</v>
      </c>
      <c r="N160" s="34">
        <f t="shared" si="6"/>
        <v>5</v>
      </c>
      <c r="O160" s="29"/>
      <c r="P160" t="s">
        <v>88</v>
      </c>
      <c r="Q160" t="s">
        <v>88</v>
      </c>
      <c r="R160" t="s">
        <v>88</v>
      </c>
      <c r="S160" t="s">
        <v>88</v>
      </c>
      <c r="T160" t="s">
        <v>88</v>
      </c>
      <c r="U160" t="s">
        <v>20</v>
      </c>
    </row>
    <row r="161" spans="1:21" x14ac:dyDescent="0.45">
      <c r="A161" s="79">
        <v>53367577</v>
      </c>
      <c r="B161" s="29" t="str">
        <f t="shared" si="7"/>
        <v>5.336.757-7</v>
      </c>
      <c r="C161" s="22" t="s">
        <v>30</v>
      </c>
      <c r="D161" s="29" t="s">
        <v>658</v>
      </c>
      <c r="E161" s="29" t="s">
        <v>252</v>
      </c>
      <c r="F161" s="29" t="s">
        <v>281</v>
      </c>
      <c r="G161" s="49">
        <v>45641</v>
      </c>
      <c r="H161" s="49">
        <v>45646</v>
      </c>
      <c r="I161" s="29"/>
      <c r="J161" s="29" t="s">
        <v>1615</v>
      </c>
      <c r="K161" s="24" t="s">
        <v>43</v>
      </c>
      <c r="L161" s="49">
        <v>45642</v>
      </c>
      <c r="M161" s="49">
        <v>45646</v>
      </c>
      <c r="N161" s="34">
        <f t="shared" si="6"/>
        <v>4</v>
      </c>
      <c r="O161" s="29"/>
      <c r="P161" t="s">
        <v>88</v>
      </c>
      <c r="Q161" t="s">
        <v>88</v>
      </c>
      <c r="R161" t="s">
        <v>88</v>
      </c>
      <c r="S161" t="s">
        <v>88</v>
      </c>
      <c r="T161" t="s">
        <v>88</v>
      </c>
      <c r="U161" t="s">
        <v>20</v>
      </c>
    </row>
    <row r="162" spans="1:21" x14ac:dyDescent="0.45">
      <c r="A162" s="79">
        <v>53367577</v>
      </c>
      <c r="B162" s="29" t="str">
        <f t="shared" si="7"/>
        <v>5.336.757-7</v>
      </c>
      <c r="C162" s="22" t="str">
        <f>IF(IFERROR(VLOOKUP(A162,$A$9:$I161,1,0),0)=0,"",VLOOKUP(A162,$A$9:$I161,3,0))</f>
        <v>UCO</v>
      </c>
      <c r="D162" s="29" t="str">
        <f>IF(IFERROR(VLOOKUP(A162,$A$9:$I161,1,0),0)=0,"",VLOOKUP(A162,$A$9:$I161,4,0))</f>
        <v>RAQUEL</v>
      </c>
      <c r="E162" s="29" t="str">
        <f>IF(IFERROR(VLOOKUP(A162,$A$9:$I161,1,0),0)=0,"",VLOOKUP(A162,$A$9:$I161,5,0))</f>
        <v>SILVA</v>
      </c>
      <c r="F162" s="29" t="str">
        <f>IF(IFERROR(VLOOKUP(A162,$A$9:$I161,1,0),0)=0,"",VLOOKUP(A162,$A$9:$I161,6,0))</f>
        <v>FIGUEROA</v>
      </c>
      <c r="G162" s="49">
        <f>IF(IFERROR(VLOOKUP(A162,$A$9:$I161,1,0),0)=0,"",VLOOKUP(A162,$A$9:$I161,7,0))</f>
        <v>45641</v>
      </c>
      <c r="H162" s="49">
        <v>45646</v>
      </c>
      <c r="I162" s="29"/>
      <c r="J162" s="29" t="s">
        <v>1615</v>
      </c>
      <c r="K162" s="24" t="s">
        <v>47</v>
      </c>
      <c r="L162" s="49">
        <v>45642</v>
      </c>
      <c r="M162" s="49">
        <v>45645</v>
      </c>
      <c r="N162" s="34">
        <f t="shared" si="6"/>
        <v>3</v>
      </c>
      <c r="O162" s="29"/>
      <c r="P162" t="s">
        <v>88</v>
      </c>
      <c r="Q162" t="s">
        <v>88</v>
      </c>
      <c r="R162" t="s">
        <v>88</v>
      </c>
      <c r="S162" t="s">
        <v>88</v>
      </c>
      <c r="T162" t="s">
        <v>88</v>
      </c>
      <c r="U162" t="s">
        <v>20</v>
      </c>
    </row>
    <row r="163" spans="1:21" x14ac:dyDescent="0.45">
      <c r="A163" s="79">
        <v>80541236</v>
      </c>
      <c r="B163" s="29" t="str">
        <f t="shared" si="7"/>
        <v>8.054.123-6</v>
      </c>
      <c r="C163" s="22" t="s">
        <v>30</v>
      </c>
      <c r="D163" s="29" t="s">
        <v>250</v>
      </c>
      <c r="E163" s="29" t="s">
        <v>426</v>
      </c>
      <c r="F163" s="29" t="s">
        <v>473</v>
      </c>
      <c r="G163" s="49">
        <v>45639</v>
      </c>
      <c r="H163" s="49">
        <v>45644</v>
      </c>
      <c r="I163" s="29"/>
      <c r="J163" s="29" t="s">
        <v>24</v>
      </c>
      <c r="K163" s="24" t="s">
        <v>43</v>
      </c>
      <c r="L163" s="49">
        <v>45639</v>
      </c>
      <c r="M163" s="49">
        <v>45644</v>
      </c>
      <c r="N163" s="34">
        <f t="shared" si="6"/>
        <v>5</v>
      </c>
      <c r="O163" s="29"/>
      <c r="P163" t="s">
        <v>88</v>
      </c>
      <c r="Q163" t="s">
        <v>88</v>
      </c>
      <c r="R163" t="s">
        <v>88</v>
      </c>
      <c r="S163" t="s">
        <v>88</v>
      </c>
      <c r="T163" t="s">
        <v>88</v>
      </c>
      <c r="U163" t="s">
        <v>20</v>
      </c>
    </row>
    <row r="164" spans="1:21" x14ac:dyDescent="0.45">
      <c r="A164" s="79">
        <v>105340982</v>
      </c>
      <c r="B164" s="29" t="str">
        <f t="shared" si="7"/>
        <v>10.534.098-2</v>
      </c>
      <c r="C164" s="22" t="str">
        <f>IF(IFERROR(VLOOKUP(A164,$A$9:$I163,1,0),0)=0,"",VLOOKUP(A164,$A$9:$I163,3,0))</f>
        <v>UCO</v>
      </c>
      <c r="D164" s="29" t="str">
        <f>IF(IFERROR(VLOOKUP(A164,$A$9:$I163,1,0),0)=0,"",VLOOKUP(A164,$A$9:$I163,4,0))</f>
        <v>RAMON</v>
      </c>
      <c r="E164" s="29" t="str">
        <f>IF(IFERROR(VLOOKUP(A164,$A$9:$I163,1,0),0)=0,"",VLOOKUP(A164,$A$9:$I163,5,0))</f>
        <v>FERNANDEZ</v>
      </c>
      <c r="F164" s="29" t="str">
        <f>IF(IFERROR(VLOOKUP(A164,$A$9:$I163,1,0),0)=0,"",VLOOKUP(A164,$A$9:$I163,6,0))</f>
        <v>MEDINA</v>
      </c>
      <c r="G164" s="49">
        <f>IF(IFERROR(VLOOKUP(A164,$A$9:$I163,1,0),0)=0,"",VLOOKUP(A164,$A$9:$I163,7,0))</f>
        <v>45635</v>
      </c>
      <c r="H164" s="29"/>
      <c r="I164" s="29"/>
      <c r="J164" s="29" t="s">
        <v>1615</v>
      </c>
      <c r="K164" s="24" t="s">
        <v>43</v>
      </c>
      <c r="L164" s="49">
        <v>45635</v>
      </c>
      <c r="M164" s="49">
        <v>45644</v>
      </c>
      <c r="N164" s="34">
        <f t="shared" si="6"/>
        <v>9</v>
      </c>
      <c r="O164" s="29"/>
      <c r="P164" t="s">
        <v>88</v>
      </c>
      <c r="Q164" t="s">
        <v>88</v>
      </c>
      <c r="R164" t="s">
        <v>88</v>
      </c>
      <c r="S164" t="s">
        <v>88</v>
      </c>
      <c r="T164" t="s">
        <v>88</v>
      </c>
      <c r="U164" t="s">
        <v>20</v>
      </c>
    </row>
    <row r="165" spans="1:21" x14ac:dyDescent="0.45">
      <c r="A165" s="79">
        <v>120535854</v>
      </c>
      <c r="B165" s="29" t="str">
        <f t="shared" si="7"/>
        <v>12.053.585-4</v>
      </c>
      <c r="C165" s="22" t="s">
        <v>30</v>
      </c>
      <c r="D165" s="29" t="s">
        <v>738</v>
      </c>
      <c r="E165" s="29" t="s">
        <v>1654</v>
      </c>
      <c r="F165" s="29" t="s">
        <v>680</v>
      </c>
      <c r="G165" s="49">
        <v>45308</v>
      </c>
      <c r="H165" s="49">
        <v>45649</v>
      </c>
      <c r="I165" s="29"/>
      <c r="J165" s="29" t="s">
        <v>24</v>
      </c>
      <c r="K165" s="24" t="s">
        <v>43</v>
      </c>
      <c r="L165" s="49">
        <v>45643</v>
      </c>
      <c r="M165" s="49">
        <v>45649</v>
      </c>
      <c r="N165" s="34">
        <f t="shared" si="6"/>
        <v>6</v>
      </c>
      <c r="O165" s="29"/>
      <c r="P165" t="s">
        <v>88</v>
      </c>
      <c r="Q165" t="s">
        <v>88</v>
      </c>
      <c r="R165" t="s">
        <v>88</v>
      </c>
      <c r="S165" t="s">
        <v>88</v>
      </c>
      <c r="T165" t="s">
        <v>88</v>
      </c>
      <c r="U165" t="s">
        <v>20</v>
      </c>
    </row>
    <row r="166" spans="1:21" x14ac:dyDescent="0.45">
      <c r="A166" s="79">
        <v>120535854</v>
      </c>
      <c r="B166" s="29" t="str">
        <f t="shared" si="7"/>
        <v>12.053.585-4</v>
      </c>
      <c r="C166" s="22" t="str">
        <f>IF(IFERROR(VLOOKUP(A166,$A$9:$I165,1,0),0)=0,"",VLOOKUP(A166,$A$9:$I165,3,0))</f>
        <v>UCO</v>
      </c>
      <c r="D166" s="29" t="str">
        <f>IF(IFERROR(VLOOKUP(A166,$A$9:$I165,1,0),0)=0,"",VLOOKUP(A166,$A$9:$I165,4,0))</f>
        <v>MARGARITA</v>
      </c>
      <c r="E166" s="29" t="str">
        <f>IF(IFERROR(VLOOKUP(A166,$A$9:$I165,1,0),0)=0,"",VLOOKUP(A166,$A$9:$I165,5,0))</f>
        <v>MONRROY</v>
      </c>
      <c r="F166" s="29" t="str">
        <f>IF(IFERROR(VLOOKUP(A166,$A$9:$I165,1,0),0)=0,"",VLOOKUP(A166,$A$9:$I165,6,0))</f>
        <v>INOSTROZA</v>
      </c>
      <c r="G166" s="49">
        <f>IF(IFERROR(VLOOKUP(A166,$A$9:$I165,1,0),0)=0,"",VLOOKUP(A166,$A$9:$I165,7,0))</f>
        <v>45308</v>
      </c>
      <c r="H166" s="29"/>
      <c r="I166" s="29"/>
      <c r="J166" s="29" t="s">
        <v>1615</v>
      </c>
      <c r="K166" s="24" t="s">
        <v>47</v>
      </c>
      <c r="L166" s="49">
        <v>45643</v>
      </c>
      <c r="M166" s="49">
        <v>45645</v>
      </c>
      <c r="N166" s="34">
        <f t="shared" si="6"/>
        <v>2</v>
      </c>
      <c r="O166" s="29"/>
      <c r="P166" t="s">
        <v>88</v>
      </c>
      <c r="Q166" t="s">
        <v>88</v>
      </c>
      <c r="R166" t="s">
        <v>88</v>
      </c>
      <c r="S166" t="s">
        <v>88</v>
      </c>
      <c r="T166" t="s">
        <v>88</v>
      </c>
      <c r="U166" t="s">
        <v>20</v>
      </c>
    </row>
    <row r="167" spans="1:21" x14ac:dyDescent="0.45">
      <c r="A167" s="79">
        <v>93225945</v>
      </c>
      <c r="B167" s="29" t="str">
        <f t="shared" si="7"/>
        <v>9.322.594-5</v>
      </c>
      <c r="C167" s="22" t="s">
        <v>30</v>
      </c>
      <c r="D167" s="29" t="s">
        <v>468</v>
      </c>
      <c r="E167" s="29" t="s">
        <v>466</v>
      </c>
      <c r="F167" s="29" t="s">
        <v>467</v>
      </c>
      <c r="G167" s="49">
        <v>45642</v>
      </c>
      <c r="H167" s="49">
        <v>45645</v>
      </c>
      <c r="I167" s="29"/>
      <c r="J167" s="29" t="s">
        <v>1615</v>
      </c>
      <c r="K167" s="24" t="s">
        <v>43</v>
      </c>
      <c r="L167" s="49">
        <v>45642</v>
      </c>
      <c r="M167" s="49">
        <v>45645</v>
      </c>
      <c r="N167" s="34">
        <f t="shared" si="6"/>
        <v>3</v>
      </c>
      <c r="O167" s="29"/>
      <c r="P167" t="s">
        <v>88</v>
      </c>
      <c r="Q167" t="s">
        <v>88</v>
      </c>
      <c r="R167" t="s">
        <v>88</v>
      </c>
      <c r="S167" t="s">
        <v>88</v>
      </c>
      <c r="T167" t="s">
        <v>88</v>
      </c>
      <c r="U167" t="s">
        <v>20</v>
      </c>
    </row>
    <row r="168" spans="1:21" x14ac:dyDescent="0.45">
      <c r="A168" s="79">
        <v>93225945</v>
      </c>
      <c r="B168" s="29" t="str">
        <f t="shared" si="7"/>
        <v>9.322.594-5</v>
      </c>
      <c r="C168" s="22" t="str">
        <f>IF(IFERROR(VLOOKUP(A168,$A$9:$I167,1,0),0)=0,"",VLOOKUP(A168,$A$9:$I167,3,0))</f>
        <v>UCO</v>
      </c>
      <c r="D168" s="29" t="str">
        <f>IF(IFERROR(VLOOKUP(A168,$A$9:$I167,1,0),0)=0,"",VLOOKUP(A168,$A$9:$I167,4,0))</f>
        <v>ALEJANDRO</v>
      </c>
      <c r="E168" s="29" t="str">
        <f>IF(IFERROR(VLOOKUP(A168,$A$9:$I167,1,0),0)=0,"",VLOOKUP(A168,$A$9:$I167,5,0))</f>
        <v>PAVEZ</v>
      </c>
      <c r="F168" s="29" t="str">
        <f>IF(IFERROR(VLOOKUP(A168,$A$9:$I167,1,0),0)=0,"",VLOOKUP(A168,$A$9:$I167,6,0))</f>
        <v>BELLO</v>
      </c>
      <c r="G168" s="49">
        <f>IF(IFERROR(VLOOKUP(A168,$A$9:$I167,1,0),0)=0,"",VLOOKUP(A168,$A$9:$I167,7,0))</f>
        <v>45642</v>
      </c>
      <c r="H168" s="49">
        <v>45645</v>
      </c>
      <c r="I168" s="29"/>
      <c r="J168" s="29" t="s">
        <v>1615</v>
      </c>
      <c r="K168" s="24" t="s">
        <v>47</v>
      </c>
      <c r="L168" s="49">
        <v>45642</v>
      </c>
      <c r="M168" s="49">
        <v>45643</v>
      </c>
      <c r="N168" s="34">
        <f t="shared" si="6"/>
        <v>1</v>
      </c>
      <c r="O168" s="29"/>
      <c r="P168" t="s">
        <v>88</v>
      </c>
      <c r="Q168" t="s">
        <v>88</v>
      </c>
      <c r="R168" t="s">
        <v>88</v>
      </c>
      <c r="S168" t="s">
        <v>88</v>
      </c>
      <c r="T168" t="s">
        <v>88</v>
      </c>
      <c r="U168" t="s">
        <v>20</v>
      </c>
    </row>
    <row r="169" spans="1:21" x14ac:dyDescent="0.45">
      <c r="A169" s="79">
        <v>195990514</v>
      </c>
      <c r="B169" s="29" t="str">
        <f t="shared" si="7"/>
        <v>19.599.051-4</v>
      </c>
      <c r="C169" s="22" t="s">
        <v>22</v>
      </c>
      <c r="D169" s="29" t="s">
        <v>996</v>
      </c>
      <c r="E169" s="29" t="s">
        <v>585</v>
      </c>
      <c r="F169" s="29" t="s">
        <v>257</v>
      </c>
      <c r="G169" s="49">
        <v>45642</v>
      </c>
      <c r="H169" s="49">
        <v>45645</v>
      </c>
      <c r="I169" s="29"/>
      <c r="J169" s="29" t="s">
        <v>24</v>
      </c>
      <c r="K169" s="24" t="s">
        <v>43</v>
      </c>
      <c r="L169" s="49">
        <v>45642</v>
      </c>
      <c r="M169" s="49">
        <v>45645</v>
      </c>
      <c r="N169" s="34">
        <f t="shared" si="6"/>
        <v>3</v>
      </c>
      <c r="O169" s="29"/>
      <c r="P169" t="s">
        <v>88</v>
      </c>
      <c r="Q169" t="s">
        <v>88</v>
      </c>
      <c r="R169" t="s">
        <v>88</v>
      </c>
      <c r="S169" t="s">
        <v>88</v>
      </c>
      <c r="T169" t="s">
        <v>88</v>
      </c>
      <c r="U169" t="s">
        <v>20</v>
      </c>
    </row>
    <row r="170" spans="1:21" x14ac:dyDescent="0.45">
      <c r="A170" s="79">
        <v>195990514</v>
      </c>
      <c r="B170" s="29" t="str">
        <f t="shared" si="7"/>
        <v>19.599.051-4</v>
      </c>
      <c r="C170" s="22" t="str">
        <f>IF(IFERROR(VLOOKUP(A170,$A$9:$I169,1,0),0)=0,"",VLOOKUP(A170,$A$9:$I169,3,0))</f>
        <v>UCI</v>
      </c>
      <c r="D170" s="29" t="str">
        <f>IF(IFERROR(VLOOKUP(A170,$A$9:$I169,1,0),0)=0,"",VLOOKUP(A170,$A$9:$I169,4,0))</f>
        <v>MATIAS</v>
      </c>
      <c r="E170" s="29" t="str">
        <f>IF(IFERROR(VLOOKUP(A170,$A$9:$I169,1,0),0)=0,"",VLOOKUP(A170,$A$9:$I169,5,0))</f>
        <v>MORENO</v>
      </c>
      <c r="F170" s="29" t="str">
        <f>IF(IFERROR(VLOOKUP(A170,$A$9:$I169,1,0),0)=0,"",VLOOKUP(A170,$A$9:$I169,6,0))</f>
        <v>CHAVEZ</v>
      </c>
      <c r="G170" s="49">
        <f>IF(IFERROR(VLOOKUP(A170,$A$9:$I169,1,0),0)=0,"",VLOOKUP(A170,$A$9:$I169,7,0))</f>
        <v>45642</v>
      </c>
      <c r="H170" s="29"/>
      <c r="I170" s="29"/>
      <c r="J170" s="29" t="s">
        <v>24</v>
      </c>
      <c r="K170" s="24" t="s">
        <v>47</v>
      </c>
      <c r="L170" s="49">
        <v>45642</v>
      </c>
      <c r="M170" s="49">
        <v>45645</v>
      </c>
      <c r="N170" s="34">
        <f t="shared" si="6"/>
        <v>3</v>
      </c>
      <c r="O170" s="29"/>
      <c r="P170" t="s">
        <v>88</v>
      </c>
      <c r="Q170" t="s">
        <v>88</v>
      </c>
      <c r="R170" t="s">
        <v>88</v>
      </c>
      <c r="S170" t="s">
        <v>88</v>
      </c>
      <c r="T170" t="s">
        <v>88</v>
      </c>
      <c r="U170" t="s">
        <v>20</v>
      </c>
    </row>
    <row r="171" spans="1:21" x14ac:dyDescent="0.45">
      <c r="A171" s="79">
        <v>92791386</v>
      </c>
      <c r="B171" s="29" t="str">
        <f t="shared" si="7"/>
        <v>9.279.138-6</v>
      </c>
      <c r="C171" s="22" t="s">
        <v>22</v>
      </c>
      <c r="D171" s="29" t="s">
        <v>504</v>
      </c>
      <c r="E171" s="29" t="s">
        <v>617</v>
      </c>
      <c r="F171" s="29" t="s">
        <v>266</v>
      </c>
      <c r="G171" s="49">
        <v>45640</v>
      </c>
      <c r="H171" s="29"/>
      <c r="I171" s="29"/>
      <c r="J171" s="29" t="s">
        <v>1615</v>
      </c>
      <c r="K171" s="24" t="s">
        <v>43</v>
      </c>
      <c r="L171" s="49">
        <v>45640</v>
      </c>
      <c r="M171" s="49">
        <v>45657</v>
      </c>
      <c r="N171" s="34">
        <f t="shared" si="6"/>
        <v>17</v>
      </c>
      <c r="O171" s="29"/>
      <c r="P171" t="s">
        <v>88</v>
      </c>
      <c r="Q171" t="s">
        <v>88</v>
      </c>
      <c r="R171" t="s">
        <v>88</v>
      </c>
      <c r="S171" t="s">
        <v>88</v>
      </c>
      <c r="T171" t="s">
        <v>88</v>
      </c>
      <c r="U171" t="s">
        <v>20</v>
      </c>
    </row>
    <row r="172" spans="1:21" x14ac:dyDescent="0.45">
      <c r="A172" s="79">
        <v>92791386</v>
      </c>
      <c r="B172" s="29" t="str">
        <f t="shared" si="7"/>
        <v>9.279.138-6</v>
      </c>
      <c r="C172" s="22" t="str">
        <f>IF(IFERROR(VLOOKUP(A172,$A$9:$I171,1,0),0)=0,"",VLOOKUP(A172,$A$9:$I171,3,0))</f>
        <v>UCI</v>
      </c>
      <c r="D172" s="29" t="str">
        <f>IF(IFERROR(VLOOKUP(A172,$A$9:$I171,1,0),0)=0,"",VLOOKUP(A172,$A$9:$I171,4,0))</f>
        <v>PATRICIA</v>
      </c>
      <c r="E172" s="29" t="str">
        <f>IF(IFERROR(VLOOKUP(A172,$A$9:$I171,1,0),0)=0,"",VLOOKUP(A172,$A$9:$I171,5,0))</f>
        <v>BELMAR</v>
      </c>
      <c r="F172" s="29" t="str">
        <f>IF(IFERROR(VLOOKUP(A172,$A$9:$I171,1,0),0)=0,"",VLOOKUP(A172,$A$9:$I171,6,0))</f>
        <v>SOTO</v>
      </c>
      <c r="G172" s="49">
        <f>IF(IFERROR(VLOOKUP(A172,$A$9:$I171,1,0),0)=0,"",VLOOKUP(A172,$A$9:$I171,7,0))</f>
        <v>45640</v>
      </c>
      <c r="H172" s="29"/>
      <c r="I172" s="29"/>
      <c r="J172" s="29" t="s">
        <v>1615</v>
      </c>
      <c r="K172" s="24" t="s">
        <v>47</v>
      </c>
      <c r="L172" s="49">
        <v>45640</v>
      </c>
      <c r="M172" s="49">
        <v>45657</v>
      </c>
      <c r="N172" s="34">
        <f t="shared" si="6"/>
        <v>17</v>
      </c>
      <c r="O172" s="29"/>
      <c r="P172" t="s">
        <v>88</v>
      </c>
      <c r="Q172" t="s">
        <v>88</v>
      </c>
      <c r="R172" t="s">
        <v>88</v>
      </c>
      <c r="S172" t="s">
        <v>88</v>
      </c>
      <c r="T172" t="s">
        <v>88</v>
      </c>
      <c r="U172" t="s">
        <v>20</v>
      </c>
    </row>
    <row r="173" spans="1:21" x14ac:dyDescent="0.45">
      <c r="A173" s="79">
        <v>92791386</v>
      </c>
      <c r="B173" s="29" t="str">
        <f t="shared" si="7"/>
        <v>9.279.138-6</v>
      </c>
      <c r="C173" s="22" t="str">
        <f>IF(IFERROR(VLOOKUP(A173,$A$9:$I172,1,0),0)=0,"",VLOOKUP(A173,$A$9:$I172,3,0))</f>
        <v>UCI</v>
      </c>
      <c r="D173" s="29" t="str">
        <f>IF(IFERROR(VLOOKUP(A173,$A$9:$I172,1,0),0)=0,"",VLOOKUP(A173,$A$9:$I172,4,0))</f>
        <v>PATRICIA</v>
      </c>
      <c r="E173" s="29" t="str">
        <f>IF(IFERROR(VLOOKUP(A173,$A$9:$I172,1,0),0)=0,"",VLOOKUP(A173,$A$9:$I172,5,0))</f>
        <v>BELMAR</v>
      </c>
      <c r="F173" s="29" t="str">
        <f>IF(IFERROR(VLOOKUP(A173,$A$9:$I172,1,0),0)=0,"",VLOOKUP(A173,$A$9:$I172,6,0))</f>
        <v>SOTO</v>
      </c>
      <c r="G173" s="49">
        <f>IF(IFERROR(VLOOKUP(A173,$A$9:$I172,1,0),0)=0,"",VLOOKUP(A173,$A$9:$I172,7,0))</f>
        <v>45640</v>
      </c>
      <c r="H173" s="29"/>
      <c r="I173" s="29"/>
      <c r="J173" s="29" t="s">
        <v>1615</v>
      </c>
      <c r="K173" s="24" t="s">
        <v>55</v>
      </c>
      <c r="L173" s="49">
        <v>45640</v>
      </c>
      <c r="M173" s="49">
        <v>45657</v>
      </c>
      <c r="N173" s="34">
        <f t="shared" si="6"/>
        <v>17</v>
      </c>
      <c r="O173" s="29" t="s">
        <v>14</v>
      </c>
      <c r="P173" t="s">
        <v>88</v>
      </c>
      <c r="Q173" t="s">
        <v>88</v>
      </c>
      <c r="R173" t="s">
        <v>88</v>
      </c>
      <c r="S173" t="s">
        <v>88</v>
      </c>
      <c r="T173" t="s">
        <v>88</v>
      </c>
      <c r="U173" t="s">
        <v>20</v>
      </c>
    </row>
    <row r="174" spans="1:21" x14ac:dyDescent="0.45">
      <c r="A174" s="79">
        <v>92791386</v>
      </c>
      <c r="B174" s="29" t="str">
        <f t="shared" si="7"/>
        <v>9.279.138-6</v>
      </c>
      <c r="C174" s="22" t="str">
        <f>IF(IFERROR(VLOOKUP(A174,$A$9:$I173,1,0),0)=0,"",VLOOKUP(A174,$A$9:$I173,3,0))</f>
        <v>UCI</v>
      </c>
      <c r="D174" s="29" t="str">
        <f>IF(IFERROR(VLOOKUP(A174,$A$9:$I173,1,0),0)=0,"",VLOOKUP(A174,$A$9:$I173,4,0))</f>
        <v>PATRICIA</v>
      </c>
      <c r="E174" s="29" t="str">
        <f>IF(IFERROR(VLOOKUP(A174,$A$9:$I173,1,0),0)=0,"",VLOOKUP(A174,$A$9:$I173,5,0))</f>
        <v>BELMAR</v>
      </c>
      <c r="F174" s="29" t="str">
        <f>IF(IFERROR(VLOOKUP(A174,$A$9:$I173,1,0),0)=0,"",VLOOKUP(A174,$A$9:$I173,6,0))</f>
        <v>SOTO</v>
      </c>
      <c r="G174" s="49">
        <f>IF(IFERROR(VLOOKUP(A174,$A$9:$I173,1,0),0)=0,"",VLOOKUP(A174,$A$9:$I173,7,0))</f>
        <v>45640</v>
      </c>
      <c r="H174" s="29"/>
      <c r="I174" s="29"/>
      <c r="J174" s="29" t="s">
        <v>1615</v>
      </c>
      <c r="K174" s="24" t="s">
        <v>59</v>
      </c>
      <c r="L174" s="49">
        <v>45641</v>
      </c>
      <c r="M174" s="49">
        <v>45652</v>
      </c>
      <c r="N174" s="34">
        <f t="shared" si="6"/>
        <v>11</v>
      </c>
      <c r="O174" s="29"/>
      <c r="P174" t="s">
        <v>88</v>
      </c>
      <c r="Q174" t="s">
        <v>88</v>
      </c>
      <c r="R174" t="s">
        <v>88</v>
      </c>
      <c r="S174" t="s">
        <v>88</v>
      </c>
      <c r="T174" t="s">
        <v>88</v>
      </c>
      <c r="U174" t="s">
        <v>20</v>
      </c>
    </row>
    <row r="175" spans="1:21" x14ac:dyDescent="0.45">
      <c r="A175" s="79">
        <v>159109941</v>
      </c>
      <c r="B175" s="29" t="str">
        <f t="shared" si="7"/>
        <v>15.910.994-1</v>
      </c>
      <c r="C175" s="22" t="s">
        <v>22</v>
      </c>
      <c r="D175" s="29" t="s">
        <v>481</v>
      </c>
      <c r="E175" s="29" t="s">
        <v>482</v>
      </c>
      <c r="F175" s="29" t="s">
        <v>1655</v>
      </c>
      <c r="G175" s="49">
        <v>45641</v>
      </c>
      <c r="H175" s="49">
        <v>45652</v>
      </c>
      <c r="I175" s="29"/>
      <c r="J175" s="29" t="s">
        <v>22</v>
      </c>
      <c r="K175" s="24" t="s">
        <v>43</v>
      </c>
      <c r="L175" s="49">
        <v>45641</v>
      </c>
      <c r="M175" s="49">
        <v>45652</v>
      </c>
      <c r="N175" s="34">
        <f t="shared" si="6"/>
        <v>11</v>
      </c>
      <c r="O175" s="29" t="s">
        <v>14</v>
      </c>
      <c r="P175" t="s">
        <v>88</v>
      </c>
      <c r="Q175" t="s">
        <v>88</v>
      </c>
      <c r="R175" t="s">
        <v>88</v>
      </c>
      <c r="S175" t="s">
        <v>88</v>
      </c>
      <c r="T175" t="s">
        <v>88</v>
      </c>
      <c r="U175" t="s">
        <v>20</v>
      </c>
    </row>
    <row r="176" spans="1:21" x14ac:dyDescent="0.45">
      <c r="A176" s="79">
        <v>159109941</v>
      </c>
      <c r="B176" s="29" t="str">
        <f t="shared" si="7"/>
        <v>15.910.994-1</v>
      </c>
      <c r="C176" s="22" t="str">
        <f>IF(IFERROR(VLOOKUP(A176,$A$9:$I175,1,0),0)=0,"",VLOOKUP(A176,$A$9:$I175,3,0))</f>
        <v>UCI</v>
      </c>
      <c r="D176" s="29" t="str">
        <f>IF(IFERROR(VLOOKUP(A176,$A$9:$I175,1,0),0)=0,"",VLOOKUP(A176,$A$9:$I175,4,0))</f>
        <v>JUAN</v>
      </c>
      <c r="E176" s="29" t="str">
        <f>IF(IFERROR(VLOOKUP(A176,$A$9:$I175,1,0),0)=0,"",VLOOKUP(A176,$A$9:$I175,5,0))</f>
        <v>PEREZ</v>
      </c>
      <c r="F176" s="29" t="str">
        <f>IF(IFERROR(VLOOKUP(A176,$A$9:$I175,1,0),0)=0,"",VLOOKUP(A176,$A$9:$I175,6,0))</f>
        <v>APABLAZA</v>
      </c>
      <c r="G176" s="49">
        <f>IF(IFERROR(VLOOKUP(A176,$A$9:$I175,1,0),0)=0,"",VLOOKUP(A176,$A$9:$I175,7,0))</f>
        <v>45641</v>
      </c>
      <c r="H176" s="49">
        <v>45652</v>
      </c>
      <c r="I176" s="29"/>
      <c r="J176" s="29" t="s">
        <v>22</v>
      </c>
      <c r="K176" s="24" t="s">
        <v>47</v>
      </c>
      <c r="L176" s="49">
        <v>45641</v>
      </c>
      <c r="M176" s="49">
        <v>45652</v>
      </c>
      <c r="N176" s="34">
        <f t="shared" si="6"/>
        <v>11</v>
      </c>
      <c r="O176" s="29"/>
      <c r="P176" t="s">
        <v>88</v>
      </c>
      <c r="Q176" t="s">
        <v>88</v>
      </c>
      <c r="R176" t="s">
        <v>88</v>
      </c>
      <c r="S176" t="s">
        <v>88</v>
      </c>
      <c r="T176" t="s">
        <v>88</v>
      </c>
      <c r="U176" t="s">
        <v>20</v>
      </c>
    </row>
    <row r="177" spans="1:21" x14ac:dyDescent="0.45">
      <c r="A177" s="79">
        <v>159109941</v>
      </c>
      <c r="B177" s="29" t="str">
        <f t="shared" si="7"/>
        <v>15.910.994-1</v>
      </c>
      <c r="C177" s="22" t="str">
        <f>IF(IFERROR(VLOOKUP(A177,$A$9:$I176,1,0),0)=0,"",VLOOKUP(A177,$A$9:$I176,3,0))</f>
        <v>UCI</v>
      </c>
      <c r="D177" s="29" t="str">
        <f>IF(IFERROR(VLOOKUP(A177,$A$9:$I176,1,0),0)=0,"",VLOOKUP(A177,$A$9:$I176,4,0))</f>
        <v>JUAN</v>
      </c>
      <c r="E177" s="29" t="str">
        <f>IF(IFERROR(VLOOKUP(A177,$A$9:$I176,1,0),0)=0,"",VLOOKUP(A177,$A$9:$I176,5,0))</f>
        <v>PEREZ</v>
      </c>
      <c r="F177" s="29" t="str">
        <f>IF(IFERROR(VLOOKUP(A177,$A$9:$I176,1,0),0)=0,"",VLOOKUP(A177,$A$9:$I176,6,0))</f>
        <v>APABLAZA</v>
      </c>
      <c r="G177" s="49">
        <f>IF(IFERROR(VLOOKUP(A177,$A$9:$I176,1,0),0)=0,"",VLOOKUP(A177,$A$9:$I176,7,0))</f>
        <v>45641</v>
      </c>
      <c r="H177" s="49">
        <v>45652</v>
      </c>
      <c r="I177" s="29"/>
      <c r="J177" s="29" t="s">
        <v>22</v>
      </c>
      <c r="K177" s="24" t="s">
        <v>55</v>
      </c>
      <c r="L177" s="49">
        <v>45641</v>
      </c>
      <c r="M177" s="49">
        <v>45650</v>
      </c>
      <c r="N177" s="34">
        <f t="shared" si="6"/>
        <v>9</v>
      </c>
      <c r="O177" s="29"/>
      <c r="P177" t="s">
        <v>132</v>
      </c>
      <c r="Q177" t="s">
        <v>88</v>
      </c>
      <c r="R177" t="s">
        <v>88</v>
      </c>
      <c r="S177" t="s">
        <v>88</v>
      </c>
      <c r="T177" t="s">
        <v>88</v>
      </c>
      <c r="U177" t="s">
        <v>20</v>
      </c>
    </row>
    <row r="178" spans="1:21" x14ac:dyDescent="0.45">
      <c r="A178" s="79">
        <v>188287891</v>
      </c>
      <c r="B178" s="29" t="str">
        <f t="shared" si="7"/>
        <v>18.828.789-1</v>
      </c>
      <c r="C178" s="22" t="s">
        <v>22</v>
      </c>
      <c r="D178" s="29" t="s">
        <v>334</v>
      </c>
      <c r="E178" s="29" t="s">
        <v>418</v>
      </c>
      <c r="F178" s="29" t="s">
        <v>352</v>
      </c>
      <c r="G178" s="49">
        <v>45640</v>
      </c>
      <c r="H178" s="49">
        <v>45665</v>
      </c>
      <c r="I178" s="29"/>
      <c r="J178" s="29" t="s">
        <v>22</v>
      </c>
      <c r="K178" s="24" t="s">
        <v>43</v>
      </c>
      <c r="L178" s="49">
        <v>45640</v>
      </c>
      <c r="M178" s="49">
        <v>45657</v>
      </c>
      <c r="N178" s="34">
        <f t="shared" si="6"/>
        <v>17</v>
      </c>
      <c r="O178" s="29" t="s">
        <v>14</v>
      </c>
      <c r="P178" t="s">
        <v>96</v>
      </c>
      <c r="Q178" t="s">
        <v>88</v>
      </c>
      <c r="R178" t="s">
        <v>88</v>
      </c>
      <c r="S178" t="s">
        <v>88</v>
      </c>
      <c r="T178" t="s">
        <v>88</v>
      </c>
      <c r="U178" t="s">
        <v>20</v>
      </c>
    </row>
    <row r="179" spans="1:21" x14ac:dyDescent="0.45">
      <c r="A179" s="79">
        <v>188287891</v>
      </c>
      <c r="B179" s="29" t="str">
        <f t="shared" si="7"/>
        <v>18.828.789-1</v>
      </c>
      <c r="C179" s="22" t="str">
        <f>IF(IFERROR(VLOOKUP(A179,$A$9:$I178,1,0),0)=0,"",VLOOKUP(A179,$A$9:$I178,3,0))</f>
        <v>UCI</v>
      </c>
      <c r="D179" s="29" t="str">
        <f>IF(IFERROR(VLOOKUP(A179,$A$9:$I178,1,0),0)=0,"",VLOOKUP(A179,$A$9:$I178,4,0))</f>
        <v>VICTORIA</v>
      </c>
      <c r="E179" s="29" t="str">
        <f>IF(IFERROR(VLOOKUP(A179,$A$9:$I178,1,0),0)=0,"",VLOOKUP(A179,$A$9:$I178,5,0))</f>
        <v>ARANEDA</v>
      </c>
      <c r="F179" s="29" t="str">
        <f>IF(IFERROR(VLOOKUP(A179,$A$9:$I178,1,0),0)=0,"",VLOOKUP(A179,$A$9:$I178,6,0))</f>
        <v>CONTRERAS</v>
      </c>
      <c r="G179" s="49">
        <f>IF(IFERROR(VLOOKUP(A179,$A$9:$I178,1,0),0)=0,"",VLOOKUP(A179,$A$9:$I178,7,0))</f>
        <v>45640</v>
      </c>
      <c r="H179" s="49">
        <v>45665</v>
      </c>
      <c r="I179" s="29"/>
      <c r="J179" s="29" t="s">
        <v>22</v>
      </c>
      <c r="K179" s="24" t="s">
        <v>47</v>
      </c>
      <c r="L179" s="49">
        <v>45640</v>
      </c>
      <c r="M179" s="49">
        <v>45657</v>
      </c>
      <c r="N179" s="34">
        <f t="shared" si="6"/>
        <v>17</v>
      </c>
      <c r="O179" s="29"/>
      <c r="P179" t="s">
        <v>88</v>
      </c>
      <c r="Q179" t="s">
        <v>88</v>
      </c>
      <c r="R179" t="s">
        <v>88</v>
      </c>
      <c r="S179" t="s">
        <v>88</v>
      </c>
      <c r="T179" t="s">
        <v>88</v>
      </c>
      <c r="U179" t="s">
        <v>20</v>
      </c>
    </row>
    <row r="180" spans="1:21" x14ac:dyDescent="0.45">
      <c r="A180" s="79">
        <v>188287891</v>
      </c>
      <c r="B180" s="29" t="str">
        <f t="shared" si="7"/>
        <v>18.828.789-1</v>
      </c>
      <c r="C180" s="22" t="str">
        <f>IF(IFERROR(VLOOKUP(A180,$A$9:$I179,1,0),0)=0,"",VLOOKUP(A180,$A$9:$I179,3,0))</f>
        <v>UCI</v>
      </c>
      <c r="D180" s="29" t="str">
        <f>IF(IFERROR(VLOOKUP(A180,$A$9:$I179,1,0),0)=0,"",VLOOKUP(A180,$A$9:$I179,4,0))</f>
        <v>VICTORIA</v>
      </c>
      <c r="E180" s="29" t="str">
        <f>IF(IFERROR(VLOOKUP(A180,$A$9:$I179,1,0),0)=0,"",VLOOKUP(A180,$A$9:$I179,5,0))</f>
        <v>ARANEDA</v>
      </c>
      <c r="F180" s="29" t="str">
        <f>IF(IFERROR(VLOOKUP(A180,$A$9:$I179,1,0),0)=0,"",VLOOKUP(A180,$A$9:$I179,6,0))</f>
        <v>CONTRERAS</v>
      </c>
      <c r="G180" s="49">
        <f>IF(IFERROR(VLOOKUP(A180,$A$9:$I179,1,0),0)=0,"",VLOOKUP(A180,$A$9:$I179,7,0))</f>
        <v>45640</v>
      </c>
      <c r="H180" s="49">
        <v>45665</v>
      </c>
      <c r="I180" s="29"/>
      <c r="J180" s="29" t="s">
        <v>22</v>
      </c>
      <c r="K180" s="24" t="s">
        <v>55</v>
      </c>
      <c r="L180" s="49">
        <v>45640</v>
      </c>
      <c r="M180" s="49">
        <v>45657</v>
      </c>
      <c r="N180" s="34">
        <f t="shared" si="6"/>
        <v>17</v>
      </c>
      <c r="O180" s="29"/>
      <c r="P180" t="s">
        <v>132</v>
      </c>
      <c r="Q180" t="s">
        <v>88</v>
      </c>
      <c r="R180" t="s">
        <v>88</v>
      </c>
      <c r="S180" t="s">
        <v>88</v>
      </c>
      <c r="T180" t="s">
        <v>88</v>
      </c>
      <c r="U180" t="s">
        <v>20</v>
      </c>
    </row>
    <row r="181" spans="1:21" x14ac:dyDescent="0.45">
      <c r="A181" s="79">
        <v>41605707</v>
      </c>
      <c r="B181" s="29" t="str">
        <f t="shared" si="7"/>
        <v>4.160.570-7</v>
      </c>
      <c r="C181" s="22" t="s">
        <v>22</v>
      </c>
      <c r="D181" s="29" t="s">
        <v>793</v>
      </c>
      <c r="E181" s="29" t="s">
        <v>1656</v>
      </c>
      <c r="F181" s="29" t="s">
        <v>673</v>
      </c>
      <c r="G181" s="49">
        <v>45643</v>
      </c>
      <c r="H181" s="49">
        <v>45645</v>
      </c>
      <c r="I181" s="29"/>
      <c r="J181" s="29" t="s">
        <v>22</v>
      </c>
      <c r="K181" s="24" t="s">
        <v>43</v>
      </c>
      <c r="L181" s="49">
        <v>45643</v>
      </c>
      <c r="M181" s="49">
        <v>45645</v>
      </c>
      <c r="N181" s="34">
        <f t="shared" si="6"/>
        <v>2</v>
      </c>
      <c r="O181" s="29"/>
      <c r="P181" t="s">
        <v>88</v>
      </c>
      <c r="Q181" t="s">
        <v>88</v>
      </c>
      <c r="R181" t="s">
        <v>88</v>
      </c>
      <c r="S181" t="s">
        <v>88</v>
      </c>
      <c r="T181" t="s">
        <v>88</v>
      </c>
      <c r="U181" t="s">
        <v>20</v>
      </c>
    </row>
    <row r="182" spans="1:21" x14ac:dyDescent="0.45">
      <c r="A182" s="79">
        <v>41605707</v>
      </c>
      <c r="B182" s="29" t="str">
        <f t="shared" si="7"/>
        <v>4.160.570-7</v>
      </c>
      <c r="C182" s="22" t="str">
        <f>IF(IFERROR(VLOOKUP(A182,$A$9:$I181,1,0),0)=0,"",VLOOKUP(A182,$A$9:$I181,3,0))</f>
        <v>UCI</v>
      </c>
      <c r="D182" s="29" t="str">
        <f>IF(IFERROR(VLOOKUP(A182,$A$9:$I181,1,0),0)=0,"",VLOOKUP(A182,$A$9:$I181,4,0))</f>
        <v>MIGUEL</v>
      </c>
      <c r="E182" s="29" t="str">
        <f>IF(IFERROR(VLOOKUP(A182,$A$9:$I181,1,0),0)=0,"",VLOOKUP(A182,$A$9:$I181,5,0))</f>
        <v>ARRIAZA</v>
      </c>
      <c r="F182" s="29" t="str">
        <f>IF(IFERROR(VLOOKUP(A182,$A$9:$I181,1,0),0)=0,"",VLOOKUP(A182,$A$9:$I181,6,0))</f>
        <v>NOVA</v>
      </c>
      <c r="G182" s="49">
        <f>IF(IFERROR(VLOOKUP(A182,$A$9:$I181,1,0),0)=0,"",VLOOKUP(A182,$A$9:$I181,7,0))</f>
        <v>45643</v>
      </c>
      <c r="H182" s="49">
        <v>45645</v>
      </c>
      <c r="I182" s="29"/>
      <c r="J182" s="29" t="s">
        <v>22</v>
      </c>
      <c r="K182" s="24" t="s">
        <v>47</v>
      </c>
      <c r="L182" s="49">
        <v>45643</v>
      </c>
      <c r="M182" s="49">
        <v>45645</v>
      </c>
      <c r="N182" s="34">
        <f t="shared" si="6"/>
        <v>2</v>
      </c>
      <c r="O182" s="29"/>
      <c r="P182" t="s">
        <v>88</v>
      </c>
      <c r="Q182" t="s">
        <v>88</v>
      </c>
      <c r="R182" t="s">
        <v>88</v>
      </c>
      <c r="S182" t="s">
        <v>88</v>
      </c>
      <c r="T182" t="s">
        <v>88</v>
      </c>
      <c r="U182" t="s">
        <v>20</v>
      </c>
    </row>
    <row r="183" spans="1:21" x14ac:dyDescent="0.45">
      <c r="A183" s="79">
        <v>416885524</v>
      </c>
      <c r="B183" s="29" t="str">
        <f t="shared" si="7"/>
        <v>41.688.552-4</v>
      </c>
      <c r="C183" s="22" t="s">
        <v>22</v>
      </c>
      <c r="D183" s="29" t="s">
        <v>487</v>
      </c>
      <c r="E183" s="29" t="s">
        <v>1657</v>
      </c>
      <c r="F183" s="29" t="s">
        <v>422</v>
      </c>
      <c r="G183" s="49">
        <v>45642</v>
      </c>
      <c r="H183" s="49">
        <v>45649</v>
      </c>
      <c r="I183" s="29"/>
      <c r="J183" s="29" t="s">
        <v>22</v>
      </c>
      <c r="K183" s="24" t="s">
        <v>43</v>
      </c>
      <c r="L183" s="49">
        <v>45642</v>
      </c>
      <c r="M183" s="49">
        <v>45649</v>
      </c>
      <c r="N183" s="34">
        <f t="shared" si="6"/>
        <v>7</v>
      </c>
      <c r="O183" s="29"/>
      <c r="P183" t="s">
        <v>88</v>
      </c>
      <c r="Q183" t="s">
        <v>88</v>
      </c>
      <c r="R183" t="s">
        <v>88</v>
      </c>
      <c r="S183" t="s">
        <v>88</v>
      </c>
      <c r="T183" t="s">
        <v>88</v>
      </c>
      <c r="U183" t="s">
        <v>20</v>
      </c>
    </row>
    <row r="184" spans="1:21" x14ac:dyDescent="0.45">
      <c r="A184" s="79">
        <v>416885524</v>
      </c>
      <c r="B184" s="29" t="str">
        <f t="shared" si="7"/>
        <v>41.688.552-4</v>
      </c>
      <c r="C184" s="22" t="str">
        <f>IF(IFERROR(VLOOKUP(A184,$A$9:$I183,1,0),0)=0,"",VLOOKUP(A184,$A$9:$I183,3,0))</f>
        <v>UCI</v>
      </c>
      <c r="D184" s="29" t="str">
        <f>IF(IFERROR(VLOOKUP(A184,$A$9:$I183,1,0),0)=0,"",VLOOKUP(A184,$A$9:$I183,4,0))</f>
        <v>CRISTIAN</v>
      </c>
      <c r="E184" s="29" t="str">
        <f>IF(IFERROR(VLOOKUP(A184,$A$9:$I183,1,0),0)=0,"",VLOOKUP(A184,$A$9:$I183,5,0))</f>
        <v>RIERA</v>
      </c>
      <c r="F184" s="29" t="str">
        <f>IF(IFERROR(VLOOKUP(A184,$A$9:$I183,1,0),0)=0,"",VLOOKUP(A184,$A$9:$I183,6,0))</f>
        <v>TORRES</v>
      </c>
      <c r="G184" s="49">
        <f>IF(IFERROR(VLOOKUP(A184,$A$9:$I183,1,0),0)=0,"",VLOOKUP(A184,$A$9:$I183,7,0))</f>
        <v>45642</v>
      </c>
      <c r="H184" s="49">
        <v>45649</v>
      </c>
      <c r="I184" s="29"/>
      <c r="J184" s="29" t="s">
        <v>22</v>
      </c>
      <c r="K184" s="24" t="s">
        <v>47</v>
      </c>
      <c r="L184" s="49">
        <v>45642</v>
      </c>
      <c r="M184" s="49">
        <v>45649</v>
      </c>
      <c r="N184" s="34">
        <f t="shared" si="6"/>
        <v>7</v>
      </c>
      <c r="O184" s="29"/>
      <c r="P184" t="s">
        <v>88</v>
      </c>
      <c r="Q184" t="s">
        <v>88</v>
      </c>
      <c r="R184" t="s">
        <v>88</v>
      </c>
      <c r="S184" t="s">
        <v>88</v>
      </c>
      <c r="T184" t="s">
        <v>88</v>
      </c>
      <c r="U184" t="s">
        <v>20</v>
      </c>
    </row>
    <row r="185" spans="1:21" x14ac:dyDescent="0.45">
      <c r="A185" s="79">
        <v>184294648</v>
      </c>
      <c r="B185" s="29" t="str">
        <f t="shared" si="7"/>
        <v>18.429.464-8</v>
      </c>
      <c r="C185" s="22" t="s">
        <v>22</v>
      </c>
      <c r="D185" s="29" t="s">
        <v>1658</v>
      </c>
      <c r="E185" s="29" t="s">
        <v>1659</v>
      </c>
      <c r="F185" s="29" t="s">
        <v>1369</v>
      </c>
      <c r="G185" s="49">
        <v>45640</v>
      </c>
      <c r="H185" s="49">
        <v>45643</v>
      </c>
      <c r="I185" s="29"/>
      <c r="J185" s="29" t="s">
        <v>1615</v>
      </c>
      <c r="K185" s="24" t="s">
        <v>43</v>
      </c>
      <c r="L185" s="49">
        <v>45640</v>
      </c>
      <c r="M185" s="49">
        <v>45644</v>
      </c>
      <c r="N185" s="34">
        <f t="shared" si="6"/>
        <v>4</v>
      </c>
      <c r="O185" s="29"/>
      <c r="P185" t="s">
        <v>88</v>
      </c>
      <c r="Q185" t="s">
        <v>88</v>
      </c>
      <c r="R185" t="s">
        <v>88</v>
      </c>
      <c r="S185" t="s">
        <v>88</v>
      </c>
      <c r="T185" t="s">
        <v>88</v>
      </c>
      <c r="U185" t="s">
        <v>20</v>
      </c>
    </row>
    <row r="186" spans="1:21" x14ac:dyDescent="0.45">
      <c r="A186" s="79">
        <v>184294648</v>
      </c>
      <c r="B186" s="29" t="str">
        <f t="shared" si="7"/>
        <v>18.429.464-8</v>
      </c>
      <c r="C186" s="22" t="str">
        <f>IF(IFERROR(VLOOKUP(A186,$A$9:$I185,1,0),0)=0,"",VLOOKUP(A186,$A$9:$I185,3,0))</f>
        <v>UCI</v>
      </c>
      <c r="D186" s="29" t="str">
        <f>IF(IFERROR(VLOOKUP(A186,$A$9:$I185,1,0),0)=0,"",VLOOKUP(A186,$A$9:$I185,4,0))</f>
        <v>KATHERINNE</v>
      </c>
      <c r="E186" s="29" t="str">
        <f>IF(IFERROR(VLOOKUP(A186,$A$9:$I185,1,0),0)=0,"",VLOOKUP(A186,$A$9:$I185,5,0))</f>
        <v>BORQUEZ</v>
      </c>
      <c r="F186" s="29" t="str">
        <f>IF(IFERROR(VLOOKUP(A186,$A$9:$I185,1,0),0)=0,"",VLOOKUP(A186,$A$9:$I185,6,0))</f>
        <v>MILLAR</v>
      </c>
      <c r="G186" s="49">
        <f>IF(IFERROR(VLOOKUP(A186,$A$9:$I185,1,0),0)=0,"",VLOOKUP(A186,$A$9:$I185,7,0))</f>
        <v>45640</v>
      </c>
      <c r="H186" s="49">
        <v>45644</v>
      </c>
      <c r="I186" s="29"/>
      <c r="J186" s="29" t="s">
        <v>1615</v>
      </c>
      <c r="K186" s="24" t="s">
        <v>47</v>
      </c>
      <c r="L186" s="49">
        <v>45640</v>
      </c>
      <c r="M186" s="49">
        <v>45645</v>
      </c>
      <c r="N186" s="34">
        <f t="shared" si="6"/>
        <v>5</v>
      </c>
      <c r="O186" s="29"/>
      <c r="P186" t="s">
        <v>88</v>
      </c>
      <c r="Q186" t="s">
        <v>88</v>
      </c>
      <c r="R186" t="s">
        <v>88</v>
      </c>
      <c r="S186" t="s">
        <v>88</v>
      </c>
      <c r="T186" t="s">
        <v>88</v>
      </c>
      <c r="U186" t="s">
        <v>20</v>
      </c>
    </row>
    <row r="187" spans="1:21" x14ac:dyDescent="0.45">
      <c r="A187" s="79">
        <v>113499540</v>
      </c>
      <c r="B187" s="29" t="str">
        <f t="shared" si="7"/>
        <v>11.349.954-0</v>
      </c>
      <c r="C187" s="22" t="str">
        <f>IF(IFERROR(VLOOKUP(A187,$A$9:$I186,1,0),0)=0,"",VLOOKUP(A187,$A$9:$I186,3,0))</f>
        <v>UCI</v>
      </c>
      <c r="D187" s="29" t="str">
        <f>IF(IFERROR(VLOOKUP(A187,$A$9:$I186,1,0),0)=0,"",VLOOKUP(A187,$A$9:$I186,4,0))</f>
        <v>CRISTIAN</v>
      </c>
      <c r="E187" s="29" t="str">
        <f>IF(IFERROR(VLOOKUP(A187,$A$9:$I186,1,0),0)=0,"",VLOOKUP(A187,$A$9:$I186,5,0))</f>
        <v>SEPULVEDA</v>
      </c>
      <c r="F187" s="29" t="str">
        <f>IF(IFERROR(VLOOKUP(A187,$A$9:$I186,1,0),0)=0,"",VLOOKUP(A187,$A$9:$I186,6,0))</f>
        <v>CAMPOS</v>
      </c>
      <c r="G187" s="49">
        <v>45640</v>
      </c>
      <c r="H187" s="49">
        <v>45648</v>
      </c>
      <c r="I187" s="29"/>
      <c r="J187" s="29" t="s">
        <v>24</v>
      </c>
      <c r="K187" s="24" t="s">
        <v>43</v>
      </c>
      <c r="L187" s="49">
        <v>45640</v>
      </c>
      <c r="M187" s="49">
        <v>45645</v>
      </c>
      <c r="N187" s="34">
        <f t="shared" ref="N187:N250" si="8">+M187-L187</f>
        <v>5</v>
      </c>
      <c r="O187" s="29"/>
      <c r="P187" t="s">
        <v>88</v>
      </c>
      <c r="Q187" t="s">
        <v>88</v>
      </c>
      <c r="R187" t="s">
        <v>88</v>
      </c>
      <c r="S187" t="s">
        <v>88</v>
      </c>
      <c r="T187" t="s">
        <v>88</v>
      </c>
      <c r="U187" t="s">
        <v>20</v>
      </c>
    </row>
    <row r="188" spans="1:21" x14ac:dyDescent="0.45">
      <c r="A188" s="79">
        <v>113499540</v>
      </c>
      <c r="B188" s="29" t="str">
        <f t="shared" si="7"/>
        <v>11.349.954-0</v>
      </c>
      <c r="C188" s="22" t="str">
        <f>IF(IFERROR(VLOOKUP(A188,$A$9:$I186,1,0),0)=0,"",VLOOKUP(A188,$A$9:$I186,3,0))</f>
        <v>UCI</v>
      </c>
      <c r="D188" s="29" t="str">
        <f>IF(IFERROR(VLOOKUP(A188,$A$9:$I186,1,0),0)=0,"",VLOOKUP(A188,$A$9:$I186,4,0))</f>
        <v>CRISTIAN</v>
      </c>
      <c r="E188" s="29" t="str">
        <f>IF(IFERROR(VLOOKUP(A188,$A$9:$I186,1,0),0)=0,"",VLOOKUP(A188,$A$9:$I186,5,0))</f>
        <v>SEPULVEDA</v>
      </c>
      <c r="F188" s="29" t="str">
        <f>IF(IFERROR(VLOOKUP(A188,$A$9:$I186,1,0),0)=0,"",VLOOKUP(A188,$A$9:$I186,6,0))</f>
        <v>CAMPOS</v>
      </c>
      <c r="G188" s="49">
        <v>45640</v>
      </c>
      <c r="H188" s="49">
        <v>45648</v>
      </c>
      <c r="I188" s="29"/>
      <c r="J188" s="29" t="s">
        <v>24</v>
      </c>
      <c r="K188" s="24" t="s">
        <v>47</v>
      </c>
      <c r="L188" s="49">
        <v>45640</v>
      </c>
      <c r="M188" s="49">
        <v>45645</v>
      </c>
      <c r="N188" s="34">
        <f t="shared" si="8"/>
        <v>5</v>
      </c>
      <c r="O188" s="29"/>
      <c r="P188" t="s">
        <v>88</v>
      </c>
      <c r="Q188" t="s">
        <v>88</v>
      </c>
      <c r="R188" t="s">
        <v>88</v>
      </c>
      <c r="S188" t="s">
        <v>88</v>
      </c>
      <c r="T188" t="s">
        <v>88</v>
      </c>
      <c r="U188" t="s">
        <v>20</v>
      </c>
    </row>
    <row r="189" spans="1:21" x14ac:dyDescent="0.45">
      <c r="A189" s="79">
        <v>113499540</v>
      </c>
      <c r="B189" s="29" t="str">
        <f t="shared" si="7"/>
        <v>11.349.954-0</v>
      </c>
      <c r="C189" s="22" t="str">
        <f>IF(IFERROR(VLOOKUP(A189,$A$9:$I187,1,0),0)=0,"",VLOOKUP(A189,$A$9:$I187,3,0))</f>
        <v>UCI</v>
      </c>
      <c r="D189" s="29" t="str">
        <f>IF(IFERROR(VLOOKUP(A189,$A$9:$I187,1,0),0)=0,"",VLOOKUP(A189,$A$9:$I187,4,0))</f>
        <v>CRISTIAN</v>
      </c>
      <c r="E189" s="29" t="str">
        <f>IF(IFERROR(VLOOKUP(A189,$A$9:$I187,1,0),0)=0,"",VLOOKUP(A189,$A$9:$I187,5,0))</f>
        <v>SEPULVEDA</v>
      </c>
      <c r="F189" s="29" t="str">
        <f>IF(IFERROR(VLOOKUP(A189,$A$9:$I187,1,0),0)=0,"",VLOOKUP(A189,$A$9:$I187,6,0))</f>
        <v>CAMPOS</v>
      </c>
      <c r="G189" s="49">
        <v>45640</v>
      </c>
      <c r="H189" s="49">
        <v>45648</v>
      </c>
      <c r="I189" s="29"/>
      <c r="J189" s="29" t="s">
        <v>24</v>
      </c>
      <c r="K189" s="24" t="s">
        <v>18</v>
      </c>
      <c r="L189" s="49">
        <v>45645</v>
      </c>
      <c r="M189" s="49">
        <v>45648</v>
      </c>
      <c r="N189" s="34">
        <f t="shared" si="8"/>
        <v>3</v>
      </c>
      <c r="O189" s="29"/>
      <c r="P189" t="s">
        <v>88</v>
      </c>
      <c r="Q189" t="s">
        <v>88</v>
      </c>
      <c r="R189" t="s">
        <v>88</v>
      </c>
      <c r="S189" t="s">
        <v>88</v>
      </c>
      <c r="T189" t="s">
        <v>88</v>
      </c>
      <c r="U189" t="s">
        <v>20</v>
      </c>
    </row>
    <row r="190" spans="1:21" x14ac:dyDescent="0.45">
      <c r="A190" s="79">
        <v>42926655</v>
      </c>
      <c r="B190" s="29" t="str">
        <f t="shared" si="7"/>
        <v>4.292.665-5</v>
      </c>
      <c r="C190" s="22" t="s">
        <v>22</v>
      </c>
      <c r="D190" s="29" t="str">
        <f>IF(IFERROR(VLOOKUP(A190,$A$9:$I188,1,0),0)=0,"",VLOOKUP(A190,$A$9:$I188,4,0))</f>
        <v>RAFAEL</v>
      </c>
      <c r="E190" s="29" t="str">
        <f>IF(IFERROR(VLOOKUP(A190,$A$9:$I188,1,0),0)=0,"",VLOOKUP(A190,$A$9:$I188,5,0))</f>
        <v>HENRIQUEZ</v>
      </c>
      <c r="F190" s="29" t="str">
        <f>IF(IFERROR(VLOOKUP(A190,$A$9:$I188,1,0),0)=0,"",VLOOKUP(A190,$A$9:$I188,6,0))</f>
        <v>ROMERO</v>
      </c>
      <c r="G190" s="49">
        <v>45639</v>
      </c>
      <c r="H190" s="49">
        <v>45648</v>
      </c>
      <c r="I190" s="29"/>
      <c r="J190" s="29" t="s">
        <v>44</v>
      </c>
      <c r="K190" s="24" t="s">
        <v>43</v>
      </c>
      <c r="L190" s="49">
        <v>45639</v>
      </c>
      <c r="M190" s="49">
        <v>45647</v>
      </c>
      <c r="N190" s="34">
        <f t="shared" si="8"/>
        <v>8</v>
      </c>
      <c r="O190" s="29"/>
      <c r="P190" t="s">
        <v>88</v>
      </c>
      <c r="Q190" t="s">
        <v>88</v>
      </c>
      <c r="R190" t="s">
        <v>88</v>
      </c>
      <c r="S190" t="s">
        <v>88</v>
      </c>
      <c r="T190" t="s">
        <v>88</v>
      </c>
      <c r="U190" t="s">
        <v>20</v>
      </c>
    </row>
    <row r="191" spans="1:21" x14ac:dyDescent="0.45">
      <c r="A191" s="79">
        <v>42926655</v>
      </c>
      <c r="B191" s="29" t="str">
        <f t="shared" si="7"/>
        <v>4.292.665-5</v>
      </c>
      <c r="C191" s="22" t="s">
        <v>22</v>
      </c>
      <c r="D191" s="29" t="str">
        <f>IF(IFERROR(VLOOKUP(A191,$A$9:$I189,1,0),0)=0,"",VLOOKUP(A191,$A$9:$I189,4,0))</f>
        <v>RAFAEL</v>
      </c>
      <c r="E191" s="29" t="str">
        <f>IF(IFERROR(VLOOKUP(A191,$A$9:$I189,1,0),0)=0,"",VLOOKUP(A191,$A$9:$I189,5,0))</f>
        <v>HENRIQUEZ</v>
      </c>
      <c r="F191" s="29" t="str">
        <f>IF(IFERROR(VLOOKUP(A191,$A$9:$I189,1,0),0)=0,"",VLOOKUP(A191,$A$9:$I189,6,0))</f>
        <v>ROMERO</v>
      </c>
      <c r="G191" s="49">
        <v>45639</v>
      </c>
      <c r="H191" s="49">
        <v>45648</v>
      </c>
      <c r="I191" s="29"/>
      <c r="J191" s="29" t="s">
        <v>44</v>
      </c>
      <c r="K191" s="24" t="s">
        <v>47</v>
      </c>
      <c r="L191" s="49">
        <v>45639</v>
      </c>
      <c r="M191" s="49">
        <v>45647</v>
      </c>
      <c r="N191" s="34">
        <f t="shared" si="8"/>
        <v>8</v>
      </c>
      <c r="O191" s="29"/>
      <c r="P191" t="s">
        <v>88</v>
      </c>
      <c r="Q191" t="s">
        <v>88</v>
      </c>
      <c r="R191" t="s">
        <v>88</v>
      </c>
      <c r="S191" t="s">
        <v>88</v>
      </c>
      <c r="T191" t="s">
        <v>88</v>
      </c>
      <c r="U191" t="s">
        <v>20</v>
      </c>
    </row>
    <row r="192" spans="1:21" x14ac:dyDescent="0.45">
      <c r="A192" s="79">
        <v>144205081</v>
      </c>
      <c r="B192" s="29" t="str">
        <f t="shared" si="7"/>
        <v>14.420.508-1</v>
      </c>
      <c r="C192" s="22" t="str">
        <f>IF(IFERROR(VLOOKUP(A192,$A$9:$I191,1,0),0)=0,"",VLOOKUP(A192,$A$9:$I191,3,0))</f>
        <v>UCI</v>
      </c>
      <c r="D192" s="29" t="str">
        <f>IF(IFERROR(VLOOKUP(A192,$A$9:$I191,1,0),0)=0,"",VLOOKUP(A192,$A$9:$I191,4,0))</f>
        <v>CARLOS</v>
      </c>
      <c r="E192" s="29" t="str">
        <f>IF(IFERROR(VLOOKUP(A192,$A$9:$I191,1,0),0)=0,"",VLOOKUP(A192,$A$9:$I191,5,0))</f>
        <v>GODOY</v>
      </c>
      <c r="F192" s="29" t="str">
        <f>IF(IFERROR(VLOOKUP(A192,$A$9:$I191,1,0),0)=0,"",VLOOKUP(A192,$A$9:$I191,6,0))</f>
        <v>BASCUÑAN</v>
      </c>
      <c r="G192" s="49">
        <v>45636</v>
      </c>
      <c r="H192" s="29"/>
      <c r="I192" s="29"/>
      <c r="J192" s="29" t="s">
        <v>1615</v>
      </c>
      <c r="K192" s="24" t="s">
        <v>18</v>
      </c>
      <c r="L192" s="49">
        <v>45636</v>
      </c>
      <c r="M192" s="49">
        <v>45657</v>
      </c>
      <c r="N192" s="34">
        <f t="shared" si="8"/>
        <v>21</v>
      </c>
      <c r="O192" s="29"/>
      <c r="P192" t="s">
        <v>88</v>
      </c>
      <c r="Q192" t="s">
        <v>88</v>
      </c>
      <c r="R192" t="s">
        <v>88</v>
      </c>
      <c r="S192" t="s">
        <v>88</v>
      </c>
      <c r="T192" t="s">
        <v>88</v>
      </c>
      <c r="U192" t="s">
        <v>20</v>
      </c>
    </row>
    <row r="193" spans="1:21" x14ac:dyDescent="0.45">
      <c r="A193" s="79">
        <v>144205081</v>
      </c>
      <c r="B193" s="29" t="str">
        <f t="shared" si="7"/>
        <v>14.420.508-1</v>
      </c>
      <c r="C193" s="22" t="str">
        <f>IF(IFERROR(VLOOKUP(A193,$A$9:$I192,1,0),0)=0,"",VLOOKUP(A193,$A$9:$I192,3,0))</f>
        <v>UCI</v>
      </c>
      <c r="D193" s="29" t="str">
        <f>IF(IFERROR(VLOOKUP(A193,$A$9:$I192,1,0),0)=0,"",VLOOKUP(A193,$A$9:$I192,4,0))</f>
        <v>CARLOS</v>
      </c>
      <c r="E193" s="29" t="str">
        <f>IF(IFERROR(VLOOKUP(A193,$A$9:$I192,1,0),0)=0,"",VLOOKUP(A193,$A$9:$I192,5,0))</f>
        <v>GODOY</v>
      </c>
      <c r="F193" s="29" t="str">
        <f>IF(IFERROR(VLOOKUP(A193,$A$9:$I192,1,0),0)=0,"",VLOOKUP(A193,$A$9:$I192,6,0))</f>
        <v>BASCUÑAN</v>
      </c>
      <c r="G193" s="49">
        <v>45636</v>
      </c>
      <c r="H193" s="29"/>
      <c r="I193" s="29"/>
      <c r="J193" s="29" t="s">
        <v>1615</v>
      </c>
      <c r="K193" s="24" t="s">
        <v>47</v>
      </c>
      <c r="L193" s="49">
        <v>45636</v>
      </c>
      <c r="M193" s="49">
        <v>45657</v>
      </c>
      <c r="N193" s="34">
        <f t="shared" si="8"/>
        <v>21</v>
      </c>
      <c r="O193" s="29"/>
      <c r="P193" t="s">
        <v>88</v>
      </c>
      <c r="Q193" t="s">
        <v>88</v>
      </c>
      <c r="R193" t="s">
        <v>88</v>
      </c>
      <c r="S193" t="s">
        <v>88</v>
      </c>
      <c r="T193" t="s">
        <v>88</v>
      </c>
      <c r="U193" t="s">
        <v>20</v>
      </c>
    </row>
    <row r="194" spans="1:21" x14ac:dyDescent="0.45">
      <c r="A194" s="79">
        <v>160384409</v>
      </c>
      <c r="B194" s="29" t="str">
        <f t="shared" si="7"/>
        <v>16.038.440-9</v>
      </c>
      <c r="C194" s="22" t="s">
        <v>22</v>
      </c>
      <c r="D194" s="29" t="s">
        <v>1660</v>
      </c>
      <c r="E194" s="29" t="s">
        <v>1116</v>
      </c>
      <c r="F194" s="29" t="s">
        <v>448</v>
      </c>
      <c r="G194" s="49">
        <v>45640</v>
      </c>
      <c r="H194" s="49">
        <v>45644</v>
      </c>
      <c r="I194" s="29" t="s">
        <v>22</v>
      </c>
      <c r="J194" s="29" t="s">
        <v>56</v>
      </c>
      <c r="K194" s="24" t="s">
        <v>43</v>
      </c>
      <c r="L194" s="49">
        <v>45640</v>
      </c>
      <c r="M194" s="49">
        <v>45644</v>
      </c>
      <c r="N194" s="34">
        <f t="shared" si="8"/>
        <v>4</v>
      </c>
      <c r="O194" s="29"/>
      <c r="P194" t="s">
        <v>88</v>
      </c>
      <c r="Q194" t="s">
        <v>88</v>
      </c>
      <c r="R194" t="s">
        <v>88</v>
      </c>
      <c r="S194" t="s">
        <v>88</v>
      </c>
      <c r="T194" t="s">
        <v>88</v>
      </c>
      <c r="U194" t="s">
        <v>20</v>
      </c>
    </row>
    <row r="195" spans="1:21" x14ac:dyDescent="0.45">
      <c r="A195" s="79">
        <v>160384409</v>
      </c>
      <c r="B195" s="29" t="str">
        <f t="shared" si="7"/>
        <v>16.038.440-9</v>
      </c>
      <c r="C195" s="22" t="str">
        <f>IF(IFERROR(VLOOKUP(A195,$A$9:$I194,1,0),0)=0,"",VLOOKUP(A195,$A$9:$I194,3,0))</f>
        <v>UCI</v>
      </c>
      <c r="D195" s="29" t="str">
        <f>IF(IFERROR(VLOOKUP(A195,$A$9:$I194,1,0),0)=0,"",VLOOKUP(A195,$A$9:$I194,4,0))</f>
        <v>HELEN</v>
      </c>
      <c r="E195" s="29" t="str">
        <f>IF(IFERROR(VLOOKUP(A195,$A$9:$I194,1,0),0)=0,"",VLOOKUP(A195,$A$9:$I194,5,0))</f>
        <v>VILLA</v>
      </c>
      <c r="F195" s="29" t="str">
        <f>IF(IFERROR(VLOOKUP(A195,$A$9:$I194,1,0),0)=0,"",VLOOKUP(A195,$A$9:$I194,6,0))</f>
        <v>ROMERO</v>
      </c>
      <c r="G195" s="49">
        <f>IF(IFERROR(VLOOKUP(A195,$A$9:$I194,1,0),0)=0,"",VLOOKUP(A195,$A$9:$I194,7,0))</f>
        <v>45640</v>
      </c>
      <c r="H195" s="49">
        <v>45644</v>
      </c>
      <c r="I195" s="29" t="s">
        <v>22</v>
      </c>
      <c r="J195" s="29" t="s">
        <v>56</v>
      </c>
      <c r="K195" s="24" t="s">
        <v>47</v>
      </c>
      <c r="L195" s="49">
        <v>45640</v>
      </c>
      <c r="M195" s="49">
        <v>45644</v>
      </c>
      <c r="N195" s="34">
        <f t="shared" si="8"/>
        <v>4</v>
      </c>
      <c r="O195" s="29"/>
      <c r="P195" t="s">
        <v>88</v>
      </c>
      <c r="Q195" t="s">
        <v>88</v>
      </c>
      <c r="R195" t="s">
        <v>88</v>
      </c>
      <c r="S195" t="s">
        <v>88</v>
      </c>
      <c r="T195" t="s">
        <v>88</v>
      </c>
      <c r="U195" t="s">
        <v>20</v>
      </c>
    </row>
    <row r="196" spans="1:21" x14ac:dyDescent="0.45">
      <c r="A196" s="79">
        <v>62185511</v>
      </c>
      <c r="B196" s="29" t="str">
        <f t="shared" si="7"/>
        <v>6.218.551-1</v>
      </c>
      <c r="C196" s="22" t="s">
        <v>46</v>
      </c>
      <c r="D196" s="29" t="s">
        <v>380</v>
      </c>
      <c r="E196" s="29" t="s">
        <v>352</v>
      </c>
      <c r="F196" s="29" t="s">
        <v>767</v>
      </c>
      <c r="G196" s="49">
        <v>45643</v>
      </c>
      <c r="H196" s="29"/>
      <c r="I196" s="29"/>
      <c r="J196" s="29" t="s">
        <v>1615</v>
      </c>
      <c r="K196" s="24" t="s">
        <v>51</v>
      </c>
      <c r="L196" s="49">
        <v>45643</v>
      </c>
      <c r="M196" s="49">
        <v>45646</v>
      </c>
      <c r="N196" s="34">
        <f t="shared" si="8"/>
        <v>3</v>
      </c>
      <c r="O196" s="29"/>
      <c r="P196" t="s">
        <v>88</v>
      </c>
      <c r="Q196" t="s">
        <v>88</v>
      </c>
      <c r="R196" t="s">
        <v>88</v>
      </c>
      <c r="S196" t="s">
        <v>88</v>
      </c>
      <c r="T196" t="s">
        <v>88</v>
      </c>
      <c r="U196" t="s">
        <v>20</v>
      </c>
    </row>
    <row r="197" spans="1:21" x14ac:dyDescent="0.45">
      <c r="A197" s="79" t="s">
        <v>1661</v>
      </c>
      <c r="B197" s="29" t="str">
        <f t="shared" si="7"/>
        <v>7.942.854-K</v>
      </c>
      <c r="C197" s="22" t="s">
        <v>46</v>
      </c>
      <c r="D197" s="29" t="s">
        <v>1281</v>
      </c>
      <c r="E197" s="29" t="s">
        <v>439</v>
      </c>
      <c r="F197" s="29" t="s">
        <v>482</v>
      </c>
      <c r="G197" s="49">
        <v>45643</v>
      </c>
      <c r="H197" s="29"/>
      <c r="I197" s="29"/>
      <c r="J197" s="29" t="s">
        <v>1615</v>
      </c>
      <c r="K197" s="24" t="s">
        <v>51</v>
      </c>
      <c r="L197" s="49">
        <v>45643</v>
      </c>
      <c r="M197" s="49">
        <v>45646</v>
      </c>
      <c r="N197" s="34">
        <f t="shared" si="8"/>
        <v>3</v>
      </c>
      <c r="O197" s="29"/>
      <c r="P197" t="s">
        <v>88</v>
      </c>
      <c r="Q197" t="s">
        <v>88</v>
      </c>
      <c r="R197" t="s">
        <v>88</v>
      </c>
      <c r="S197" t="s">
        <v>88</v>
      </c>
      <c r="T197" t="s">
        <v>88</v>
      </c>
      <c r="U197" t="s">
        <v>20</v>
      </c>
    </row>
    <row r="198" spans="1:21" x14ac:dyDescent="0.45">
      <c r="A198" s="79" t="s">
        <v>1662</v>
      </c>
      <c r="B198" s="29" t="str">
        <f t="shared" si="7"/>
        <v>9.370.259-K</v>
      </c>
      <c r="C198" s="22" t="s">
        <v>46</v>
      </c>
      <c r="D198" s="29" t="s">
        <v>560</v>
      </c>
      <c r="E198" s="29" t="s">
        <v>1663</v>
      </c>
      <c r="F198" s="29" t="s">
        <v>281</v>
      </c>
      <c r="G198" s="49">
        <v>45643</v>
      </c>
      <c r="H198" s="49">
        <v>45647</v>
      </c>
      <c r="I198" s="29"/>
      <c r="J198" s="29" t="s">
        <v>1615</v>
      </c>
      <c r="K198" s="24" t="s">
        <v>18</v>
      </c>
      <c r="L198" s="49">
        <v>45643</v>
      </c>
      <c r="M198" s="49">
        <v>45643</v>
      </c>
      <c r="N198" s="34">
        <f t="shared" si="8"/>
        <v>0</v>
      </c>
      <c r="O198" s="29"/>
      <c r="P198" t="s">
        <v>88</v>
      </c>
      <c r="Q198" t="s">
        <v>88</v>
      </c>
      <c r="R198" t="s">
        <v>88</v>
      </c>
      <c r="S198" t="s">
        <v>88</v>
      </c>
      <c r="T198" t="s">
        <v>88</v>
      </c>
      <c r="U198" t="s">
        <v>20</v>
      </c>
    </row>
    <row r="199" spans="1:21" x14ac:dyDescent="0.45">
      <c r="A199" s="79" t="s">
        <v>1664</v>
      </c>
      <c r="B199" s="29" t="str">
        <f t="shared" si="7"/>
        <v>5.182.685-K</v>
      </c>
      <c r="C199" s="22" t="s">
        <v>46</v>
      </c>
      <c r="D199" s="29" t="s">
        <v>331</v>
      </c>
      <c r="E199" s="29" t="s">
        <v>249</v>
      </c>
      <c r="F199" s="29" t="s">
        <v>480</v>
      </c>
      <c r="G199" s="49">
        <v>45642</v>
      </c>
      <c r="H199" s="49">
        <v>45648</v>
      </c>
      <c r="I199" s="29"/>
      <c r="J199" s="29" t="s">
        <v>1615</v>
      </c>
      <c r="K199" s="24" t="s">
        <v>47</v>
      </c>
      <c r="L199" s="49">
        <v>45644</v>
      </c>
      <c r="M199" s="49">
        <v>45647</v>
      </c>
      <c r="N199" s="34">
        <f t="shared" si="8"/>
        <v>3</v>
      </c>
      <c r="O199" s="29"/>
      <c r="P199" t="s">
        <v>88</v>
      </c>
      <c r="Q199" t="s">
        <v>88</v>
      </c>
      <c r="R199" t="s">
        <v>88</v>
      </c>
      <c r="S199" t="s">
        <v>88</v>
      </c>
      <c r="T199" t="s">
        <v>88</v>
      </c>
      <c r="U199" t="s">
        <v>20</v>
      </c>
    </row>
    <row r="200" spans="1:21" x14ac:dyDescent="0.45">
      <c r="A200" s="79">
        <v>57966696</v>
      </c>
      <c r="B200" s="29" t="str">
        <f t="shared" si="7"/>
        <v>5.796.669-6</v>
      </c>
      <c r="C200" s="22" t="s">
        <v>22</v>
      </c>
      <c r="D200" s="29" t="str">
        <f>IF(IFERROR(VLOOKUP(A200,$A$9:$I199,1,0),0)=0,"",VLOOKUP(A200,$A$9:$I199,4,0))</f>
        <v>OSCAR</v>
      </c>
      <c r="E200" s="29" t="str">
        <f>IF(IFERROR(VLOOKUP(A200,$A$9:$I199,1,0),0)=0,"",VLOOKUP(A200,$A$9:$I199,5,0))</f>
        <v>SEPULVEDA</v>
      </c>
      <c r="F200" s="29" t="str">
        <f>IF(IFERROR(VLOOKUP(A200,$A$9:$I199,1,0),0)=0,"",VLOOKUP(A200,$A$9:$I199,6,0))</f>
        <v>SEPULVEDA</v>
      </c>
      <c r="G200" s="49">
        <v>45643</v>
      </c>
      <c r="H200" s="49">
        <v>45654</v>
      </c>
      <c r="I200" s="29"/>
      <c r="J200" s="29" t="s">
        <v>22</v>
      </c>
      <c r="K200" s="24" t="s">
        <v>43</v>
      </c>
      <c r="L200" s="49">
        <v>45643</v>
      </c>
      <c r="M200" s="49">
        <v>45654</v>
      </c>
      <c r="N200" s="34">
        <f t="shared" si="8"/>
        <v>11</v>
      </c>
      <c r="O200" s="29" t="s">
        <v>14</v>
      </c>
      <c r="P200" t="s">
        <v>88</v>
      </c>
      <c r="Q200" t="s">
        <v>88</v>
      </c>
      <c r="R200" t="s">
        <v>88</v>
      </c>
      <c r="S200" t="s">
        <v>88</v>
      </c>
      <c r="T200" t="s">
        <v>88</v>
      </c>
      <c r="U200" t="s">
        <v>20</v>
      </c>
    </row>
    <row r="201" spans="1:21" x14ac:dyDescent="0.45">
      <c r="A201" s="79">
        <v>57966696</v>
      </c>
      <c r="B201" s="29" t="str">
        <f t="shared" si="7"/>
        <v>5.796.669-6</v>
      </c>
      <c r="C201" s="22" t="s">
        <v>22</v>
      </c>
      <c r="D201" s="29" t="str">
        <f>IF(IFERROR(VLOOKUP(A201,$A$9:$I200,1,0),0)=0,"",VLOOKUP(A201,$A$9:$I200,4,0))</f>
        <v>OSCAR</v>
      </c>
      <c r="E201" s="29" t="str">
        <f>IF(IFERROR(VLOOKUP(A201,$A$9:$I200,1,0),0)=0,"",VLOOKUP(A201,$A$9:$I200,5,0))</f>
        <v>SEPULVEDA</v>
      </c>
      <c r="F201" s="29" t="str">
        <f>IF(IFERROR(VLOOKUP(A201,$A$9:$I200,1,0),0)=0,"",VLOOKUP(A201,$A$9:$I200,6,0))</f>
        <v>SEPULVEDA</v>
      </c>
      <c r="G201" s="49">
        <v>45643</v>
      </c>
      <c r="H201" s="49">
        <v>45654</v>
      </c>
      <c r="I201" s="29"/>
      <c r="J201" s="29" t="s">
        <v>22</v>
      </c>
      <c r="K201" s="24" t="s">
        <v>47</v>
      </c>
      <c r="L201" s="49">
        <v>45644</v>
      </c>
      <c r="M201" s="49">
        <v>45654</v>
      </c>
      <c r="N201" s="34">
        <f t="shared" si="8"/>
        <v>10</v>
      </c>
      <c r="O201" s="29"/>
      <c r="P201" t="s">
        <v>88</v>
      </c>
      <c r="Q201" t="s">
        <v>88</v>
      </c>
      <c r="R201" t="s">
        <v>88</v>
      </c>
      <c r="S201" t="s">
        <v>88</v>
      </c>
      <c r="T201" t="s">
        <v>88</v>
      </c>
      <c r="U201" t="s">
        <v>20</v>
      </c>
    </row>
    <row r="202" spans="1:21" ht="15.75" customHeight="1" x14ac:dyDescent="0.45">
      <c r="A202" s="79">
        <v>57966696</v>
      </c>
      <c r="B202" s="29" t="str">
        <f t="shared" si="7"/>
        <v>5.796.669-6</v>
      </c>
      <c r="C202" s="22" t="s">
        <v>22</v>
      </c>
      <c r="D202" s="29" t="str">
        <f>IF(IFERROR(VLOOKUP(A202,$A$9:$I201,1,0),0)=0,"",VLOOKUP(A202,$A$9:$I201,4,0))</f>
        <v>OSCAR</v>
      </c>
      <c r="E202" s="29" t="str">
        <f>IF(IFERROR(VLOOKUP(A202,$A$9:$I201,1,0),0)=0,"",VLOOKUP(A202,$A$9:$I201,5,0))</f>
        <v>SEPULVEDA</v>
      </c>
      <c r="F202" s="29" t="str">
        <f>IF(IFERROR(VLOOKUP(A202,$A$9:$I201,1,0),0)=0,"",VLOOKUP(A202,$A$9:$I201,6,0))</f>
        <v>SEPULVEDA</v>
      </c>
      <c r="G202" s="49">
        <v>45643</v>
      </c>
      <c r="H202" s="49">
        <v>45654</v>
      </c>
      <c r="I202" s="29"/>
      <c r="J202" s="29" t="s">
        <v>22</v>
      </c>
      <c r="K202" s="24" t="s">
        <v>55</v>
      </c>
      <c r="L202" s="49">
        <v>45643</v>
      </c>
      <c r="M202" s="49">
        <v>45653</v>
      </c>
      <c r="N202" s="34">
        <f t="shared" si="8"/>
        <v>10</v>
      </c>
      <c r="O202" s="29"/>
      <c r="P202" t="s">
        <v>88</v>
      </c>
      <c r="Q202" t="s">
        <v>88</v>
      </c>
      <c r="R202" t="s">
        <v>88</v>
      </c>
      <c r="S202" t="s">
        <v>88</v>
      </c>
      <c r="T202" t="s">
        <v>88</v>
      </c>
      <c r="U202" t="s">
        <v>20</v>
      </c>
    </row>
    <row r="203" spans="1:21" x14ac:dyDescent="0.45">
      <c r="A203" s="79">
        <v>78603119</v>
      </c>
      <c r="B203" s="29" t="str">
        <f t="shared" si="7"/>
        <v>7.860.311-9</v>
      </c>
      <c r="C203" s="22" t="s">
        <v>22</v>
      </c>
      <c r="D203" s="29" t="s">
        <v>1120</v>
      </c>
      <c r="E203" s="29" t="s">
        <v>1018</v>
      </c>
      <c r="F203" s="29" t="s">
        <v>559</v>
      </c>
      <c r="G203" s="49">
        <v>45644</v>
      </c>
      <c r="H203" s="49">
        <v>45657</v>
      </c>
      <c r="I203" s="29"/>
      <c r="J203" s="29" t="s">
        <v>1615</v>
      </c>
      <c r="K203" s="24" t="s">
        <v>43</v>
      </c>
      <c r="L203" s="49">
        <v>45644</v>
      </c>
      <c r="M203" s="49">
        <v>45645</v>
      </c>
      <c r="N203" s="34">
        <f t="shared" si="8"/>
        <v>1</v>
      </c>
      <c r="P203" t="s">
        <v>88</v>
      </c>
      <c r="Q203" t="s">
        <v>88</v>
      </c>
      <c r="R203" t="s">
        <v>88</v>
      </c>
      <c r="S203" t="s">
        <v>88</v>
      </c>
      <c r="T203" t="s">
        <v>88</v>
      </c>
      <c r="U203" t="s">
        <v>20</v>
      </c>
    </row>
    <row r="204" spans="1:21" x14ac:dyDescent="0.45">
      <c r="A204" s="79">
        <v>78603119</v>
      </c>
      <c r="B204" s="29" t="str">
        <f t="shared" si="7"/>
        <v>7.860.311-9</v>
      </c>
      <c r="C204" s="22" t="str">
        <f>IF(IFERROR(VLOOKUP(A204,$A$9:$I203,1,0),0)=0,"",VLOOKUP(A204,$A$9:$I203,3,0))</f>
        <v>UCI</v>
      </c>
      <c r="D204" s="29" t="str">
        <f>IF(IFERROR(VLOOKUP(A204,$A$9:$I203,1,0),0)=0,"",VLOOKUP(A204,$A$9:$I203,4,0))</f>
        <v>IRMA</v>
      </c>
      <c r="E204" s="29" t="str">
        <f>IF(IFERROR(VLOOKUP(A204,$A$9:$I203,1,0),0)=0,"",VLOOKUP(A204,$A$9:$I203,5,0))</f>
        <v>GUZMAN</v>
      </c>
      <c r="F204" s="29" t="str">
        <f>IF(IFERROR(VLOOKUP(A204,$A$9:$I203,1,0),0)=0,"",VLOOKUP(A204,$A$9:$I203,6,0))</f>
        <v>SEPULVEDA</v>
      </c>
      <c r="G204" s="49">
        <f>IF(IFERROR(VLOOKUP(A204,$A$9:$I203,1,0),0)=0,"",VLOOKUP(A204,$A$9:$I203,7,0))</f>
        <v>45644</v>
      </c>
      <c r="H204" s="49">
        <v>45657</v>
      </c>
      <c r="I204" s="29"/>
      <c r="J204" s="29" t="s">
        <v>1615</v>
      </c>
      <c r="K204" s="24" t="s">
        <v>47</v>
      </c>
      <c r="L204" s="49">
        <v>45644</v>
      </c>
      <c r="M204" s="49">
        <v>45645</v>
      </c>
      <c r="N204" s="34">
        <f t="shared" si="8"/>
        <v>1</v>
      </c>
      <c r="O204" s="29"/>
      <c r="P204" t="s">
        <v>88</v>
      </c>
      <c r="Q204" t="s">
        <v>88</v>
      </c>
      <c r="R204" t="s">
        <v>88</v>
      </c>
      <c r="S204" t="s">
        <v>88</v>
      </c>
      <c r="T204" t="s">
        <v>88</v>
      </c>
      <c r="U204" t="s">
        <v>20</v>
      </c>
    </row>
    <row r="205" spans="1:21" x14ac:dyDescent="0.45">
      <c r="A205" s="79">
        <v>165999355</v>
      </c>
      <c r="B205" s="29" t="str">
        <f t="shared" si="7"/>
        <v>16.599.935-5</v>
      </c>
      <c r="C205" s="22" t="s">
        <v>22</v>
      </c>
      <c r="D205" s="29" t="s">
        <v>348</v>
      </c>
      <c r="E205" s="29" t="s">
        <v>267</v>
      </c>
      <c r="F205" s="29" t="s">
        <v>270</v>
      </c>
      <c r="G205" s="49">
        <v>45644</v>
      </c>
      <c r="H205" s="29"/>
      <c r="I205" s="29"/>
      <c r="J205" s="29" t="s">
        <v>1615</v>
      </c>
      <c r="K205" s="24" t="s">
        <v>43</v>
      </c>
      <c r="L205" s="49">
        <v>45644</v>
      </c>
      <c r="M205" s="49">
        <v>45657</v>
      </c>
      <c r="N205" s="34">
        <f t="shared" si="8"/>
        <v>13</v>
      </c>
      <c r="O205" s="29" t="s">
        <v>14</v>
      </c>
      <c r="P205" t="s">
        <v>96</v>
      </c>
      <c r="Q205" t="s">
        <v>88</v>
      </c>
      <c r="R205" t="s">
        <v>88</v>
      </c>
      <c r="S205" t="s">
        <v>88</v>
      </c>
      <c r="T205" t="s">
        <v>88</v>
      </c>
      <c r="U205" t="s">
        <v>20</v>
      </c>
    </row>
    <row r="206" spans="1:21" x14ac:dyDescent="0.45">
      <c r="A206" s="79">
        <v>165999355</v>
      </c>
      <c r="B206" s="29" t="str">
        <f t="shared" si="7"/>
        <v>16.599.935-5</v>
      </c>
      <c r="C206" s="22" t="str">
        <f>IF(IFERROR(VLOOKUP(A206,$A$9:$I205,1,0),0)=0,"",VLOOKUP(A206,$A$9:$I205,3,0))</f>
        <v>UCI</v>
      </c>
      <c r="D206" s="29" t="str">
        <f>IF(IFERROR(VLOOKUP(A206,$A$9:$I205,1,0),0)=0,"",VLOOKUP(A206,$A$9:$I205,4,0))</f>
        <v>MARIA</v>
      </c>
      <c r="E206" s="29" t="str">
        <f>IF(IFERROR(VLOOKUP(A206,$A$9:$I205,1,0),0)=0,"",VLOOKUP(A206,$A$9:$I205,5,0))</f>
        <v>RUBILAR</v>
      </c>
      <c r="F206" s="29" t="str">
        <f>IF(IFERROR(VLOOKUP(A206,$A$9:$I205,1,0),0)=0,"",VLOOKUP(A206,$A$9:$I205,6,0))</f>
        <v>VILLALOBOS</v>
      </c>
      <c r="G206" s="49">
        <f>IF(IFERROR(VLOOKUP(A206,$A$9:$I205,1,0),0)=0,"",VLOOKUP(A206,$A$9:$I205,7,0))</f>
        <v>45644</v>
      </c>
      <c r="H206" s="29"/>
      <c r="I206" s="29"/>
      <c r="J206" s="29" t="s">
        <v>1615</v>
      </c>
      <c r="K206" s="24" t="s">
        <v>47</v>
      </c>
      <c r="L206" s="49">
        <v>45644</v>
      </c>
      <c r="M206" s="49">
        <v>45657</v>
      </c>
      <c r="N206" s="34">
        <f t="shared" si="8"/>
        <v>13</v>
      </c>
      <c r="O206" s="29"/>
      <c r="P206" t="s">
        <v>88</v>
      </c>
      <c r="Q206" t="s">
        <v>88</v>
      </c>
      <c r="R206" t="s">
        <v>88</v>
      </c>
      <c r="S206" t="s">
        <v>88</v>
      </c>
      <c r="T206" t="s">
        <v>88</v>
      </c>
      <c r="U206" t="s">
        <v>20</v>
      </c>
    </row>
    <row r="207" spans="1:21" x14ac:dyDescent="0.45">
      <c r="A207" s="79">
        <v>165999355</v>
      </c>
      <c r="B207" s="29" t="str">
        <f t="shared" si="7"/>
        <v>16.599.935-5</v>
      </c>
      <c r="C207" s="22" t="str">
        <f>IF(IFERROR(VLOOKUP(A207,$A$9:$I206,1,0),0)=0,"",VLOOKUP(A207,$A$9:$I206,3,0))</f>
        <v>UCI</v>
      </c>
      <c r="D207" s="29" t="str">
        <f>IF(IFERROR(VLOOKUP(A207,$A$9:$I206,1,0),0)=0,"",VLOOKUP(A207,$A$9:$I206,4,0))</f>
        <v>MARIA</v>
      </c>
      <c r="E207" s="29" t="str">
        <f>IF(IFERROR(VLOOKUP(A207,$A$9:$I206,1,0),0)=0,"",VLOOKUP(A207,$A$9:$I206,5,0))</f>
        <v>RUBILAR</v>
      </c>
      <c r="F207" s="29" t="str">
        <f>IF(IFERROR(VLOOKUP(A207,$A$9:$I206,1,0),0)=0,"",VLOOKUP(A207,$A$9:$I206,6,0))</f>
        <v>VILLALOBOS</v>
      </c>
      <c r="G207" s="49">
        <f>IF(IFERROR(VLOOKUP(A207,$A$9:$I206,1,0),0)=0,"",VLOOKUP(A207,$A$9:$I206,7,0))</f>
        <v>45644</v>
      </c>
      <c r="H207" s="29"/>
      <c r="I207" s="29"/>
      <c r="J207" s="29" t="s">
        <v>1615</v>
      </c>
      <c r="K207" s="24" t="s">
        <v>55</v>
      </c>
      <c r="L207" s="49">
        <v>45644</v>
      </c>
      <c r="M207" s="49">
        <v>45657</v>
      </c>
      <c r="N207" s="34">
        <f t="shared" si="8"/>
        <v>13</v>
      </c>
      <c r="O207" s="29"/>
      <c r="P207" t="s">
        <v>132</v>
      </c>
      <c r="Q207" t="s">
        <v>88</v>
      </c>
      <c r="R207" t="s">
        <v>88</v>
      </c>
      <c r="S207" t="s">
        <v>88</v>
      </c>
      <c r="T207" t="s">
        <v>88</v>
      </c>
      <c r="U207" t="s">
        <v>20</v>
      </c>
    </row>
    <row r="208" spans="1:21" x14ac:dyDescent="0.45">
      <c r="A208" s="79">
        <v>80316852</v>
      </c>
      <c r="B208" s="29" t="str">
        <f t="shared" si="7"/>
        <v>8.031.685-2</v>
      </c>
      <c r="C208" s="22" t="s">
        <v>22</v>
      </c>
      <c r="D208" s="29" t="s">
        <v>238</v>
      </c>
      <c r="E208" s="29" t="s">
        <v>873</v>
      </c>
      <c r="F208" s="29" t="s">
        <v>384</v>
      </c>
      <c r="G208" s="49">
        <v>45644</v>
      </c>
      <c r="H208" s="49">
        <v>45646</v>
      </c>
      <c r="I208" s="29"/>
      <c r="J208" s="29" t="s">
        <v>1615</v>
      </c>
      <c r="K208" s="24" t="s">
        <v>43</v>
      </c>
      <c r="L208" s="49">
        <v>45644</v>
      </c>
      <c r="M208" s="49">
        <v>45646</v>
      </c>
      <c r="N208" s="34">
        <f t="shared" si="8"/>
        <v>2</v>
      </c>
      <c r="O208" s="29"/>
      <c r="P208" t="s">
        <v>88</v>
      </c>
      <c r="Q208" t="s">
        <v>88</v>
      </c>
      <c r="R208" t="s">
        <v>88</v>
      </c>
      <c r="S208" t="s">
        <v>88</v>
      </c>
      <c r="T208" t="s">
        <v>88</v>
      </c>
      <c r="U208" t="s">
        <v>20</v>
      </c>
    </row>
    <row r="209" spans="1:21" x14ac:dyDescent="0.45">
      <c r="A209" s="79">
        <v>80316852</v>
      </c>
      <c r="B209" s="29" t="str">
        <f t="shared" si="7"/>
        <v>8.031.685-2</v>
      </c>
      <c r="C209" s="22" t="str">
        <f>IF(IFERROR(VLOOKUP(A209,$A$9:$I208,1,0),0)=0,"",VLOOKUP(A209,$A$9:$I208,3,0))</f>
        <v>UCI</v>
      </c>
      <c r="D209" s="29" t="str">
        <f>IF(IFERROR(VLOOKUP(A209,$A$9:$I208,1,0),0)=0,"",VLOOKUP(A209,$A$9:$I208,4,0))</f>
        <v>LUIS</v>
      </c>
      <c r="E209" s="29" t="str">
        <f>IF(IFERROR(VLOOKUP(A209,$A$9:$I208,1,0),0)=0,"",VLOOKUP(A209,$A$9:$I208,5,0))</f>
        <v>ZAPATA</v>
      </c>
      <c r="F209" s="29" t="str">
        <f>IF(IFERROR(VLOOKUP(A209,$A$9:$I208,1,0),0)=0,"",VLOOKUP(A209,$A$9:$I208,6,0))</f>
        <v>MUÑOZ</v>
      </c>
      <c r="G209" s="49">
        <f>IF(IFERROR(VLOOKUP(A209,$A$9:$I208,1,0),0)=0,"",VLOOKUP(A209,$A$9:$I208,7,0))</f>
        <v>45644</v>
      </c>
      <c r="H209" s="49">
        <v>45646</v>
      </c>
      <c r="I209" s="29"/>
      <c r="J209" s="29" t="s">
        <v>1615</v>
      </c>
      <c r="K209" s="24" t="s">
        <v>47</v>
      </c>
      <c r="L209" s="49">
        <v>45644</v>
      </c>
      <c r="M209" s="49">
        <v>45646</v>
      </c>
      <c r="N209" s="34">
        <f t="shared" si="8"/>
        <v>2</v>
      </c>
      <c r="O209" s="29"/>
      <c r="P209" t="s">
        <v>88</v>
      </c>
      <c r="Q209" t="s">
        <v>88</v>
      </c>
      <c r="R209" t="s">
        <v>88</v>
      </c>
      <c r="S209" t="s">
        <v>88</v>
      </c>
      <c r="T209" t="s">
        <v>88</v>
      </c>
      <c r="U209" t="s">
        <v>20</v>
      </c>
    </row>
    <row r="210" spans="1:21" x14ac:dyDescent="0.45">
      <c r="A210" s="79">
        <v>227127678</v>
      </c>
      <c r="B210" s="29" t="str">
        <f t="shared" si="7"/>
        <v>22.712.767-8</v>
      </c>
      <c r="C210" s="22" t="s">
        <v>22</v>
      </c>
      <c r="D210" s="29" t="s">
        <v>1665</v>
      </c>
      <c r="E210" s="29" t="s">
        <v>736</v>
      </c>
      <c r="F210" s="29" t="s">
        <v>1666</v>
      </c>
      <c r="G210" s="49">
        <v>45643</v>
      </c>
      <c r="H210" s="29"/>
      <c r="I210" s="29" t="s">
        <v>22</v>
      </c>
      <c r="J210" s="29" t="s">
        <v>46</v>
      </c>
      <c r="K210" s="24" t="s">
        <v>47</v>
      </c>
      <c r="L210" s="49">
        <v>45643</v>
      </c>
      <c r="M210" s="49">
        <v>45645</v>
      </c>
      <c r="N210" s="34">
        <f t="shared" si="8"/>
        <v>2</v>
      </c>
      <c r="O210" s="29" t="s">
        <v>14</v>
      </c>
      <c r="P210" t="s">
        <v>88</v>
      </c>
      <c r="Q210" t="s">
        <v>88</v>
      </c>
      <c r="R210" t="s">
        <v>88</v>
      </c>
      <c r="S210" t="s">
        <v>88</v>
      </c>
      <c r="T210" t="s">
        <v>88</v>
      </c>
      <c r="U210" t="s">
        <v>20</v>
      </c>
    </row>
    <row r="211" spans="1:21" x14ac:dyDescent="0.45">
      <c r="A211" s="79">
        <v>227127678</v>
      </c>
      <c r="B211" s="29" t="str">
        <f t="shared" si="7"/>
        <v>22.712.767-8</v>
      </c>
      <c r="C211" s="22" t="str">
        <f>IF(IFERROR(VLOOKUP(A211,$A$9:$I210,1,0),0)=0,"",VLOOKUP(A211,$A$9:$I210,3,0))</f>
        <v>UCI</v>
      </c>
      <c r="D211" s="29" t="str">
        <f>IF(IFERROR(VLOOKUP(A211,$A$9:$I210,1,0),0)=0,"",VLOOKUP(A211,$A$9:$I210,4,0))</f>
        <v>AARON</v>
      </c>
      <c r="E211" s="29" t="str">
        <f>IF(IFERROR(VLOOKUP(A211,$A$9:$I210,1,0),0)=0,"",VLOOKUP(A211,$A$9:$I210,5,0))</f>
        <v>BURGOS</v>
      </c>
      <c r="F211" s="29" t="str">
        <f>IF(IFERROR(VLOOKUP(A211,$A$9:$I210,1,0),0)=0,"",VLOOKUP(A211,$A$9:$I210,6,0))</f>
        <v>SOLIS</v>
      </c>
      <c r="G211" s="49">
        <f>IF(IFERROR(VLOOKUP(A211,$A$9:$I210,1,0),0)=0,"",VLOOKUP(A211,$A$9:$I210,7,0))</f>
        <v>45643</v>
      </c>
      <c r="H211" s="29"/>
      <c r="I211" s="29" t="s">
        <v>22</v>
      </c>
      <c r="J211" s="29" t="s">
        <v>46</v>
      </c>
      <c r="K211" s="24" t="s">
        <v>18</v>
      </c>
      <c r="L211" s="49">
        <v>45643</v>
      </c>
      <c r="M211" s="49">
        <v>45647</v>
      </c>
      <c r="N211" s="34">
        <f t="shared" si="8"/>
        <v>4</v>
      </c>
      <c r="O211" s="29"/>
      <c r="P211" t="s">
        <v>88</v>
      </c>
      <c r="Q211" t="s">
        <v>88</v>
      </c>
      <c r="R211" t="s">
        <v>88</v>
      </c>
      <c r="S211" t="s">
        <v>88</v>
      </c>
      <c r="T211" t="s">
        <v>88</v>
      </c>
      <c r="U211" t="s">
        <v>20</v>
      </c>
    </row>
    <row r="212" spans="1:21" x14ac:dyDescent="0.45">
      <c r="A212" s="79">
        <v>47140218</v>
      </c>
      <c r="B212" s="29" t="str">
        <f t="shared" ref="B212:B264" si="9">IF(LEN(A212)=8,MID(A212,1,1)&amp;"."&amp;MID(A212,2,3)&amp;"."&amp;MID(A212,5,3)&amp;"-"&amp;RIGHT(A212,1),IF(LEFT(RIGHT(A212,2),1)="-",MID(A212,1,1)&amp;"."&amp;MID(A212,2,3)&amp;"."&amp;MID(A212,5,3)&amp;"-"&amp;RIGHT(A212,1),MID(A212,1,2)&amp;"."&amp;MID(A212,3,3)&amp;"."&amp;MID(A212,6,3)&amp;"-"&amp;MID(A212,9,1)))</f>
        <v>4.714.021-8</v>
      </c>
      <c r="C212" s="22" t="s">
        <v>22</v>
      </c>
      <c r="D212" s="29" t="str">
        <f>IF(IFERROR(VLOOKUP(A212,$A$9:$I211,1,0),0)=0,"",VLOOKUP(A212,$A$9:$I211,4,0))</f>
        <v>LUZ</v>
      </c>
      <c r="E212" s="29" t="str">
        <f>IF(IFERROR(VLOOKUP(A212,$A$9:$I211,1,0),0)=0,"",VLOOKUP(A212,$A$9:$I211,5,0))</f>
        <v>GARRIDO</v>
      </c>
      <c r="F212" s="29" t="str">
        <f>IF(IFERROR(VLOOKUP(A212,$A$9:$I211,1,0),0)=0,"",VLOOKUP(A212,$A$9:$I211,6,0))</f>
        <v>OPORTUS</v>
      </c>
      <c r="G212" s="49">
        <v>45643</v>
      </c>
      <c r="H212" s="49">
        <v>45648</v>
      </c>
      <c r="I212" s="29"/>
      <c r="J212" s="29" t="s">
        <v>24</v>
      </c>
      <c r="K212" s="24" t="s">
        <v>18</v>
      </c>
      <c r="L212" s="49">
        <v>45643</v>
      </c>
      <c r="M212" s="49">
        <v>45648</v>
      </c>
      <c r="N212" s="34">
        <f t="shared" si="8"/>
        <v>5</v>
      </c>
      <c r="O212" s="29"/>
      <c r="P212" t="s">
        <v>88</v>
      </c>
      <c r="Q212" t="s">
        <v>88</v>
      </c>
      <c r="R212" t="s">
        <v>88</v>
      </c>
      <c r="S212" t="s">
        <v>88</v>
      </c>
      <c r="T212" t="s">
        <v>88</v>
      </c>
      <c r="U212" t="s">
        <v>20</v>
      </c>
    </row>
    <row r="213" spans="1:21" x14ac:dyDescent="0.45">
      <c r="A213" s="79">
        <v>262838021</v>
      </c>
      <c r="B213" s="29" t="str">
        <f t="shared" si="9"/>
        <v>26.283.802-1</v>
      </c>
      <c r="C213" s="22" t="s">
        <v>22</v>
      </c>
      <c r="D213" s="29" t="s">
        <v>1667</v>
      </c>
      <c r="E213" s="29" t="s">
        <v>1141</v>
      </c>
      <c r="F213" s="29" t="s">
        <v>687</v>
      </c>
      <c r="G213" s="49">
        <v>45644</v>
      </c>
      <c r="H213" s="49">
        <v>45645</v>
      </c>
      <c r="I213" s="29"/>
      <c r="J213" s="29" t="s">
        <v>26</v>
      </c>
      <c r="K213" s="24" t="s">
        <v>43</v>
      </c>
      <c r="L213" s="49">
        <v>45644</v>
      </c>
      <c r="M213" s="49">
        <v>45645</v>
      </c>
      <c r="N213" s="34">
        <f t="shared" si="8"/>
        <v>1</v>
      </c>
      <c r="O213" s="29"/>
      <c r="P213" t="s">
        <v>88</v>
      </c>
      <c r="Q213" t="s">
        <v>88</v>
      </c>
      <c r="R213" t="s">
        <v>88</v>
      </c>
      <c r="S213" t="s">
        <v>88</v>
      </c>
      <c r="T213" t="s">
        <v>88</v>
      </c>
      <c r="U213" t="s">
        <v>20</v>
      </c>
    </row>
    <row r="214" spans="1:21" x14ac:dyDescent="0.45">
      <c r="A214" s="79">
        <v>262838021</v>
      </c>
      <c r="B214" s="29" t="str">
        <f t="shared" si="9"/>
        <v>26.283.802-1</v>
      </c>
      <c r="C214" s="22" t="str">
        <f>IF(IFERROR(VLOOKUP(A214,$A$9:$I213,1,0),0)=0,"",VLOOKUP(A214,$A$9:$I213,3,0))</f>
        <v>UCI</v>
      </c>
      <c r="D214" s="29" t="str">
        <f>IF(IFERROR(VLOOKUP(A214,$A$9:$I213,1,0),0)=0,"",VLOOKUP(A214,$A$9:$I213,4,0))</f>
        <v>VINCIS</v>
      </c>
      <c r="E214" s="29" t="str">
        <f>IF(IFERROR(VLOOKUP(A214,$A$9:$I213,1,0),0)=0,"",VLOOKUP(A214,$A$9:$I213,5,0))</f>
        <v>PEREIRA</v>
      </c>
      <c r="F214" s="29" t="str">
        <f>IF(IFERROR(VLOOKUP(A214,$A$9:$I213,1,0),0)=0,"",VLOOKUP(A214,$A$9:$I213,6,0))</f>
        <v>BAEZ</v>
      </c>
      <c r="G214" s="49">
        <f>IF(IFERROR(VLOOKUP(A214,$A$9:$I213,1,0),0)=0,"",VLOOKUP(A214,$A$9:$I213,7,0))</f>
        <v>45644</v>
      </c>
      <c r="H214" s="49">
        <v>45645</v>
      </c>
      <c r="I214" s="29"/>
      <c r="J214" s="29" t="s">
        <v>26</v>
      </c>
      <c r="K214" s="24" t="s">
        <v>47</v>
      </c>
      <c r="L214" s="49">
        <v>45644</v>
      </c>
      <c r="M214" s="49">
        <v>45645</v>
      </c>
      <c r="N214" s="34">
        <f t="shared" si="8"/>
        <v>1</v>
      </c>
      <c r="O214" s="29"/>
      <c r="P214" t="s">
        <v>88</v>
      </c>
      <c r="Q214" t="s">
        <v>88</v>
      </c>
      <c r="R214" t="s">
        <v>88</v>
      </c>
      <c r="S214" t="s">
        <v>88</v>
      </c>
      <c r="T214" t="s">
        <v>88</v>
      </c>
      <c r="U214" t="s">
        <v>20</v>
      </c>
    </row>
    <row r="215" spans="1:21" x14ac:dyDescent="0.45">
      <c r="A215" s="79">
        <v>129808274</v>
      </c>
      <c r="B215" s="29" t="str">
        <f t="shared" si="9"/>
        <v>12.980.827-4</v>
      </c>
      <c r="C215" s="22" t="s">
        <v>22</v>
      </c>
      <c r="D215" s="29" t="s">
        <v>1525</v>
      </c>
      <c r="E215" s="29" t="s">
        <v>439</v>
      </c>
      <c r="F215" s="29" t="s">
        <v>457</v>
      </c>
      <c r="G215" s="49">
        <v>45647</v>
      </c>
      <c r="H215" s="49">
        <v>45297</v>
      </c>
      <c r="I215" s="29"/>
      <c r="J215" s="29" t="s">
        <v>1615</v>
      </c>
      <c r="K215" s="24" t="s">
        <v>43</v>
      </c>
      <c r="L215" s="49">
        <v>45647</v>
      </c>
      <c r="M215" s="49">
        <v>45652</v>
      </c>
      <c r="N215" s="34">
        <f t="shared" si="8"/>
        <v>5</v>
      </c>
      <c r="O215" s="29"/>
      <c r="P215" t="s">
        <v>88</v>
      </c>
      <c r="Q215" t="s">
        <v>88</v>
      </c>
      <c r="R215" t="s">
        <v>88</v>
      </c>
      <c r="S215" t="s">
        <v>88</v>
      </c>
      <c r="T215" t="s">
        <v>88</v>
      </c>
      <c r="U215" t="s">
        <v>20</v>
      </c>
    </row>
    <row r="216" spans="1:21" x14ac:dyDescent="0.45">
      <c r="A216" s="79">
        <v>108685492</v>
      </c>
      <c r="B216" s="29" t="str">
        <f t="shared" si="9"/>
        <v>10.868.549-2</v>
      </c>
      <c r="C216" s="22" t="s">
        <v>46</v>
      </c>
      <c r="D216" s="29" t="s">
        <v>748</v>
      </c>
      <c r="E216" s="29" t="s">
        <v>1668</v>
      </c>
      <c r="F216" s="29" t="s">
        <v>675</v>
      </c>
      <c r="G216" s="49">
        <v>45646</v>
      </c>
      <c r="H216" s="49">
        <v>45665</v>
      </c>
      <c r="I216" s="29"/>
      <c r="J216" s="29" t="s">
        <v>1615</v>
      </c>
      <c r="K216" s="24" t="s">
        <v>47</v>
      </c>
      <c r="L216" s="49">
        <v>45646</v>
      </c>
      <c r="M216" s="49">
        <v>45655</v>
      </c>
      <c r="N216" s="34">
        <f t="shared" si="8"/>
        <v>9</v>
      </c>
      <c r="O216" s="29"/>
      <c r="P216" t="s">
        <v>88</v>
      </c>
      <c r="Q216" t="s">
        <v>88</v>
      </c>
      <c r="R216" t="s">
        <v>88</v>
      </c>
      <c r="S216" t="s">
        <v>88</v>
      </c>
      <c r="T216" t="s">
        <v>88</v>
      </c>
      <c r="U216" t="s">
        <v>20</v>
      </c>
    </row>
    <row r="217" spans="1:21" x14ac:dyDescent="0.45">
      <c r="A217" s="79">
        <v>78081937</v>
      </c>
      <c r="B217" s="29" t="str">
        <f t="shared" si="9"/>
        <v>7.808.193-7</v>
      </c>
      <c r="C217" s="22" t="s">
        <v>22</v>
      </c>
      <c r="D217" s="29" t="s">
        <v>1669</v>
      </c>
      <c r="E217" s="29" t="s">
        <v>1670</v>
      </c>
      <c r="F217" s="29" t="s">
        <v>417</v>
      </c>
      <c r="G217" s="49">
        <v>45646</v>
      </c>
      <c r="H217" s="49">
        <v>45657</v>
      </c>
      <c r="I217" s="29"/>
      <c r="J217" s="29" t="s">
        <v>26</v>
      </c>
      <c r="K217" s="24" t="s">
        <v>43</v>
      </c>
      <c r="L217" s="49">
        <v>45646</v>
      </c>
      <c r="M217" s="49">
        <v>45657</v>
      </c>
      <c r="N217" s="34">
        <f t="shared" si="8"/>
        <v>11</v>
      </c>
      <c r="O217" s="29"/>
      <c r="P217" t="s">
        <v>88</v>
      </c>
      <c r="Q217" t="s">
        <v>88</v>
      </c>
      <c r="R217" t="s">
        <v>88</v>
      </c>
      <c r="S217" t="s">
        <v>88</v>
      </c>
      <c r="T217" t="s">
        <v>88</v>
      </c>
      <c r="U217" t="s">
        <v>20</v>
      </c>
    </row>
    <row r="218" spans="1:21" x14ac:dyDescent="0.45">
      <c r="A218" s="79">
        <v>78081937</v>
      </c>
      <c r="B218" s="29" t="str">
        <f t="shared" si="9"/>
        <v>7.808.193-7</v>
      </c>
      <c r="C218" s="22" t="str">
        <f>IF(IFERROR(VLOOKUP(A218,$A$9:$I217,1,0),0)=0,"",VLOOKUP(A218,$A$9:$I217,3,0))</f>
        <v>UCI</v>
      </c>
      <c r="D218" s="29" t="str">
        <f>IF(IFERROR(VLOOKUP(A218,$A$9:$I217,1,0),0)=0,"",VLOOKUP(A218,$A$9:$I217,4,0))</f>
        <v>BERNARDITA</v>
      </c>
      <c r="E218" s="29" t="str">
        <f>IF(IFERROR(VLOOKUP(A218,$A$9:$I217,1,0),0)=0,"",VLOOKUP(A218,$A$9:$I217,5,0))</f>
        <v>MONROY</v>
      </c>
      <c r="F218" s="29" t="str">
        <f>IF(IFERROR(VLOOKUP(A218,$A$9:$I217,1,0),0)=0,"",VLOOKUP(A218,$A$9:$I217,6,0))</f>
        <v>LOPEZ</v>
      </c>
      <c r="G218" s="49">
        <f>IF(IFERROR(VLOOKUP(A218,$A$9:$I217,1,0),0)=0,"",VLOOKUP(A218,$A$9:$I217,7,0))</f>
        <v>45646</v>
      </c>
      <c r="H218" s="49">
        <v>45657</v>
      </c>
      <c r="I218" s="29"/>
      <c r="J218" s="29" t="s">
        <v>26</v>
      </c>
      <c r="K218" s="24" t="s">
        <v>47</v>
      </c>
      <c r="L218" s="49">
        <v>45646</v>
      </c>
      <c r="M218" s="49">
        <v>45657</v>
      </c>
      <c r="N218" s="34">
        <f t="shared" si="8"/>
        <v>11</v>
      </c>
      <c r="O218" s="29"/>
      <c r="P218" t="s">
        <v>88</v>
      </c>
      <c r="Q218" t="s">
        <v>88</v>
      </c>
      <c r="R218" t="s">
        <v>88</v>
      </c>
      <c r="S218" t="s">
        <v>88</v>
      </c>
      <c r="T218" t="s">
        <v>88</v>
      </c>
      <c r="U218" t="s">
        <v>20</v>
      </c>
    </row>
    <row r="219" spans="1:21" x14ac:dyDescent="0.45">
      <c r="A219" s="79">
        <v>78081937</v>
      </c>
      <c r="B219" s="29" t="str">
        <f t="shared" si="9"/>
        <v>7.808.193-7</v>
      </c>
      <c r="C219" s="22" t="str">
        <f>IF(IFERROR(VLOOKUP(A219,$A$9:$I218,1,0),0)=0,"",VLOOKUP(A219,$A$9:$I218,3,0))</f>
        <v>UCI</v>
      </c>
      <c r="D219" s="29" t="str">
        <f>IF(IFERROR(VLOOKUP(A219,$A$9:$I218,1,0),0)=0,"",VLOOKUP(A219,$A$9:$I218,4,0))</f>
        <v>BERNARDITA</v>
      </c>
      <c r="E219" s="29" t="str">
        <f>IF(IFERROR(VLOOKUP(A219,$A$9:$I218,1,0),0)=0,"",VLOOKUP(A219,$A$9:$I218,5,0))</f>
        <v>MONROY</v>
      </c>
      <c r="F219" s="29" t="str">
        <f>IF(IFERROR(VLOOKUP(A219,$A$9:$I218,1,0),0)=0,"",VLOOKUP(A219,$A$9:$I218,6,0))</f>
        <v>LOPEZ</v>
      </c>
      <c r="G219" s="49">
        <f>IF(IFERROR(VLOOKUP(A219,$A$9:$I218,1,0),0)=0,"",VLOOKUP(A219,$A$9:$I218,7,0))</f>
        <v>45646</v>
      </c>
      <c r="H219" s="49">
        <v>45657</v>
      </c>
      <c r="I219" s="29"/>
      <c r="J219" s="29" t="s">
        <v>26</v>
      </c>
      <c r="K219" s="24" t="s">
        <v>55</v>
      </c>
      <c r="L219" s="49">
        <v>45646</v>
      </c>
      <c r="M219" s="49">
        <v>45654</v>
      </c>
      <c r="N219" s="34">
        <f t="shared" si="8"/>
        <v>8</v>
      </c>
      <c r="O219" s="29"/>
      <c r="P219" t="s">
        <v>129</v>
      </c>
      <c r="Q219" t="s">
        <v>88</v>
      </c>
      <c r="R219" t="s">
        <v>88</v>
      </c>
      <c r="S219" t="s">
        <v>88</v>
      </c>
      <c r="T219" t="s">
        <v>88</v>
      </c>
      <c r="U219" t="s">
        <v>20</v>
      </c>
    </row>
    <row r="220" spans="1:21" x14ac:dyDescent="0.45">
      <c r="A220" s="79">
        <v>78081937</v>
      </c>
      <c r="B220" s="29" t="str">
        <f t="shared" si="9"/>
        <v>7.808.193-7</v>
      </c>
      <c r="C220" s="22" t="str">
        <f>IF(IFERROR(VLOOKUP(A220,$A$9:$I219,1,0),0)=0,"",VLOOKUP(A220,$A$9:$I219,3,0))</f>
        <v>UCI</v>
      </c>
      <c r="D220" s="29" t="str">
        <f>IF(IFERROR(VLOOKUP(A220,$A$9:$I219,1,0),0)=0,"",VLOOKUP(A220,$A$9:$I219,4,0))</f>
        <v>BERNARDITA</v>
      </c>
      <c r="E220" s="29" t="str">
        <f>IF(IFERROR(VLOOKUP(A220,$A$9:$I219,1,0),0)=0,"",VLOOKUP(A220,$A$9:$I219,5,0))</f>
        <v>MONROY</v>
      </c>
      <c r="F220" s="29" t="str">
        <f>IF(IFERROR(VLOOKUP(A220,$A$9:$I219,1,0),0)=0,"",VLOOKUP(A220,$A$9:$I219,6,0))</f>
        <v>LOPEZ</v>
      </c>
      <c r="G220" s="49">
        <f>IF(IFERROR(VLOOKUP(A220,$A$9:$I219,1,0),0)=0,"",VLOOKUP(A220,$A$9:$I219,7,0))</f>
        <v>45646</v>
      </c>
      <c r="H220" s="49">
        <v>45657</v>
      </c>
      <c r="I220" s="29"/>
      <c r="J220" s="29" t="s">
        <v>26</v>
      </c>
      <c r="K220" s="24" t="s">
        <v>59</v>
      </c>
      <c r="L220" s="49">
        <v>45646</v>
      </c>
      <c r="M220" s="49">
        <v>45656</v>
      </c>
      <c r="N220" s="34">
        <f t="shared" si="8"/>
        <v>10</v>
      </c>
      <c r="O220" s="29"/>
      <c r="P220" t="s">
        <v>88</v>
      </c>
      <c r="Q220" t="s">
        <v>88</v>
      </c>
      <c r="R220" t="s">
        <v>88</v>
      </c>
      <c r="S220" t="s">
        <v>88</v>
      </c>
      <c r="T220" t="s">
        <v>88</v>
      </c>
      <c r="U220" t="s">
        <v>20</v>
      </c>
    </row>
    <row r="221" spans="1:21" x14ac:dyDescent="0.45">
      <c r="A221" s="79">
        <v>78081937</v>
      </c>
      <c r="B221" s="29" t="str">
        <f t="shared" si="9"/>
        <v>7.808.193-7</v>
      </c>
      <c r="C221" s="22" t="str">
        <f>IF(IFERROR(VLOOKUP(A221,$A$9:$I220,1,0),0)=0,"",VLOOKUP(A221,$A$9:$I220,3,0))</f>
        <v>UCI</v>
      </c>
      <c r="D221" s="29" t="str">
        <f>IF(IFERROR(VLOOKUP(A221,$A$9:$I220,1,0),0)=0,"",VLOOKUP(A221,$A$9:$I220,4,0))</f>
        <v>BERNARDITA</v>
      </c>
      <c r="E221" s="29" t="str">
        <f>IF(IFERROR(VLOOKUP(A221,$A$9:$I220,1,0),0)=0,"",VLOOKUP(A221,$A$9:$I220,5,0))</f>
        <v>MONROY</v>
      </c>
      <c r="F221" s="29" t="str">
        <f>IF(IFERROR(VLOOKUP(A221,$A$9:$I220,1,0),0)=0,"",VLOOKUP(A221,$A$9:$I220,6,0))</f>
        <v>LOPEZ</v>
      </c>
      <c r="G221" s="49">
        <f>IF(IFERROR(VLOOKUP(A221,$A$9:$I220,1,0),0)=0,"",VLOOKUP(A221,$A$9:$I220,7,0))</f>
        <v>45646</v>
      </c>
      <c r="H221" s="49">
        <v>45657</v>
      </c>
      <c r="I221" s="29"/>
      <c r="J221" s="29" t="s">
        <v>26</v>
      </c>
      <c r="K221" s="24" t="s">
        <v>62</v>
      </c>
      <c r="L221" s="49">
        <v>45656</v>
      </c>
      <c r="M221" s="49">
        <v>45657</v>
      </c>
      <c r="N221" s="34">
        <f t="shared" si="8"/>
        <v>1</v>
      </c>
      <c r="O221" s="29"/>
      <c r="P221" t="s">
        <v>88</v>
      </c>
      <c r="Q221" t="s">
        <v>88</v>
      </c>
      <c r="R221" t="s">
        <v>88</v>
      </c>
      <c r="S221" t="s">
        <v>88</v>
      </c>
      <c r="T221" t="s">
        <v>88</v>
      </c>
      <c r="U221" t="s">
        <v>20</v>
      </c>
    </row>
    <row r="222" spans="1:21" x14ac:dyDescent="0.45">
      <c r="A222" s="79">
        <v>81083584</v>
      </c>
      <c r="B222" s="29" t="str">
        <f t="shared" si="9"/>
        <v>8.108.358-4</v>
      </c>
      <c r="C222" s="22" t="s">
        <v>22</v>
      </c>
      <c r="D222" s="29" t="s">
        <v>846</v>
      </c>
      <c r="E222" s="29" t="s">
        <v>1671</v>
      </c>
      <c r="F222" s="29" t="s">
        <v>266</v>
      </c>
      <c r="G222" s="49">
        <v>45646</v>
      </c>
      <c r="H222" s="49">
        <v>45655</v>
      </c>
      <c r="I222" s="29"/>
      <c r="J222" s="29" t="s">
        <v>22</v>
      </c>
      <c r="K222" s="24" t="s">
        <v>43</v>
      </c>
      <c r="L222" s="49">
        <v>45646</v>
      </c>
      <c r="M222" s="49">
        <v>45655</v>
      </c>
      <c r="N222" s="34">
        <f t="shared" si="8"/>
        <v>9</v>
      </c>
      <c r="O222" s="29"/>
      <c r="P222" t="s">
        <v>88</v>
      </c>
      <c r="Q222" t="s">
        <v>88</v>
      </c>
      <c r="R222" t="s">
        <v>88</v>
      </c>
      <c r="S222" t="s">
        <v>88</v>
      </c>
      <c r="T222" t="s">
        <v>88</v>
      </c>
      <c r="U222" t="s">
        <v>20</v>
      </c>
    </row>
    <row r="223" spans="1:21" x14ac:dyDescent="0.45">
      <c r="A223" s="79">
        <v>81083584</v>
      </c>
      <c r="B223" s="29" t="str">
        <f t="shared" si="9"/>
        <v>8.108.358-4</v>
      </c>
      <c r="C223" s="22" t="str">
        <f>IF(IFERROR(VLOOKUP(A223,$A$9:$I222,1,0),0)=0,"",VLOOKUP(A223,$A$9:$I222,3,0))</f>
        <v>UCI</v>
      </c>
      <c r="D223" s="29" t="str">
        <f>IF(IFERROR(VLOOKUP(A223,$A$9:$I222,1,0),0)=0,"",VLOOKUP(A223,$A$9:$I222,4,0))</f>
        <v>SANDRA</v>
      </c>
      <c r="E223" s="29" t="str">
        <f>IF(IFERROR(VLOOKUP(A223,$A$9:$I222,1,0),0)=0,"",VLOOKUP(A223,$A$9:$I222,5,0))</f>
        <v>POLANCO</v>
      </c>
      <c r="F223" s="29" t="str">
        <f>IF(IFERROR(VLOOKUP(A223,$A$9:$I222,1,0),0)=0,"",VLOOKUP(A223,$A$9:$I222,6,0))</f>
        <v>SOTO</v>
      </c>
      <c r="G223" s="49">
        <f>IF(IFERROR(VLOOKUP(A223,$A$9:$I222,1,0),0)=0,"",VLOOKUP(A223,$A$9:$I222,7,0))</f>
        <v>45646</v>
      </c>
      <c r="H223" s="49">
        <v>45655</v>
      </c>
      <c r="I223" s="29"/>
      <c r="J223" s="29" t="s">
        <v>22</v>
      </c>
      <c r="K223" s="24" t="s">
        <v>47</v>
      </c>
      <c r="L223" s="49">
        <v>45646</v>
      </c>
      <c r="M223" s="49">
        <v>45655</v>
      </c>
      <c r="N223" s="34">
        <f t="shared" si="8"/>
        <v>9</v>
      </c>
      <c r="O223" s="29"/>
      <c r="P223" t="s">
        <v>88</v>
      </c>
      <c r="Q223" t="s">
        <v>88</v>
      </c>
      <c r="R223" t="s">
        <v>88</v>
      </c>
      <c r="S223" t="s">
        <v>88</v>
      </c>
      <c r="T223" t="s">
        <v>88</v>
      </c>
      <c r="U223" t="s">
        <v>20</v>
      </c>
    </row>
    <row r="224" spans="1:21" x14ac:dyDescent="0.45">
      <c r="A224" s="79">
        <v>81083584</v>
      </c>
      <c r="B224" s="29" t="str">
        <f t="shared" si="9"/>
        <v>8.108.358-4</v>
      </c>
      <c r="C224" s="22" t="str">
        <f>IF(IFERROR(VLOOKUP(A224,$A$9:$I223,1,0),0)=0,"",VLOOKUP(A224,$A$9:$I223,3,0))</f>
        <v>UCI</v>
      </c>
      <c r="D224" s="29" t="str">
        <f>IF(IFERROR(VLOOKUP(A224,$A$9:$I223,1,0),0)=0,"",VLOOKUP(A224,$A$9:$I223,4,0))</f>
        <v>SANDRA</v>
      </c>
      <c r="E224" s="29" t="str">
        <f>IF(IFERROR(VLOOKUP(A224,$A$9:$I223,1,0),0)=0,"",VLOOKUP(A224,$A$9:$I223,5,0))</f>
        <v>POLANCO</v>
      </c>
      <c r="F224" s="29" t="str">
        <f>IF(IFERROR(VLOOKUP(A224,$A$9:$I223,1,0),0)=0,"",VLOOKUP(A224,$A$9:$I223,6,0))</f>
        <v>SOTO</v>
      </c>
      <c r="G224" s="49">
        <f>IF(IFERROR(VLOOKUP(A224,$A$9:$I223,1,0),0)=0,"",VLOOKUP(A224,$A$9:$I223,7,0))</f>
        <v>45646</v>
      </c>
      <c r="H224" s="49">
        <v>45655</v>
      </c>
      <c r="I224" s="29"/>
      <c r="J224" s="29" t="s">
        <v>22</v>
      </c>
      <c r="K224" s="24" t="s">
        <v>55</v>
      </c>
      <c r="L224" s="49">
        <v>45646</v>
      </c>
      <c r="M224" s="49">
        <v>45653</v>
      </c>
      <c r="N224" s="34">
        <f t="shared" si="8"/>
        <v>7</v>
      </c>
      <c r="O224" s="29"/>
      <c r="P224" t="s">
        <v>88</v>
      </c>
      <c r="Q224" t="s">
        <v>88</v>
      </c>
      <c r="R224" t="s">
        <v>88</v>
      </c>
      <c r="S224" t="s">
        <v>88</v>
      </c>
      <c r="T224" t="s">
        <v>88</v>
      </c>
      <c r="U224" t="s">
        <v>20</v>
      </c>
    </row>
    <row r="225" spans="1:21" x14ac:dyDescent="0.45">
      <c r="A225" s="79">
        <v>69165796</v>
      </c>
      <c r="B225" s="29" t="str">
        <f t="shared" si="9"/>
        <v>6.916.579-6</v>
      </c>
      <c r="C225" s="22" t="s">
        <v>22</v>
      </c>
      <c r="D225" s="29" t="s">
        <v>774</v>
      </c>
      <c r="E225" s="29" t="s">
        <v>810</v>
      </c>
      <c r="F225" s="29" t="s">
        <v>498</v>
      </c>
      <c r="G225" s="49">
        <v>45651</v>
      </c>
      <c r="H225" s="49">
        <v>45654</v>
      </c>
      <c r="I225" s="29"/>
      <c r="J225" s="29" t="s">
        <v>19</v>
      </c>
      <c r="K225" s="24" t="s">
        <v>43</v>
      </c>
      <c r="L225" s="49">
        <v>45651</v>
      </c>
      <c r="M225" s="49">
        <v>45654</v>
      </c>
      <c r="N225" s="34">
        <f t="shared" si="8"/>
        <v>3</v>
      </c>
      <c r="O225" s="29"/>
      <c r="P225" t="s">
        <v>88</v>
      </c>
      <c r="Q225" t="s">
        <v>88</v>
      </c>
      <c r="R225" t="s">
        <v>88</v>
      </c>
      <c r="S225" t="s">
        <v>88</v>
      </c>
      <c r="T225" t="s">
        <v>88</v>
      </c>
      <c r="U225" t="s">
        <v>20</v>
      </c>
    </row>
    <row r="226" spans="1:21" x14ac:dyDescent="0.45">
      <c r="A226" s="79">
        <v>69165796</v>
      </c>
      <c r="B226" s="29" t="str">
        <f t="shared" si="9"/>
        <v>6.916.579-6</v>
      </c>
      <c r="C226" s="22" t="str">
        <f>IF(IFERROR(VLOOKUP(A226,$A$9:$I225,1,0),0)=0,"",VLOOKUP(A226,$A$9:$I225,3,0))</f>
        <v>UCI</v>
      </c>
      <c r="D226" s="29" t="str">
        <f>IF(IFERROR(VLOOKUP(A226,$A$9:$I225,1,0),0)=0,"",VLOOKUP(A226,$A$9:$I225,4,0))</f>
        <v>ELISA</v>
      </c>
      <c r="E226" s="29" t="str">
        <f>IF(IFERROR(VLOOKUP(A226,$A$9:$I225,1,0),0)=0,"",VLOOKUP(A226,$A$9:$I225,5,0))</f>
        <v>CARTES</v>
      </c>
      <c r="F226" s="29" t="str">
        <f>IF(IFERROR(VLOOKUP(A226,$A$9:$I225,1,0),0)=0,"",VLOOKUP(A226,$A$9:$I225,6,0))</f>
        <v>TOLEDO</v>
      </c>
      <c r="G226" s="49">
        <f>IF(IFERROR(VLOOKUP(A226,$A$9:$I225,1,0),0)=0,"",VLOOKUP(A226,$A$9:$I225,7,0))</f>
        <v>45651</v>
      </c>
      <c r="H226" s="49">
        <v>45655</v>
      </c>
      <c r="I226" s="29"/>
      <c r="J226" s="29" t="s">
        <v>19</v>
      </c>
      <c r="K226" s="24" t="s">
        <v>47</v>
      </c>
      <c r="L226" s="49">
        <v>45651</v>
      </c>
      <c r="M226" s="49">
        <v>45654</v>
      </c>
      <c r="N226" s="34">
        <f t="shared" si="8"/>
        <v>3</v>
      </c>
      <c r="O226" s="29"/>
      <c r="P226" t="s">
        <v>88</v>
      </c>
      <c r="Q226" t="s">
        <v>88</v>
      </c>
      <c r="R226" t="s">
        <v>88</v>
      </c>
      <c r="S226" t="s">
        <v>88</v>
      </c>
      <c r="T226" t="s">
        <v>88</v>
      </c>
      <c r="U226" t="s">
        <v>20</v>
      </c>
    </row>
    <row r="227" spans="1:21" x14ac:dyDescent="0.45">
      <c r="A227" s="79">
        <v>69165796</v>
      </c>
      <c r="B227" s="29" t="str">
        <f t="shared" si="9"/>
        <v>6.916.579-6</v>
      </c>
      <c r="C227" s="22" t="str">
        <f>IF(IFERROR(VLOOKUP(A227,$A$9:$I226,1,0),0)=0,"",VLOOKUP(A227,$A$9:$I226,3,0))</f>
        <v>UCI</v>
      </c>
      <c r="D227" s="29" t="str">
        <f>IF(IFERROR(VLOOKUP(A227,$A$9:$I226,1,0),0)=0,"",VLOOKUP(A227,$A$9:$I226,4,0))</f>
        <v>ELISA</v>
      </c>
      <c r="E227" s="29" t="str">
        <f>IF(IFERROR(VLOOKUP(A227,$A$9:$I226,1,0),0)=0,"",VLOOKUP(A227,$A$9:$I226,5,0))</f>
        <v>CARTES</v>
      </c>
      <c r="F227" s="29" t="str">
        <f>IF(IFERROR(VLOOKUP(A227,$A$9:$I226,1,0),0)=0,"",VLOOKUP(A227,$A$9:$I226,6,0))</f>
        <v>TOLEDO</v>
      </c>
      <c r="G227" s="49">
        <f>IF(IFERROR(VLOOKUP(A227,$A$9:$I226,1,0),0)=0,"",VLOOKUP(A227,$A$9:$I226,7,0))</f>
        <v>45651</v>
      </c>
      <c r="H227" s="49">
        <v>45656</v>
      </c>
      <c r="I227" s="29"/>
      <c r="J227" s="29" t="s">
        <v>19</v>
      </c>
      <c r="K227" s="24" t="s">
        <v>55</v>
      </c>
      <c r="L227" s="49">
        <v>45651</v>
      </c>
      <c r="M227" s="49">
        <v>45654</v>
      </c>
      <c r="N227" s="34">
        <f t="shared" si="8"/>
        <v>3</v>
      </c>
      <c r="O227" s="29"/>
      <c r="P227" t="s">
        <v>132</v>
      </c>
      <c r="Q227" t="s">
        <v>88</v>
      </c>
      <c r="R227" t="s">
        <v>88</v>
      </c>
      <c r="S227" t="s">
        <v>88</v>
      </c>
      <c r="T227" t="s">
        <v>88</v>
      </c>
      <c r="U227" t="s">
        <v>20</v>
      </c>
    </row>
    <row r="228" spans="1:21" x14ac:dyDescent="0.45">
      <c r="A228" s="79">
        <v>44966328</v>
      </c>
      <c r="B228" s="29" t="str">
        <f t="shared" si="9"/>
        <v>4.496.632-8</v>
      </c>
      <c r="C228" s="22" t="s">
        <v>22</v>
      </c>
      <c r="D228" s="29" t="s">
        <v>362</v>
      </c>
      <c r="E228" s="29" t="s">
        <v>249</v>
      </c>
      <c r="F228" s="29" t="s">
        <v>1672</v>
      </c>
      <c r="G228" s="49">
        <v>45647</v>
      </c>
      <c r="H228" s="49">
        <v>45654</v>
      </c>
      <c r="I228" s="29"/>
      <c r="J228" s="29" t="s">
        <v>19</v>
      </c>
      <c r="K228" s="24" t="s">
        <v>43</v>
      </c>
      <c r="L228" s="49">
        <v>45647</v>
      </c>
      <c r="M228" s="49">
        <v>45654</v>
      </c>
      <c r="N228" s="34">
        <f t="shared" si="8"/>
        <v>7</v>
      </c>
      <c r="O228" s="29"/>
      <c r="P228" t="s">
        <v>88</v>
      </c>
      <c r="Q228" t="s">
        <v>88</v>
      </c>
      <c r="R228" t="s">
        <v>88</v>
      </c>
      <c r="S228" t="s">
        <v>88</v>
      </c>
      <c r="T228" t="s">
        <v>88</v>
      </c>
      <c r="U228" t="s">
        <v>20</v>
      </c>
    </row>
    <row r="229" spans="1:21" x14ac:dyDescent="0.45">
      <c r="A229" s="79">
        <v>44966328</v>
      </c>
      <c r="B229" s="29" t="str">
        <f t="shared" si="9"/>
        <v>4.496.632-8</v>
      </c>
      <c r="C229" s="22" t="str">
        <f>IF(IFERROR(VLOOKUP(A229,$A$9:$I228,1,0),0)=0,"",VLOOKUP(A229,$A$9:$I228,3,0))</f>
        <v>UCI</v>
      </c>
      <c r="D229" s="29" t="str">
        <f>IF(IFERROR(VLOOKUP(A229,$A$9:$I228,1,0),0)=0,"",VLOOKUP(A229,$A$9:$I228,4,0))</f>
        <v>JORGE</v>
      </c>
      <c r="E229" s="29" t="str">
        <f>IF(IFERROR(VLOOKUP(A229,$A$9:$I228,1,0),0)=0,"",VLOOKUP(A229,$A$9:$I228,5,0))</f>
        <v>RODRIGUEZ</v>
      </c>
      <c r="F229" s="29" t="str">
        <f>IF(IFERROR(VLOOKUP(A229,$A$9:$I228,1,0),0)=0,"",VLOOKUP(A229,$A$9:$I228,6,0))</f>
        <v>ROCCO</v>
      </c>
      <c r="G229" s="49">
        <f>IF(IFERROR(VLOOKUP(A229,$A$9:$I228,1,0),0)=0,"",VLOOKUP(A229,$A$9:$I228,7,0))</f>
        <v>45647</v>
      </c>
      <c r="H229" s="49">
        <v>45654</v>
      </c>
      <c r="I229" s="29"/>
      <c r="J229" s="29" t="s">
        <v>19</v>
      </c>
      <c r="K229" s="24" t="s">
        <v>47</v>
      </c>
      <c r="L229" s="49">
        <v>45647</v>
      </c>
      <c r="M229" s="49">
        <v>45654</v>
      </c>
      <c r="N229" s="34">
        <f t="shared" si="8"/>
        <v>7</v>
      </c>
      <c r="O229" s="29"/>
      <c r="P229" t="s">
        <v>88</v>
      </c>
      <c r="Q229" t="s">
        <v>88</v>
      </c>
      <c r="R229" t="s">
        <v>88</v>
      </c>
      <c r="S229" t="s">
        <v>88</v>
      </c>
      <c r="T229" t="s">
        <v>88</v>
      </c>
      <c r="U229" t="s">
        <v>20</v>
      </c>
    </row>
    <row r="230" spans="1:21" x14ac:dyDescent="0.45">
      <c r="A230" s="79">
        <v>44966328</v>
      </c>
      <c r="B230" s="29" t="str">
        <f t="shared" si="9"/>
        <v>4.496.632-8</v>
      </c>
      <c r="C230" s="22" t="str">
        <f>IF(IFERROR(VLOOKUP(A230,$A$9:$I229,1,0),0)=0,"",VLOOKUP(A230,$A$9:$I229,3,0))</f>
        <v>UCI</v>
      </c>
      <c r="D230" s="29" t="str">
        <f>IF(IFERROR(VLOOKUP(A230,$A$9:$I229,1,0),0)=0,"",VLOOKUP(A230,$A$9:$I229,4,0))</f>
        <v>JORGE</v>
      </c>
      <c r="E230" s="29" t="str">
        <f>IF(IFERROR(VLOOKUP(A230,$A$9:$I229,1,0),0)=0,"",VLOOKUP(A230,$A$9:$I229,5,0))</f>
        <v>RODRIGUEZ</v>
      </c>
      <c r="F230" s="29" t="str">
        <f>IF(IFERROR(VLOOKUP(A230,$A$9:$I229,1,0),0)=0,"",VLOOKUP(A230,$A$9:$I229,6,0))</f>
        <v>ROCCO</v>
      </c>
      <c r="G230" s="49">
        <f>IF(IFERROR(VLOOKUP(A230,$A$9:$I229,1,0),0)=0,"",VLOOKUP(A230,$A$9:$I229,7,0))</f>
        <v>45647</v>
      </c>
      <c r="H230" s="49">
        <v>45654</v>
      </c>
      <c r="I230" s="29"/>
      <c r="J230" s="29" t="s">
        <v>19</v>
      </c>
      <c r="K230" s="24" t="s">
        <v>55</v>
      </c>
      <c r="L230" s="49">
        <v>45647</v>
      </c>
      <c r="M230" s="49">
        <v>45654</v>
      </c>
      <c r="N230" s="34">
        <f t="shared" si="8"/>
        <v>7</v>
      </c>
      <c r="O230" s="29"/>
      <c r="P230" t="s">
        <v>88</v>
      </c>
      <c r="Q230" t="s">
        <v>88</v>
      </c>
      <c r="R230" t="s">
        <v>88</v>
      </c>
      <c r="S230" t="s">
        <v>88</v>
      </c>
      <c r="T230" t="s">
        <v>88</v>
      </c>
      <c r="U230" t="s">
        <v>20</v>
      </c>
    </row>
    <row r="231" spans="1:21" x14ac:dyDescent="0.45">
      <c r="A231" s="79">
        <v>107118209</v>
      </c>
      <c r="B231" s="29" t="str">
        <f t="shared" si="9"/>
        <v>10.711.820-9</v>
      </c>
      <c r="C231" s="22" t="s">
        <v>22</v>
      </c>
      <c r="D231" s="29" t="s">
        <v>944</v>
      </c>
      <c r="E231" s="29" t="s">
        <v>955</v>
      </c>
      <c r="F231" s="29" t="s">
        <v>328</v>
      </c>
      <c r="G231" s="49">
        <v>45652</v>
      </c>
      <c r="H231" s="49">
        <v>45654</v>
      </c>
      <c r="I231" s="29"/>
      <c r="J231" s="29" t="s">
        <v>1615</v>
      </c>
      <c r="K231" s="24" t="s">
        <v>43</v>
      </c>
      <c r="L231" s="49">
        <v>45652</v>
      </c>
      <c r="M231" s="49">
        <v>45654</v>
      </c>
      <c r="N231" s="34">
        <f t="shared" si="8"/>
        <v>2</v>
      </c>
      <c r="O231" s="29"/>
      <c r="P231" t="s">
        <v>88</v>
      </c>
      <c r="Q231" t="s">
        <v>88</v>
      </c>
      <c r="R231" t="s">
        <v>88</v>
      </c>
      <c r="S231" t="s">
        <v>88</v>
      </c>
      <c r="T231" t="s">
        <v>88</v>
      </c>
      <c r="U231" t="s">
        <v>20</v>
      </c>
    </row>
    <row r="232" spans="1:21" x14ac:dyDescent="0.45">
      <c r="A232" s="79">
        <v>64819984</v>
      </c>
      <c r="B232" s="29" t="str">
        <f t="shared" si="9"/>
        <v>6.481.998-4</v>
      </c>
      <c r="C232" s="22" t="s">
        <v>22</v>
      </c>
      <c r="D232" s="29" t="s">
        <v>1673</v>
      </c>
      <c r="E232" s="29" t="s">
        <v>1674</v>
      </c>
      <c r="F232" s="29" t="s">
        <v>1629</v>
      </c>
      <c r="G232" s="49">
        <v>45650</v>
      </c>
      <c r="H232" s="49">
        <v>45657</v>
      </c>
      <c r="I232" s="29"/>
      <c r="J232" s="29" t="s">
        <v>1615</v>
      </c>
      <c r="K232" s="24" t="s">
        <v>43</v>
      </c>
      <c r="L232" s="49">
        <v>45650</v>
      </c>
      <c r="M232" s="49">
        <v>45657</v>
      </c>
      <c r="N232" s="34">
        <f t="shared" si="8"/>
        <v>7</v>
      </c>
      <c r="O232" s="29"/>
      <c r="P232" t="s">
        <v>96</v>
      </c>
      <c r="Q232" t="s">
        <v>88</v>
      </c>
      <c r="R232" t="s">
        <v>88</v>
      </c>
      <c r="S232" t="s">
        <v>88</v>
      </c>
      <c r="T232" t="s">
        <v>88</v>
      </c>
      <c r="U232" t="s">
        <v>20</v>
      </c>
    </row>
    <row r="233" spans="1:21" x14ac:dyDescent="0.45">
      <c r="A233" s="79">
        <v>64819984</v>
      </c>
      <c r="B233" s="29" t="str">
        <f t="shared" si="9"/>
        <v>6.481.998-4</v>
      </c>
      <c r="C233" s="22" t="str">
        <f>IF(IFERROR(VLOOKUP(A233,$A$9:$I232,1,0),0)=0,"",VLOOKUP(A233,$A$9:$I232,3,0))</f>
        <v>UCI</v>
      </c>
      <c r="D233" s="29" t="str">
        <f>IF(IFERROR(VLOOKUP(A233,$A$9:$I232,1,0),0)=0,"",VLOOKUP(A233,$A$9:$I232,4,0))</f>
        <v>LUCRECIA</v>
      </c>
      <c r="E233" s="29" t="str">
        <f>IF(IFERROR(VLOOKUP(A233,$A$9:$I232,1,0),0)=0,"",VLOOKUP(A233,$A$9:$I232,5,0))</f>
        <v>CANTO</v>
      </c>
      <c r="F233" s="29" t="str">
        <f>IF(IFERROR(VLOOKUP(A233,$A$9:$I232,1,0),0)=0,"",VLOOKUP(A233,$A$9:$I232,6,0))</f>
        <v>SANTANA</v>
      </c>
      <c r="G233" s="49">
        <f>IF(IFERROR(VLOOKUP(A233,$A$9:$I232,1,0),0)=0,"",VLOOKUP(A233,$A$9:$I232,7,0))</f>
        <v>45650</v>
      </c>
      <c r="H233" s="29"/>
      <c r="I233" s="29"/>
      <c r="J233" s="29" t="s">
        <v>1615</v>
      </c>
      <c r="K233" s="24" t="s">
        <v>55</v>
      </c>
      <c r="L233" s="49">
        <v>45650</v>
      </c>
      <c r="M233" s="49">
        <v>45656</v>
      </c>
      <c r="N233" s="34">
        <f t="shared" si="8"/>
        <v>6</v>
      </c>
      <c r="O233" s="29"/>
      <c r="P233" t="s">
        <v>88</v>
      </c>
      <c r="Q233" t="s">
        <v>88</v>
      </c>
      <c r="R233" t="s">
        <v>88</v>
      </c>
      <c r="S233" t="s">
        <v>88</v>
      </c>
      <c r="T233" t="s">
        <v>88</v>
      </c>
      <c r="U233" t="s">
        <v>20</v>
      </c>
    </row>
    <row r="234" spans="1:21" x14ac:dyDescent="0.45">
      <c r="A234" s="79">
        <v>76576432</v>
      </c>
      <c r="B234" s="29" t="str">
        <f t="shared" si="9"/>
        <v>7.657.643-2</v>
      </c>
      <c r="C234" s="22" t="s">
        <v>22</v>
      </c>
      <c r="D234" s="29" t="s">
        <v>368</v>
      </c>
      <c r="E234" s="29" t="s">
        <v>501</v>
      </c>
      <c r="F234" s="29" t="s">
        <v>389</v>
      </c>
      <c r="G234" s="49">
        <v>45647</v>
      </c>
      <c r="H234" s="49">
        <v>45650</v>
      </c>
      <c r="I234" s="29"/>
      <c r="J234" s="29" t="s">
        <v>1615</v>
      </c>
      <c r="K234" s="24" t="s">
        <v>43</v>
      </c>
      <c r="L234" s="49">
        <v>45647</v>
      </c>
      <c r="M234" s="49">
        <v>45650</v>
      </c>
      <c r="N234" s="34">
        <f t="shared" si="8"/>
        <v>3</v>
      </c>
      <c r="O234" s="29"/>
      <c r="P234" t="s">
        <v>88</v>
      </c>
      <c r="Q234" t="s">
        <v>88</v>
      </c>
      <c r="R234" t="s">
        <v>88</v>
      </c>
      <c r="S234" t="s">
        <v>88</v>
      </c>
      <c r="T234" t="s">
        <v>88</v>
      </c>
      <c r="U234" t="s">
        <v>20</v>
      </c>
    </row>
    <row r="235" spans="1:21" x14ac:dyDescent="0.45">
      <c r="A235" s="79">
        <v>76576432</v>
      </c>
      <c r="B235" s="29" t="str">
        <f t="shared" si="9"/>
        <v>7.657.643-2</v>
      </c>
      <c r="C235" s="22" t="str">
        <f>IF(IFERROR(VLOOKUP(A235,$A$9:$I234,1,0),0)=0,"",VLOOKUP(A235,$A$9:$I234,3,0))</f>
        <v>UCI</v>
      </c>
      <c r="D235" s="29" t="str">
        <f>IF(IFERROR(VLOOKUP(A235,$A$9:$I234,1,0),0)=0,"",VLOOKUP(A235,$A$9:$I234,4,0))</f>
        <v>JUANA</v>
      </c>
      <c r="E235" s="29" t="str">
        <f>IF(IFERROR(VLOOKUP(A235,$A$9:$I234,1,0),0)=0,"",VLOOKUP(A235,$A$9:$I234,5,0))</f>
        <v>REYES</v>
      </c>
      <c r="F235" s="29" t="str">
        <f>IF(IFERROR(VLOOKUP(A235,$A$9:$I234,1,0),0)=0,"",VLOOKUP(A235,$A$9:$I234,6,0))</f>
        <v>SALINAS</v>
      </c>
      <c r="G235" s="49">
        <f>IF(IFERROR(VLOOKUP(A235,$A$9:$I234,1,0),0)=0,"",VLOOKUP(A235,$A$9:$I234,7,0))</f>
        <v>45647</v>
      </c>
      <c r="H235" s="49">
        <v>45650</v>
      </c>
      <c r="I235" s="29"/>
      <c r="J235" s="29" t="s">
        <v>1615</v>
      </c>
      <c r="K235" s="24" t="s">
        <v>47</v>
      </c>
      <c r="L235" s="49">
        <v>45647</v>
      </c>
      <c r="M235" s="49">
        <v>45650</v>
      </c>
      <c r="N235" s="34">
        <f t="shared" si="8"/>
        <v>3</v>
      </c>
      <c r="O235" s="29"/>
      <c r="P235" t="s">
        <v>88</v>
      </c>
      <c r="Q235" t="s">
        <v>88</v>
      </c>
      <c r="R235" t="s">
        <v>88</v>
      </c>
      <c r="S235" t="s">
        <v>88</v>
      </c>
      <c r="T235" t="s">
        <v>88</v>
      </c>
      <c r="U235" t="s">
        <v>20</v>
      </c>
    </row>
    <row r="236" spans="1:21" x14ac:dyDescent="0.45">
      <c r="A236" s="79">
        <v>160356685</v>
      </c>
      <c r="B236" s="29" t="str">
        <f t="shared" si="9"/>
        <v>16.035.668-5</v>
      </c>
      <c r="C236" s="22" t="s">
        <v>22</v>
      </c>
      <c r="D236" s="29" t="s">
        <v>629</v>
      </c>
      <c r="E236" s="29" t="s">
        <v>580</v>
      </c>
      <c r="F236" s="29" t="s">
        <v>536</v>
      </c>
      <c r="G236" s="49">
        <v>45648</v>
      </c>
      <c r="H236" s="49">
        <v>45649</v>
      </c>
      <c r="I236" s="29"/>
      <c r="J236" s="29" t="s">
        <v>1615</v>
      </c>
      <c r="K236" s="24" t="s">
        <v>39</v>
      </c>
      <c r="L236" s="49">
        <v>45648</v>
      </c>
      <c r="M236" s="49">
        <v>45649</v>
      </c>
      <c r="N236" s="34">
        <f t="shared" si="8"/>
        <v>1</v>
      </c>
      <c r="O236" s="29"/>
      <c r="P236" t="s">
        <v>88</v>
      </c>
      <c r="Q236" t="s">
        <v>88</v>
      </c>
      <c r="R236" t="s">
        <v>88</v>
      </c>
      <c r="S236" t="s">
        <v>88</v>
      </c>
      <c r="T236" t="s">
        <v>88</v>
      </c>
      <c r="U236" t="s">
        <v>20</v>
      </c>
    </row>
    <row r="237" spans="1:21" x14ac:dyDescent="0.45">
      <c r="A237" s="79">
        <v>50631125</v>
      </c>
      <c r="B237" s="29" t="str">
        <f t="shared" si="9"/>
        <v>5.063.112-5</v>
      </c>
      <c r="C237" s="22" t="str">
        <f>IF(IFERROR(VLOOKUP(A237,$A$9:$I236,1,0),0)=0,"",VLOOKUP(A237,$A$9:$I236,3,0))</f>
        <v>UCI</v>
      </c>
      <c r="D237" s="29" t="str">
        <f>IF(IFERROR(VLOOKUP(A237,$A$9:$I236,1,0),0)=0,"",VLOOKUP(A237,$A$9:$I236,4,0))</f>
        <v>MIGUEL</v>
      </c>
      <c r="E237" s="29" t="str">
        <f>IF(IFERROR(VLOOKUP(A237,$A$9:$I236,1,0),0)=0,"",VLOOKUP(A237,$A$9:$I236,5,0))</f>
        <v>PASTEN</v>
      </c>
      <c r="F237" s="29" t="str">
        <f>IF(IFERROR(VLOOKUP(A237,$A$9:$I236,1,0),0)=0,"",VLOOKUP(A237,$A$9:$I236,6,0))</f>
        <v>BAEZ</v>
      </c>
      <c r="G237" s="49">
        <v>45648</v>
      </c>
      <c r="H237" s="49">
        <v>45650</v>
      </c>
      <c r="I237" s="29"/>
      <c r="J237" s="29" t="s">
        <v>46</v>
      </c>
      <c r="K237" s="24" t="s">
        <v>43</v>
      </c>
      <c r="L237" s="49">
        <v>45648</v>
      </c>
      <c r="M237" s="49">
        <v>45650</v>
      </c>
      <c r="N237" s="34">
        <f t="shared" si="8"/>
        <v>2</v>
      </c>
      <c r="O237" s="29"/>
      <c r="P237" t="s">
        <v>88</v>
      </c>
      <c r="Q237" t="s">
        <v>88</v>
      </c>
      <c r="R237" t="s">
        <v>88</v>
      </c>
      <c r="S237" t="s">
        <v>88</v>
      </c>
      <c r="T237" t="s">
        <v>88</v>
      </c>
      <c r="U237" t="s">
        <v>20</v>
      </c>
    </row>
    <row r="238" spans="1:21" x14ac:dyDescent="0.45">
      <c r="A238" s="79">
        <v>50631125</v>
      </c>
      <c r="B238" s="29" t="str">
        <f t="shared" si="9"/>
        <v>5.063.112-5</v>
      </c>
      <c r="C238" s="22" t="str">
        <f>IF(IFERROR(VLOOKUP(A238,$A$9:$I237,1,0),0)=0,"",VLOOKUP(A238,$A$9:$I237,3,0))</f>
        <v>UCI</v>
      </c>
      <c r="D238" s="29" t="str">
        <f>IF(IFERROR(VLOOKUP(A238,$A$9:$I237,1,0),0)=0,"",VLOOKUP(A238,$A$9:$I237,4,0))</f>
        <v>MIGUEL</v>
      </c>
      <c r="E238" s="29" t="str">
        <f>IF(IFERROR(VLOOKUP(A238,$A$9:$I237,1,0),0)=0,"",VLOOKUP(A238,$A$9:$I237,5,0))</f>
        <v>PASTEN</v>
      </c>
      <c r="F238" s="29" t="str">
        <f>IF(IFERROR(VLOOKUP(A238,$A$9:$I237,1,0),0)=0,"",VLOOKUP(A238,$A$9:$I237,6,0))</f>
        <v>BAEZ</v>
      </c>
      <c r="G238" s="49">
        <v>45648</v>
      </c>
      <c r="H238" s="49">
        <v>45650</v>
      </c>
      <c r="I238" s="29"/>
      <c r="J238" s="29" t="s">
        <v>46</v>
      </c>
      <c r="K238" s="24" t="s">
        <v>47</v>
      </c>
      <c r="L238" s="49">
        <v>45648</v>
      </c>
      <c r="M238" s="49">
        <v>45650</v>
      </c>
      <c r="N238" s="34">
        <f t="shared" si="8"/>
        <v>2</v>
      </c>
      <c r="O238" s="29"/>
      <c r="P238" t="s">
        <v>88</v>
      </c>
      <c r="Q238" t="s">
        <v>88</v>
      </c>
      <c r="R238" t="s">
        <v>88</v>
      </c>
      <c r="S238" t="s">
        <v>88</v>
      </c>
      <c r="T238" t="s">
        <v>88</v>
      </c>
      <c r="U238" t="s">
        <v>20</v>
      </c>
    </row>
    <row r="239" spans="1:21" x14ac:dyDescent="0.45">
      <c r="A239" s="79" t="s">
        <v>1675</v>
      </c>
      <c r="B239" s="29" t="str">
        <f t="shared" si="9"/>
        <v>18.807.989-k</v>
      </c>
      <c r="C239" s="22" t="s">
        <v>22</v>
      </c>
      <c r="D239" s="29" t="s">
        <v>925</v>
      </c>
      <c r="E239" s="29" t="s">
        <v>1676</v>
      </c>
      <c r="F239" s="29" t="s">
        <v>1195</v>
      </c>
      <c r="G239" s="49" t="str">
        <f>IF(IFERROR(VLOOKUP(A239,$A$9:$I238,1,0),0)=0,"",VLOOKUP(A239,$A$9:$I238,7,0))</f>
        <v/>
      </c>
      <c r="H239" s="29"/>
      <c r="I239" s="29"/>
      <c r="J239" s="29" t="s">
        <v>1615</v>
      </c>
      <c r="K239" s="24" t="s">
        <v>43</v>
      </c>
      <c r="L239" s="49">
        <v>45648</v>
      </c>
      <c r="M239" s="49">
        <v>45649</v>
      </c>
      <c r="N239" s="34">
        <f t="shared" si="8"/>
        <v>1</v>
      </c>
      <c r="O239" s="29"/>
      <c r="P239" t="s">
        <v>88</v>
      </c>
      <c r="Q239" t="s">
        <v>88</v>
      </c>
      <c r="R239" t="s">
        <v>88</v>
      </c>
      <c r="S239" t="s">
        <v>88</v>
      </c>
      <c r="T239" t="s">
        <v>88</v>
      </c>
      <c r="U239" t="s">
        <v>20</v>
      </c>
    </row>
    <row r="240" spans="1:21" x14ac:dyDescent="0.45">
      <c r="A240" s="79">
        <v>57683201</v>
      </c>
      <c r="B240" s="29" t="str">
        <f t="shared" si="9"/>
        <v>5.768.320-1</v>
      </c>
      <c r="C240" s="22" t="str">
        <f>IF(IFERROR(VLOOKUP(A240,$A$9:$I239,1,0),0)=0,"",VLOOKUP(A240,$A$9:$I239,3,0))</f>
        <v>UCI</v>
      </c>
      <c r="D240" s="29" t="str">
        <f>IF(IFERROR(VLOOKUP(A240,$A$9:$I239,1,0),0)=0,"",VLOOKUP(A240,$A$9:$I239,4,0))</f>
        <v>JORGE</v>
      </c>
      <c r="E240" s="29" t="str">
        <f>IF(IFERROR(VLOOKUP(A240,$A$9:$I239,1,0),0)=0,"",VLOOKUP(A240,$A$9:$I239,5,0))</f>
        <v>MONJE</v>
      </c>
      <c r="F240" s="29" t="str">
        <f>IF(IFERROR(VLOOKUP(A240,$A$9:$I239,1,0),0)=0,"",VLOOKUP(A240,$A$9:$I239,6,0))</f>
        <v>CHAVEZ</v>
      </c>
      <c r="G240" s="49">
        <v>45646</v>
      </c>
      <c r="H240" s="49">
        <v>45650</v>
      </c>
      <c r="I240" s="29"/>
      <c r="J240" s="29" t="s">
        <v>56</v>
      </c>
      <c r="K240" s="24" t="s">
        <v>43</v>
      </c>
      <c r="L240" s="49">
        <v>45646</v>
      </c>
      <c r="M240" s="49">
        <v>45650</v>
      </c>
      <c r="N240" s="34">
        <f t="shared" si="8"/>
        <v>4</v>
      </c>
      <c r="O240" s="29"/>
      <c r="P240" t="s">
        <v>88</v>
      </c>
      <c r="Q240" t="s">
        <v>88</v>
      </c>
      <c r="R240" t="s">
        <v>88</v>
      </c>
      <c r="S240" t="s">
        <v>88</v>
      </c>
      <c r="T240" t="s">
        <v>88</v>
      </c>
      <c r="U240" t="s">
        <v>20</v>
      </c>
    </row>
    <row r="241" spans="1:21" x14ac:dyDescent="0.45">
      <c r="A241" s="79">
        <v>57683201</v>
      </c>
      <c r="B241" s="29" t="str">
        <f t="shared" si="9"/>
        <v>5.768.320-1</v>
      </c>
      <c r="C241" s="22" t="str">
        <f>IF(IFERROR(VLOOKUP(A241,$A$9:$I240,1,0),0)=0,"",VLOOKUP(A241,$A$9:$I240,3,0))</f>
        <v>UCI</v>
      </c>
      <c r="D241" s="29" t="str">
        <f>IF(IFERROR(VLOOKUP(A241,$A$9:$I240,1,0),0)=0,"",VLOOKUP(A241,$A$9:$I240,4,0))</f>
        <v>JORGE</v>
      </c>
      <c r="E241" s="29" t="str">
        <f>IF(IFERROR(VLOOKUP(A241,$A$9:$I240,1,0),0)=0,"",VLOOKUP(A241,$A$9:$I240,5,0))</f>
        <v>MONJE</v>
      </c>
      <c r="F241" s="29" t="str">
        <f>IF(IFERROR(VLOOKUP(A241,$A$9:$I240,1,0),0)=0,"",VLOOKUP(A241,$A$9:$I240,6,0))</f>
        <v>CHAVEZ</v>
      </c>
      <c r="G241" s="49">
        <v>45646</v>
      </c>
      <c r="H241" s="49">
        <v>45650</v>
      </c>
      <c r="I241" s="29"/>
      <c r="J241" s="29" t="s">
        <v>56</v>
      </c>
      <c r="K241" s="24" t="s">
        <v>55</v>
      </c>
      <c r="L241" s="49">
        <v>45646</v>
      </c>
      <c r="M241" s="49">
        <v>45650</v>
      </c>
      <c r="N241" s="34">
        <f t="shared" si="8"/>
        <v>4</v>
      </c>
      <c r="O241" s="29"/>
      <c r="P241" t="s">
        <v>132</v>
      </c>
      <c r="Q241" t="s">
        <v>88</v>
      </c>
      <c r="R241" t="s">
        <v>88</v>
      </c>
      <c r="S241" t="s">
        <v>88</v>
      </c>
      <c r="T241" t="s">
        <v>88</v>
      </c>
      <c r="U241" t="s">
        <v>20</v>
      </c>
    </row>
    <row r="242" spans="1:21" x14ac:dyDescent="0.45">
      <c r="A242" s="79">
        <v>183870858</v>
      </c>
      <c r="B242" s="29" t="str">
        <f t="shared" si="9"/>
        <v>18.387.085-8</v>
      </c>
      <c r="C242" s="22" t="s">
        <v>22</v>
      </c>
      <c r="D242" s="29" t="s">
        <v>1677</v>
      </c>
      <c r="E242" s="29" t="s">
        <v>1678</v>
      </c>
      <c r="F242" s="29" t="s">
        <v>325</v>
      </c>
      <c r="G242" s="49">
        <v>45648</v>
      </c>
      <c r="H242" s="49">
        <v>45650</v>
      </c>
      <c r="I242" s="29"/>
      <c r="J242" s="29" t="s">
        <v>32</v>
      </c>
      <c r="K242" s="24" t="s">
        <v>43</v>
      </c>
      <c r="L242" s="49">
        <v>45648</v>
      </c>
      <c r="M242" s="49">
        <v>45650</v>
      </c>
      <c r="N242" s="34">
        <f t="shared" si="8"/>
        <v>2</v>
      </c>
      <c r="O242" s="29"/>
      <c r="P242" t="s">
        <v>88</v>
      </c>
      <c r="Q242" t="s">
        <v>88</v>
      </c>
      <c r="R242" t="s">
        <v>88</v>
      </c>
      <c r="S242" t="s">
        <v>88</v>
      </c>
      <c r="T242" t="s">
        <v>88</v>
      </c>
      <c r="U242" t="s">
        <v>20</v>
      </c>
    </row>
    <row r="243" spans="1:21" x14ac:dyDescent="0.45">
      <c r="A243" s="79">
        <v>183870858</v>
      </c>
      <c r="B243" s="29" t="str">
        <f t="shared" si="9"/>
        <v>18.387.085-8</v>
      </c>
      <c r="C243" s="22" t="str">
        <f>IF(IFERROR(VLOOKUP(A243,$A$9:$I242,1,0),0)=0,"",VLOOKUP(A243,$A$9:$I242,3,0))</f>
        <v>UCI</v>
      </c>
      <c r="D243" s="29" t="str">
        <f>IF(IFERROR(VLOOKUP(A243,$A$9:$I242,1,0),0)=0,"",VLOOKUP(A243,$A$9:$I242,4,0))</f>
        <v>ALAN</v>
      </c>
      <c r="E243" s="29" t="str">
        <f>IF(IFERROR(VLOOKUP(A243,$A$9:$I242,1,0),0)=0,"",VLOOKUP(A243,$A$9:$I242,5,0))</f>
        <v>LLORENTE</v>
      </c>
      <c r="F243" s="29" t="str">
        <f>IF(IFERROR(VLOOKUP(A243,$A$9:$I242,1,0),0)=0,"",VLOOKUP(A243,$A$9:$I242,6,0))</f>
        <v>GARCIA</v>
      </c>
      <c r="G243" s="49">
        <f>IF(IFERROR(VLOOKUP(A243,$A$9:$I242,1,0),0)=0,"",VLOOKUP(A243,$A$9:$I242,7,0))</f>
        <v>45648</v>
      </c>
      <c r="H243" s="49">
        <v>45650</v>
      </c>
      <c r="I243" s="29"/>
      <c r="J243" s="29" t="s">
        <v>32</v>
      </c>
      <c r="K243" s="24" t="s">
        <v>47</v>
      </c>
      <c r="L243" s="49">
        <v>45648</v>
      </c>
      <c r="M243" s="49">
        <v>45650</v>
      </c>
      <c r="N243" s="34">
        <f t="shared" si="8"/>
        <v>2</v>
      </c>
      <c r="O243" s="29"/>
      <c r="P243" t="s">
        <v>88</v>
      </c>
      <c r="Q243" t="s">
        <v>88</v>
      </c>
      <c r="R243" t="s">
        <v>88</v>
      </c>
      <c r="S243" t="s">
        <v>88</v>
      </c>
      <c r="T243" t="s">
        <v>88</v>
      </c>
      <c r="U243" t="s">
        <v>20</v>
      </c>
    </row>
    <row r="244" spans="1:21" x14ac:dyDescent="0.45">
      <c r="A244" s="79">
        <v>183870858</v>
      </c>
      <c r="B244" s="29" t="str">
        <f t="shared" si="9"/>
        <v>18.387.085-8</v>
      </c>
      <c r="C244" s="22" t="str">
        <f>IF(IFERROR(VLOOKUP(A244,$A$9:$I243,1,0),0)=0,"",VLOOKUP(A244,$A$9:$I243,3,0))</f>
        <v>UCI</v>
      </c>
      <c r="D244" s="29" t="str">
        <f>IF(IFERROR(VLOOKUP(A244,$A$9:$I243,1,0),0)=0,"",VLOOKUP(A244,$A$9:$I243,4,0))</f>
        <v>ALAN</v>
      </c>
      <c r="E244" s="29" t="str">
        <f>IF(IFERROR(VLOOKUP(A244,$A$9:$I243,1,0),0)=0,"",VLOOKUP(A244,$A$9:$I243,5,0))</f>
        <v>LLORENTE</v>
      </c>
      <c r="F244" s="29" t="str">
        <f>IF(IFERROR(VLOOKUP(A244,$A$9:$I243,1,0),0)=0,"",VLOOKUP(A244,$A$9:$I243,6,0))</f>
        <v>GARCIA</v>
      </c>
      <c r="G244" s="49">
        <f>IF(IFERROR(VLOOKUP(A244,$A$9:$I243,1,0),0)=0,"",VLOOKUP(A244,$A$9:$I243,7,0))</f>
        <v>45648</v>
      </c>
      <c r="H244" s="49">
        <v>45650</v>
      </c>
      <c r="I244" s="29"/>
      <c r="J244" s="29" t="s">
        <v>32</v>
      </c>
      <c r="K244" s="24" t="s">
        <v>55</v>
      </c>
      <c r="L244" s="49">
        <v>45648</v>
      </c>
      <c r="M244" s="49">
        <v>45650</v>
      </c>
      <c r="N244" s="34">
        <f t="shared" si="8"/>
        <v>2</v>
      </c>
      <c r="O244" s="29"/>
      <c r="P244" t="s">
        <v>88</v>
      </c>
      <c r="Q244" t="s">
        <v>88</v>
      </c>
      <c r="R244" t="s">
        <v>88</v>
      </c>
      <c r="S244" t="s">
        <v>88</v>
      </c>
      <c r="T244" t="s">
        <v>88</v>
      </c>
      <c r="U244" t="s">
        <v>20</v>
      </c>
    </row>
    <row r="245" spans="1:21" x14ac:dyDescent="0.45">
      <c r="A245" s="79">
        <v>285456383</v>
      </c>
      <c r="B245" s="29" t="str">
        <f t="shared" si="9"/>
        <v>28.545.638-3</v>
      </c>
      <c r="C245" s="22" t="s">
        <v>10</v>
      </c>
      <c r="D245" s="29" t="s">
        <v>714</v>
      </c>
      <c r="E245" s="29" t="s">
        <v>1075</v>
      </c>
      <c r="F245" s="29" t="s">
        <v>1679</v>
      </c>
      <c r="G245" s="49">
        <v>45639</v>
      </c>
      <c r="H245" s="49">
        <v>45658</v>
      </c>
      <c r="I245" s="29"/>
      <c r="J245" s="29" t="s">
        <v>1615</v>
      </c>
      <c r="K245" s="24" t="s">
        <v>43</v>
      </c>
      <c r="L245" s="49">
        <v>45639</v>
      </c>
      <c r="M245" s="49">
        <v>45657</v>
      </c>
      <c r="N245" s="34">
        <f t="shared" si="8"/>
        <v>18</v>
      </c>
      <c r="O245" s="29"/>
      <c r="P245" t="s">
        <v>88</v>
      </c>
      <c r="Q245" t="s">
        <v>88</v>
      </c>
      <c r="R245" t="s">
        <v>88</v>
      </c>
      <c r="S245" t="s">
        <v>88</v>
      </c>
      <c r="T245" t="s">
        <v>88</v>
      </c>
      <c r="U245" t="s">
        <v>20</v>
      </c>
    </row>
    <row r="246" spans="1:21" x14ac:dyDescent="0.45">
      <c r="A246" s="79">
        <v>285456383</v>
      </c>
      <c r="B246" s="29" t="str">
        <f t="shared" si="9"/>
        <v>28.545.638-3</v>
      </c>
      <c r="C246" s="22" t="str">
        <f>IF(IFERROR(VLOOKUP(A246,$A$9:$I245,1,0),0)=0,"",VLOOKUP(A246,$A$9:$I245,3,0))</f>
        <v>UCI infanto juvenil</v>
      </c>
      <c r="D246" s="29" t="str">
        <f>IF(IFERROR(VLOOKUP(A246,$A$9:$I245,1,0),0)=0,"",VLOOKUP(A246,$A$9:$I245,4,0))</f>
        <v>MAGADALENA</v>
      </c>
      <c r="E246" s="29" t="str">
        <f>IF(IFERROR(VLOOKUP(A246,$A$9:$I245,1,0),0)=0,"",VLOOKUP(A246,$A$9:$I245,5,0))</f>
        <v>MONTERO</v>
      </c>
      <c r="F246" s="29" t="str">
        <f>IF(IFERROR(VLOOKUP(A246,$A$9:$I245,1,0),0)=0,"",VLOOKUP(A246,$A$9:$I245,6,0))</f>
        <v>URBINA</v>
      </c>
      <c r="G246" s="49">
        <f>IF(IFERROR(VLOOKUP(A246,$A$9:$I245,1,0),0)=0,"",VLOOKUP(A246,$A$9:$I245,7,0))</f>
        <v>45639</v>
      </c>
      <c r="H246" s="29"/>
      <c r="I246" s="29"/>
      <c r="J246" s="29" t="s">
        <v>1615</v>
      </c>
      <c r="K246" s="24" t="s">
        <v>55</v>
      </c>
      <c r="L246" s="49">
        <v>45639</v>
      </c>
      <c r="M246" s="49">
        <v>45657</v>
      </c>
      <c r="N246" s="34">
        <f t="shared" si="8"/>
        <v>18</v>
      </c>
      <c r="O246" s="29"/>
      <c r="P246" t="s">
        <v>88</v>
      </c>
      <c r="Q246" t="s">
        <v>88</v>
      </c>
      <c r="R246" t="s">
        <v>88</v>
      </c>
      <c r="S246" t="s">
        <v>88</v>
      </c>
      <c r="T246" t="s">
        <v>88</v>
      </c>
      <c r="U246" t="s">
        <v>20</v>
      </c>
    </row>
    <row r="247" spans="1:21" x14ac:dyDescent="0.45">
      <c r="A247" s="79">
        <v>66872718</v>
      </c>
      <c r="B247" s="29" t="str">
        <f t="shared" si="9"/>
        <v>6.687.271-8</v>
      </c>
      <c r="C247" s="22" t="s">
        <v>30</v>
      </c>
      <c r="D247" s="29" t="s">
        <v>481</v>
      </c>
      <c r="E247" s="29" t="s">
        <v>458</v>
      </c>
      <c r="F247" s="29" t="s">
        <v>602</v>
      </c>
      <c r="G247" s="49">
        <v>45646</v>
      </c>
      <c r="H247" s="49">
        <v>45650</v>
      </c>
      <c r="I247" s="29"/>
      <c r="J247" s="29" t="s">
        <v>24</v>
      </c>
      <c r="K247" s="24" t="s">
        <v>43</v>
      </c>
      <c r="L247" s="49">
        <v>45646</v>
      </c>
      <c r="M247" s="49">
        <v>45650</v>
      </c>
      <c r="N247" s="34">
        <f t="shared" si="8"/>
        <v>4</v>
      </c>
      <c r="O247" s="29"/>
      <c r="P247" t="s">
        <v>88</v>
      </c>
      <c r="Q247" t="s">
        <v>88</v>
      </c>
      <c r="R247" t="s">
        <v>88</v>
      </c>
      <c r="S247" t="s">
        <v>88</v>
      </c>
      <c r="T247" t="s">
        <v>88</v>
      </c>
      <c r="U247" t="s">
        <v>20</v>
      </c>
    </row>
    <row r="248" spans="1:21" x14ac:dyDescent="0.45">
      <c r="A248" s="79" t="s">
        <v>1680</v>
      </c>
      <c r="B248" s="29" t="str">
        <f t="shared" si="9"/>
        <v>6.571.048-K</v>
      </c>
      <c r="C248" s="22" t="s">
        <v>30</v>
      </c>
      <c r="D248" s="29" t="s">
        <v>472</v>
      </c>
      <c r="E248" s="29" t="s">
        <v>426</v>
      </c>
      <c r="F248" s="29" t="s">
        <v>558</v>
      </c>
      <c r="G248" s="49">
        <v>45644</v>
      </c>
      <c r="H248" s="49">
        <v>45656</v>
      </c>
      <c r="I248" s="29"/>
      <c r="J248" s="29" t="s">
        <v>1615</v>
      </c>
      <c r="K248" s="24" t="s">
        <v>43</v>
      </c>
      <c r="L248" s="49">
        <v>45644</v>
      </c>
      <c r="M248" s="49">
        <v>45656</v>
      </c>
      <c r="N248" s="34">
        <f t="shared" si="8"/>
        <v>12</v>
      </c>
      <c r="O248" s="29"/>
      <c r="P248" t="s">
        <v>88</v>
      </c>
      <c r="Q248" t="s">
        <v>88</v>
      </c>
      <c r="R248" t="s">
        <v>88</v>
      </c>
      <c r="S248" t="s">
        <v>88</v>
      </c>
      <c r="T248" t="s">
        <v>88</v>
      </c>
      <c r="U248" t="s">
        <v>20</v>
      </c>
    </row>
    <row r="249" spans="1:21" x14ac:dyDescent="0.45">
      <c r="A249" s="79">
        <v>67164539</v>
      </c>
      <c r="B249" s="29" t="str">
        <f t="shared" si="9"/>
        <v>6.716.453-9</v>
      </c>
      <c r="C249" s="22" t="s">
        <v>30</v>
      </c>
      <c r="D249" s="29" t="s">
        <v>601</v>
      </c>
      <c r="E249" s="29" t="s">
        <v>427</v>
      </c>
      <c r="F249" s="29" t="s">
        <v>537</v>
      </c>
      <c r="G249" s="49">
        <v>45646</v>
      </c>
      <c r="H249" s="49">
        <v>45651</v>
      </c>
      <c r="I249" s="29"/>
      <c r="J249" s="29" t="s">
        <v>1615</v>
      </c>
      <c r="K249" s="24" t="s">
        <v>43</v>
      </c>
      <c r="L249" s="49">
        <v>45646</v>
      </c>
      <c r="M249" s="49">
        <v>45651</v>
      </c>
      <c r="N249" s="34">
        <f t="shared" si="8"/>
        <v>5</v>
      </c>
      <c r="O249" s="29"/>
      <c r="P249" t="s">
        <v>88</v>
      </c>
      <c r="Q249" t="s">
        <v>88</v>
      </c>
      <c r="R249" t="s">
        <v>88</v>
      </c>
      <c r="S249" t="s">
        <v>88</v>
      </c>
      <c r="T249" t="s">
        <v>88</v>
      </c>
      <c r="U249" t="s">
        <v>20</v>
      </c>
    </row>
    <row r="250" spans="1:21" x14ac:dyDescent="0.45">
      <c r="A250" s="79">
        <v>56436510</v>
      </c>
      <c r="B250" s="29" t="str">
        <f t="shared" si="9"/>
        <v>5.643.651-0</v>
      </c>
      <c r="C250" s="22" t="s">
        <v>30</v>
      </c>
      <c r="D250" s="29" t="s">
        <v>638</v>
      </c>
      <c r="E250" s="29" t="s">
        <v>580</v>
      </c>
      <c r="F250" s="29" t="s">
        <v>507</v>
      </c>
      <c r="G250" s="49">
        <v>45647</v>
      </c>
      <c r="H250" s="49">
        <v>45653</v>
      </c>
      <c r="I250" s="29"/>
      <c r="J250" s="29" t="s">
        <v>1615</v>
      </c>
      <c r="K250" s="24" t="s">
        <v>43</v>
      </c>
      <c r="L250" s="49">
        <v>45647</v>
      </c>
      <c r="M250" s="49">
        <v>45653</v>
      </c>
      <c r="N250" s="34">
        <f t="shared" si="8"/>
        <v>6</v>
      </c>
      <c r="O250" s="29"/>
      <c r="P250" t="s">
        <v>88</v>
      </c>
      <c r="Q250" t="s">
        <v>88</v>
      </c>
      <c r="R250" t="s">
        <v>88</v>
      </c>
      <c r="S250" t="s">
        <v>88</v>
      </c>
      <c r="T250" t="s">
        <v>88</v>
      </c>
      <c r="U250" t="s">
        <v>20</v>
      </c>
    </row>
    <row r="251" spans="1:21" x14ac:dyDescent="0.45">
      <c r="A251" s="79">
        <v>56436510</v>
      </c>
      <c r="B251" s="29" t="str">
        <f t="shared" si="9"/>
        <v>5.643.651-0</v>
      </c>
      <c r="C251" s="22" t="str">
        <f>IF(IFERROR(VLOOKUP(A251,$A$9:$I250,1,0),0)=0,"",VLOOKUP(A251,$A$9:$I250,3,0))</f>
        <v>UCO</v>
      </c>
      <c r="D251" s="29" t="str">
        <f>IF(IFERROR(VLOOKUP(A251,$A$9:$I250,1,0),0)=0,"",VLOOKUP(A251,$A$9:$I250,4,0))</f>
        <v>CARLOS</v>
      </c>
      <c r="E251" s="29" t="str">
        <f>IF(IFERROR(VLOOKUP(A251,$A$9:$I250,1,0),0)=0,"",VLOOKUP(A251,$A$9:$I250,5,0))</f>
        <v>CASTRO</v>
      </c>
      <c r="F251" s="29" t="str">
        <f>IF(IFERROR(VLOOKUP(A251,$A$9:$I250,1,0),0)=0,"",VLOOKUP(A251,$A$9:$I250,6,0))</f>
        <v>CAMPOS</v>
      </c>
      <c r="G251" s="49">
        <f>IF(IFERROR(VLOOKUP(A251,$A$9:$I250,1,0),0)=0,"",VLOOKUP(A251,$A$9:$I250,7,0))</f>
        <v>45647</v>
      </c>
      <c r="H251" s="49">
        <v>45653</v>
      </c>
      <c r="I251" s="29"/>
      <c r="J251" s="29" t="s">
        <v>1615</v>
      </c>
      <c r="K251" s="24" t="s">
        <v>47</v>
      </c>
      <c r="L251" s="49">
        <v>45647</v>
      </c>
      <c r="M251" s="49">
        <v>45651</v>
      </c>
      <c r="N251" s="34">
        <f t="shared" ref="N251:N264" si="10">+M251-L251</f>
        <v>4</v>
      </c>
      <c r="O251" s="29"/>
      <c r="P251" t="s">
        <v>88</v>
      </c>
      <c r="Q251" t="s">
        <v>88</v>
      </c>
      <c r="R251" t="s">
        <v>88</v>
      </c>
      <c r="S251" t="s">
        <v>88</v>
      </c>
      <c r="T251" t="s">
        <v>88</v>
      </c>
      <c r="U251" t="s">
        <v>20</v>
      </c>
    </row>
    <row r="252" spans="1:21" x14ac:dyDescent="0.45">
      <c r="A252" s="79">
        <v>56436510</v>
      </c>
      <c r="B252" s="29" t="str">
        <f t="shared" si="9"/>
        <v>5.643.651-0</v>
      </c>
      <c r="C252" s="22" t="str">
        <f>IF(IFERROR(VLOOKUP(A252,$A$9:$I251,1,0),0)=0,"",VLOOKUP(A252,$A$9:$I251,3,0))</f>
        <v>UCO</v>
      </c>
      <c r="D252" s="29" t="str">
        <f>IF(IFERROR(VLOOKUP(A252,$A$9:$I251,1,0),0)=0,"",VLOOKUP(A252,$A$9:$I251,4,0))</f>
        <v>CARLOS</v>
      </c>
      <c r="E252" s="29" t="str">
        <f>IF(IFERROR(VLOOKUP(A252,$A$9:$I251,1,0),0)=0,"",VLOOKUP(A252,$A$9:$I251,5,0))</f>
        <v>CASTRO</v>
      </c>
      <c r="F252" s="29" t="str">
        <f>IF(IFERROR(VLOOKUP(A252,$A$9:$I251,1,0),0)=0,"",VLOOKUP(A252,$A$9:$I251,6,0))</f>
        <v>CAMPOS</v>
      </c>
      <c r="G252" s="49">
        <f>IF(IFERROR(VLOOKUP(A252,$A$9:$I251,1,0),0)=0,"",VLOOKUP(A252,$A$9:$I251,7,0))</f>
        <v>45647</v>
      </c>
      <c r="H252" s="49">
        <v>45653</v>
      </c>
      <c r="I252" s="29"/>
      <c r="J252" s="29" t="s">
        <v>1615</v>
      </c>
      <c r="K252" s="24" t="s">
        <v>55</v>
      </c>
      <c r="L252" s="49">
        <v>45647</v>
      </c>
      <c r="M252" s="49">
        <v>45650</v>
      </c>
      <c r="N252" s="34">
        <f t="shared" si="10"/>
        <v>3</v>
      </c>
      <c r="O252" s="29"/>
      <c r="P252" t="s">
        <v>88</v>
      </c>
      <c r="Q252" t="s">
        <v>88</v>
      </c>
      <c r="R252" t="s">
        <v>88</v>
      </c>
      <c r="S252" t="s">
        <v>88</v>
      </c>
      <c r="T252" t="s">
        <v>88</v>
      </c>
      <c r="U252" t="s">
        <v>20</v>
      </c>
    </row>
    <row r="253" spans="1:21" x14ac:dyDescent="0.45">
      <c r="A253" s="79">
        <v>91973103</v>
      </c>
      <c r="B253" s="29" t="str">
        <f t="shared" si="9"/>
        <v>9.197.310-3</v>
      </c>
      <c r="C253" s="22" t="s">
        <v>30</v>
      </c>
      <c r="D253" s="29" t="s">
        <v>733</v>
      </c>
      <c r="E253" s="29" t="s">
        <v>442</v>
      </c>
      <c r="F253" s="29" t="s">
        <v>442</v>
      </c>
      <c r="G253" s="49">
        <v>45645</v>
      </c>
      <c r="H253" s="49">
        <v>45652</v>
      </c>
      <c r="I253" s="29"/>
      <c r="J253" s="29" t="s">
        <v>1615</v>
      </c>
      <c r="K253" s="24" t="s">
        <v>43</v>
      </c>
      <c r="L253" s="49">
        <v>45645</v>
      </c>
      <c r="M253" s="49">
        <v>45650</v>
      </c>
      <c r="N253" s="34">
        <f t="shared" si="10"/>
        <v>5</v>
      </c>
      <c r="O253" s="29"/>
      <c r="P253" t="s">
        <v>88</v>
      </c>
      <c r="Q253" t="s">
        <v>88</v>
      </c>
      <c r="R253" t="s">
        <v>88</v>
      </c>
      <c r="S253" t="s">
        <v>88</v>
      </c>
      <c r="T253" t="s">
        <v>88</v>
      </c>
      <c r="U253" t="s">
        <v>20</v>
      </c>
    </row>
    <row r="254" spans="1:21" x14ac:dyDescent="0.45">
      <c r="A254" s="79">
        <v>286281524</v>
      </c>
      <c r="B254" s="29" t="str">
        <f t="shared" si="9"/>
        <v>28.628.152-4</v>
      </c>
      <c r="C254" s="22" t="s">
        <v>16</v>
      </c>
      <c r="D254" s="29" t="s">
        <v>1580</v>
      </c>
      <c r="E254" s="29" t="s">
        <v>1681</v>
      </c>
      <c r="F254" s="29" t="s">
        <v>743</v>
      </c>
      <c r="G254" s="49">
        <v>45646</v>
      </c>
      <c r="H254" s="29"/>
      <c r="I254" s="29"/>
      <c r="J254" s="29" t="s">
        <v>1615</v>
      </c>
      <c r="K254" s="24" t="s">
        <v>18</v>
      </c>
      <c r="L254" s="49">
        <v>45649</v>
      </c>
      <c r="M254" s="49">
        <v>45657</v>
      </c>
      <c r="N254" s="34">
        <f t="shared" si="10"/>
        <v>8</v>
      </c>
      <c r="O254" s="29"/>
      <c r="P254" t="s">
        <v>88</v>
      </c>
      <c r="Q254" t="s">
        <v>88</v>
      </c>
      <c r="R254" t="s">
        <v>88</v>
      </c>
      <c r="S254" t="s">
        <v>88</v>
      </c>
      <c r="T254" t="s">
        <v>88</v>
      </c>
      <c r="U254" t="s">
        <v>20</v>
      </c>
    </row>
    <row r="255" spans="1:21" x14ac:dyDescent="0.45">
      <c r="A255" s="79">
        <v>97145881</v>
      </c>
      <c r="B255" s="29" t="str">
        <f t="shared" si="9"/>
        <v>9.714.588-1</v>
      </c>
      <c r="C255" s="22" t="s">
        <v>22</v>
      </c>
      <c r="D255" s="29" t="s">
        <v>1682</v>
      </c>
      <c r="E255" s="29" t="s">
        <v>300</v>
      </c>
      <c r="F255" s="29" t="s">
        <v>1602</v>
      </c>
      <c r="G255" s="49">
        <v>45655</v>
      </c>
      <c r="H255" s="29"/>
      <c r="I255" s="29"/>
      <c r="J255" s="29" t="s">
        <v>1615</v>
      </c>
      <c r="K255" s="24" t="s">
        <v>43</v>
      </c>
      <c r="L255" s="49">
        <v>45655</v>
      </c>
      <c r="M255" s="49">
        <v>45657</v>
      </c>
      <c r="N255" s="34">
        <f t="shared" si="10"/>
        <v>2</v>
      </c>
      <c r="O255" s="29"/>
      <c r="P255" t="s">
        <v>88</v>
      </c>
      <c r="Q255" t="s">
        <v>88</v>
      </c>
      <c r="R255" t="s">
        <v>88</v>
      </c>
      <c r="S255" t="s">
        <v>88</v>
      </c>
      <c r="T255" t="s">
        <v>88</v>
      </c>
      <c r="U255" t="s">
        <v>20</v>
      </c>
    </row>
    <row r="256" spans="1:21" x14ac:dyDescent="0.45">
      <c r="A256" s="79">
        <v>97145881</v>
      </c>
      <c r="B256" s="29" t="str">
        <f t="shared" si="9"/>
        <v>9.714.588-1</v>
      </c>
      <c r="C256" s="22" t="str">
        <f>IF(IFERROR(VLOOKUP(A256,$A$9:$I255,1,0),0)=0,"",VLOOKUP(A256,$A$9:$I255,3,0))</f>
        <v>UCI</v>
      </c>
      <c r="D256" s="29" t="str">
        <f>IF(IFERROR(VLOOKUP(A256,$A$9:$I255,1,0),0)=0,"",VLOOKUP(A256,$A$9:$I255,4,0))</f>
        <v>GINA</v>
      </c>
      <c r="E256" s="29" t="str">
        <f>IF(IFERROR(VLOOKUP(A256,$A$9:$I255,1,0),0)=0,"",VLOOKUP(A256,$A$9:$I255,5,0))</f>
        <v>HERNANDEZ</v>
      </c>
      <c r="F256" s="29" t="str">
        <f>IF(IFERROR(VLOOKUP(A256,$A$9:$I255,1,0),0)=0,"",VLOOKUP(A256,$A$9:$I255,6,0))</f>
        <v>CERNA</v>
      </c>
      <c r="G256" s="49">
        <f>IF(IFERROR(VLOOKUP(A256,$A$9:$I255,1,0),0)=0,"",VLOOKUP(A256,$A$9:$I255,7,0))</f>
        <v>45655</v>
      </c>
      <c r="H256" s="29"/>
      <c r="I256" s="29"/>
      <c r="J256" s="29" t="s">
        <v>1615</v>
      </c>
      <c r="K256" s="24" t="s">
        <v>47</v>
      </c>
      <c r="L256" s="49">
        <v>45655</v>
      </c>
      <c r="M256" s="49">
        <v>45657</v>
      </c>
      <c r="N256" s="34">
        <f t="shared" si="10"/>
        <v>2</v>
      </c>
      <c r="O256" s="29"/>
      <c r="P256" t="s">
        <v>88</v>
      </c>
      <c r="Q256" t="s">
        <v>88</v>
      </c>
      <c r="R256" t="s">
        <v>88</v>
      </c>
      <c r="S256" t="s">
        <v>88</v>
      </c>
      <c r="T256" t="s">
        <v>88</v>
      </c>
      <c r="U256" t="s">
        <v>20</v>
      </c>
    </row>
    <row r="257" spans="1:21" x14ac:dyDescent="0.45">
      <c r="A257" s="79">
        <v>97145881</v>
      </c>
      <c r="B257" s="29" t="str">
        <f t="shared" si="9"/>
        <v>9.714.588-1</v>
      </c>
      <c r="C257" s="22" t="str">
        <f>IF(IFERROR(VLOOKUP(A257,$A$9:$I256,1,0),0)=0,"",VLOOKUP(A257,$A$9:$I256,3,0))</f>
        <v>UCI</v>
      </c>
      <c r="D257" s="29" t="str">
        <f>IF(IFERROR(VLOOKUP(A257,$A$9:$I256,1,0),0)=0,"",VLOOKUP(A257,$A$9:$I256,4,0))</f>
        <v>GINA</v>
      </c>
      <c r="E257" s="29" t="str">
        <f>IF(IFERROR(VLOOKUP(A257,$A$9:$I256,1,0),0)=0,"",VLOOKUP(A257,$A$9:$I256,5,0))</f>
        <v>HERNANDEZ</v>
      </c>
      <c r="F257" s="29" t="str">
        <f>IF(IFERROR(VLOOKUP(A257,$A$9:$I256,1,0),0)=0,"",VLOOKUP(A257,$A$9:$I256,6,0))</f>
        <v>CERNA</v>
      </c>
      <c r="G257" s="49">
        <f>IF(IFERROR(VLOOKUP(A257,$A$9:$I256,1,0),0)=0,"",VLOOKUP(A257,$A$9:$I256,7,0))</f>
        <v>45655</v>
      </c>
      <c r="H257" s="29"/>
      <c r="I257" s="29"/>
      <c r="J257" s="29" t="s">
        <v>1615</v>
      </c>
      <c r="K257" s="24" t="s">
        <v>55</v>
      </c>
      <c r="L257" s="49">
        <v>45655</v>
      </c>
      <c r="M257" s="49">
        <v>45657</v>
      </c>
      <c r="N257" s="34">
        <f t="shared" si="10"/>
        <v>2</v>
      </c>
      <c r="O257" s="29"/>
      <c r="P257" t="s">
        <v>88</v>
      </c>
      <c r="Q257" t="s">
        <v>88</v>
      </c>
      <c r="R257" t="s">
        <v>88</v>
      </c>
      <c r="S257" t="s">
        <v>88</v>
      </c>
      <c r="T257" t="s">
        <v>88</v>
      </c>
      <c r="U257" t="s">
        <v>20</v>
      </c>
    </row>
    <row r="258" spans="1:21" x14ac:dyDescent="0.45">
      <c r="A258" s="79">
        <v>74972101</v>
      </c>
      <c r="B258" s="29" t="str">
        <f t="shared" si="9"/>
        <v>7.497.210-1</v>
      </c>
      <c r="C258" s="22" t="s">
        <v>22</v>
      </c>
      <c r="D258" s="29" t="s">
        <v>1683</v>
      </c>
      <c r="E258" s="29" t="s">
        <v>295</v>
      </c>
      <c r="F258" s="29" t="s">
        <v>486</v>
      </c>
      <c r="G258" s="49">
        <v>45657</v>
      </c>
      <c r="H258" s="29"/>
      <c r="I258" s="29"/>
      <c r="J258" s="29" t="s">
        <v>1615</v>
      </c>
      <c r="K258" s="24" t="s">
        <v>47</v>
      </c>
      <c r="L258" s="49">
        <v>45657</v>
      </c>
      <c r="M258" s="49">
        <v>45657</v>
      </c>
      <c r="N258" s="34">
        <f t="shared" si="10"/>
        <v>0</v>
      </c>
      <c r="O258" s="29"/>
      <c r="P258" t="s">
        <v>88</v>
      </c>
      <c r="Q258" t="s">
        <v>88</v>
      </c>
      <c r="R258" t="s">
        <v>88</v>
      </c>
      <c r="S258" t="s">
        <v>88</v>
      </c>
      <c r="T258" t="s">
        <v>88</v>
      </c>
      <c r="U258" t="s">
        <v>20</v>
      </c>
    </row>
    <row r="259" spans="1:21" x14ac:dyDescent="0.45">
      <c r="A259" s="79">
        <v>188140254</v>
      </c>
      <c r="B259" s="29" t="str">
        <f t="shared" si="9"/>
        <v>18.814.025-4</v>
      </c>
      <c r="C259" s="22" t="s">
        <v>22</v>
      </c>
      <c r="D259" s="29" t="s">
        <v>1124</v>
      </c>
      <c r="E259" s="29" t="s">
        <v>1684</v>
      </c>
      <c r="F259" s="29" t="s">
        <v>536</v>
      </c>
      <c r="G259" s="49">
        <v>45654</v>
      </c>
      <c r="H259" s="29"/>
      <c r="I259" s="29"/>
      <c r="J259" s="29" t="s">
        <v>1615</v>
      </c>
      <c r="K259" s="24" t="s">
        <v>43</v>
      </c>
      <c r="L259" s="49">
        <v>45654</v>
      </c>
      <c r="M259" s="49">
        <v>45657</v>
      </c>
      <c r="N259" s="34">
        <f t="shared" si="10"/>
        <v>3</v>
      </c>
      <c r="O259" s="29"/>
      <c r="P259" t="s">
        <v>88</v>
      </c>
      <c r="Q259" t="s">
        <v>88</v>
      </c>
      <c r="R259" t="s">
        <v>88</v>
      </c>
      <c r="S259" t="s">
        <v>88</v>
      </c>
      <c r="T259" t="s">
        <v>88</v>
      </c>
      <c r="U259" t="s">
        <v>20</v>
      </c>
    </row>
    <row r="260" spans="1:21" x14ac:dyDescent="0.45">
      <c r="A260" s="79">
        <v>137362406</v>
      </c>
      <c r="B260" s="29" t="str">
        <f t="shared" si="9"/>
        <v>13.736.240-6</v>
      </c>
      <c r="C260" s="22" t="s">
        <v>22</v>
      </c>
      <c r="D260" s="29" t="s">
        <v>428</v>
      </c>
      <c r="E260" s="29" t="s">
        <v>1685</v>
      </c>
      <c r="F260" s="29" t="s">
        <v>1686</v>
      </c>
      <c r="G260" s="49">
        <v>45655</v>
      </c>
      <c r="H260" s="29"/>
      <c r="I260" s="29" t="s">
        <v>22</v>
      </c>
      <c r="J260" s="29" t="s">
        <v>1615</v>
      </c>
      <c r="K260" s="24" t="s">
        <v>43</v>
      </c>
      <c r="L260" s="49">
        <v>45655</v>
      </c>
      <c r="M260" s="49">
        <v>45657</v>
      </c>
      <c r="N260" s="34">
        <f t="shared" si="10"/>
        <v>2</v>
      </c>
      <c r="O260" s="29"/>
      <c r="P260" t="s">
        <v>88</v>
      </c>
      <c r="Q260" t="s">
        <v>88</v>
      </c>
      <c r="R260" t="s">
        <v>88</v>
      </c>
      <c r="S260" t="s">
        <v>88</v>
      </c>
      <c r="T260" t="s">
        <v>88</v>
      </c>
      <c r="U260" t="s">
        <v>20</v>
      </c>
    </row>
    <row r="261" spans="1:21" x14ac:dyDescent="0.45">
      <c r="A261" s="79">
        <v>64255245</v>
      </c>
      <c r="B261" s="29" t="str">
        <f t="shared" si="9"/>
        <v>6.425.524-5</v>
      </c>
      <c r="C261" s="22" t="s">
        <v>22</v>
      </c>
      <c r="D261" s="29" t="s">
        <v>351</v>
      </c>
      <c r="E261" s="29" t="s">
        <v>569</v>
      </c>
      <c r="F261" s="29" t="s">
        <v>1687</v>
      </c>
      <c r="G261" s="49">
        <v>45654</v>
      </c>
      <c r="H261" s="49">
        <v>45663</v>
      </c>
      <c r="I261" s="29" t="s">
        <v>22</v>
      </c>
      <c r="J261" s="29" t="s">
        <v>56</v>
      </c>
      <c r="K261" s="24" t="s">
        <v>43</v>
      </c>
      <c r="L261" s="49">
        <v>45654</v>
      </c>
      <c r="M261" s="49">
        <v>45657</v>
      </c>
      <c r="N261" s="34">
        <f t="shared" si="10"/>
        <v>3</v>
      </c>
      <c r="O261" s="29"/>
      <c r="P261" t="s">
        <v>88</v>
      </c>
      <c r="Q261" t="s">
        <v>88</v>
      </c>
      <c r="R261" t="s">
        <v>88</v>
      </c>
      <c r="S261" t="s">
        <v>88</v>
      </c>
      <c r="T261" t="s">
        <v>88</v>
      </c>
      <c r="U261" t="s">
        <v>20</v>
      </c>
    </row>
    <row r="262" spans="1:21" x14ac:dyDescent="0.45">
      <c r="A262" s="79">
        <v>64255245</v>
      </c>
      <c r="B262" s="29" t="str">
        <f t="shared" si="9"/>
        <v>6.425.524-5</v>
      </c>
      <c r="C262" s="22" t="str">
        <f>IF(IFERROR(VLOOKUP(A262,$A$9:$I261,1,0),0)=0,"",VLOOKUP(A262,$A$9:$I261,3,0))</f>
        <v>UCI</v>
      </c>
      <c r="D262" s="29" t="str">
        <f>IF(IFERROR(VLOOKUP(A262,$A$9:$I261,1,0),0)=0,"",VLOOKUP(A262,$A$9:$I261,4,0))</f>
        <v>OSCAR</v>
      </c>
      <c r="E262" s="29" t="str">
        <f>IF(IFERROR(VLOOKUP(A262,$A$9:$I261,1,0),0)=0,"",VLOOKUP(A262,$A$9:$I261,5,0))</f>
        <v>MELLADO</v>
      </c>
      <c r="F262" s="29" t="str">
        <f>IF(IFERROR(VLOOKUP(A262,$A$9:$I261,1,0),0)=0,"",VLOOKUP(A262,$A$9:$I261,6,0))</f>
        <v>GANGAS</v>
      </c>
      <c r="G262" s="49">
        <f>IF(IFERROR(VLOOKUP(A262,$A$9:$I261,1,0),0)=0,"",VLOOKUP(A262,$A$9:$I261,7,0))</f>
        <v>45654</v>
      </c>
      <c r="H262" s="49">
        <v>45663</v>
      </c>
      <c r="I262" s="29" t="s">
        <v>22</v>
      </c>
      <c r="J262" s="29" t="s">
        <v>56</v>
      </c>
      <c r="K262" s="24" t="s">
        <v>47</v>
      </c>
      <c r="L262" s="49">
        <v>45654</v>
      </c>
      <c r="M262" s="49">
        <v>45657</v>
      </c>
      <c r="N262" s="34">
        <f t="shared" si="10"/>
        <v>3</v>
      </c>
      <c r="O262" s="29"/>
      <c r="P262" t="s">
        <v>88</v>
      </c>
      <c r="Q262" t="s">
        <v>88</v>
      </c>
      <c r="R262" t="s">
        <v>88</v>
      </c>
      <c r="S262" t="s">
        <v>88</v>
      </c>
      <c r="T262" t="s">
        <v>88</v>
      </c>
      <c r="U262" t="s">
        <v>20</v>
      </c>
    </row>
    <row r="263" spans="1:21" x14ac:dyDescent="0.45">
      <c r="A263" s="79">
        <v>159109941</v>
      </c>
      <c r="B263" s="29" t="str">
        <f t="shared" si="9"/>
        <v>15.910.994-1</v>
      </c>
      <c r="C263" s="22" t="s">
        <v>22</v>
      </c>
      <c r="D263" s="29" t="str">
        <f>IF(IFERROR(VLOOKUP(A263,$A$9:$I262,1,0),0)=0,"",VLOOKUP(A263,$A$9:$I262,4,0))</f>
        <v>JUAN</v>
      </c>
      <c r="E263" s="29" t="str">
        <f>IF(IFERROR(VLOOKUP(A263,$A$9:$I262,1,0),0)=0,"",VLOOKUP(A263,$A$9:$I262,5,0))</f>
        <v>PEREZ</v>
      </c>
      <c r="F263" s="29" t="str">
        <f>IF(IFERROR(VLOOKUP(A263,$A$9:$I262,1,0),0)=0,"",VLOOKUP(A263,$A$9:$I262,6,0))</f>
        <v>APABLAZA</v>
      </c>
      <c r="G263" s="49">
        <v>45652</v>
      </c>
      <c r="H263" s="29"/>
      <c r="I263" s="29"/>
      <c r="J263" s="29" t="s">
        <v>1615</v>
      </c>
      <c r="K263" s="24" t="s">
        <v>43</v>
      </c>
      <c r="L263" s="49">
        <v>45652</v>
      </c>
      <c r="M263" s="49">
        <v>45657</v>
      </c>
      <c r="N263" s="34">
        <f t="shared" si="10"/>
        <v>5</v>
      </c>
      <c r="O263" s="29"/>
      <c r="P263" t="s">
        <v>88</v>
      </c>
      <c r="Q263" t="s">
        <v>88</v>
      </c>
      <c r="R263" t="s">
        <v>88</v>
      </c>
      <c r="S263" t="s">
        <v>88</v>
      </c>
      <c r="T263" t="s">
        <v>88</v>
      </c>
      <c r="U263" t="s">
        <v>20</v>
      </c>
    </row>
    <row r="264" spans="1:21" x14ac:dyDescent="0.45">
      <c r="A264" s="79">
        <v>159109941</v>
      </c>
      <c r="B264" s="29" t="str">
        <f t="shared" si="9"/>
        <v>15.910.994-1</v>
      </c>
      <c r="C264" s="22" t="s">
        <v>22</v>
      </c>
      <c r="D264" s="29" t="str">
        <f>IF(IFERROR(VLOOKUP(A264,$A$9:$I263,1,0),0)=0,"",VLOOKUP(A264,$A$9:$I263,4,0))</f>
        <v>JUAN</v>
      </c>
      <c r="E264" s="29" t="str">
        <f>IF(IFERROR(VLOOKUP(A264,$A$9:$I263,1,0),0)=0,"",VLOOKUP(A264,$A$9:$I263,5,0))</f>
        <v>PEREZ</v>
      </c>
      <c r="F264" s="29" t="str">
        <f>IF(IFERROR(VLOOKUP(A264,$A$9:$I263,1,0),0)=0,"",VLOOKUP(A264,$A$9:$I263,6,0))</f>
        <v>APABLAZA</v>
      </c>
      <c r="G264" s="49">
        <v>45652</v>
      </c>
      <c r="H264" s="29"/>
      <c r="I264" s="29"/>
      <c r="J264" s="29" t="s">
        <v>1615</v>
      </c>
      <c r="K264" s="24" t="s">
        <v>43</v>
      </c>
      <c r="L264" s="49">
        <v>45652</v>
      </c>
      <c r="M264" s="49">
        <v>45657</v>
      </c>
      <c r="N264" s="34">
        <f t="shared" si="10"/>
        <v>5</v>
      </c>
      <c r="O264" s="29"/>
      <c r="P264" t="s">
        <v>88</v>
      </c>
      <c r="Q264" t="s">
        <v>88</v>
      </c>
      <c r="R264" t="s">
        <v>88</v>
      </c>
      <c r="S264" t="s">
        <v>88</v>
      </c>
      <c r="T264" t="s">
        <v>88</v>
      </c>
      <c r="U264" t="s">
        <v>20</v>
      </c>
    </row>
    <row r="265" spans="1:21" x14ac:dyDescent="0.45">
      <c r="U265">
        <f>COUNTIF(U8:U264,"si")</f>
        <v>1</v>
      </c>
    </row>
  </sheetData>
  <dataValidations count="2">
    <dataValidation allowBlank="1" sqref="N1:N7" xr:uid="{00000000-0002-0000-0D00-000000000000}"/>
    <dataValidation allowBlank="1" showInputMessage="1" sqref="O1:O7" xr:uid="{00000000-0002-0000-0D00-000001000000}"/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Listas</vt:lpstr>
      <vt:lpstr>Criterios</vt:lpstr>
      <vt:lpstr>ENERO 24</vt:lpstr>
      <vt:lpstr>FEBRERO 24</vt:lpstr>
      <vt:lpstr>MARZO 24</vt:lpstr>
      <vt:lpstr>ABRIL 24</vt:lpstr>
      <vt:lpstr>MAYO 24</vt:lpstr>
      <vt:lpstr>JUNIO 24</vt:lpstr>
      <vt:lpstr>JULIO 2024</vt:lpstr>
      <vt:lpstr>AGOSTO 2024</vt:lpstr>
      <vt:lpstr>SEPTIEMBRE 2024</vt:lpstr>
      <vt:lpstr>OCTUBRE 2024</vt:lpstr>
      <vt:lpstr>NOVIEMBRE 2024</vt:lpstr>
      <vt:lpstr>DICIEMBRE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Scarlett Carrillo Novoa</cp:lastModifiedBy>
  <cp:lastPrinted>2025-01-27T12:07:00Z</cp:lastPrinted>
  <dcterms:created xsi:type="dcterms:W3CDTF">2024-01-03T18:53:04Z</dcterms:created>
  <dcterms:modified xsi:type="dcterms:W3CDTF">2026-06-30T02:23:09Z</dcterms:modified>
</cp:coreProperties>
</file>